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2026 FILES\"/>
    </mc:Choice>
  </mc:AlternateContent>
  <xr:revisionPtr revIDLastSave="0" documentId="13_ncr:1_{A3EFFF0A-555A-46D2-9038-756C0BC188DD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2021" sheetId="10" r:id="rId1"/>
    <sheet name="2022" sheetId="11" r:id="rId2"/>
    <sheet name="2023" sheetId="12" r:id="rId3"/>
    <sheet name="2024" sheetId="13" r:id="rId4"/>
    <sheet name="2025" sheetId="14" r:id="rId5"/>
    <sheet name="2026" sheetId="15" r:id="rId6"/>
  </sheets>
  <definedNames>
    <definedName name="_xlnm._FilterDatabase" localSheetId="4" hidden="1">'2025'!$A$7:$AE$596</definedName>
    <definedName name="_xlnm._FilterDatabase" localSheetId="5" hidden="1">'2026'!$A$7:$AE$225</definedName>
  </definedNames>
  <calcPr calcId="181029"/>
</workbook>
</file>

<file path=xl/calcChain.xml><?xml version="1.0" encoding="utf-8"?>
<calcChain xmlns="http://schemas.openxmlformats.org/spreadsheetml/2006/main">
  <c r="AC199" i="15" l="1"/>
  <c r="AC200" i="15"/>
  <c r="AC201" i="15"/>
  <c r="AC202" i="15"/>
  <c r="AC203" i="15"/>
  <c r="AC204" i="15"/>
  <c r="AC205" i="15"/>
  <c r="AC206" i="15"/>
  <c r="AC207" i="15"/>
  <c r="AC208" i="15"/>
  <c r="AC209" i="15"/>
  <c r="AC210" i="15"/>
  <c r="AC211" i="15"/>
  <c r="AC212" i="15"/>
  <c r="AC213" i="15"/>
  <c r="AC214" i="15"/>
  <c r="AC215" i="15"/>
  <c r="AC216" i="15"/>
  <c r="AC217" i="15"/>
  <c r="AC218" i="15"/>
  <c r="AC219" i="15"/>
  <c r="AC220" i="15"/>
  <c r="AC221" i="15"/>
  <c r="AC222" i="15"/>
  <c r="AC223" i="15"/>
  <c r="AC224" i="15"/>
  <c r="AC225" i="15"/>
  <c r="AC198" i="15"/>
  <c r="AC197" i="15"/>
  <c r="AC193" i="15"/>
  <c r="AC194" i="15"/>
  <c r="AC195" i="15"/>
  <c r="AC196" i="15"/>
  <c r="AC189" i="15"/>
  <c r="AC190" i="15"/>
  <c r="AC191" i="15"/>
  <c r="AC192" i="15"/>
  <c r="AC186" i="15" l="1"/>
  <c r="AC187" i="15"/>
  <c r="AC188" i="15"/>
  <c r="AC185" i="15" l="1"/>
  <c r="AC181" i="15" l="1"/>
  <c r="AC182" i="15"/>
  <c r="AC183" i="15"/>
  <c r="AC184" i="15"/>
  <c r="AC176" i="15" l="1"/>
  <c r="AC177" i="15"/>
  <c r="AC178" i="15"/>
  <c r="AC179" i="15"/>
  <c r="AC180" i="15"/>
  <c r="AC172" i="15"/>
  <c r="AC173" i="15"/>
  <c r="AC174" i="15"/>
  <c r="AC175" i="15"/>
  <c r="AC166" i="15" l="1"/>
  <c r="AC171" i="15"/>
  <c r="AC170" i="15"/>
  <c r="AC169" i="15"/>
  <c r="AC168" i="15"/>
  <c r="AC167" i="15"/>
  <c r="AC163" i="15"/>
  <c r="AC164" i="15"/>
  <c r="AC165" i="15"/>
  <c r="AC161" i="15"/>
  <c r="AC162" i="15"/>
  <c r="AC154" i="15" l="1"/>
  <c r="AC155" i="15"/>
  <c r="AC156" i="15"/>
  <c r="AC157" i="15"/>
  <c r="AC158" i="15"/>
  <c r="AC159" i="15"/>
  <c r="AC160" i="15"/>
  <c r="AC148" i="15" l="1"/>
  <c r="AC149" i="15"/>
  <c r="AC150" i="15"/>
  <c r="AC151" i="15"/>
  <c r="AC152" i="15"/>
  <c r="AC153" i="15"/>
  <c r="AC144" i="15"/>
  <c r="AC143" i="15"/>
  <c r="AC142" i="15"/>
  <c r="AC138" i="15"/>
  <c r="AC139" i="15"/>
  <c r="AC140" i="15"/>
  <c r="AC141" i="15"/>
  <c r="AC145" i="15"/>
  <c r="AC146" i="15"/>
  <c r="AC147" i="15"/>
  <c r="AC133" i="15" l="1"/>
  <c r="AC134" i="15"/>
  <c r="AC135" i="15"/>
  <c r="AC136" i="15"/>
  <c r="AC137" i="15"/>
  <c r="AC130" i="15" l="1"/>
  <c r="AC131" i="15"/>
  <c r="AC132" i="15"/>
  <c r="AC129" i="15"/>
  <c r="AC128" i="15"/>
  <c r="AC123" i="15"/>
  <c r="AC124" i="15"/>
  <c r="AC125" i="15"/>
  <c r="AC126" i="15"/>
  <c r="AC127" i="15"/>
  <c r="AC115" i="15" l="1"/>
  <c r="AC116" i="15"/>
  <c r="AC117" i="15"/>
  <c r="AC118" i="15"/>
  <c r="AC119" i="15"/>
  <c r="AC120" i="15"/>
  <c r="AC121" i="15"/>
  <c r="AC122" i="15"/>
  <c r="AC110" i="15" l="1"/>
  <c r="AC111" i="15"/>
  <c r="AC112" i="15"/>
  <c r="AC113" i="15"/>
  <c r="AC114" i="15"/>
  <c r="AC104" i="15" l="1"/>
  <c r="AC105" i="15"/>
  <c r="AC106" i="15"/>
  <c r="AC107" i="15"/>
  <c r="AC108" i="15"/>
  <c r="AC109" i="15"/>
  <c r="AC103" i="15"/>
  <c r="AC102" i="15" l="1"/>
  <c r="AC98" i="15"/>
  <c r="AC99" i="15"/>
  <c r="AC100" i="15"/>
  <c r="AC101" i="15"/>
  <c r="AC95" i="15"/>
  <c r="AC96" i="15"/>
  <c r="AC97" i="15"/>
  <c r="AC92" i="15" l="1"/>
  <c r="AC93" i="15"/>
  <c r="AC94" i="15"/>
  <c r="AC90" i="15" l="1"/>
  <c r="AC91" i="15"/>
  <c r="AC83" i="15"/>
  <c r="AC84" i="15"/>
  <c r="AC85" i="15"/>
  <c r="AC86" i="15"/>
  <c r="AC87" i="15"/>
  <c r="AC88" i="15"/>
  <c r="AC89" i="15"/>
  <c r="AC81" i="15"/>
  <c r="AC82" i="15"/>
  <c r="AC73" i="15"/>
  <c r="AC74" i="15"/>
  <c r="AC75" i="15"/>
  <c r="AC76" i="15"/>
  <c r="AC77" i="15"/>
  <c r="AC78" i="15"/>
  <c r="AC79" i="15"/>
  <c r="AC80" i="15"/>
  <c r="AC72" i="15"/>
  <c r="AC67" i="15"/>
  <c r="AC68" i="15"/>
  <c r="AC69" i="15"/>
  <c r="AC70" i="15"/>
  <c r="AC71" i="15"/>
  <c r="AC9" i="15" l="1"/>
  <c r="AC465" i="14"/>
  <c r="AC9" i="14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AC47" i="15"/>
  <c r="AC48" i="15"/>
  <c r="AC49" i="15"/>
  <c r="AC50" i="15"/>
  <c r="AC51" i="15"/>
  <c r="AC52" i="15"/>
  <c r="AC53" i="15"/>
  <c r="AC54" i="15"/>
  <c r="AC55" i="15"/>
  <c r="AC56" i="15"/>
  <c r="AC57" i="15"/>
  <c r="AC58" i="15"/>
  <c r="AC59" i="15"/>
  <c r="AC60" i="15"/>
  <c r="AC61" i="15"/>
  <c r="AC62" i="15"/>
  <c r="AC63" i="15"/>
  <c r="AC64" i="15"/>
  <c r="AC65" i="15"/>
  <c r="AC66" i="15"/>
  <c r="AC10" i="15" l="1"/>
  <c r="AB601" i="14"/>
  <c r="AA601" i="14"/>
  <c r="Z601" i="14"/>
  <c r="Y601" i="14"/>
  <c r="X601" i="14"/>
  <c r="W601" i="14"/>
  <c r="V601" i="14"/>
  <c r="U601" i="14"/>
  <c r="T601" i="14"/>
  <c r="S601" i="14"/>
  <c r="R601" i="14"/>
  <c r="Q601" i="14"/>
  <c r="P601" i="14"/>
  <c r="O601" i="14"/>
  <c r="N601" i="14"/>
  <c r="M601" i="14"/>
  <c r="L601" i="14"/>
  <c r="AC597" i="14" l="1"/>
  <c r="AC598" i="14"/>
  <c r="AC599" i="14"/>
  <c r="AC600" i="14"/>
  <c r="AC602" i="14"/>
  <c r="AC603" i="14"/>
  <c r="AC565" i="14"/>
  <c r="AC593" i="14"/>
  <c r="AC594" i="14"/>
  <c r="AC595" i="14"/>
  <c r="AC596" i="14"/>
  <c r="AC589" i="14"/>
  <c r="AC590" i="14"/>
  <c r="AC591" i="14"/>
  <c r="AC592" i="14"/>
  <c r="AC588" i="14"/>
  <c r="AC587" i="14"/>
  <c r="AC579" i="14" l="1"/>
  <c r="AC580" i="14"/>
  <c r="AC581" i="14"/>
  <c r="AC582" i="14"/>
  <c r="AC583" i="14"/>
  <c r="AC584" i="14"/>
  <c r="AC585" i="14"/>
  <c r="AC586" i="14"/>
  <c r="AC573" i="14" l="1"/>
  <c r="AC574" i="14"/>
  <c r="AC575" i="14"/>
  <c r="AC576" i="14"/>
  <c r="AC577" i="14"/>
  <c r="AC578" i="14"/>
  <c r="AC569" i="14"/>
  <c r="AC570" i="14"/>
  <c r="AC571" i="14"/>
  <c r="AC572" i="14"/>
  <c r="AC566" i="14"/>
  <c r="AC567" i="14"/>
  <c r="AC568" i="14"/>
  <c r="AC558" i="14"/>
  <c r="AC559" i="14"/>
  <c r="AC560" i="14"/>
  <c r="AC561" i="14"/>
  <c r="AC562" i="14"/>
  <c r="AC564" i="14"/>
  <c r="AC549" i="14"/>
  <c r="AC550" i="14"/>
  <c r="AC551" i="14"/>
  <c r="AC552" i="14"/>
  <c r="AC553" i="14"/>
  <c r="AC554" i="14"/>
  <c r="AC555" i="14"/>
  <c r="AC556" i="14"/>
  <c r="AC557" i="14"/>
  <c r="AC544" i="14"/>
  <c r="AC545" i="14"/>
  <c r="AC546" i="14"/>
  <c r="AC547" i="14"/>
  <c r="AC548" i="14"/>
  <c r="AC534" i="14"/>
  <c r="AC536" i="14"/>
  <c r="AC537" i="14"/>
  <c r="AC538" i="14"/>
  <c r="AC539" i="14"/>
  <c r="AC540" i="14"/>
  <c r="AC541" i="14"/>
  <c r="AC542" i="14"/>
  <c r="AC543" i="14"/>
  <c r="AC529" i="14" l="1"/>
  <c r="AC530" i="14"/>
  <c r="AC531" i="14"/>
  <c r="AC532" i="14"/>
  <c r="AC533" i="14"/>
  <c r="AC535" i="14"/>
  <c r="AC526" i="14"/>
  <c r="AC527" i="14"/>
  <c r="AC528" i="14"/>
  <c r="AC520" i="14"/>
  <c r="AC522" i="14"/>
  <c r="AC523" i="14"/>
  <c r="AC524" i="14"/>
  <c r="AC525" i="14"/>
  <c r="AC497" i="14" l="1"/>
  <c r="AC512" i="14"/>
  <c r="AC513" i="14"/>
  <c r="AC514" i="14"/>
  <c r="AC515" i="14"/>
  <c r="AC516" i="14"/>
  <c r="AC517" i="14"/>
  <c r="AC518" i="14"/>
  <c r="AC519" i="14"/>
  <c r="AC511" i="14"/>
  <c r="AC503" i="14"/>
  <c r="AC504" i="14"/>
  <c r="AC505" i="14"/>
  <c r="AC506" i="14"/>
  <c r="AC507" i="14"/>
  <c r="AC508" i="14"/>
  <c r="AC509" i="14"/>
  <c r="AC510" i="14"/>
  <c r="AC494" i="14"/>
  <c r="AC495" i="14"/>
  <c r="AC496" i="14"/>
  <c r="AC498" i="14"/>
  <c r="AC499" i="14"/>
  <c r="AC500" i="14"/>
  <c r="AC501" i="14"/>
  <c r="AC502" i="14"/>
  <c r="AC491" i="14" l="1"/>
  <c r="AC492" i="14"/>
  <c r="AC493" i="14"/>
  <c r="AC488" i="14" l="1"/>
  <c r="AC489" i="14"/>
  <c r="AC490" i="14"/>
  <c r="AC481" i="14"/>
  <c r="AC482" i="14"/>
  <c r="AC483" i="14"/>
  <c r="AC484" i="14"/>
  <c r="AC485" i="14"/>
  <c r="AC486" i="14"/>
  <c r="AC487" i="14"/>
  <c r="AC476" i="14" l="1"/>
  <c r="AC477" i="14"/>
  <c r="AC478" i="14"/>
  <c r="AC479" i="14"/>
  <c r="AC480" i="14"/>
  <c r="AC467" i="14" l="1"/>
  <c r="AC468" i="14"/>
  <c r="AC469" i="14"/>
  <c r="AC470" i="14"/>
  <c r="AC471" i="14"/>
  <c r="AC472" i="14"/>
  <c r="AC473" i="14"/>
  <c r="AC474" i="14"/>
  <c r="AC475" i="14"/>
  <c r="AC466" i="14"/>
  <c r="AC458" i="14"/>
  <c r="AC459" i="14"/>
  <c r="AC460" i="14"/>
  <c r="AC461" i="14"/>
  <c r="AC462" i="14"/>
  <c r="AC463" i="14"/>
  <c r="AC453" i="14" l="1"/>
  <c r="AC454" i="14"/>
  <c r="AC455" i="14"/>
  <c r="AC456" i="14"/>
  <c r="AC457" i="14"/>
  <c r="AC446" i="14" l="1"/>
  <c r="AC447" i="14"/>
  <c r="AC448" i="14"/>
  <c r="AC449" i="14"/>
  <c r="AC450" i="14"/>
  <c r="AC451" i="14"/>
  <c r="AC452" i="14"/>
  <c r="AC442" i="14" l="1"/>
  <c r="AC443" i="14"/>
  <c r="AC444" i="14"/>
  <c r="AC445" i="14"/>
  <c r="AC438" i="14" l="1"/>
  <c r="AC439" i="14"/>
  <c r="AC440" i="14"/>
  <c r="AC441" i="14"/>
  <c r="AC431" i="14" l="1"/>
  <c r="AC432" i="14"/>
  <c r="AC433" i="14"/>
  <c r="AC434" i="14"/>
  <c r="AC435" i="14"/>
  <c r="AC436" i="14"/>
  <c r="AC437" i="14"/>
  <c r="AC427" i="14"/>
  <c r="AC428" i="14"/>
  <c r="AC429" i="14"/>
  <c r="AC430" i="14"/>
  <c r="AC422" i="14" l="1"/>
  <c r="AC423" i="14"/>
  <c r="AC424" i="14"/>
  <c r="AC425" i="14"/>
  <c r="AC426" i="14"/>
  <c r="AC417" i="14"/>
  <c r="AC418" i="14"/>
  <c r="AC420" i="14"/>
  <c r="AC421" i="14"/>
  <c r="AC411" i="14" l="1"/>
  <c r="AC412" i="14"/>
  <c r="AC413" i="14"/>
  <c r="AC414" i="14"/>
  <c r="AC415" i="14"/>
  <c r="AC416" i="14"/>
  <c r="AC405" i="14"/>
  <c r="AC406" i="14"/>
  <c r="AC407" i="14"/>
  <c r="AC408" i="14"/>
  <c r="AC409" i="14"/>
  <c r="AC410" i="14"/>
  <c r="AC398" i="14"/>
  <c r="AC399" i="14"/>
  <c r="AC400" i="14"/>
  <c r="AC401" i="14"/>
  <c r="AC402" i="14"/>
  <c r="AC403" i="14"/>
  <c r="AC404" i="14"/>
  <c r="AC394" i="14"/>
  <c r="AC395" i="14"/>
  <c r="AC396" i="14"/>
  <c r="AC397" i="14"/>
  <c r="AC387" i="14" l="1"/>
  <c r="AC388" i="14"/>
  <c r="AC389" i="14"/>
  <c r="AC390" i="14"/>
  <c r="AC391" i="14"/>
  <c r="AC392" i="14"/>
  <c r="AC393" i="14"/>
  <c r="AC385" i="14"/>
  <c r="AC375" i="14" l="1"/>
  <c r="AC376" i="14"/>
  <c r="AC377" i="14"/>
  <c r="AC378" i="14"/>
  <c r="AC379" i="14"/>
  <c r="AC380" i="14"/>
  <c r="AC381" i="14"/>
  <c r="AC382" i="14"/>
  <c r="AC383" i="14"/>
  <c r="AC384" i="14"/>
  <c r="AC386" i="14"/>
  <c r="AC374" i="14"/>
  <c r="AC370" i="14"/>
  <c r="AC371" i="14"/>
  <c r="AC372" i="14"/>
  <c r="AC373" i="14"/>
  <c r="AC362" i="14"/>
  <c r="AC363" i="14"/>
  <c r="AC364" i="14"/>
  <c r="AC365" i="14"/>
  <c r="AC366" i="14"/>
  <c r="AC367" i="14"/>
  <c r="AC368" i="14"/>
  <c r="AC369" i="14"/>
  <c r="AC357" i="14" l="1"/>
  <c r="AC358" i="14"/>
  <c r="AC360" i="14"/>
  <c r="AC361" i="14"/>
  <c r="AC354" i="14"/>
  <c r="AC355" i="14"/>
  <c r="AC352" i="14"/>
  <c r="AC353" i="14"/>
  <c r="AC356" i="14" l="1"/>
  <c r="AC346" i="14"/>
  <c r="AC347" i="14"/>
  <c r="AC348" i="14"/>
  <c r="AC349" i="14"/>
  <c r="AC350" i="14"/>
  <c r="AC351" i="14"/>
  <c r="AC345" i="14"/>
  <c r="AC340" i="14" l="1"/>
  <c r="AC341" i="14"/>
  <c r="AC342" i="14"/>
  <c r="AC343" i="14"/>
  <c r="AC344" i="14"/>
  <c r="AC331" i="14" l="1"/>
  <c r="AC332" i="14"/>
  <c r="AC333" i="14"/>
  <c r="AC334" i="14"/>
  <c r="AC335" i="14"/>
  <c r="AC336" i="14"/>
  <c r="AC337" i="14"/>
  <c r="AC338" i="14"/>
  <c r="AC339" i="14"/>
  <c r="AC325" i="14"/>
  <c r="AC326" i="14"/>
  <c r="AC327" i="14"/>
  <c r="AC328" i="14"/>
  <c r="AC329" i="14"/>
  <c r="AC330" i="14"/>
  <c r="AC298" i="14"/>
  <c r="AC299" i="14"/>
  <c r="AC319" i="14" l="1"/>
  <c r="AC320" i="14"/>
  <c r="AC321" i="14"/>
  <c r="AC322" i="14"/>
  <c r="AC323" i="14"/>
  <c r="AC324" i="14"/>
  <c r="AC313" i="14"/>
  <c r="AC314" i="14"/>
  <c r="AC315" i="14"/>
  <c r="AC316" i="14"/>
  <c r="AC317" i="14"/>
  <c r="AC318" i="14"/>
  <c r="AC312" i="14"/>
  <c r="AC311" i="14"/>
  <c r="AC310" i="14"/>
  <c r="AC309" i="14"/>
  <c r="AC308" i="14" l="1"/>
  <c r="AC307" i="14"/>
  <c r="AC306" i="14"/>
  <c r="AC305" i="14"/>
  <c r="AC304" i="14"/>
  <c r="AC303" i="14"/>
  <c r="AC301" i="14"/>
  <c r="AC285" i="14" l="1"/>
  <c r="AC286" i="14"/>
  <c r="AC287" i="14"/>
  <c r="AC288" i="14"/>
  <c r="AC289" i="14"/>
  <c r="AC290" i="14"/>
  <c r="AC291" i="14"/>
  <c r="AC292" i="14"/>
  <c r="AC293" i="14"/>
  <c r="AC294" i="14"/>
  <c r="AC295" i="14"/>
  <c r="AC296" i="14"/>
  <c r="AC300" i="14"/>
  <c r="AC302" i="14"/>
  <c r="AC281" i="14" l="1"/>
  <c r="AC282" i="14"/>
  <c r="AC283" i="14"/>
  <c r="AC284" i="14"/>
  <c r="AC280" i="14"/>
  <c r="AC277" i="14"/>
  <c r="AC278" i="14"/>
  <c r="AC279" i="14"/>
  <c r="AC270" i="14" l="1"/>
  <c r="AC271" i="14"/>
  <c r="AC272" i="14"/>
  <c r="AC273" i="14"/>
  <c r="AC274" i="14"/>
  <c r="AC275" i="14"/>
  <c r="AC276" i="14"/>
  <c r="AC265" i="14"/>
  <c r="AC266" i="14"/>
  <c r="AC267" i="14"/>
  <c r="AC268" i="14"/>
  <c r="AC269" i="14"/>
  <c r="AC262" i="14"/>
  <c r="AC263" i="14"/>
  <c r="AC264" i="14"/>
  <c r="AC253" i="14"/>
  <c r="AC252" i="14"/>
  <c r="AC254" i="14"/>
  <c r="AC255" i="14"/>
  <c r="AC256" i="14"/>
  <c r="AC257" i="14"/>
  <c r="AC258" i="14"/>
  <c r="AC259" i="14"/>
  <c r="AC260" i="14"/>
  <c r="AC261" i="14"/>
  <c r="AC250" i="14" l="1"/>
  <c r="AC251" i="14"/>
  <c r="AC229" i="14" l="1"/>
  <c r="AC230" i="14"/>
  <c r="AC231" i="14"/>
  <c r="AC232" i="14"/>
  <c r="AC233" i="14"/>
  <c r="AC234" i="14"/>
  <c r="AC235" i="14"/>
  <c r="AC236" i="14"/>
  <c r="AC237" i="14"/>
  <c r="AC238" i="14"/>
  <c r="AC239" i="14"/>
  <c r="AC240" i="14"/>
  <c r="AC241" i="14"/>
  <c r="AC242" i="14"/>
  <c r="AC243" i="14"/>
  <c r="AC244" i="14"/>
  <c r="AC245" i="14"/>
  <c r="AC246" i="14"/>
  <c r="AC247" i="14"/>
  <c r="AC249" i="14"/>
  <c r="AC225" i="14"/>
  <c r="AC226" i="14"/>
  <c r="AC227" i="14"/>
  <c r="AC228" i="14"/>
  <c r="AC220" i="14"/>
  <c r="AC221" i="14"/>
  <c r="AC222" i="14"/>
  <c r="AC223" i="14"/>
  <c r="AC224" i="14"/>
  <c r="AC215" i="14" l="1"/>
  <c r="AC216" i="14"/>
  <c r="AC217" i="14"/>
  <c r="AC218" i="14"/>
  <c r="AC219" i="14"/>
  <c r="AC212" i="14"/>
  <c r="AC213" i="14"/>
  <c r="AC214" i="14"/>
  <c r="AC205" i="14"/>
  <c r="AC206" i="14"/>
  <c r="AC207" i="14"/>
  <c r="AC208" i="14"/>
  <c r="AC209" i="14"/>
  <c r="AC210" i="14"/>
  <c r="AC211" i="14"/>
  <c r="AC195" i="14" l="1"/>
  <c r="AC196" i="14"/>
  <c r="AC197" i="14"/>
  <c r="AC198" i="14"/>
  <c r="AC199" i="14"/>
  <c r="AC200" i="14"/>
  <c r="AC201" i="14"/>
  <c r="AC203" i="14"/>
  <c r="AC204" i="14"/>
  <c r="AC191" i="14"/>
  <c r="AC192" i="14"/>
  <c r="AC193" i="14"/>
  <c r="AC194" i="14"/>
  <c r="AC186" i="14" l="1"/>
  <c r="AC187" i="14"/>
  <c r="AC188" i="14"/>
  <c r="AC189" i="14"/>
  <c r="AC190" i="14"/>
  <c r="AC184" i="14"/>
  <c r="AC185" i="14"/>
  <c r="AC174" i="14" l="1"/>
  <c r="AC175" i="14"/>
  <c r="AC176" i="14"/>
  <c r="AC177" i="14"/>
  <c r="AC178" i="14"/>
  <c r="AC179" i="14"/>
  <c r="AC180" i="14"/>
  <c r="AC181" i="14"/>
  <c r="AC182" i="14"/>
  <c r="AC183" i="14"/>
  <c r="AC155" i="14" l="1"/>
  <c r="AC168" i="14"/>
  <c r="AC169" i="14"/>
  <c r="AC170" i="14"/>
  <c r="AC171" i="14"/>
  <c r="AC172" i="14"/>
  <c r="AC173" i="14"/>
  <c r="AC50" i="14" l="1"/>
  <c r="AC51" i="14"/>
  <c r="AC52" i="14"/>
  <c r="AC11" i="14" l="1"/>
  <c r="AC12" i="14"/>
  <c r="AC13" i="14"/>
  <c r="AC14" i="14"/>
  <c r="AC15" i="14"/>
  <c r="AC16" i="14"/>
  <c r="AC17" i="14"/>
  <c r="AC18" i="14"/>
  <c r="AC19" i="14"/>
  <c r="AC20" i="14"/>
  <c r="AC21" i="14"/>
  <c r="AC22" i="14"/>
  <c r="AC23" i="14"/>
  <c r="AC24" i="14"/>
  <c r="AC25" i="14"/>
  <c r="AC26" i="14"/>
  <c r="AC27" i="14"/>
  <c r="AC28" i="14"/>
  <c r="AC29" i="14"/>
  <c r="AC30" i="14"/>
  <c r="AC31" i="14"/>
  <c r="AC32" i="14"/>
  <c r="AC33" i="14"/>
  <c r="AC34" i="14"/>
  <c r="AC35" i="14"/>
  <c r="AC36" i="14"/>
  <c r="AC37" i="14"/>
  <c r="AC38" i="14"/>
  <c r="AC39" i="14"/>
  <c r="AC40" i="14"/>
  <c r="AC41" i="14"/>
  <c r="AC42" i="14"/>
  <c r="AC43" i="14"/>
  <c r="AC44" i="14"/>
  <c r="AC45" i="14"/>
  <c r="AC46" i="14"/>
  <c r="AC47" i="14"/>
  <c r="AC48" i="14"/>
  <c r="AC49" i="14"/>
  <c r="AC53" i="14"/>
  <c r="AC54" i="14"/>
  <c r="AC55" i="14"/>
  <c r="AC56" i="14"/>
  <c r="AC57" i="14"/>
  <c r="AC58" i="14"/>
  <c r="AC59" i="14"/>
  <c r="AC61" i="14"/>
  <c r="AC62" i="14"/>
  <c r="AC63" i="14"/>
  <c r="AC64" i="14"/>
  <c r="AC65" i="14"/>
  <c r="AC66" i="14"/>
  <c r="AC67" i="14"/>
  <c r="AC68" i="14"/>
  <c r="AC69" i="14"/>
  <c r="AC70" i="14"/>
  <c r="AC71" i="14"/>
  <c r="AC72" i="14"/>
  <c r="AC73" i="14"/>
  <c r="AC74" i="14"/>
  <c r="AC75" i="14"/>
  <c r="AC76" i="14"/>
  <c r="AC77" i="14"/>
  <c r="AC78" i="14"/>
  <c r="AC79" i="14"/>
  <c r="AC80" i="14"/>
  <c r="AC81" i="14"/>
  <c r="AC82" i="14"/>
  <c r="AC83" i="14"/>
  <c r="AC84" i="14"/>
  <c r="AC85" i="14"/>
  <c r="AC86" i="14"/>
  <c r="AC87" i="14"/>
  <c r="AC88" i="14"/>
  <c r="AC89" i="14"/>
  <c r="AC90" i="14"/>
  <c r="AC91" i="14"/>
  <c r="AC92" i="14"/>
  <c r="AC93" i="14"/>
  <c r="AC94" i="14"/>
  <c r="AC95" i="14"/>
  <c r="AC96" i="14"/>
  <c r="AC97" i="14"/>
  <c r="AC98" i="14"/>
  <c r="AC99" i="14"/>
  <c r="AC100" i="14"/>
  <c r="AC101" i="14"/>
  <c r="AC102" i="14"/>
  <c r="AC103" i="14"/>
  <c r="AC104" i="14"/>
  <c r="AC105" i="14"/>
  <c r="AC107" i="14"/>
  <c r="AC108" i="14"/>
  <c r="AC109" i="14"/>
  <c r="AC110" i="14"/>
  <c r="AC111" i="14"/>
  <c r="AC112" i="14"/>
  <c r="AC113" i="14"/>
  <c r="AC114" i="14"/>
  <c r="AC115" i="14"/>
  <c r="AC116" i="14"/>
  <c r="AC117" i="14"/>
  <c r="AC118" i="14"/>
  <c r="AC119" i="14"/>
  <c r="AC120" i="14"/>
  <c r="AC121" i="14"/>
  <c r="AC122" i="14"/>
  <c r="AC123" i="14"/>
  <c r="AC124" i="14"/>
  <c r="AC125" i="14"/>
  <c r="AC126" i="14"/>
  <c r="AC127" i="14"/>
  <c r="AC128" i="14"/>
  <c r="AC129" i="14"/>
  <c r="AC130" i="14"/>
  <c r="AC131" i="14"/>
  <c r="AC132" i="14"/>
  <c r="AC133" i="14"/>
  <c r="AC134" i="14"/>
  <c r="AC135" i="14"/>
  <c r="AC136" i="14"/>
  <c r="AC137" i="14"/>
  <c r="AC138" i="14"/>
  <c r="AC139" i="14"/>
  <c r="AC140" i="14"/>
  <c r="AC141" i="14"/>
  <c r="AC142" i="14"/>
  <c r="AC143" i="14"/>
  <c r="AC144" i="14"/>
  <c r="AC145" i="14"/>
  <c r="AC146" i="14"/>
  <c r="AC147" i="14"/>
  <c r="AC148" i="14"/>
  <c r="AC149" i="14"/>
  <c r="AC150" i="14"/>
  <c r="AC151" i="14"/>
  <c r="AC152" i="14"/>
  <c r="AC153" i="14"/>
  <c r="AC156" i="14"/>
  <c r="AC157" i="14"/>
  <c r="AC158" i="14"/>
  <c r="AC159" i="14"/>
  <c r="AC160" i="14"/>
  <c r="AC161" i="14"/>
  <c r="AC162" i="14"/>
  <c r="AC163" i="14"/>
  <c r="AC164" i="14"/>
  <c r="AC165" i="14"/>
  <c r="AC166" i="14"/>
  <c r="AC167" i="14"/>
  <c r="AC10" i="14"/>
  <c r="N612" i="12"/>
  <c r="AC607" i="13"/>
  <c r="AA607" i="13"/>
  <c r="Z607" i="13"/>
  <c r="Y607" i="13"/>
  <c r="X607" i="13"/>
  <c r="W607" i="13"/>
  <c r="V607" i="13"/>
  <c r="U607" i="13"/>
  <c r="T607" i="13"/>
  <c r="S607" i="13"/>
  <c r="R607" i="13"/>
  <c r="Q607" i="13"/>
  <c r="P607" i="13"/>
  <c r="O607" i="13"/>
  <c r="N607" i="13"/>
  <c r="M607" i="13"/>
  <c r="L607" i="13"/>
  <c r="AD565" i="13"/>
  <c r="AD566" i="13"/>
  <c r="AD567" i="13"/>
  <c r="AD568" i="13"/>
  <c r="AD569" i="13"/>
  <c r="AD570" i="13"/>
  <c r="AD571" i="13"/>
  <c r="AD572" i="13"/>
  <c r="AD573" i="13"/>
  <c r="AD574" i="13"/>
  <c r="AD575" i="13"/>
  <c r="AD576" i="13"/>
  <c r="AD577" i="13"/>
  <c r="AD578" i="13"/>
  <c r="AD579" i="13"/>
  <c r="AD580" i="13"/>
  <c r="AD581" i="13"/>
  <c r="AD582" i="13"/>
  <c r="AD583" i="13"/>
  <c r="AD584" i="13"/>
  <c r="AD585" i="13"/>
  <c r="AD586" i="13"/>
  <c r="AD587" i="13"/>
  <c r="AD588" i="13"/>
  <c r="AD589" i="13"/>
  <c r="AD590" i="13"/>
  <c r="AD591" i="13"/>
  <c r="AD592" i="13"/>
  <c r="AD593" i="13"/>
  <c r="AD594" i="13"/>
  <c r="AD595" i="13"/>
  <c r="AD596" i="13"/>
  <c r="AD597" i="13"/>
  <c r="AD598" i="13"/>
  <c r="AD599" i="13"/>
  <c r="AD600" i="13"/>
  <c r="AD601" i="13"/>
  <c r="AD602" i="13"/>
  <c r="AD603" i="13"/>
  <c r="AD604" i="13"/>
  <c r="AD605" i="13"/>
  <c r="AD606" i="13"/>
  <c r="AD608" i="13"/>
  <c r="AD609" i="13"/>
  <c r="AD610" i="13"/>
  <c r="AD611" i="13"/>
  <c r="AD612" i="13"/>
  <c r="AD613" i="13"/>
  <c r="AD614" i="13"/>
  <c r="AD615" i="13"/>
  <c r="AD616" i="13"/>
  <c r="AD617" i="13"/>
  <c r="AD618" i="13"/>
  <c r="AD619" i="13"/>
  <c r="AD620" i="13"/>
  <c r="AD621" i="13"/>
  <c r="AD622" i="13"/>
  <c r="AD623" i="13"/>
  <c r="AD624" i="13"/>
  <c r="AD625" i="13"/>
  <c r="AD564" i="13"/>
  <c r="AD560" i="13" l="1"/>
  <c r="AD561" i="13"/>
  <c r="AD562" i="13"/>
  <c r="AD563" i="13"/>
  <c r="AD556" i="13"/>
  <c r="AD557" i="13"/>
  <c r="AD558" i="13"/>
  <c r="AD559" i="13"/>
  <c r="AD548" i="13" l="1"/>
  <c r="AD549" i="13"/>
  <c r="AD550" i="13"/>
  <c r="AD551" i="13"/>
  <c r="AD554" i="13"/>
  <c r="AD555" i="13"/>
  <c r="AD543" i="13"/>
  <c r="AD544" i="13"/>
  <c r="AD545" i="13"/>
  <c r="AD546" i="13"/>
  <c r="AD547" i="13"/>
  <c r="AD542" i="13" l="1"/>
  <c r="AD515" i="13" l="1"/>
  <c r="AD516" i="13"/>
  <c r="AD517" i="13"/>
  <c r="AD518" i="13"/>
  <c r="AD519" i="13"/>
  <c r="AD520" i="13"/>
  <c r="AD521" i="13"/>
  <c r="AD522" i="13"/>
  <c r="AD523" i="13"/>
  <c r="AD524" i="13"/>
  <c r="AD525" i="13"/>
  <c r="AD526" i="13"/>
  <c r="AD527" i="13"/>
  <c r="AD528" i="13"/>
  <c r="AD529" i="13"/>
  <c r="AD530" i="13"/>
  <c r="AD531" i="13"/>
  <c r="AD532" i="13"/>
  <c r="AD533" i="13"/>
  <c r="AD534" i="13"/>
  <c r="AD535" i="13"/>
  <c r="AD536" i="13"/>
  <c r="AD537" i="13"/>
  <c r="AD538" i="13"/>
  <c r="AD539" i="13"/>
  <c r="AD540" i="13"/>
  <c r="AD541" i="13"/>
  <c r="AD481" i="13"/>
  <c r="AD495" i="13" l="1"/>
  <c r="AD496" i="13"/>
  <c r="AD497" i="13"/>
  <c r="AD498" i="13"/>
  <c r="AD499" i="13"/>
  <c r="AD500" i="13"/>
  <c r="AD501" i="13"/>
  <c r="AD502" i="13"/>
  <c r="AD505" i="13"/>
  <c r="AD506" i="13"/>
  <c r="AD507" i="13"/>
  <c r="AD508" i="13"/>
  <c r="AD509" i="13"/>
  <c r="AD510" i="13"/>
  <c r="AD511" i="13"/>
  <c r="AD512" i="13"/>
  <c r="AD513" i="13"/>
  <c r="AD514" i="13"/>
  <c r="AD491" i="13" l="1"/>
  <c r="AD492" i="13"/>
  <c r="AD493" i="13"/>
  <c r="AD494" i="13"/>
  <c r="AD488" i="13"/>
  <c r="AD489" i="13"/>
  <c r="AD490" i="13"/>
  <c r="AD477" i="13"/>
  <c r="AD478" i="13"/>
  <c r="AD479" i="13"/>
  <c r="AD480" i="13"/>
  <c r="AD482" i="13"/>
  <c r="AD483" i="13"/>
  <c r="AD484" i="13"/>
  <c r="AD485" i="13"/>
  <c r="AD486" i="13"/>
  <c r="AD487" i="13"/>
  <c r="AD473" i="13" l="1"/>
  <c r="AD474" i="13"/>
  <c r="AD475" i="13"/>
  <c r="AD476" i="13"/>
  <c r="AD471" i="13"/>
  <c r="AD472" i="13"/>
  <c r="AD467" i="13"/>
  <c r="AD468" i="13"/>
  <c r="AD469" i="13"/>
  <c r="AD470" i="13"/>
  <c r="AD466" i="13"/>
  <c r="AD464" i="13"/>
  <c r="AD465" i="13"/>
  <c r="AD456" i="13"/>
  <c r="AD458" i="13"/>
  <c r="AD459" i="13"/>
  <c r="AD460" i="13"/>
  <c r="AD461" i="13"/>
  <c r="AD462" i="13"/>
  <c r="AD463" i="13"/>
  <c r="AD453" i="13" l="1"/>
  <c r="AD457" i="13"/>
  <c r="AD450" i="13"/>
  <c r="AD451" i="13"/>
  <c r="AD452" i="13"/>
  <c r="AD446" i="13"/>
  <c r="AD447" i="13"/>
  <c r="AD448" i="13"/>
  <c r="AD449" i="13"/>
  <c r="AD443" i="13"/>
  <c r="AD444" i="13"/>
  <c r="AD445" i="13"/>
  <c r="AD440" i="13"/>
  <c r="AD435" i="13" l="1"/>
  <c r="AD436" i="13"/>
  <c r="AD437" i="13"/>
  <c r="AD438" i="13"/>
  <c r="AD439" i="13"/>
  <c r="AD441" i="13"/>
  <c r="AD442" i="13"/>
  <c r="AD428" i="13"/>
  <c r="AD429" i="13"/>
  <c r="AD430" i="13"/>
  <c r="AD431" i="13"/>
  <c r="AD432" i="13"/>
  <c r="AD433" i="13"/>
  <c r="AD434" i="13"/>
  <c r="AD419" i="13" l="1"/>
  <c r="AD420" i="13"/>
  <c r="AD421" i="13"/>
  <c r="AD422" i="13"/>
  <c r="AD423" i="13"/>
  <c r="AD424" i="13"/>
  <c r="AD425" i="13"/>
  <c r="AD426" i="13"/>
  <c r="AD427" i="13"/>
  <c r="AD412" i="13" l="1"/>
  <c r="AD413" i="13"/>
  <c r="AD414" i="13"/>
  <c r="AD415" i="13"/>
  <c r="AD416" i="13"/>
  <c r="AD417" i="13"/>
  <c r="AD418" i="13"/>
  <c r="AD387" i="13" l="1"/>
  <c r="AD388" i="13"/>
  <c r="AD389" i="13"/>
  <c r="AD390" i="13"/>
  <c r="AD391" i="13"/>
  <c r="AD392" i="13"/>
  <c r="AD393" i="13"/>
  <c r="AD394" i="13"/>
  <c r="AD395" i="13"/>
  <c r="AD396" i="13"/>
  <c r="AD397" i="13"/>
  <c r="AD400" i="13"/>
  <c r="AD401" i="13"/>
  <c r="AD402" i="13"/>
  <c r="AD403" i="13"/>
  <c r="AD404" i="13"/>
  <c r="AD405" i="13"/>
  <c r="AD406" i="13"/>
  <c r="AD407" i="13"/>
  <c r="AD408" i="13"/>
  <c r="AD409" i="13"/>
  <c r="AD410" i="13"/>
  <c r="AD411" i="13"/>
  <c r="AD382" i="13"/>
  <c r="AD383" i="13"/>
  <c r="AD384" i="13"/>
  <c r="AD385" i="13"/>
  <c r="AD386" i="13"/>
  <c r="AD374" i="13"/>
  <c r="AD375" i="13"/>
  <c r="AD376" i="13"/>
  <c r="AD377" i="13"/>
  <c r="AD378" i="13"/>
  <c r="AD379" i="13"/>
  <c r="AD380" i="13"/>
  <c r="AD381" i="13"/>
  <c r="AD364" i="13"/>
  <c r="AD365" i="13"/>
  <c r="AD366" i="13"/>
  <c r="AD367" i="13"/>
  <c r="AD368" i="13"/>
  <c r="AD369" i="13"/>
  <c r="AD370" i="13"/>
  <c r="AD371" i="13"/>
  <c r="AD372" i="13"/>
  <c r="AD373" i="13"/>
  <c r="AD360" i="13"/>
  <c r="AD361" i="13"/>
  <c r="AD362" i="13"/>
  <c r="AD363" i="13"/>
  <c r="AD353" i="13" l="1"/>
  <c r="AD356" i="13"/>
  <c r="AD357" i="13"/>
  <c r="AD358" i="13"/>
  <c r="AD359" i="13"/>
  <c r="AD344" i="13"/>
  <c r="AD345" i="13"/>
  <c r="AD346" i="13"/>
  <c r="AD347" i="13"/>
  <c r="AD348" i="13"/>
  <c r="AD349" i="13"/>
  <c r="AD350" i="13"/>
  <c r="AD351" i="13"/>
  <c r="AD352" i="13"/>
  <c r="AD334" i="13"/>
  <c r="AD335" i="13"/>
  <c r="AD336" i="13"/>
  <c r="AD337" i="13"/>
  <c r="AD338" i="13"/>
  <c r="AD339" i="13"/>
  <c r="AD340" i="13"/>
  <c r="AD341" i="13"/>
  <c r="AD342" i="13"/>
  <c r="AD343" i="13"/>
  <c r="AD307" i="13"/>
  <c r="AD308" i="13"/>
  <c r="AD309" i="13"/>
  <c r="AD310" i="13"/>
  <c r="AD311" i="13"/>
  <c r="AD312" i="13"/>
  <c r="AD313" i="13"/>
  <c r="AD314" i="13"/>
  <c r="AD315" i="13"/>
  <c r="AD316" i="13"/>
  <c r="AD317" i="13"/>
  <c r="AD318" i="13"/>
  <c r="AD319" i="13"/>
  <c r="AD320" i="13"/>
  <c r="AD321" i="13"/>
  <c r="AD322" i="13"/>
  <c r="AD323" i="13"/>
  <c r="AD324" i="13"/>
  <c r="AD325" i="13"/>
  <c r="AD326" i="13"/>
  <c r="AD327" i="13"/>
  <c r="AD328" i="13"/>
  <c r="AD329" i="13"/>
  <c r="AD330" i="13"/>
  <c r="AD331" i="13"/>
  <c r="AD332" i="13"/>
  <c r="AD333" i="13"/>
  <c r="AD297" i="13"/>
  <c r="AD298" i="13"/>
  <c r="AD299" i="13"/>
  <c r="AD300" i="13"/>
  <c r="AD301" i="13"/>
  <c r="AD302" i="13"/>
  <c r="AD303" i="13"/>
  <c r="AD304" i="13"/>
  <c r="AD305" i="13"/>
  <c r="AD306" i="13"/>
  <c r="AD288" i="13"/>
  <c r="AD289" i="13"/>
  <c r="AD292" i="13"/>
  <c r="AD293" i="13"/>
  <c r="AD294" i="13"/>
  <c r="AD295" i="13"/>
  <c r="AD296" i="13"/>
  <c r="AD281" i="13"/>
  <c r="AD282" i="13"/>
  <c r="AD283" i="13"/>
  <c r="AD284" i="13"/>
  <c r="AD285" i="13"/>
  <c r="AD286" i="13"/>
  <c r="AD287" i="13"/>
  <c r="AD275" i="13"/>
  <c r="AD276" i="13"/>
  <c r="AD277" i="13"/>
  <c r="AD278" i="13"/>
  <c r="AD279" i="13"/>
  <c r="AD280" i="13"/>
  <c r="AD266" i="13"/>
  <c r="AD267" i="13"/>
  <c r="AD268" i="13"/>
  <c r="AD269" i="13"/>
  <c r="AD270" i="13"/>
  <c r="AD271" i="13"/>
  <c r="AD272" i="13"/>
  <c r="AD273" i="13"/>
  <c r="AD274" i="13"/>
  <c r="AD261" i="13"/>
  <c r="AD262" i="13"/>
  <c r="AD263" i="13"/>
  <c r="AD264" i="13"/>
  <c r="AD265" i="13"/>
  <c r="AD255" i="13" l="1"/>
  <c r="AD256" i="13"/>
  <c r="AD257" i="13"/>
  <c r="AD258" i="13"/>
  <c r="AD259" i="13"/>
  <c r="AD260" i="13"/>
  <c r="AD242" i="13" l="1"/>
  <c r="AD243" i="13"/>
  <c r="AD244" i="13"/>
  <c r="AD245" i="13"/>
  <c r="AD246" i="13"/>
  <c r="AD247" i="13"/>
  <c r="AD248" i="13"/>
  <c r="AD249" i="13"/>
  <c r="AD250" i="13"/>
  <c r="AD251" i="13"/>
  <c r="AD252" i="13"/>
  <c r="AD253" i="13"/>
  <c r="AD254" i="13"/>
  <c r="AD230" i="13"/>
  <c r="AD231" i="13"/>
  <c r="AD232" i="13"/>
  <c r="AD233" i="13"/>
  <c r="AD234" i="13"/>
  <c r="AD235" i="13"/>
  <c r="AD238" i="13"/>
  <c r="AD239" i="13"/>
  <c r="AD240" i="13"/>
  <c r="AD241" i="13"/>
  <c r="AD221" i="13" l="1"/>
  <c r="AD222" i="13"/>
  <c r="AD223" i="13"/>
  <c r="AD224" i="13"/>
  <c r="AD225" i="13"/>
  <c r="AD226" i="13"/>
  <c r="AD227" i="13"/>
  <c r="AD228" i="13"/>
  <c r="AD229" i="13"/>
  <c r="AD205" i="13" l="1"/>
  <c r="AD206" i="13"/>
  <c r="AD207" i="13"/>
  <c r="AD208" i="13"/>
  <c r="AD209" i="13"/>
  <c r="AD210" i="13"/>
  <c r="AD211" i="13"/>
  <c r="AD212" i="13"/>
  <c r="AD213" i="13"/>
  <c r="AD214" i="13"/>
  <c r="AD215" i="13"/>
  <c r="AD216" i="13"/>
  <c r="AD217" i="13"/>
  <c r="AD218" i="13"/>
  <c r="AD219" i="13"/>
  <c r="AD220" i="13"/>
  <c r="AD199" i="13" l="1"/>
  <c r="AD200" i="13"/>
  <c r="AD201" i="13"/>
  <c r="AD202" i="13"/>
  <c r="AD203" i="13"/>
  <c r="AD204" i="13"/>
  <c r="AD190" i="13"/>
  <c r="AD191" i="13"/>
  <c r="AD192" i="13"/>
  <c r="AD193" i="13"/>
  <c r="AD196" i="13"/>
  <c r="AD197" i="13"/>
  <c r="AD198" i="13"/>
  <c r="AD182" i="13"/>
  <c r="AD183" i="13"/>
  <c r="AD184" i="13"/>
  <c r="AD185" i="13"/>
  <c r="AD186" i="13"/>
  <c r="AD187" i="13"/>
  <c r="AD188" i="13"/>
  <c r="AD189" i="13"/>
  <c r="AD173" i="13"/>
  <c r="AD174" i="13"/>
  <c r="AD175" i="13"/>
  <c r="AD176" i="13"/>
  <c r="AD177" i="13"/>
  <c r="AD178" i="13"/>
  <c r="AD179" i="13"/>
  <c r="AD180" i="13"/>
  <c r="AD181" i="13"/>
  <c r="AD164" i="13"/>
  <c r="AD165" i="13"/>
  <c r="AD166" i="13"/>
  <c r="AD167" i="13"/>
  <c r="AD168" i="13"/>
  <c r="AD169" i="13"/>
  <c r="AD170" i="13"/>
  <c r="AD171" i="13"/>
  <c r="AD172" i="13"/>
  <c r="AD163" i="13" l="1"/>
  <c r="AD155" i="13" l="1"/>
  <c r="AD151" i="13" l="1"/>
  <c r="AD152" i="13"/>
  <c r="AD156" i="13"/>
  <c r="AD157" i="13"/>
  <c r="AD158" i="13"/>
  <c r="AD159" i="13"/>
  <c r="AD160" i="13"/>
  <c r="AD161" i="13"/>
  <c r="AD162" i="13"/>
  <c r="AD142" i="13" l="1"/>
  <c r="AD143" i="13"/>
  <c r="AD144" i="13"/>
  <c r="AD145" i="13"/>
  <c r="AD146" i="13"/>
  <c r="AD147" i="13"/>
  <c r="AD148" i="13"/>
  <c r="AD149" i="13"/>
  <c r="AD150" i="13"/>
  <c r="AD137" i="13" l="1"/>
  <c r="AD138" i="13"/>
  <c r="AD139" i="13"/>
  <c r="AD140" i="13"/>
  <c r="AD141" i="13"/>
  <c r="AD130" i="13"/>
  <c r="AD131" i="13"/>
  <c r="AD132" i="13"/>
  <c r="AD133" i="13"/>
  <c r="AD134" i="13"/>
  <c r="AD135" i="13"/>
  <c r="AD136" i="13"/>
  <c r="AD122" i="13"/>
  <c r="AD123" i="13"/>
  <c r="AD124" i="13"/>
  <c r="AD125" i="13"/>
  <c r="AD126" i="13"/>
  <c r="AD127" i="13"/>
  <c r="AD128" i="13"/>
  <c r="AD129" i="13"/>
  <c r="AD115" i="13"/>
  <c r="AD116" i="13"/>
  <c r="AD117" i="13"/>
  <c r="AD118" i="13"/>
  <c r="AD119" i="13"/>
  <c r="AD120" i="13"/>
  <c r="AD121" i="13"/>
  <c r="AD108" i="13"/>
  <c r="AD109" i="13"/>
  <c r="AD110" i="13"/>
  <c r="AD111" i="13"/>
  <c r="AD112" i="13"/>
  <c r="AD113" i="13"/>
  <c r="AD114" i="13"/>
  <c r="AD98" i="13"/>
  <c r="AD99" i="13"/>
  <c r="AD100" i="13"/>
  <c r="AD101" i="13"/>
  <c r="AD102" i="13"/>
  <c r="AD103" i="13"/>
  <c r="AD104" i="13"/>
  <c r="AD105" i="13"/>
  <c r="AD88" i="13"/>
  <c r="AD89" i="13"/>
  <c r="AD90" i="13"/>
  <c r="AD91" i="13"/>
  <c r="AD92" i="13"/>
  <c r="AD93" i="13"/>
  <c r="AD94" i="13"/>
  <c r="AD95" i="13"/>
  <c r="AD96" i="13"/>
  <c r="AD97" i="13"/>
  <c r="AD81" i="13" l="1"/>
  <c r="AD82" i="13"/>
  <c r="AD83" i="13"/>
  <c r="AD84" i="13"/>
  <c r="AD85" i="13"/>
  <c r="AD86" i="13"/>
  <c r="AD87" i="13"/>
  <c r="AD78" i="13"/>
  <c r="AD79" i="13"/>
  <c r="AD80" i="13"/>
  <c r="AD70" i="13" l="1"/>
  <c r="AD71" i="13"/>
  <c r="AD72" i="13"/>
  <c r="AD73" i="13"/>
  <c r="AD74" i="13"/>
  <c r="AD75" i="13"/>
  <c r="AD76" i="13"/>
  <c r="AD77" i="13"/>
  <c r="AD63" i="13"/>
  <c r="AD64" i="13"/>
  <c r="AD65" i="13"/>
  <c r="AD66" i="13"/>
  <c r="AD67" i="13"/>
  <c r="AD68" i="13"/>
  <c r="AD69" i="13"/>
  <c r="AD62" i="13"/>
  <c r="AD59" i="13"/>
  <c r="AD58" i="13"/>
  <c r="AD57" i="13"/>
  <c r="AD56" i="13"/>
  <c r="AD55" i="13"/>
  <c r="AD54" i="13"/>
  <c r="AD53" i="13"/>
  <c r="AD52" i="13"/>
  <c r="AD51" i="13"/>
  <c r="AD50" i="13"/>
  <c r="AD49" i="13"/>
  <c r="AD48" i="13"/>
  <c r="AD47" i="13"/>
  <c r="AD46" i="13"/>
  <c r="AD45" i="13"/>
  <c r="AD44" i="13"/>
  <c r="AD43" i="13"/>
  <c r="AD42" i="13"/>
  <c r="AD41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T1327" i="13"/>
  <c r="S1327" i="13"/>
  <c r="R1327" i="13"/>
  <c r="Q1327" i="13"/>
  <c r="P1327" i="13"/>
  <c r="O1327" i="13"/>
  <c r="N1327" i="13"/>
  <c r="M1327" i="13"/>
  <c r="L1327" i="13"/>
  <c r="K1327" i="13"/>
  <c r="J1327" i="13"/>
  <c r="I1327" i="13"/>
  <c r="AC626" i="13"/>
  <c r="AA626" i="13"/>
  <c r="AA1130" i="13" s="1"/>
  <c r="Z626" i="13"/>
  <c r="Z1130" i="13" s="1"/>
  <c r="Y626" i="13"/>
  <c r="Y1130" i="13" s="1"/>
  <c r="X626" i="13"/>
  <c r="X1130" i="13" s="1"/>
  <c r="W626" i="13"/>
  <c r="W1130" i="13" s="1"/>
  <c r="V626" i="13"/>
  <c r="V1130" i="13" s="1"/>
  <c r="U626" i="13"/>
  <c r="U1130" i="13" s="1"/>
  <c r="T626" i="13"/>
  <c r="T1130" i="13" s="1"/>
  <c r="S626" i="13"/>
  <c r="S1130" i="13" s="1"/>
  <c r="R626" i="13"/>
  <c r="R1130" i="13" s="1"/>
  <c r="Q626" i="13"/>
  <c r="Q1130" i="13" s="1"/>
  <c r="P626" i="13"/>
  <c r="P1130" i="13" s="1"/>
  <c r="O626" i="13"/>
  <c r="O1130" i="13" s="1"/>
  <c r="N626" i="13"/>
  <c r="N1130" i="13" s="1"/>
  <c r="M626" i="13"/>
  <c r="M1130" i="13" s="1"/>
  <c r="L626" i="13"/>
  <c r="L1130" i="13" s="1"/>
  <c r="AD607" i="12"/>
  <c r="AD608" i="12"/>
  <c r="AD609" i="12"/>
  <c r="AD610" i="12"/>
  <c r="AD611" i="12"/>
  <c r="AC1130" i="13" l="1"/>
  <c r="AD1130" i="13" s="1"/>
  <c r="AD626" i="13"/>
  <c r="W1327" i="13"/>
  <c r="AD602" i="12"/>
  <c r="AD603" i="12"/>
  <c r="AD604" i="12"/>
  <c r="AD605" i="12"/>
  <c r="AD606" i="12"/>
  <c r="AD593" i="12"/>
  <c r="AD594" i="12"/>
  <c r="AD595" i="12"/>
  <c r="AD596" i="12"/>
  <c r="AD597" i="12"/>
  <c r="AD598" i="12"/>
  <c r="AD599" i="12"/>
  <c r="AD600" i="12"/>
  <c r="AD601" i="12"/>
  <c r="AD591" i="12"/>
  <c r="AD590" i="12"/>
  <c r="AD589" i="12"/>
  <c r="AD588" i="12"/>
  <c r="AD587" i="12"/>
  <c r="AD586" i="12"/>
  <c r="AD585" i="12"/>
  <c r="AD584" i="12"/>
  <c r="AD583" i="12"/>
  <c r="AD582" i="12"/>
  <c r="AD581" i="12"/>
  <c r="AD580" i="12"/>
  <c r="AD579" i="12"/>
  <c r="AD578" i="12"/>
  <c r="AD577" i="12"/>
  <c r="AD576" i="12"/>
  <c r="AD575" i="12"/>
  <c r="AD574" i="12"/>
  <c r="AD573" i="12"/>
  <c r="AD572" i="12"/>
  <c r="AD571" i="12"/>
  <c r="AD570" i="12"/>
  <c r="AD569" i="12"/>
  <c r="AD568" i="12"/>
  <c r="AD562" i="12"/>
  <c r="AD563" i="12"/>
  <c r="AD564" i="12"/>
  <c r="AD565" i="12"/>
  <c r="AD592" i="12"/>
  <c r="AD553" i="12"/>
  <c r="AD554" i="12"/>
  <c r="AD555" i="12"/>
  <c r="AD556" i="12"/>
  <c r="AD557" i="12"/>
  <c r="AD558" i="12"/>
  <c r="AD559" i="12"/>
  <c r="AD560" i="12"/>
  <c r="AD561" i="12"/>
  <c r="AD546" i="12" l="1"/>
  <c r="AD547" i="12"/>
  <c r="AD548" i="12"/>
  <c r="AD549" i="12"/>
  <c r="AD550" i="12"/>
  <c r="AD551" i="12"/>
  <c r="AD552" i="12"/>
  <c r="AD532" i="12" l="1"/>
  <c r="AD533" i="12"/>
  <c r="AD534" i="12"/>
  <c r="AD535" i="12"/>
  <c r="AD536" i="12"/>
  <c r="AD537" i="12"/>
  <c r="AD538" i="12"/>
  <c r="AD539" i="12"/>
  <c r="AD540" i="12"/>
  <c r="AD541" i="12"/>
  <c r="AD542" i="12"/>
  <c r="AD543" i="12"/>
  <c r="AD544" i="12"/>
  <c r="AD545" i="12"/>
  <c r="AD523" i="12"/>
  <c r="AD524" i="12"/>
  <c r="AD525" i="12"/>
  <c r="AD526" i="12"/>
  <c r="AD527" i="12"/>
  <c r="AD528" i="12"/>
  <c r="AD529" i="12"/>
  <c r="AD530" i="12"/>
  <c r="AD531" i="12"/>
  <c r="AD517" i="12"/>
  <c r="AD518" i="12"/>
  <c r="AD519" i="12"/>
  <c r="AD520" i="12"/>
  <c r="AD521" i="12"/>
  <c r="AD522" i="12"/>
  <c r="AD509" i="12"/>
  <c r="AD510" i="12"/>
  <c r="AD511" i="12"/>
  <c r="AD514" i="12"/>
  <c r="AD515" i="12"/>
  <c r="AD516" i="12"/>
  <c r="AD501" i="12" l="1"/>
  <c r="AD502" i="12"/>
  <c r="AD503" i="12"/>
  <c r="AD504" i="12"/>
  <c r="AD505" i="12"/>
  <c r="AD506" i="12"/>
  <c r="AD507" i="12"/>
  <c r="AD508" i="12"/>
  <c r="AD451" i="12"/>
  <c r="AD452" i="12"/>
  <c r="AD453" i="12"/>
  <c r="AD454" i="12"/>
  <c r="AD457" i="12"/>
  <c r="AD458" i="12"/>
  <c r="AD459" i="12"/>
  <c r="AD460" i="12"/>
  <c r="AD461" i="12"/>
  <c r="AD462" i="12"/>
  <c r="AD463" i="12"/>
  <c r="AD464" i="12"/>
  <c r="AD465" i="12"/>
  <c r="AD466" i="12"/>
  <c r="AD467" i="12"/>
  <c r="AD468" i="12"/>
  <c r="AD469" i="12"/>
  <c r="AD470" i="12"/>
  <c r="AD471" i="12"/>
  <c r="AD472" i="12"/>
  <c r="AD473" i="12"/>
  <c r="AD474" i="12"/>
  <c r="AD475" i="12"/>
  <c r="AD476" i="12"/>
  <c r="AD477" i="12"/>
  <c r="AD478" i="12"/>
  <c r="AD479" i="12"/>
  <c r="AD480" i="12"/>
  <c r="AD481" i="12"/>
  <c r="AD482" i="12"/>
  <c r="AD483" i="12"/>
  <c r="AD484" i="12"/>
  <c r="AD485" i="12"/>
  <c r="AD486" i="12"/>
  <c r="AD487" i="12"/>
  <c r="AD488" i="12"/>
  <c r="AD489" i="12"/>
  <c r="AD490" i="12"/>
  <c r="AD491" i="12"/>
  <c r="AD492" i="12"/>
  <c r="AD493" i="12"/>
  <c r="AD494" i="12"/>
  <c r="AD495" i="12"/>
  <c r="AD496" i="12"/>
  <c r="AD497" i="12"/>
  <c r="AD498" i="12"/>
  <c r="AD499" i="12"/>
  <c r="AD500" i="12"/>
  <c r="AD445" i="12"/>
  <c r="AD446" i="12"/>
  <c r="AD447" i="12"/>
  <c r="AD448" i="12"/>
  <c r="AD449" i="12"/>
  <c r="AD450" i="12"/>
  <c r="AD435" i="12"/>
  <c r="AD436" i="12"/>
  <c r="AD437" i="12"/>
  <c r="AD438" i="12"/>
  <c r="AD439" i="12"/>
  <c r="AD440" i="12"/>
  <c r="AD441" i="12"/>
  <c r="AD442" i="12"/>
  <c r="AD443" i="12"/>
  <c r="AD444" i="12"/>
  <c r="AD429" i="12"/>
  <c r="AD430" i="12"/>
  <c r="AD431" i="12"/>
  <c r="AD432" i="12"/>
  <c r="AD433" i="12"/>
  <c r="AD434" i="12"/>
  <c r="AD419" i="12" l="1"/>
  <c r="AD420" i="12"/>
  <c r="AD421" i="12"/>
  <c r="AD422" i="12"/>
  <c r="AD423" i="12"/>
  <c r="AD424" i="12"/>
  <c r="AD425" i="12"/>
  <c r="AD426" i="12"/>
  <c r="AD427" i="12"/>
  <c r="AD428" i="12"/>
  <c r="AD413" i="12"/>
  <c r="AD414" i="12"/>
  <c r="AD415" i="12"/>
  <c r="AD416" i="12"/>
  <c r="AD417" i="12"/>
  <c r="AD418" i="12"/>
  <c r="AD406" i="12" l="1"/>
  <c r="AD407" i="12"/>
  <c r="AD408" i="12"/>
  <c r="AD409" i="12"/>
  <c r="AD410" i="12"/>
  <c r="AD411" i="12"/>
  <c r="AD412" i="12"/>
  <c r="AD394" i="12"/>
  <c r="AD395" i="12"/>
  <c r="AD396" i="12"/>
  <c r="AD397" i="12"/>
  <c r="AD398" i="12"/>
  <c r="AD399" i="12"/>
  <c r="AD400" i="12"/>
  <c r="AD401" i="12"/>
  <c r="AD402" i="12"/>
  <c r="AD405" i="12"/>
  <c r="AD388" i="12" l="1"/>
  <c r="AD389" i="12"/>
  <c r="AD390" i="12"/>
  <c r="AD391" i="12"/>
  <c r="AD392" i="12"/>
  <c r="AD393" i="12"/>
  <c r="AD382" i="12" l="1"/>
  <c r="AD383" i="12"/>
  <c r="AD384" i="12"/>
  <c r="AD385" i="12"/>
  <c r="AD386" i="12"/>
  <c r="AD387" i="12"/>
  <c r="AD373" i="12"/>
  <c r="AD374" i="12"/>
  <c r="AD375" i="12"/>
  <c r="AD376" i="12"/>
  <c r="AD377" i="12"/>
  <c r="AD378" i="12"/>
  <c r="AD379" i="12"/>
  <c r="AD380" i="12"/>
  <c r="AD381" i="12"/>
  <c r="AD365" i="12"/>
  <c r="AD366" i="12"/>
  <c r="AD367" i="12"/>
  <c r="AD368" i="12"/>
  <c r="AD369" i="12"/>
  <c r="AD370" i="12"/>
  <c r="AD371" i="12"/>
  <c r="AD372" i="12"/>
  <c r="AD357" i="12" l="1"/>
  <c r="AD358" i="12"/>
  <c r="AD361" i="12"/>
  <c r="AD362" i="12"/>
  <c r="AD363" i="12"/>
  <c r="AD364" i="12"/>
  <c r="AD344" i="12"/>
  <c r="AD345" i="12"/>
  <c r="AD346" i="12"/>
  <c r="AD347" i="12"/>
  <c r="AD348" i="12"/>
  <c r="AD349" i="12"/>
  <c r="AD350" i="12"/>
  <c r="AD351" i="12"/>
  <c r="AD352" i="12"/>
  <c r="AD353" i="12"/>
  <c r="AD354" i="12"/>
  <c r="AD355" i="12"/>
  <c r="AD356" i="12"/>
  <c r="AD337" i="12" l="1"/>
  <c r="AD338" i="12"/>
  <c r="AD339" i="12"/>
  <c r="AD340" i="12"/>
  <c r="AD341" i="12"/>
  <c r="AD342" i="12"/>
  <c r="AD343" i="12"/>
  <c r="AD330" i="12"/>
  <c r="AD331" i="12"/>
  <c r="AD332" i="12"/>
  <c r="AD333" i="12"/>
  <c r="AD334" i="12"/>
  <c r="AD335" i="12"/>
  <c r="AD336" i="12"/>
  <c r="AD284" i="12"/>
  <c r="AD285" i="12"/>
  <c r="AD286" i="12"/>
  <c r="AD287" i="12"/>
  <c r="AD288" i="12"/>
  <c r="AD289" i="12"/>
  <c r="AD290" i="12"/>
  <c r="AD291" i="12"/>
  <c r="AD292" i="12"/>
  <c r="AD293" i="12"/>
  <c r="AD294" i="12"/>
  <c r="AD295" i="12"/>
  <c r="AD296" i="12"/>
  <c r="AD297" i="12"/>
  <c r="AD300" i="12"/>
  <c r="AD301" i="12"/>
  <c r="AD302" i="12"/>
  <c r="AD303" i="12"/>
  <c r="AD304" i="12"/>
  <c r="AD305" i="12"/>
  <c r="AD306" i="12"/>
  <c r="AD307" i="12"/>
  <c r="AD308" i="12"/>
  <c r="AD309" i="12"/>
  <c r="AD310" i="12"/>
  <c r="AD311" i="12"/>
  <c r="AD312" i="12"/>
  <c r="AD313" i="12"/>
  <c r="AD314" i="12"/>
  <c r="AD315" i="12"/>
  <c r="AD316" i="12"/>
  <c r="AD317" i="12"/>
  <c r="AD318" i="12"/>
  <c r="AD319" i="12"/>
  <c r="AD320" i="12"/>
  <c r="AD321" i="12"/>
  <c r="AD322" i="12"/>
  <c r="AD323" i="12"/>
  <c r="AD324" i="12"/>
  <c r="AD325" i="12"/>
  <c r="AD326" i="12"/>
  <c r="AD327" i="12"/>
  <c r="AD328" i="12"/>
  <c r="AD329" i="12"/>
  <c r="AD261" i="12" l="1"/>
  <c r="AD262" i="12"/>
  <c r="AD263" i="12"/>
  <c r="AD264" i="12"/>
  <c r="AD265" i="12"/>
  <c r="AD266" i="12"/>
  <c r="AD267" i="12"/>
  <c r="AD268" i="12"/>
  <c r="AD269" i="12"/>
  <c r="AD270" i="12"/>
  <c r="AD271" i="12"/>
  <c r="AD272" i="12"/>
  <c r="AD273" i="12"/>
  <c r="AD274" i="12"/>
  <c r="AD275" i="12"/>
  <c r="AD276" i="12"/>
  <c r="AD277" i="12"/>
  <c r="AD278" i="12"/>
  <c r="AD279" i="12"/>
  <c r="AD280" i="12"/>
  <c r="AD281" i="12"/>
  <c r="AD282" i="12"/>
  <c r="AD283" i="12"/>
  <c r="AD249" i="12"/>
  <c r="AD250" i="12"/>
  <c r="AD251" i="12"/>
  <c r="AD254" i="12"/>
  <c r="AD255" i="12"/>
  <c r="AD256" i="12"/>
  <c r="AD257" i="12"/>
  <c r="AD258" i="12"/>
  <c r="AD259" i="12"/>
  <c r="AD260" i="12"/>
  <c r="AD241" i="12"/>
  <c r="AD242" i="12"/>
  <c r="AD243" i="12"/>
  <c r="AD244" i="12"/>
  <c r="AD245" i="12"/>
  <c r="AD246" i="12"/>
  <c r="AD247" i="12"/>
  <c r="AD248" i="12"/>
  <c r="AD236" i="12"/>
  <c r="AD237" i="12"/>
  <c r="AD238" i="12"/>
  <c r="AD239" i="12"/>
  <c r="AD240" i="12"/>
  <c r="AD173" i="12"/>
  <c r="AD179" i="12" l="1"/>
  <c r="AD180" i="12"/>
  <c r="AD181" i="12"/>
  <c r="AD182" i="12"/>
  <c r="AD183" i="12"/>
  <c r="AD184" i="12"/>
  <c r="AD185" i="12"/>
  <c r="AD186" i="12"/>
  <c r="AD187" i="12"/>
  <c r="AD188" i="12"/>
  <c r="AD189" i="12"/>
  <c r="AD190" i="12"/>
  <c r="AD191" i="12"/>
  <c r="AD192" i="12"/>
  <c r="AD193" i="12"/>
  <c r="AD194" i="12"/>
  <c r="AD195" i="12"/>
  <c r="AD196" i="12"/>
  <c r="AD197" i="12"/>
  <c r="AD198" i="12"/>
  <c r="AD199" i="12"/>
  <c r="AD200" i="12"/>
  <c r="AD201" i="12"/>
  <c r="AD202" i="12"/>
  <c r="AD203" i="12"/>
  <c r="AD204" i="12"/>
  <c r="AD205" i="12"/>
  <c r="AD206" i="12"/>
  <c r="AD207" i="12"/>
  <c r="AD208" i="12"/>
  <c r="AD209" i="12"/>
  <c r="AD210" i="12"/>
  <c r="AD213" i="12"/>
  <c r="AD214" i="12"/>
  <c r="AD215" i="12"/>
  <c r="AD216" i="12"/>
  <c r="AD217" i="12"/>
  <c r="AD218" i="12"/>
  <c r="AD219" i="12"/>
  <c r="AD220" i="12"/>
  <c r="AD221" i="12"/>
  <c r="AD222" i="12"/>
  <c r="AD223" i="12"/>
  <c r="AD224" i="12"/>
  <c r="AD225" i="12"/>
  <c r="AD226" i="12"/>
  <c r="AD227" i="12"/>
  <c r="AD228" i="12"/>
  <c r="AD229" i="12"/>
  <c r="AD230" i="12"/>
  <c r="AD231" i="12"/>
  <c r="AD232" i="12"/>
  <c r="AD233" i="12"/>
  <c r="AD234" i="12"/>
  <c r="AD235" i="12"/>
  <c r="AD168" i="12"/>
  <c r="AD169" i="12"/>
  <c r="AD170" i="12"/>
  <c r="AD174" i="12"/>
  <c r="AD175" i="12"/>
  <c r="AD176" i="12"/>
  <c r="AD177" i="12"/>
  <c r="AD178" i="12"/>
  <c r="AD162" i="12"/>
  <c r="AD163" i="12"/>
  <c r="AD164" i="12"/>
  <c r="AD165" i="12"/>
  <c r="AD166" i="12"/>
  <c r="AD167" i="12"/>
  <c r="AD157" i="12"/>
  <c r="AD158" i="12"/>
  <c r="AD159" i="12"/>
  <c r="AD160" i="12"/>
  <c r="AD161" i="12"/>
  <c r="AD148" i="12" l="1"/>
  <c r="AD149" i="12"/>
  <c r="AD150" i="12"/>
  <c r="AD151" i="12"/>
  <c r="AD152" i="12"/>
  <c r="AD153" i="12"/>
  <c r="AD154" i="12"/>
  <c r="AD155" i="12"/>
  <c r="AD156" i="12"/>
  <c r="AD139" i="12"/>
  <c r="AD140" i="12"/>
  <c r="AD141" i="12"/>
  <c r="AD142" i="12"/>
  <c r="AD143" i="12"/>
  <c r="AD144" i="12"/>
  <c r="AD145" i="12"/>
  <c r="AD146" i="12"/>
  <c r="AD147" i="12"/>
  <c r="AD130" i="12"/>
  <c r="AD131" i="12"/>
  <c r="AD132" i="12"/>
  <c r="AD133" i="12"/>
  <c r="AD134" i="12"/>
  <c r="AD135" i="12"/>
  <c r="AD136" i="12"/>
  <c r="AD137" i="12"/>
  <c r="AD138" i="12"/>
  <c r="AD122" i="12" l="1"/>
  <c r="AD123" i="12"/>
  <c r="AD124" i="12"/>
  <c r="AD125" i="12"/>
  <c r="AD126" i="12"/>
  <c r="AD127" i="12"/>
  <c r="AD128" i="12"/>
  <c r="AD129" i="12"/>
  <c r="AD119" i="12"/>
  <c r="AD120" i="12"/>
  <c r="AD121" i="12"/>
  <c r="AD103" i="12" l="1"/>
  <c r="AD104" i="12"/>
  <c r="AD105" i="12"/>
  <c r="AD106" i="12"/>
  <c r="AD107" i="12"/>
  <c r="AD108" i="12"/>
  <c r="AD109" i="12"/>
  <c r="AD110" i="12"/>
  <c r="AD111" i="12"/>
  <c r="AD114" i="12"/>
  <c r="AD115" i="12"/>
  <c r="AD116" i="12"/>
  <c r="AD117" i="12"/>
  <c r="AD118" i="12"/>
  <c r="AD97" i="12"/>
  <c r="AD98" i="12"/>
  <c r="AD99" i="12"/>
  <c r="AD100" i="12"/>
  <c r="AD101" i="12"/>
  <c r="AD102" i="12"/>
  <c r="AD90" i="12"/>
  <c r="AD91" i="12"/>
  <c r="AD92" i="12"/>
  <c r="AD93" i="12"/>
  <c r="AD94" i="12"/>
  <c r="AD95" i="12"/>
  <c r="AD96" i="12"/>
  <c r="AD64" i="12"/>
  <c r="AD65" i="12"/>
  <c r="AD66" i="12"/>
  <c r="AD67" i="12"/>
  <c r="AD68" i="12"/>
  <c r="AD69" i="12"/>
  <c r="AD70" i="12"/>
  <c r="AD71" i="12"/>
  <c r="AD72" i="12"/>
  <c r="AD73" i="12"/>
  <c r="AD74" i="12"/>
  <c r="AD75" i="12"/>
  <c r="AD76" i="12"/>
  <c r="AD77" i="12"/>
  <c r="AD78" i="12"/>
  <c r="AD79" i="12"/>
  <c r="AD80" i="12"/>
  <c r="AD81" i="12"/>
  <c r="AD82" i="12"/>
  <c r="AD83" i="12"/>
  <c r="AD84" i="12"/>
  <c r="AD85" i="12"/>
  <c r="AD86" i="12"/>
  <c r="AD87" i="12"/>
  <c r="AD88" i="12"/>
  <c r="AD89" i="12"/>
  <c r="AD50" i="12"/>
  <c r="AD51" i="12"/>
  <c r="AD52" i="12"/>
  <c r="AD53" i="12"/>
  <c r="AD54" i="12"/>
  <c r="AD55" i="12"/>
  <c r="AD56" i="12"/>
  <c r="AD57" i="12"/>
  <c r="AD58" i="12"/>
  <c r="AD59" i="12"/>
  <c r="AD60" i="12"/>
  <c r="AD63" i="12"/>
  <c r="AD28" i="12" l="1"/>
  <c r="AD29" i="12"/>
  <c r="T1313" i="12" l="1"/>
  <c r="S1313" i="12"/>
  <c r="R1313" i="12"/>
  <c r="Q1313" i="12"/>
  <c r="P1313" i="12"/>
  <c r="O1313" i="12"/>
  <c r="N1313" i="12"/>
  <c r="M1313" i="12"/>
  <c r="L1313" i="12"/>
  <c r="K1313" i="12"/>
  <c r="J1313" i="12"/>
  <c r="I1313" i="12"/>
  <c r="AC612" i="12"/>
  <c r="AC1116" i="12" s="1"/>
  <c r="AA612" i="12"/>
  <c r="AA1116" i="12" s="1"/>
  <c r="Z612" i="12"/>
  <c r="Z1116" i="12" s="1"/>
  <c r="Y612" i="12"/>
  <c r="Y1116" i="12" s="1"/>
  <c r="X612" i="12"/>
  <c r="X1116" i="12" s="1"/>
  <c r="W612" i="12"/>
  <c r="W1116" i="12" s="1"/>
  <c r="V612" i="12"/>
  <c r="V1116" i="12" s="1"/>
  <c r="U612" i="12"/>
  <c r="U1116" i="12" s="1"/>
  <c r="T612" i="12"/>
  <c r="T1116" i="12" s="1"/>
  <c r="S612" i="12"/>
  <c r="S1116" i="12" s="1"/>
  <c r="R612" i="12"/>
  <c r="R1116" i="12" s="1"/>
  <c r="Q612" i="12"/>
  <c r="Q1116" i="12" s="1"/>
  <c r="P612" i="12"/>
  <c r="P1116" i="12" s="1"/>
  <c r="O612" i="12"/>
  <c r="O1116" i="12" s="1"/>
  <c r="N1116" i="12"/>
  <c r="M612" i="12"/>
  <c r="M1116" i="12" s="1"/>
  <c r="L612" i="12"/>
  <c r="L1116" i="12" s="1"/>
  <c r="AD49" i="12"/>
  <c r="AD48" i="12"/>
  <c r="AD47" i="12"/>
  <c r="AD46" i="12"/>
  <c r="AD45" i="12"/>
  <c r="AD44" i="12"/>
  <c r="AD43" i="12"/>
  <c r="AD42" i="12"/>
  <c r="AD41" i="12"/>
  <c r="AD40" i="12"/>
  <c r="AD39" i="12"/>
  <c r="AD38" i="12"/>
  <c r="AD37" i="12"/>
  <c r="AD36" i="12"/>
  <c r="AD35" i="12"/>
  <c r="AD34" i="12"/>
  <c r="AD33" i="12"/>
  <c r="AD32" i="12"/>
  <c r="AD31" i="12"/>
  <c r="AD30" i="12"/>
  <c r="AD27" i="12"/>
  <c r="AD26" i="12"/>
  <c r="AD25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W1313" i="12" l="1"/>
  <c r="AD1116" i="12"/>
  <c r="AD518" i="11"/>
  <c r="AD519" i="11"/>
  <c r="AD520" i="11"/>
  <c r="AD521" i="11"/>
  <c r="AD522" i="11"/>
  <c r="AD523" i="11"/>
  <c r="AD524" i="11"/>
  <c r="AD509" i="11" l="1"/>
  <c r="AD510" i="11"/>
  <c r="AD511" i="11"/>
  <c r="AD512" i="11"/>
  <c r="AD513" i="11"/>
  <c r="AD514" i="11"/>
  <c r="AD515" i="11"/>
  <c r="AD516" i="11"/>
  <c r="AD517" i="11"/>
  <c r="AD502" i="11" l="1"/>
  <c r="AD501" i="11"/>
  <c r="AD500" i="11"/>
  <c r="AD499" i="11"/>
  <c r="AD503" i="11"/>
  <c r="AD504" i="11"/>
  <c r="AD505" i="11"/>
  <c r="AD506" i="11"/>
  <c r="AD507" i="11"/>
  <c r="AD508" i="11"/>
  <c r="AD494" i="11" l="1"/>
  <c r="AD495" i="11"/>
  <c r="AD496" i="11"/>
  <c r="AD497" i="11"/>
  <c r="AD498" i="11"/>
  <c r="AD464" i="11" l="1"/>
  <c r="AD465" i="11"/>
  <c r="AD466" i="11"/>
  <c r="AD467" i="11"/>
  <c r="AD468" i="11"/>
  <c r="AD469" i="11"/>
  <c r="AD470" i="11"/>
  <c r="AD471" i="11"/>
  <c r="AD472" i="11"/>
  <c r="AD473" i="11"/>
  <c r="AD474" i="11"/>
  <c r="AD475" i="11"/>
  <c r="AD476" i="11"/>
  <c r="AD477" i="11"/>
  <c r="AD478" i="11"/>
  <c r="AD479" i="11"/>
  <c r="AD480" i="11"/>
  <c r="AD481" i="11"/>
  <c r="AD482" i="11"/>
  <c r="AD483" i="11"/>
  <c r="AD484" i="11"/>
  <c r="AD485" i="11"/>
  <c r="AD486" i="11"/>
  <c r="AD487" i="11"/>
  <c r="AD488" i="11"/>
  <c r="AD489" i="11"/>
  <c r="AD490" i="11"/>
  <c r="AD493" i="11"/>
  <c r="AD459" i="11" l="1"/>
  <c r="AD456" i="11"/>
  <c r="AD457" i="11"/>
  <c r="AD458" i="11"/>
  <c r="AD460" i="11"/>
  <c r="AD461" i="11"/>
  <c r="AD462" i="11"/>
  <c r="AD463" i="11"/>
  <c r="AD450" i="11" l="1"/>
  <c r="AD451" i="11"/>
  <c r="AD452" i="11"/>
  <c r="AD453" i="11"/>
  <c r="AD454" i="11"/>
  <c r="AD455" i="11"/>
  <c r="AD433" i="11" l="1"/>
  <c r="AD434" i="11"/>
  <c r="AD435" i="11"/>
  <c r="AD436" i="11"/>
  <c r="AD437" i="11"/>
  <c r="AD438" i="11"/>
  <c r="AD439" i="11"/>
  <c r="AD440" i="11"/>
  <c r="AD441" i="11"/>
  <c r="AD442" i="11"/>
  <c r="AD443" i="11"/>
  <c r="AD444" i="11"/>
  <c r="AD445" i="11"/>
  <c r="AD448" i="11"/>
  <c r="AD449" i="11"/>
  <c r="AD425" i="11" l="1"/>
  <c r="AD426" i="11"/>
  <c r="AD427" i="11"/>
  <c r="AD428" i="11"/>
  <c r="AD429" i="11"/>
  <c r="AD430" i="11"/>
  <c r="AD431" i="11"/>
  <c r="AD432" i="11"/>
  <c r="AD408" i="11" l="1"/>
  <c r="AD414" i="11" l="1"/>
  <c r="AD415" i="11"/>
  <c r="AD416" i="11"/>
  <c r="AD417" i="11"/>
  <c r="AD418" i="11"/>
  <c r="AD419" i="11"/>
  <c r="AD420" i="11"/>
  <c r="AD421" i="11"/>
  <c r="AD422" i="11"/>
  <c r="AD423" i="11"/>
  <c r="AD424" i="11"/>
  <c r="AD404" i="11" l="1"/>
  <c r="AD405" i="11"/>
  <c r="AD409" i="11"/>
  <c r="AD410" i="11"/>
  <c r="AD411" i="11"/>
  <c r="AD412" i="11"/>
  <c r="AD413" i="11"/>
  <c r="AD395" i="11" l="1"/>
  <c r="AD396" i="11"/>
  <c r="AD397" i="11"/>
  <c r="AD398" i="11"/>
  <c r="AD399" i="11"/>
  <c r="AD400" i="11"/>
  <c r="AD401" i="11"/>
  <c r="AD402" i="11"/>
  <c r="AD403" i="11"/>
  <c r="AD385" i="11" l="1"/>
  <c r="AD386" i="11"/>
  <c r="AD382" i="11" l="1"/>
  <c r="AD383" i="11"/>
  <c r="AD384" i="11"/>
  <c r="AD387" i="11"/>
  <c r="AD388" i="11"/>
  <c r="AD389" i="11"/>
  <c r="AD390" i="11"/>
  <c r="AD391" i="11"/>
  <c r="AD392" i="11"/>
  <c r="AD393" i="11"/>
  <c r="AD394" i="11"/>
  <c r="AD372" i="11" l="1"/>
  <c r="AD373" i="11"/>
  <c r="AD374" i="11"/>
  <c r="AD375" i="11"/>
  <c r="AD376" i="11"/>
  <c r="AD377" i="11"/>
  <c r="AD378" i="11"/>
  <c r="AD379" i="11"/>
  <c r="AD380" i="11"/>
  <c r="AD381" i="11"/>
  <c r="AD366" i="11" l="1"/>
  <c r="AD367" i="11"/>
  <c r="AD368" i="11"/>
  <c r="AD369" i="11"/>
  <c r="AD370" i="11"/>
  <c r="AD371" i="11"/>
  <c r="AD345" i="11" l="1"/>
  <c r="AD346" i="11"/>
  <c r="AD347" i="11"/>
  <c r="AD348" i="11"/>
  <c r="AD349" i="11"/>
  <c r="AD350" i="11"/>
  <c r="AD351" i="11"/>
  <c r="AD352" i="11"/>
  <c r="AD353" i="11"/>
  <c r="AD354" i="11"/>
  <c r="AD355" i="11"/>
  <c r="AD356" i="11"/>
  <c r="AD357" i="11"/>
  <c r="AD360" i="11"/>
  <c r="AD361" i="11"/>
  <c r="AD362" i="11"/>
  <c r="AD363" i="11"/>
  <c r="AD364" i="11"/>
  <c r="AD365" i="11"/>
  <c r="AD329" i="11" l="1"/>
  <c r="AD330" i="11"/>
  <c r="AD331" i="11"/>
  <c r="AD332" i="11"/>
  <c r="AD333" i="11"/>
  <c r="AD334" i="11"/>
  <c r="AD335" i="11"/>
  <c r="AD336" i="11"/>
  <c r="AD337" i="11"/>
  <c r="AD338" i="11"/>
  <c r="AD339" i="11"/>
  <c r="AD340" i="11"/>
  <c r="AD341" i="11"/>
  <c r="AD342" i="11"/>
  <c r="AD343" i="11"/>
  <c r="AD344" i="11"/>
  <c r="AD316" i="11" l="1"/>
  <c r="AD317" i="11"/>
  <c r="AD318" i="11"/>
  <c r="AD319" i="11"/>
  <c r="AD320" i="11"/>
  <c r="AD321" i="11"/>
  <c r="AD322" i="11"/>
  <c r="AD323" i="11"/>
  <c r="AD324" i="11"/>
  <c r="AD325" i="11"/>
  <c r="AD326" i="11"/>
  <c r="AD327" i="11"/>
  <c r="AD328" i="11"/>
  <c r="AD313" i="11" l="1"/>
  <c r="AD314" i="11"/>
  <c r="AD315" i="11"/>
  <c r="AD305" i="11" l="1"/>
  <c r="AD306" i="11"/>
  <c r="AD307" i="11"/>
  <c r="AD308" i="11"/>
  <c r="AD309" i="11"/>
  <c r="AD310" i="11"/>
  <c r="AD311" i="11"/>
  <c r="AD312" i="11"/>
  <c r="AD294" i="11" l="1"/>
  <c r="AD295" i="11"/>
  <c r="AD296" i="11"/>
  <c r="AD297" i="11"/>
  <c r="AD298" i="11"/>
  <c r="AD299" i="11"/>
  <c r="AD300" i="11"/>
  <c r="AD301" i="11"/>
  <c r="AD302" i="11"/>
  <c r="AD303" i="11"/>
  <c r="AD304" i="11"/>
  <c r="AD282" i="11" l="1"/>
  <c r="AD283" i="11"/>
  <c r="AD284" i="11"/>
  <c r="AD285" i="11"/>
  <c r="AD286" i="11"/>
  <c r="AD287" i="11"/>
  <c r="AD288" i="11"/>
  <c r="AD291" i="11"/>
  <c r="AD292" i="11"/>
  <c r="AD293" i="11"/>
  <c r="AD270" i="11" l="1"/>
  <c r="AD271" i="11"/>
  <c r="AD272" i="11"/>
  <c r="AD273" i="11"/>
  <c r="AD274" i="11"/>
  <c r="AD275" i="11"/>
  <c r="AD276" i="11"/>
  <c r="AD277" i="11"/>
  <c r="AD278" i="11"/>
  <c r="AD279" i="11"/>
  <c r="AD280" i="11"/>
  <c r="AD281" i="11"/>
  <c r="AD254" i="11" l="1"/>
  <c r="AD243" i="11" l="1"/>
  <c r="AD244" i="11"/>
  <c r="AD245" i="11"/>
  <c r="AD246" i="11"/>
  <c r="AD247" i="11"/>
  <c r="AD248" i="11"/>
  <c r="AD249" i="11"/>
  <c r="AD250" i="11"/>
  <c r="AD251" i="11"/>
  <c r="AD255" i="11"/>
  <c r="AD256" i="11"/>
  <c r="AD257" i="11"/>
  <c r="AD258" i="11"/>
  <c r="AD259" i="11"/>
  <c r="AD260" i="11"/>
  <c r="AD261" i="11"/>
  <c r="AD262" i="11"/>
  <c r="AD263" i="11"/>
  <c r="AD264" i="11"/>
  <c r="AD265" i="11"/>
  <c r="AD266" i="11"/>
  <c r="AD267" i="11"/>
  <c r="AD268" i="11"/>
  <c r="AD269" i="11"/>
  <c r="AD240" i="11" l="1"/>
  <c r="AD232" i="11" l="1"/>
  <c r="AD233" i="11"/>
  <c r="AD234" i="11"/>
  <c r="AD235" i="11"/>
  <c r="AD236" i="11"/>
  <c r="AD237" i="11"/>
  <c r="AD238" i="11"/>
  <c r="AD239" i="11"/>
  <c r="AD241" i="11"/>
  <c r="AD242" i="11"/>
  <c r="AD225" i="11" l="1"/>
  <c r="AD226" i="11"/>
  <c r="AD227" i="11"/>
  <c r="AD228" i="11"/>
  <c r="AD229" i="11"/>
  <c r="AD230" i="11"/>
  <c r="AD231" i="11"/>
  <c r="AD218" i="11" l="1"/>
  <c r="AD219" i="11"/>
  <c r="AD220" i="11"/>
  <c r="AD221" i="11"/>
  <c r="AD222" i="11"/>
  <c r="AD223" i="11"/>
  <c r="AD224" i="11"/>
  <c r="AD213" i="11" l="1"/>
  <c r="AD214" i="11"/>
  <c r="AD215" i="11"/>
  <c r="AD216" i="11"/>
  <c r="AD217" i="11"/>
  <c r="AD200" i="11" l="1"/>
  <c r="AD201" i="11"/>
  <c r="AD202" i="11"/>
  <c r="AD203" i="11"/>
  <c r="AD204" i="11"/>
  <c r="AD205" i="11"/>
  <c r="AD206" i="11"/>
  <c r="AD207" i="11"/>
  <c r="AD208" i="11"/>
  <c r="AD209" i="11"/>
  <c r="AD212" i="11"/>
  <c r="AD185" i="11" l="1"/>
  <c r="AD186" i="11"/>
  <c r="AD187" i="11"/>
  <c r="AD188" i="11"/>
  <c r="AD189" i="11"/>
  <c r="AD190" i="11"/>
  <c r="AD191" i="11"/>
  <c r="AD192" i="11"/>
  <c r="AD193" i="11"/>
  <c r="AD194" i="11"/>
  <c r="AD195" i="11"/>
  <c r="AD196" i="11"/>
  <c r="AD197" i="11"/>
  <c r="AD198" i="11"/>
  <c r="AD199" i="11"/>
  <c r="AD170" i="11" l="1"/>
  <c r="AD169" i="11"/>
  <c r="AD176" i="11" l="1"/>
  <c r="AD177" i="11"/>
  <c r="AD178" i="11"/>
  <c r="AD179" i="11"/>
  <c r="AD180" i="11"/>
  <c r="AD181" i="11"/>
  <c r="AD182" i="11"/>
  <c r="AD183" i="11"/>
  <c r="AD184" i="11"/>
  <c r="AD164" i="11"/>
  <c r="AD165" i="11"/>
  <c r="AD166" i="11"/>
  <c r="AD167" i="11"/>
  <c r="AD168" i="11"/>
  <c r="AD171" i="11"/>
  <c r="AD172" i="11"/>
  <c r="AD173" i="11"/>
  <c r="AD174" i="11"/>
  <c r="AD175" i="11"/>
  <c r="AD140" i="11"/>
  <c r="AD141" i="11"/>
  <c r="AD142" i="11"/>
  <c r="AD143" i="11"/>
  <c r="AD144" i="11"/>
  <c r="AD145" i="11"/>
  <c r="AD146" i="11"/>
  <c r="AD147" i="11"/>
  <c r="AD148" i="11"/>
  <c r="AD149" i="11"/>
  <c r="AD150" i="11"/>
  <c r="AD151" i="11"/>
  <c r="AD152" i="11"/>
  <c r="AD153" i="11"/>
  <c r="AD154" i="11"/>
  <c r="AD155" i="11"/>
  <c r="AD156" i="11"/>
  <c r="AD157" i="11"/>
  <c r="AD158" i="11"/>
  <c r="AD159" i="11"/>
  <c r="AD162" i="11"/>
  <c r="AD163" i="11"/>
  <c r="AD123" i="11" l="1"/>
  <c r="AD120" i="11" l="1"/>
  <c r="AD127" i="11" l="1"/>
  <c r="AD128" i="11"/>
  <c r="AD129" i="11"/>
  <c r="AD130" i="11"/>
  <c r="AD131" i="11"/>
  <c r="AD132" i="11"/>
  <c r="AD133" i="11"/>
  <c r="AD134" i="11"/>
  <c r="AD135" i="11"/>
  <c r="AD136" i="11"/>
  <c r="AD137" i="11"/>
  <c r="AD138" i="11"/>
  <c r="AD139" i="11"/>
  <c r="AD109" i="11"/>
  <c r="AD110" i="11"/>
  <c r="AD111" i="11"/>
  <c r="AD112" i="11"/>
  <c r="AD113" i="11"/>
  <c r="AD114" i="11"/>
  <c r="AD115" i="11"/>
  <c r="AD116" i="11"/>
  <c r="AD117" i="11"/>
  <c r="AD121" i="11"/>
  <c r="AD122" i="11"/>
  <c r="AD124" i="11"/>
  <c r="AD125" i="11"/>
  <c r="AD126" i="11"/>
  <c r="AD96" i="11"/>
  <c r="AD97" i="11"/>
  <c r="AD98" i="11"/>
  <c r="AD99" i="11"/>
  <c r="AD100" i="11"/>
  <c r="AD101" i="11"/>
  <c r="AD102" i="11"/>
  <c r="AD103" i="11"/>
  <c r="AD104" i="11"/>
  <c r="AD105" i="11"/>
  <c r="AD106" i="11"/>
  <c r="AD107" i="11"/>
  <c r="AD108" i="11"/>
  <c r="AD85" i="11"/>
  <c r="AD86" i="11"/>
  <c r="AD87" i="11"/>
  <c r="AD88" i="11"/>
  <c r="AD89" i="11"/>
  <c r="AD90" i="11"/>
  <c r="AD91" i="11"/>
  <c r="AD92" i="11"/>
  <c r="AD93" i="11"/>
  <c r="AD94" i="11"/>
  <c r="AD95" i="11"/>
  <c r="AD74" i="11"/>
  <c r="AD75" i="11"/>
  <c r="AD76" i="11"/>
  <c r="AD77" i="11"/>
  <c r="AD78" i="11"/>
  <c r="AD79" i="11"/>
  <c r="AD80" i="11"/>
  <c r="AD81" i="11"/>
  <c r="AD84" i="11"/>
  <c r="AD63" i="11"/>
  <c r="AD64" i="11"/>
  <c r="AD65" i="11"/>
  <c r="AD66" i="11"/>
  <c r="AD67" i="11"/>
  <c r="AD68" i="11"/>
  <c r="AD69" i="11"/>
  <c r="AD70" i="11"/>
  <c r="AD71" i="11"/>
  <c r="AD72" i="11"/>
  <c r="AD73" i="11"/>
  <c r="AD56" i="11"/>
  <c r="AD57" i="11"/>
  <c r="AD58" i="11"/>
  <c r="AD59" i="11"/>
  <c r="AD60" i="11"/>
  <c r="AD61" i="11"/>
  <c r="AD62" i="11"/>
  <c r="AD52" i="11"/>
  <c r="AD40" i="11"/>
  <c r="AD41" i="11"/>
  <c r="AD42" i="11"/>
  <c r="AD43" i="11"/>
  <c r="AD44" i="11"/>
  <c r="AD45" i="11"/>
  <c r="AD46" i="11"/>
  <c r="AD47" i="11"/>
  <c r="AD48" i="11"/>
  <c r="AD49" i="11"/>
  <c r="AD53" i="11"/>
  <c r="AD54" i="11"/>
  <c r="AD55" i="11"/>
  <c r="AD11" i="11"/>
  <c r="AD32" i="11" l="1"/>
  <c r="AD33" i="11"/>
  <c r="AD34" i="11"/>
  <c r="AD35" i="11"/>
  <c r="AD36" i="11"/>
  <c r="AD37" i="11"/>
  <c r="AD38" i="11"/>
  <c r="AD39" i="11"/>
  <c r="AD19" i="11" l="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12" i="11" l="1"/>
  <c r="AD13" i="11"/>
  <c r="AD14" i="11"/>
  <c r="AD15" i="11"/>
  <c r="AD16" i="11"/>
  <c r="AD17" i="11"/>
  <c r="AD18" i="11"/>
  <c r="T1226" i="11" l="1"/>
  <c r="S1226" i="11"/>
  <c r="R1226" i="11"/>
  <c r="Q1226" i="11"/>
  <c r="P1226" i="11"/>
  <c r="O1226" i="11"/>
  <c r="N1226" i="11"/>
  <c r="M1226" i="11"/>
  <c r="L1226" i="11"/>
  <c r="K1226" i="11"/>
  <c r="J1226" i="11"/>
  <c r="I1226" i="11"/>
  <c r="AC525" i="11"/>
  <c r="AC1029" i="11" s="1"/>
  <c r="AA525" i="11"/>
  <c r="AA1029" i="11" s="1"/>
  <c r="Z525" i="11"/>
  <c r="Z1029" i="11" s="1"/>
  <c r="Y525" i="11"/>
  <c r="Y1029" i="11" s="1"/>
  <c r="X525" i="11"/>
  <c r="X1029" i="11" s="1"/>
  <c r="W525" i="11"/>
  <c r="W1029" i="11" s="1"/>
  <c r="V525" i="11"/>
  <c r="V1029" i="11" s="1"/>
  <c r="U525" i="11"/>
  <c r="U1029" i="11" s="1"/>
  <c r="T525" i="11"/>
  <c r="T1029" i="11" s="1"/>
  <c r="S525" i="11"/>
  <c r="S1029" i="11" s="1"/>
  <c r="R525" i="11"/>
  <c r="R1029" i="11" s="1"/>
  <c r="Q525" i="11"/>
  <c r="Q1029" i="11" s="1"/>
  <c r="P525" i="11"/>
  <c r="P1029" i="11" s="1"/>
  <c r="O525" i="11"/>
  <c r="O1029" i="11" s="1"/>
  <c r="N525" i="11"/>
  <c r="N1029" i="11" s="1"/>
  <c r="M525" i="11"/>
  <c r="M1029" i="11" s="1"/>
  <c r="L525" i="11"/>
  <c r="L1029" i="11" s="1"/>
  <c r="W1226" i="11" l="1"/>
  <c r="AD1029" i="11"/>
  <c r="AD467" i="10"/>
  <c r="AD468" i="10"/>
  <c r="AD469" i="10"/>
  <c r="AD470" i="10"/>
  <c r="AD471" i="10"/>
  <c r="AD472" i="10"/>
  <c r="AD473" i="10"/>
  <c r="AD474" i="10"/>
  <c r="AD475" i="10"/>
  <c r="AD476" i="10"/>
  <c r="AD477" i="10"/>
  <c r="AD455" i="10" l="1"/>
  <c r="AD456" i="10"/>
  <c r="AD457" i="10"/>
  <c r="AD458" i="10"/>
  <c r="AD459" i="10"/>
  <c r="AD460" i="10"/>
  <c r="AD461" i="10"/>
  <c r="AD462" i="10"/>
  <c r="AD463" i="10"/>
  <c r="AD464" i="10"/>
  <c r="AD465" i="10"/>
  <c r="AD466" i="10"/>
  <c r="AD432" i="10" l="1"/>
  <c r="AD447" i="10"/>
  <c r="AD448" i="10"/>
  <c r="AD449" i="10"/>
  <c r="AD450" i="10"/>
  <c r="AD451" i="10"/>
  <c r="AD452" i="10"/>
  <c r="AD453" i="10"/>
  <c r="AD454" i="10"/>
  <c r="AD433" i="10" l="1"/>
  <c r="AD434" i="10"/>
  <c r="AD435" i="10"/>
  <c r="AD436" i="10"/>
  <c r="AD437" i="10"/>
  <c r="AD438" i="10"/>
  <c r="AD439" i="10"/>
  <c r="AD440" i="10"/>
  <c r="AD441" i="10"/>
  <c r="AD442" i="10"/>
  <c r="AD445" i="10"/>
  <c r="AD446" i="10"/>
  <c r="AD423" i="10" l="1"/>
  <c r="AD424" i="10"/>
  <c r="AD425" i="10"/>
  <c r="AD426" i="10"/>
  <c r="AD427" i="10"/>
  <c r="AD428" i="10"/>
  <c r="AD429" i="10"/>
  <c r="AD430" i="10"/>
  <c r="AD431" i="10"/>
  <c r="AD399" i="10" l="1"/>
  <c r="AD400" i="10"/>
  <c r="AD401" i="10"/>
  <c r="AD351" i="10" l="1"/>
  <c r="AD352" i="10"/>
  <c r="AD353" i="10"/>
  <c r="AD354" i="10"/>
  <c r="AD355" i="10"/>
  <c r="AD356" i="10"/>
  <c r="AD357" i="10"/>
  <c r="AD358" i="10"/>
  <c r="AD359" i="10"/>
  <c r="AD360" i="10"/>
  <c r="AD361" i="10"/>
  <c r="AD362" i="10"/>
  <c r="AD363" i="10"/>
  <c r="AD364" i="10"/>
  <c r="AD365" i="10"/>
  <c r="AD366" i="10"/>
  <c r="AD367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D396" i="10"/>
  <c r="AD397" i="10"/>
  <c r="AD398" i="10"/>
  <c r="AD402" i="10"/>
  <c r="AD403" i="10"/>
  <c r="AD404" i="10"/>
  <c r="AD405" i="10"/>
  <c r="AD406" i="10"/>
  <c r="AD407" i="10"/>
  <c r="AD410" i="10"/>
  <c r="AD411" i="10"/>
  <c r="AD412" i="10"/>
  <c r="AD413" i="10"/>
  <c r="AD414" i="10"/>
  <c r="AD415" i="10"/>
  <c r="AD416" i="10"/>
  <c r="AD417" i="10"/>
  <c r="AD418" i="10"/>
  <c r="AD419" i="10"/>
  <c r="AD420" i="10"/>
  <c r="AD421" i="10"/>
  <c r="AD422" i="10"/>
  <c r="AD336" i="10" l="1"/>
  <c r="AD337" i="10"/>
  <c r="AD338" i="10"/>
  <c r="AD339" i="10"/>
  <c r="AD340" i="10"/>
  <c r="AD341" i="10"/>
  <c r="AD342" i="10"/>
  <c r="AD343" i="10"/>
  <c r="AD344" i="10"/>
  <c r="AD345" i="10"/>
  <c r="AD346" i="10"/>
  <c r="AD347" i="10"/>
  <c r="AD348" i="10"/>
  <c r="AD349" i="10"/>
  <c r="AD350" i="10"/>
  <c r="AD220" i="10" l="1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9" i="10"/>
  <c r="AD250" i="10"/>
  <c r="AD251" i="10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D284" i="10"/>
  <c r="AD285" i="10"/>
  <c r="AD286" i="10"/>
  <c r="AD287" i="10"/>
  <c r="AD288" i="10"/>
  <c r="AD289" i="10"/>
  <c r="AD290" i="10"/>
  <c r="AD291" i="10"/>
  <c r="AD292" i="10"/>
  <c r="AD293" i="10"/>
  <c r="AD296" i="10"/>
  <c r="AD297" i="10"/>
  <c r="AD298" i="10"/>
  <c r="AD299" i="10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D332" i="10"/>
  <c r="AD333" i="10"/>
  <c r="AD89" i="10" l="1"/>
  <c r="AD153" i="10" l="1"/>
  <c r="AD154" i="10"/>
  <c r="AD155" i="10"/>
  <c r="AD156" i="10"/>
  <c r="AD157" i="10"/>
  <c r="AD158" i="10"/>
  <c r="AD140" i="10" l="1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9" i="10"/>
  <c r="AD160" i="10"/>
  <c r="AD161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131" i="10" l="1"/>
  <c r="AD132" i="10"/>
  <c r="AD133" i="10"/>
  <c r="AD134" i="10"/>
  <c r="AD137" i="10"/>
  <c r="AD138" i="10"/>
  <c r="AD139" i="10"/>
  <c r="AD121" i="10" l="1"/>
  <c r="AD122" i="10"/>
  <c r="AD123" i="10"/>
  <c r="AD124" i="10"/>
  <c r="AD125" i="10"/>
  <c r="AD126" i="10"/>
  <c r="AD127" i="10"/>
  <c r="AD128" i="10"/>
  <c r="AD129" i="10"/>
  <c r="AD130" i="10"/>
  <c r="AD110" i="10" l="1"/>
  <c r="AD111" i="10"/>
  <c r="AD112" i="10"/>
  <c r="AD113" i="10"/>
  <c r="AD114" i="10"/>
  <c r="AD115" i="10"/>
  <c r="AD116" i="10"/>
  <c r="AD117" i="10"/>
  <c r="AD118" i="10"/>
  <c r="AD119" i="10"/>
  <c r="AD120" i="10"/>
  <c r="AD90" i="10" l="1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74" i="10" l="1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66" i="10" l="1"/>
  <c r="AD67" i="10"/>
  <c r="AD39" i="10" l="1"/>
  <c r="AD40" i="10"/>
  <c r="AD41" i="10"/>
  <c r="AD42" i="10"/>
  <c r="AD43" i="10"/>
  <c r="AD44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8" i="10"/>
  <c r="AD69" i="10"/>
  <c r="AD70" i="10"/>
  <c r="AD71" i="10"/>
  <c r="AD72" i="10"/>
  <c r="AD73" i="10"/>
  <c r="AD12" i="10" l="1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T1179" i="10"/>
  <c r="S1179" i="10"/>
  <c r="R1179" i="10"/>
  <c r="Q1179" i="10"/>
  <c r="P1179" i="10"/>
  <c r="O1179" i="10"/>
  <c r="N1179" i="10"/>
  <c r="M1179" i="10"/>
  <c r="L1179" i="10"/>
  <c r="K1179" i="10"/>
  <c r="J1179" i="10"/>
  <c r="I1179" i="10"/>
  <c r="AC478" i="10"/>
  <c r="AC982" i="10" s="1"/>
  <c r="AA478" i="10"/>
  <c r="AA982" i="10" s="1"/>
  <c r="Z478" i="10"/>
  <c r="Z982" i="10" s="1"/>
  <c r="Y478" i="10"/>
  <c r="Y982" i="10" s="1"/>
  <c r="X478" i="10"/>
  <c r="X982" i="10" s="1"/>
  <c r="W478" i="10"/>
  <c r="W982" i="10" s="1"/>
  <c r="V478" i="10"/>
  <c r="V982" i="10" s="1"/>
  <c r="U478" i="10"/>
  <c r="U982" i="10" s="1"/>
  <c r="T478" i="10"/>
  <c r="T982" i="10" s="1"/>
  <c r="S478" i="10"/>
  <c r="S982" i="10" s="1"/>
  <c r="R478" i="10"/>
  <c r="R982" i="10" s="1"/>
  <c r="Q478" i="10"/>
  <c r="Q982" i="10" s="1"/>
  <c r="P478" i="10"/>
  <c r="P982" i="10" s="1"/>
  <c r="O478" i="10"/>
  <c r="O982" i="10" s="1"/>
  <c r="N478" i="10"/>
  <c r="N982" i="10" s="1"/>
  <c r="M478" i="10"/>
  <c r="M982" i="10" s="1"/>
  <c r="L478" i="10"/>
  <c r="L982" i="10" s="1"/>
  <c r="AD11" i="10"/>
  <c r="W1179" i="10" l="1"/>
  <c r="AD982" i="10"/>
</calcChain>
</file>

<file path=xl/sharedStrings.xml><?xml version="1.0" encoding="utf-8"?>
<sst xmlns="http://schemas.openxmlformats.org/spreadsheetml/2006/main" count="12729" uniqueCount="7015">
  <si>
    <t>Particulars</t>
  </si>
  <si>
    <t>TIN Number</t>
  </si>
  <si>
    <t>OR Date</t>
  </si>
  <si>
    <t>Input VAT</t>
  </si>
  <si>
    <t>Cash</t>
  </si>
  <si>
    <t>Check Number</t>
  </si>
  <si>
    <t>Check Date</t>
  </si>
  <si>
    <t>DEBIT</t>
  </si>
  <si>
    <t>TOTAL</t>
  </si>
  <si>
    <t>Schedule of Expenses</t>
  </si>
  <si>
    <t>Check/Cash Voucher Number</t>
  </si>
  <si>
    <t>Information</t>
  </si>
  <si>
    <t>Supplier/Payee</t>
  </si>
  <si>
    <t>Checking</t>
  </si>
  <si>
    <t>AR/CR/OR Number</t>
  </si>
  <si>
    <t>DATE</t>
  </si>
  <si>
    <t>Cost of Goods Sold</t>
  </si>
  <si>
    <t>Rent Expense</t>
  </si>
  <si>
    <t>PLDT</t>
  </si>
  <si>
    <t>Petty Cash</t>
  </si>
  <si>
    <t>Commission</t>
  </si>
  <si>
    <t>Software</t>
  </si>
  <si>
    <t>Dividends Payable</t>
  </si>
  <si>
    <t>Government Contribution/Loan</t>
  </si>
  <si>
    <t>Meralco</t>
  </si>
  <si>
    <t>Support Allowance</t>
  </si>
  <si>
    <t>Various Expenses</t>
  </si>
  <si>
    <t>PO Number</t>
  </si>
  <si>
    <t>LF No.</t>
  </si>
  <si>
    <t>MBJJ Property Holding &amp; Dev't Corp</t>
  </si>
  <si>
    <t>Rosie Rosario</t>
  </si>
  <si>
    <t>Continuum Technology Corporation</t>
  </si>
  <si>
    <t>005-375-216-000</t>
  </si>
  <si>
    <t>Maritess Balanquit</t>
  </si>
  <si>
    <t>Jenlyn Araiz</t>
  </si>
  <si>
    <t>Jennifer Marcos</t>
  </si>
  <si>
    <t>001-248-183-000</t>
  </si>
  <si>
    <t>Panday Metal Industrial Corp</t>
  </si>
  <si>
    <t>004-475-296-000</t>
  </si>
  <si>
    <t>Mailyn Quibin</t>
  </si>
  <si>
    <t>Social Security System</t>
  </si>
  <si>
    <t>Fund Transfer</t>
  </si>
  <si>
    <t>Cash Advance</t>
  </si>
  <si>
    <t>Smart Communications, Inc</t>
  </si>
  <si>
    <t>Manila Electric Company</t>
  </si>
  <si>
    <t>Grand Tech Int'l Ent Corp</t>
  </si>
  <si>
    <t>Globe Telecom, Inc</t>
  </si>
  <si>
    <t>Ralph Martin Reyes</t>
  </si>
  <si>
    <t>VOID</t>
  </si>
  <si>
    <t>Ariel Busa</t>
  </si>
  <si>
    <t>Sunlife Insurance</t>
  </si>
  <si>
    <t>Daniel Morales</t>
  </si>
  <si>
    <t>Heritage Multi-Office Product, Inc</t>
  </si>
  <si>
    <t>Office supplies</t>
  </si>
  <si>
    <t>Syluxent Inc</t>
  </si>
  <si>
    <t>Fund transfer</t>
  </si>
  <si>
    <t>Marie Diane C. De Leon</t>
  </si>
  <si>
    <t>SYLUXENT, INC</t>
  </si>
  <si>
    <t>Petty cash</t>
  </si>
  <si>
    <t>Hermacus Corp</t>
  </si>
  <si>
    <t>Katalyst Diversified Industries, Corp</t>
  </si>
  <si>
    <t>008-467-360-00000</t>
  </si>
  <si>
    <t>LF0001</t>
  </si>
  <si>
    <t>Sales software</t>
  </si>
  <si>
    <t>Cash advance</t>
  </si>
  <si>
    <t>Rudelyn Macayan</t>
  </si>
  <si>
    <t>Marie Diane C. de Leon</t>
  </si>
  <si>
    <t>1st month rental</t>
  </si>
  <si>
    <t>2nd month rental</t>
  </si>
  <si>
    <t>3rd month rental</t>
  </si>
  <si>
    <t>4th month rental</t>
  </si>
  <si>
    <t>5th month rental</t>
  </si>
  <si>
    <t>6th month rental</t>
  </si>
  <si>
    <t>7th month rental</t>
  </si>
  <si>
    <t>8th month rental</t>
  </si>
  <si>
    <t>9th month rental</t>
  </si>
  <si>
    <t>10th month rental</t>
  </si>
  <si>
    <t>11th month rental</t>
  </si>
  <si>
    <t>12th month rental</t>
  </si>
  <si>
    <t>BDO</t>
  </si>
  <si>
    <t>Syluxent, Inc</t>
  </si>
  <si>
    <t>BDO Amortization</t>
  </si>
  <si>
    <t>Fund transfer to CBC</t>
  </si>
  <si>
    <t>Hoshitech Inc</t>
  </si>
  <si>
    <t>Paramount Computer System, Corp</t>
  </si>
  <si>
    <t>LF0004</t>
  </si>
  <si>
    <t>LF0002</t>
  </si>
  <si>
    <t>LF0003</t>
  </si>
  <si>
    <t>LF0005</t>
  </si>
  <si>
    <t>LF0006</t>
  </si>
  <si>
    <t>LF0007</t>
  </si>
  <si>
    <t>LF0008</t>
  </si>
  <si>
    <t>LF0009</t>
  </si>
  <si>
    <t>Car payment</t>
  </si>
  <si>
    <t>BDO Life Assurance Company, Inc</t>
  </si>
  <si>
    <t>LF0010</t>
  </si>
  <si>
    <t>LF0011</t>
  </si>
  <si>
    <t>LF0014</t>
  </si>
  <si>
    <t>LF0015</t>
  </si>
  <si>
    <t>LF0016</t>
  </si>
  <si>
    <t>LF0017</t>
  </si>
  <si>
    <t>LF0018</t>
  </si>
  <si>
    <t>LF0021</t>
  </si>
  <si>
    <t>LF0022</t>
  </si>
  <si>
    <t>LF0023</t>
  </si>
  <si>
    <t>LF0025</t>
  </si>
  <si>
    <t>LF0030</t>
  </si>
  <si>
    <t>LF0031</t>
  </si>
  <si>
    <t>LF0032</t>
  </si>
  <si>
    <t>Jimac Inc</t>
  </si>
  <si>
    <t>LF0026</t>
  </si>
  <si>
    <t>LF0027</t>
  </si>
  <si>
    <t>New World Diagnostics, Inc</t>
  </si>
  <si>
    <t>BDO Insurance</t>
  </si>
  <si>
    <t>PCF on deliveries</t>
  </si>
  <si>
    <t>Petty cash fund</t>
  </si>
  <si>
    <t>009-784-216-000</t>
  </si>
  <si>
    <t>10 windows 10 pro</t>
  </si>
  <si>
    <t>Programming fee</t>
  </si>
  <si>
    <t>30 cash drawer</t>
  </si>
  <si>
    <t>10 box 1ply journal paper</t>
  </si>
  <si>
    <t>Only @ PC Gilmore Computer Center, Inc</t>
  </si>
  <si>
    <t>008-387-110-001</t>
  </si>
  <si>
    <t>10 Windows 10 pro</t>
  </si>
  <si>
    <t>LF0024</t>
  </si>
  <si>
    <t>Rommel John Allam Javier</t>
  </si>
  <si>
    <t>Kimberly Roxas</t>
  </si>
  <si>
    <t>Sunfish HRA Consulting, Inc</t>
  </si>
  <si>
    <t>009-716-659-000</t>
  </si>
  <si>
    <t>5 Intel core i3</t>
  </si>
  <si>
    <t xml:space="preserve">Car payment </t>
  </si>
  <si>
    <t>30 TP Link Archer C6 router</t>
  </si>
  <si>
    <t>City Treasurer of Pasig</t>
  </si>
  <si>
    <t>Plus 50.00 na bank charge</t>
  </si>
  <si>
    <t>NOTES</t>
  </si>
  <si>
    <t>Car maintenance</t>
  </si>
  <si>
    <t>Phenomenal Solutions, Inc</t>
  </si>
  <si>
    <t>LF0012</t>
  </si>
  <si>
    <t>LF0013</t>
  </si>
  <si>
    <t>LF0019</t>
  </si>
  <si>
    <t>SSS</t>
  </si>
  <si>
    <t>Philteq Enterprise Inc</t>
  </si>
  <si>
    <t>24 barcode sticker</t>
  </si>
  <si>
    <t>Barcode sticker</t>
  </si>
  <si>
    <t>LF0020</t>
  </si>
  <si>
    <t>Dividend - Partial 2019</t>
  </si>
  <si>
    <t>Jimac, Inc</t>
  </si>
  <si>
    <t>Sunlife insurance</t>
  </si>
  <si>
    <t>LF0028</t>
  </si>
  <si>
    <t>LF0029</t>
  </si>
  <si>
    <t>Partial dividend - 2019</t>
  </si>
  <si>
    <t>2 box thermal paper</t>
  </si>
  <si>
    <t>Christmas giveaways</t>
  </si>
  <si>
    <t>008-909-992-008</t>
  </si>
  <si>
    <t>For the Year ended December 31, 2021</t>
  </si>
  <si>
    <t>Business Permit - 1st Quarter 2021</t>
  </si>
  <si>
    <t>SYL21-0001</t>
  </si>
  <si>
    <t>BDO-170473</t>
  </si>
  <si>
    <t>SYL21-0002</t>
  </si>
  <si>
    <t>SYL21-0003</t>
  </si>
  <si>
    <t>SYL21-0004</t>
  </si>
  <si>
    <t>SYL21-0005</t>
  </si>
  <si>
    <t>SYL21-0006</t>
  </si>
  <si>
    <t>SYL21-0007</t>
  </si>
  <si>
    <t>BDO-170474</t>
  </si>
  <si>
    <t>BDO-170475</t>
  </si>
  <si>
    <t>OR #13259</t>
  </si>
  <si>
    <t>Dec 17, 2020 billing</t>
  </si>
  <si>
    <t>SYL21-0008</t>
  </si>
  <si>
    <t>SYL21-0009</t>
  </si>
  <si>
    <t>SYL21-0010</t>
  </si>
  <si>
    <t>SYL21-0011</t>
  </si>
  <si>
    <t>SYL21-0012</t>
  </si>
  <si>
    <t>SYL21-0013</t>
  </si>
  <si>
    <t>SYL21-0014</t>
  </si>
  <si>
    <t>SYL21-0015</t>
  </si>
  <si>
    <t>SYL21-0016</t>
  </si>
  <si>
    <t>SYL21-0017</t>
  </si>
  <si>
    <t>Dec 2020 billing</t>
  </si>
  <si>
    <t>BDO-126404</t>
  </si>
  <si>
    <t>Contribution payment - Dec 2020</t>
  </si>
  <si>
    <t>Loan payment - Dec 2020</t>
  </si>
  <si>
    <t>Jan 10, 2021 billing</t>
  </si>
  <si>
    <t>5 star printer</t>
  </si>
  <si>
    <t>CR #7509; SI #28703</t>
  </si>
  <si>
    <t>10 box 1ply</t>
  </si>
  <si>
    <t>Back office fee - Dec 2020</t>
  </si>
  <si>
    <t>Sunfish HRA Consulting Inc</t>
  </si>
  <si>
    <t>SYL21-0018</t>
  </si>
  <si>
    <t>SYL21-0019</t>
  </si>
  <si>
    <t>SYL21-0020</t>
  </si>
  <si>
    <t>SYL21-0021</t>
  </si>
  <si>
    <t>SYL21-0022</t>
  </si>
  <si>
    <t>SYL21-0023</t>
  </si>
  <si>
    <t>SYL21-0024</t>
  </si>
  <si>
    <t>SYL21-0025</t>
  </si>
  <si>
    <t>SYL21-0026</t>
  </si>
  <si>
    <t>SYL21-0027</t>
  </si>
  <si>
    <t>SYL21-0028</t>
  </si>
  <si>
    <t>Dec 10, 2020 to Jan 9, 2021 billing</t>
  </si>
  <si>
    <t>Dec 11, 2020 to Jan 10, 2021 billing</t>
  </si>
  <si>
    <t>BDO-170476</t>
  </si>
  <si>
    <t>1601C &amp; 0619E - Dec 2020; 0605 - Jan 2021</t>
  </si>
  <si>
    <t>BDO-170478</t>
  </si>
  <si>
    <t>BDO-170479</t>
  </si>
  <si>
    <t>BDO-170480</t>
  </si>
  <si>
    <t>Dividend - Partial 2019 RUBEN E.</t>
  </si>
  <si>
    <t>Dec 16, 2020 to Jan 15, 2021 billing</t>
  </si>
  <si>
    <t>Sun billing - Dec 2020</t>
  </si>
  <si>
    <t>Globe/Smart, Sun</t>
  </si>
  <si>
    <t>SYL21-0029</t>
  </si>
  <si>
    <t>SYL21-0030</t>
  </si>
  <si>
    <t>SYL21-0031</t>
  </si>
  <si>
    <t>SYL21-0032</t>
  </si>
  <si>
    <t>SYL21-0033</t>
  </si>
  <si>
    <t>SYL21-0034</t>
  </si>
  <si>
    <t>SYL21-0035</t>
  </si>
  <si>
    <t>SYL21-0036</t>
  </si>
  <si>
    <t>SYL21-0037</t>
  </si>
  <si>
    <t>SYL21-0038</t>
  </si>
  <si>
    <t>SYL21-0039</t>
  </si>
  <si>
    <t xml:space="preserve">Excess service charge payment </t>
  </si>
  <si>
    <t>Tery Selection, Inc</t>
  </si>
  <si>
    <t>Service charge</t>
  </si>
  <si>
    <t>OR #099</t>
  </si>
  <si>
    <t>CR #0295; SI #0281</t>
  </si>
  <si>
    <t>Deposited, 1-25</t>
  </si>
  <si>
    <t>BDO-170481</t>
  </si>
  <si>
    <t>2550M - Dec 2020</t>
  </si>
  <si>
    <t>BDO-170482</t>
  </si>
  <si>
    <t>BDO-170483</t>
  </si>
  <si>
    <t>BDO-170484</t>
  </si>
  <si>
    <t>BDO-170485</t>
  </si>
  <si>
    <t>SI #25951</t>
  </si>
  <si>
    <t>SYL21-0040</t>
  </si>
  <si>
    <t>SYL21-0041</t>
  </si>
  <si>
    <t>SYL21-0042</t>
  </si>
  <si>
    <t>SYL21-0043</t>
  </si>
  <si>
    <t>SYL21-0044</t>
  </si>
  <si>
    <t>BDO-170486</t>
  </si>
  <si>
    <t>Jan 17, 2021 billing</t>
  </si>
  <si>
    <t>CR #17837; SI #21964</t>
  </si>
  <si>
    <t>SYL21-0045</t>
  </si>
  <si>
    <t>SYL21-0046</t>
  </si>
  <si>
    <t>SYL21-0047</t>
  </si>
  <si>
    <t>SYL21-0048</t>
  </si>
  <si>
    <t>SYL21-0049</t>
  </si>
  <si>
    <t>SYL21-0050</t>
  </si>
  <si>
    <t>SYL21-0051</t>
  </si>
  <si>
    <t>SYL21-0052</t>
  </si>
  <si>
    <t>SYL21-0053</t>
  </si>
  <si>
    <t>SYL21-0054</t>
  </si>
  <si>
    <t>SYL21-0055</t>
  </si>
  <si>
    <t>Excess payment</t>
  </si>
  <si>
    <t>Lexgran, Inc</t>
  </si>
  <si>
    <t>Royal Sporting House, Inc</t>
  </si>
  <si>
    <t>100 rolls thermal paper</t>
  </si>
  <si>
    <t>270 pcs star ribbon</t>
  </si>
  <si>
    <t>1 CD-ROM (office use); 1 32gb flash drive (office use); 5 apc ups</t>
  </si>
  <si>
    <t>Contribution payment - Jan 2021</t>
  </si>
  <si>
    <t>Loan payment - Jan 2021</t>
  </si>
  <si>
    <t>Smart billing - Jan 2021</t>
  </si>
  <si>
    <t>BDO-170487</t>
  </si>
  <si>
    <t>1601C &amp; 0619E - Jan 2021</t>
  </si>
  <si>
    <t>Marie Diane de Leon</t>
  </si>
  <si>
    <t>SI #7502</t>
  </si>
  <si>
    <t>SI #11255</t>
  </si>
  <si>
    <t>BDO-170488</t>
  </si>
  <si>
    <t>Back office fee - Jan 2021</t>
  </si>
  <si>
    <t>CR #0496; SI #4127</t>
  </si>
  <si>
    <t>SYL21-0056</t>
  </si>
  <si>
    <t>SYL21-0057</t>
  </si>
  <si>
    <t>SYL21-0058</t>
  </si>
  <si>
    <t>SYL21-0059</t>
  </si>
  <si>
    <t>SYL21-0060</t>
  </si>
  <si>
    <t>SYL21-0061</t>
  </si>
  <si>
    <t>SYL21-0062</t>
  </si>
  <si>
    <t>SYL21-0063</t>
  </si>
  <si>
    <t>SYL21-0064</t>
  </si>
  <si>
    <t>SYL21-0065</t>
  </si>
  <si>
    <t>SYL21-0066</t>
  </si>
  <si>
    <t>SYL21-0067</t>
  </si>
  <si>
    <t>SYL21-0068</t>
  </si>
  <si>
    <t>SYL21-0069</t>
  </si>
  <si>
    <t>SYL21-0070</t>
  </si>
  <si>
    <t>SYL21-0071</t>
  </si>
  <si>
    <t>SYL21-0072</t>
  </si>
  <si>
    <t>SYL21-0073</t>
  </si>
  <si>
    <t>SYL21-0074</t>
  </si>
  <si>
    <t>SYL21-0075</t>
  </si>
  <si>
    <t>SYL21-0076</t>
  </si>
  <si>
    <t>SYL21-0077</t>
  </si>
  <si>
    <t>SYL21-0078</t>
  </si>
  <si>
    <t>SYL21-0079</t>
  </si>
  <si>
    <t>Sun billing - Jan 2021</t>
  </si>
  <si>
    <t>CR #2076; SI #2500</t>
  </si>
  <si>
    <t>5 PT-TS 1501 touchscreen monitor</t>
  </si>
  <si>
    <t>Alphapos, Inc</t>
  </si>
  <si>
    <t>009-565-109-000</t>
  </si>
  <si>
    <t>Jan 16 to Feb 15, 2021 billing</t>
  </si>
  <si>
    <t>Jan 11 to Feb 10, 2021 billing</t>
  </si>
  <si>
    <t>BDO-170491</t>
  </si>
  <si>
    <t>BDO-170489</t>
  </si>
  <si>
    <t>2550M - Jan 2021</t>
  </si>
  <si>
    <t>Jan 10 to Feb 9, 2021 billing</t>
  </si>
  <si>
    <t>Feb 10, 2021 billing</t>
  </si>
  <si>
    <t>Teamviewer 2021 to 2020</t>
  </si>
  <si>
    <t>SI #2106311181</t>
  </si>
  <si>
    <t>Bookkeeping fee - Oct to Dec 2020</t>
  </si>
  <si>
    <t>3 Epson TMU220B LAN printer</t>
  </si>
  <si>
    <t>CR #0205; SI #0291</t>
  </si>
  <si>
    <t>CR #0204; SI #0284</t>
  </si>
  <si>
    <t>OR #106</t>
  </si>
  <si>
    <t>10 EOS mini cpu i5</t>
  </si>
  <si>
    <t>10 Epson TMU220d USB printer</t>
  </si>
  <si>
    <t>SYL21-0080</t>
  </si>
  <si>
    <t>SYL21-0081</t>
  </si>
  <si>
    <t>SYL21-0082</t>
  </si>
  <si>
    <t>SYL21-0083</t>
  </si>
  <si>
    <t>SYL21-0084</t>
  </si>
  <si>
    <t>SYL21-0085</t>
  </si>
  <si>
    <t>SYL21-0086</t>
  </si>
  <si>
    <t>Moderna vaccine</t>
  </si>
  <si>
    <t>BDO-170493</t>
  </si>
  <si>
    <t>BDO-170492</t>
  </si>
  <si>
    <t>OR #13582</t>
  </si>
  <si>
    <t>BDO-170494</t>
  </si>
  <si>
    <t>Rhenzo Matugas</t>
  </si>
  <si>
    <t>CR #17291; SI #22198</t>
  </si>
  <si>
    <t>CR #0212; SI #0292</t>
  </si>
  <si>
    <t>BDO-170495</t>
  </si>
  <si>
    <t>Dividend</t>
  </si>
  <si>
    <t>Service charge incentive - 4th Q 2020</t>
  </si>
  <si>
    <t>SYL21-0087</t>
  </si>
  <si>
    <t>SYL21-0088</t>
  </si>
  <si>
    <t>SYL21-0089</t>
  </si>
  <si>
    <t>SYL21-0090</t>
  </si>
  <si>
    <t>SYL21-0091</t>
  </si>
  <si>
    <t>BDO-170496</t>
  </si>
  <si>
    <t>3 Epson TMU220B USB printer</t>
  </si>
  <si>
    <t>Feb 17, 2021 billing</t>
  </si>
  <si>
    <t>BDO-170497</t>
  </si>
  <si>
    <t>1601C &amp; 0619E - Feb 2021</t>
  </si>
  <si>
    <t>Feb 2021 billing</t>
  </si>
  <si>
    <t>SYL21-0092</t>
  </si>
  <si>
    <t>SYL21-0093</t>
  </si>
  <si>
    <t>SYL21-0094</t>
  </si>
  <si>
    <t>SYL21-0095</t>
  </si>
  <si>
    <t>SYL21-0096</t>
  </si>
  <si>
    <t>SYL21-0097</t>
  </si>
  <si>
    <t>SYL21-0098</t>
  </si>
  <si>
    <t>2 power supply-5,600; 2 diagnostic fee-1,000</t>
  </si>
  <si>
    <t>1 ribbon shaft</t>
  </si>
  <si>
    <t>BDO-170498</t>
  </si>
  <si>
    <t>Audit fee - DP</t>
  </si>
  <si>
    <t>CR #0214; SI #0304</t>
  </si>
  <si>
    <t>CR #0213; SI #0301</t>
  </si>
  <si>
    <t>AR #2021-0309</t>
  </si>
  <si>
    <t>AR #2021-0310</t>
  </si>
  <si>
    <t>SYL21-0099</t>
  </si>
  <si>
    <t>SYL21-0100</t>
  </si>
  <si>
    <t>SYL21-0101</t>
  </si>
  <si>
    <t>SYL21-0102</t>
  </si>
  <si>
    <t>SYL21-0103</t>
  </si>
  <si>
    <t>SYL21-0104</t>
  </si>
  <si>
    <t>SYL21-0105</t>
  </si>
  <si>
    <t>March 10, 2021 billing</t>
  </si>
  <si>
    <t>Feb 11 to March 10, 2021 billing</t>
  </si>
  <si>
    <t>Feb 9 to March 10, 2021 billing</t>
  </si>
  <si>
    <t>Loan payment - Feb 2021</t>
  </si>
  <si>
    <t>Contribution payment - Feb 2021</t>
  </si>
  <si>
    <t>50 booklets SAF</t>
  </si>
  <si>
    <t>Oneway Commercial Printing and Trading Co Inc</t>
  </si>
  <si>
    <t>SYL21-0106</t>
  </si>
  <si>
    <t>SYL21-0107</t>
  </si>
  <si>
    <t>SYL21-0108</t>
  </si>
  <si>
    <t>SYL21-0109</t>
  </si>
  <si>
    <t>SYL21-0110</t>
  </si>
  <si>
    <t>SYL21-0111</t>
  </si>
  <si>
    <t>SYL21-0112</t>
  </si>
  <si>
    <t>SYL21-0113</t>
  </si>
  <si>
    <t>SYL21-0114</t>
  </si>
  <si>
    <t>SYL21-0115</t>
  </si>
  <si>
    <t>SYL21-0116</t>
  </si>
  <si>
    <t>SYL21-0117</t>
  </si>
  <si>
    <t>SYL21-0118</t>
  </si>
  <si>
    <t>SYL21-0119</t>
  </si>
  <si>
    <t>SYL21-0120</t>
  </si>
  <si>
    <t>SYL21-0121</t>
  </si>
  <si>
    <t>BDO-170499</t>
  </si>
  <si>
    <t>2550M - Feb 2021</t>
  </si>
  <si>
    <t>Marie Diane De Leon</t>
  </si>
  <si>
    <t>Back office support fee - Feb 2021</t>
  </si>
  <si>
    <t>OR #683326</t>
  </si>
  <si>
    <t>Annual medical fee</t>
  </si>
  <si>
    <t>Feb 16 to Mar 15, 2021 billing</t>
  </si>
  <si>
    <t>BDO-170500</t>
  </si>
  <si>
    <t>BDO-170501</t>
  </si>
  <si>
    <t>Fire extinguisher refill</t>
  </si>
  <si>
    <t>Sixth Company</t>
  </si>
  <si>
    <t>010-562-650-00000</t>
  </si>
  <si>
    <t>5 posiflex customer display</t>
  </si>
  <si>
    <t>1 TB external HD - 3,000; 1 500GB HD - 2,600</t>
  </si>
  <si>
    <t>OR #2165</t>
  </si>
  <si>
    <t>SI #0156; CR #0451</t>
  </si>
  <si>
    <t>SI #142366; CR #18437</t>
  </si>
  <si>
    <t>CR #12746; SI #26504</t>
  </si>
  <si>
    <t>CR #0826; SI #4360</t>
  </si>
  <si>
    <t>SYL21-0122</t>
  </si>
  <si>
    <t>SYL21-0123</t>
  </si>
  <si>
    <t>SYL21-0124</t>
  </si>
  <si>
    <t>SYL21-0125</t>
  </si>
  <si>
    <t>SYL21-0126</t>
  </si>
  <si>
    <t>SYL21-0127</t>
  </si>
  <si>
    <t>SYL21-0128</t>
  </si>
  <si>
    <t>SYL21-0129</t>
  </si>
  <si>
    <t>SYL21-0130</t>
  </si>
  <si>
    <t>SYL21-0131</t>
  </si>
  <si>
    <t>SYL21-0132</t>
  </si>
  <si>
    <t>SYL21-0133</t>
  </si>
  <si>
    <t>SYL21-0134</t>
  </si>
  <si>
    <t>SYL21-0135</t>
  </si>
  <si>
    <t>SYL21-0136</t>
  </si>
  <si>
    <t>SYL21-0137</t>
  </si>
  <si>
    <t>SYL21-0138</t>
  </si>
  <si>
    <t>SYL21-0139</t>
  </si>
  <si>
    <t>Mar 11 to Apr 10, 2021 billing</t>
  </si>
  <si>
    <t>Mar 10 to Apr 9, 2021 billing</t>
  </si>
  <si>
    <t>March 2021 billing</t>
  </si>
  <si>
    <t>April 10, 2021 billing</t>
  </si>
  <si>
    <t>Mar 17, 2021 billing</t>
  </si>
  <si>
    <t>BDO-126409</t>
  </si>
  <si>
    <t>Ryan Angelo Fabile</t>
  </si>
  <si>
    <t>BDO-170505</t>
  </si>
  <si>
    <t>1601C &amp; 0619E - Mar 2021</t>
  </si>
  <si>
    <t>BDO-126408</t>
  </si>
  <si>
    <t>Partial dividend 2019 - Ruben E.</t>
  </si>
  <si>
    <t>BDO-170504</t>
  </si>
  <si>
    <t>BDO-170503</t>
  </si>
  <si>
    <t>BDO-170502</t>
  </si>
  <si>
    <t>BDO-126406</t>
  </si>
  <si>
    <t>BDO-126405</t>
  </si>
  <si>
    <t>Joanne Zapanta</t>
  </si>
  <si>
    <t>BDO-170506</t>
  </si>
  <si>
    <t>Loan payment - Mar 2021</t>
  </si>
  <si>
    <t>Contribution payment - Mar 2021</t>
  </si>
  <si>
    <t>Mar 16 to Apr 15, 2021 billing</t>
  </si>
  <si>
    <t>CR #0220SI #0337</t>
  </si>
  <si>
    <t>OR #115</t>
  </si>
  <si>
    <t>CR #0219; SI #0335</t>
  </si>
  <si>
    <t>CR #18509; SI #22399</t>
  </si>
  <si>
    <t>Back office support - Mar 2021</t>
  </si>
  <si>
    <t>OR #116</t>
  </si>
  <si>
    <t>SYL21-0140</t>
  </si>
  <si>
    <t>SYL21-0141</t>
  </si>
  <si>
    <t>SYL21-0142</t>
  </si>
  <si>
    <t>SYL21-0143</t>
  </si>
  <si>
    <t>SYL21-0144</t>
  </si>
  <si>
    <t>SYL21-0145</t>
  </si>
  <si>
    <t>SYL21-0146</t>
  </si>
  <si>
    <t>SYL21-0147</t>
  </si>
  <si>
    <t>Sun billing - Mar 2021</t>
  </si>
  <si>
    <t>CR #7922; SI #31403</t>
  </si>
  <si>
    <t>CR #7923; SI #31329</t>
  </si>
  <si>
    <t>CR #7924; SI #31341</t>
  </si>
  <si>
    <t>CR #7679; SI #28975</t>
  </si>
  <si>
    <t>BDO-170508</t>
  </si>
  <si>
    <t>2550Q - Mar 2021</t>
  </si>
  <si>
    <t>Final pay</t>
  </si>
  <si>
    <t>Kim Francis Cetro</t>
  </si>
  <si>
    <t>72 rolls barcode sticker</t>
  </si>
  <si>
    <t>SYL21-0148</t>
  </si>
  <si>
    <t>SYL21-0149</t>
  </si>
  <si>
    <t>SYL21-0150</t>
  </si>
  <si>
    <t>SYL21-0151</t>
  </si>
  <si>
    <t>SYL21-0152</t>
  </si>
  <si>
    <t>SYL21-0153</t>
  </si>
  <si>
    <t>SYL21-0154</t>
  </si>
  <si>
    <t>SYL21-0155</t>
  </si>
  <si>
    <t>SYL21-0156</t>
  </si>
  <si>
    <t>BDO-170509</t>
  </si>
  <si>
    <t>OR #13853</t>
  </si>
  <si>
    <t xml:space="preserve">LOMI HOUSE - Diagnostic and repair fee </t>
  </si>
  <si>
    <t>WHAT THE TEA - Diagnostic fee</t>
  </si>
  <si>
    <t>AR #2021-0507</t>
  </si>
  <si>
    <t>CR #0228; SI #0346</t>
  </si>
  <si>
    <t>BDO-170511</t>
  </si>
  <si>
    <t>SYL21-0157</t>
  </si>
  <si>
    <t>SYL21-0158</t>
  </si>
  <si>
    <t>SYL21-0159</t>
  </si>
  <si>
    <t>SYL21-0160</t>
  </si>
  <si>
    <t>SYL21-0161</t>
  </si>
  <si>
    <t>SYL21-0162</t>
  </si>
  <si>
    <t>BDO-170512</t>
  </si>
  <si>
    <t>Partial dividend - 2020</t>
  </si>
  <si>
    <t>BDO-170510</t>
  </si>
  <si>
    <t>1601C &amp; 0619E - Apr 2021</t>
  </si>
  <si>
    <t>April 2021 billing</t>
  </si>
  <si>
    <t>Contribution payment - April 2021</t>
  </si>
  <si>
    <t>Loan payment - April 2021</t>
  </si>
  <si>
    <t xml:space="preserve">8gb ram </t>
  </si>
  <si>
    <t>Apr 17, 2021 billing</t>
  </si>
  <si>
    <t>AR #2021-0514</t>
  </si>
  <si>
    <t>SYL21-0163</t>
  </si>
  <si>
    <t>SYL21-0164</t>
  </si>
  <si>
    <t>SYL21-0165</t>
  </si>
  <si>
    <t>SYL21-0166</t>
  </si>
  <si>
    <t>SYL21-0167</t>
  </si>
  <si>
    <t>SYL21-0168</t>
  </si>
  <si>
    <t>SYL21-0169</t>
  </si>
  <si>
    <t>SYL21-0170</t>
  </si>
  <si>
    <t>SYL21-0171</t>
  </si>
  <si>
    <t>SYL21-0172</t>
  </si>
  <si>
    <t>SYL21-0173</t>
  </si>
  <si>
    <t>SYL21-0174</t>
  </si>
  <si>
    <t>SYL21-0175</t>
  </si>
  <si>
    <t>SYL21-0176</t>
  </si>
  <si>
    <t>SYL21-0177</t>
  </si>
  <si>
    <t>SYL21-0178</t>
  </si>
  <si>
    <t>SYL21-0179</t>
  </si>
  <si>
    <t>SYL21-0180</t>
  </si>
  <si>
    <t>SYL21-0181</t>
  </si>
  <si>
    <t>SYL21-0182</t>
  </si>
  <si>
    <t>SYL21-0183</t>
  </si>
  <si>
    <t>SYL21-0184</t>
  </si>
  <si>
    <t>SYL21-0185</t>
  </si>
  <si>
    <t>SYL21-0186</t>
  </si>
  <si>
    <t>SYL21-0187</t>
  </si>
  <si>
    <t>SYL21-0188</t>
  </si>
  <si>
    <t>SYL21-0189</t>
  </si>
  <si>
    <t>SYL21-0190</t>
  </si>
  <si>
    <t>SYL21-0191</t>
  </si>
  <si>
    <t>SYL21-0192</t>
  </si>
  <si>
    <t>SYL21-0193</t>
  </si>
  <si>
    <t>SYL21-0194</t>
  </si>
  <si>
    <t>SYL21-0195</t>
  </si>
  <si>
    <t>SYL21-0196</t>
  </si>
  <si>
    <t>SYL21-0197</t>
  </si>
  <si>
    <t>SYL21-0198</t>
  </si>
  <si>
    <t>SYL21-0199</t>
  </si>
  <si>
    <t>SYL21-0200</t>
  </si>
  <si>
    <t>SYL21-0201</t>
  </si>
  <si>
    <t>SYL21-0202</t>
  </si>
  <si>
    <t>SYL21-0203</t>
  </si>
  <si>
    <t>SYL21-0204</t>
  </si>
  <si>
    <t>SYL21-0205</t>
  </si>
  <si>
    <t>SYL21-0206</t>
  </si>
  <si>
    <t>SYL21-0207</t>
  </si>
  <si>
    <t>SYL21-0208</t>
  </si>
  <si>
    <t>SYL21-0209</t>
  </si>
  <si>
    <t>SYL21-0210</t>
  </si>
  <si>
    <t>SYL21-0211</t>
  </si>
  <si>
    <t>SYL21-0212</t>
  </si>
  <si>
    <t>SYL21-0213</t>
  </si>
  <si>
    <t>SYL21-0214</t>
  </si>
  <si>
    <t>SYL21-0215</t>
  </si>
  <si>
    <t>SYL21-0216</t>
  </si>
  <si>
    <t>SYL21-0217</t>
  </si>
  <si>
    <t>SYL21-0218</t>
  </si>
  <si>
    <t>SYL21-0219</t>
  </si>
  <si>
    <t>SYL21-0220</t>
  </si>
  <si>
    <t>SYL21-0221</t>
  </si>
  <si>
    <t>SYL21-0222</t>
  </si>
  <si>
    <t>SYL21-0223</t>
  </si>
  <si>
    <t>SYL21-0224</t>
  </si>
  <si>
    <t>SYL21-0225</t>
  </si>
  <si>
    <t>SYL21-0226</t>
  </si>
  <si>
    <t>SYL21-0227</t>
  </si>
  <si>
    <t>SYL21-0228</t>
  </si>
  <si>
    <t>SYL21-0229</t>
  </si>
  <si>
    <t>SYL21-0230</t>
  </si>
  <si>
    <t>SYL21-0231</t>
  </si>
  <si>
    <t>SYL21-0232</t>
  </si>
  <si>
    <t>SYL21-0233</t>
  </si>
  <si>
    <t>SYL21-0234</t>
  </si>
  <si>
    <t>SYL21-0235</t>
  </si>
  <si>
    <t>SYL21-0236</t>
  </si>
  <si>
    <t>SYL21-0237</t>
  </si>
  <si>
    <t>SYL21-0238</t>
  </si>
  <si>
    <t>SYL21-0239</t>
  </si>
  <si>
    <t>SYL21-0240</t>
  </si>
  <si>
    <t>SYL21-0241</t>
  </si>
  <si>
    <t>SYL21-0242</t>
  </si>
  <si>
    <t>SYL21-0243</t>
  </si>
  <si>
    <t>SYL21-0244</t>
  </si>
  <si>
    <t>SYL21-0245</t>
  </si>
  <si>
    <t>SYL21-0246</t>
  </si>
  <si>
    <t>SYL21-0247</t>
  </si>
  <si>
    <t>SYL21-0248</t>
  </si>
  <si>
    <t>SYL21-0249</t>
  </si>
  <si>
    <t>SYL21-0250</t>
  </si>
  <si>
    <t>SYL21-0251</t>
  </si>
  <si>
    <t>SYL21-0252</t>
  </si>
  <si>
    <t>SYL21-0253</t>
  </si>
  <si>
    <t>SYL21-0254</t>
  </si>
  <si>
    <t>SYL21-0255</t>
  </si>
  <si>
    <t>SYL21-0256</t>
  </si>
  <si>
    <t>SYL21-0257</t>
  </si>
  <si>
    <t>SYL21-0258</t>
  </si>
  <si>
    <t>SYL21-0259</t>
  </si>
  <si>
    <t>SYL21-0260</t>
  </si>
  <si>
    <t>SYL21-0261</t>
  </si>
  <si>
    <t>SYL21-0262</t>
  </si>
  <si>
    <t>SYL21-0263</t>
  </si>
  <si>
    <t>SYL21-0264</t>
  </si>
  <si>
    <t>SYL21-0265</t>
  </si>
  <si>
    <t>SYL21-0266</t>
  </si>
  <si>
    <t>SYL21-0267</t>
  </si>
  <si>
    <t>SYL21-0268</t>
  </si>
  <si>
    <t>Bookkeeping fee - Jan to Mar 2021</t>
  </si>
  <si>
    <t>BDO-170513</t>
  </si>
  <si>
    <t>ITR 2020</t>
  </si>
  <si>
    <t>BDO-170514</t>
  </si>
  <si>
    <t>Audit fee 2020 - FP</t>
  </si>
  <si>
    <t>Apr 11 to May 10, 2021 billing</t>
  </si>
  <si>
    <t>1 star printer/ 90 pcs star ribbon</t>
  </si>
  <si>
    <t>BDO-170515</t>
  </si>
  <si>
    <t>BDO-170518</t>
  </si>
  <si>
    <t>Apr 10 to May 9, 2021 billing</t>
  </si>
  <si>
    <t>Sun billng - Apr 2021</t>
  </si>
  <si>
    <t>Apr 16 to May 15, 2021 billing</t>
  </si>
  <si>
    <t>Back office support - Apr 2021</t>
  </si>
  <si>
    <t>BDO-170519</t>
  </si>
  <si>
    <t>2550M - Apr 2021</t>
  </si>
  <si>
    <t>BDO-170517</t>
  </si>
  <si>
    <t>3 Cubi i5</t>
  </si>
  <si>
    <t>SMILEE APPARREL - Service charge (2,000) &amp; ribbon shaft (700)</t>
  </si>
  <si>
    <t>BDO-170520</t>
  </si>
  <si>
    <t xml:space="preserve">6 APC UPS </t>
  </si>
  <si>
    <t>5 Epson TMU220D USB printer</t>
  </si>
  <si>
    <t>AR #5464; SI #31699</t>
  </si>
  <si>
    <t>CR #6211; SI #43395</t>
  </si>
  <si>
    <t>BDO-170521</t>
  </si>
  <si>
    <t>Car repair</t>
  </si>
  <si>
    <t>BDO-170522</t>
  </si>
  <si>
    <t xml:space="preserve">Assistance </t>
  </si>
  <si>
    <t>BDO-170523</t>
  </si>
  <si>
    <t>May 17, 2021 billing</t>
  </si>
  <si>
    <t>OR #13945</t>
  </si>
  <si>
    <t>OR #124</t>
  </si>
  <si>
    <t>CR #7541; SI #29166</t>
  </si>
  <si>
    <t>CR #0879; SI #4633</t>
  </si>
  <si>
    <t>AR #2021-0519</t>
  </si>
  <si>
    <t>BDO-170524</t>
  </si>
  <si>
    <t>BDO-170525</t>
  </si>
  <si>
    <t>CR #13954; SI #27496</t>
  </si>
  <si>
    <t>CR #0889; SI #4680</t>
  </si>
  <si>
    <t>CR #0890; SI #4681</t>
  </si>
  <si>
    <t>10 Kaspersky anti-virus</t>
  </si>
  <si>
    <t>10 Power supply; 25 keyboard &amp; mouse; 3 APC UPS; 1 Dlink 8port switch hub</t>
  </si>
  <si>
    <t>May 2021 billing</t>
  </si>
  <si>
    <t>Petty cash - Mailyn Quibin</t>
  </si>
  <si>
    <t>BDO-170526</t>
  </si>
  <si>
    <t>1601C &amp; 0619E - May 2021</t>
  </si>
  <si>
    <t>10 Epson printer</t>
  </si>
  <si>
    <t>Business Permit - 2nd Quarter 2021</t>
  </si>
  <si>
    <t>Contribution payment - May 2021</t>
  </si>
  <si>
    <t>Loan payment - May 2021</t>
  </si>
  <si>
    <t>1 ribbon shaft = 700; 1 printer head = 2,000</t>
  </si>
  <si>
    <t>Back office support fee - May 2021</t>
  </si>
  <si>
    <t>May 11 to June 10, 2021 billing</t>
  </si>
  <si>
    <t>Aircon repair</t>
  </si>
  <si>
    <t>BDO-170528</t>
  </si>
  <si>
    <t>BDO-170529</t>
  </si>
  <si>
    <t>May 10 to June 9, 2021 billing</t>
  </si>
  <si>
    <t>CR #0235; SI #0353</t>
  </si>
  <si>
    <t>OR #81699</t>
  </si>
  <si>
    <t>CR #0236; SI #0365</t>
  </si>
  <si>
    <t>Sun billing - May 2021</t>
  </si>
  <si>
    <t>CR #18622; SI #142816</t>
  </si>
  <si>
    <t>BDO-170530</t>
  </si>
  <si>
    <t>1 Cubi i5</t>
  </si>
  <si>
    <t>May 16 to June 15, 2021 billing</t>
  </si>
  <si>
    <t>BDO-126410</t>
  </si>
  <si>
    <t>OR #127</t>
  </si>
  <si>
    <t>BDO-170531</t>
  </si>
  <si>
    <t>2550M - May 2021</t>
  </si>
  <si>
    <t>6 PT-TS 1501 touchscreen monitor</t>
  </si>
  <si>
    <t>CR #2227; SI #2690</t>
  </si>
  <si>
    <t>3 Intel core I3</t>
  </si>
  <si>
    <t>CR #19204; SI #49720</t>
  </si>
  <si>
    <t>AR #5554; SI #31761</t>
  </si>
  <si>
    <t>Sales incentive - May 2019 &amp; July 2019</t>
  </si>
  <si>
    <t>BDO-170533</t>
  </si>
  <si>
    <t>2 Cubi i5</t>
  </si>
  <si>
    <t>BDO-170534</t>
  </si>
  <si>
    <t>BDO-170535</t>
  </si>
  <si>
    <t>Bookkeeping fee - April &amp; May 2021</t>
  </si>
  <si>
    <t>Bdo-170532</t>
  </si>
  <si>
    <t>CR #4836; SI #43570</t>
  </si>
  <si>
    <t>CR #18667; SI #142893</t>
  </si>
  <si>
    <t>BDO-170536</t>
  </si>
  <si>
    <t>BDO-170538</t>
  </si>
  <si>
    <t>Car insurance 2021</t>
  </si>
  <si>
    <t>BDO Insurance Brokers, Inc</t>
  </si>
  <si>
    <t>BDO-170539</t>
  </si>
  <si>
    <t>Dividend - 2020</t>
  </si>
  <si>
    <t>June 17, 2021 billing</t>
  </si>
  <si>
    <t>Deposited, 6-15</t>
  </si>
  <si>
    <t>CR #6631; SI #43687</t>
  </si>
  <si>
    <t>Deposited, 7-15</t>
  </si>
  <si>
    <t>June 11 to July 10, 2021 billing</t>
  </si>
  <si>
    <t>1601C and 0619E - June 2021</t>
  </si>
  <si>
    <t>June 2021 billing</t>
  </si>
  <si>
    <t>CR #4327; SI #4800</t>
  </si>
  <si>
    <t>Contribution payment - June 2021</t>
  </si>
  <si>
    <t>Loan payment - June 2021</t>
  </si>
  <si>
    <t>BDO-170540</t>
  </si>
  <si>
    <t>Deposited, 7-16</t>
  </si>
  <si>
    <t>Gift Gate, Inc</t>
  </si>
  <si>
    <t>000-092-083-071</t>
  </si>
  <si>
    <t>SI #009647</t>
  </si>
  <si>
    <t>Employee incentive</t>
  </si>
  <si>
    <t>Sun billing - June 2021</t>
  </si>
  <si>
    <t>BDO-170542</t>
  </si>
  <si>
    <t>BDO-170541</t>
  </si>
  <si>
    <t>BDO-170544</t>
  </si>
  <si>
    <t>2550Q - June 2021</t>
  </si>
  <si>
    <t>June 10 to July 9, 2021 billing</t>
  </si>
  <si>
    <t>June 16 to July 15, 2021 billing</t>
  </si>
  <si>
    <t>Back office support fee - June 2021</t>
  </si>
  <si>
    <t>BDO-170543</t>
  </si>
  <si>
    <t>Insurance 2021</t>
  </si>
  <si>
    <t>Sun Life of Canada Phils, Inc</t>
  </si>
  <si>
    <t>CR #4343; SI 4847</t>
  </si>
  <si>
    <t>OR #132</t>
  </si>
  <si>
    <t>CR #0246; SI #0377</t>
  </si>
  <si>
    <t>SYL21-0269</t>
  </si>
  <si>
    <t>SYL21-0270</t>
  </si>
  <si>
    <t>SYL21-0271</t>
  </si>
  <si>
    <t>SYL21-0272</t>
  </si>
  <si>
    <t>SYL21-0273</t>
  </si>
  <si>
    <t>SYL21-0274</t>
  </si>
  <si>
    <t>SYL21-0275</t>
  </si>
  <si>
    <t>SYL21-0276</t>
  </si>
  <si>
    <t>SYL21-0277</t>
  </si>
  <si>
    <t>SYL21-0278</t>
  </si>
  <si>
    <t>SYL21-0279</t>
  </si>
  <si>
    <t>SYL21-0280</t>
  </si>
  <si>
    <t>9 box 1ply; 2 box 2ply</t>
  </si>
  <si>
    <t>BDO-126411</t>
  </si>
  <si>
    <t>Service charge incentive</t>
  </si>
  <si>
    <t>1 Epson TMU220A printer</t>
  </si>
  <si>
    <t>25 Ribbon gear=1425; 20 printer head=17,190; 25 printer head cable=450</t>
  </si>
  <si>
    <t>1 Barcode label=500; 1 barcode sticker=500</t>
  </si>
  <si>
    <t>CR #19214; SI #31060</t>
  </si>
  <si>
    <t>CR #5651; SI #31937</t>
  </si>
  <si>
    <t>BDO-170545</t>
  </si>
  <si>
    <t>BDO-170546</t>
  </si>
  <si>
    <t>BDO-126412</t>
  </si>
  <si>
    <t>Newton Integrated Solutions, Inc</t>
  </si>
  <si>
    <t>004-449-533-00000</t>
  </si>
  <si>
    <t>1 Zebra printer GK420T</t>
  </si>
  <si>
    <t>CR #37547; SI #102517</t>
  </si>
  <si>
    <t>6 APC UPS</t>
  </si>
  <si>
    <t>CR #19369; SI #27496</t>
  </si>
  <si>
    <t>20 Cash drawer</t>
  </si>
  <si>
    <t>SYL21-0281</t>
  </si>
  <si>
    <t>SYL21-0282</t>
  </si>
  <si>
    <t>SYL21-0283</t>
  </si>
  <si>
    <t>SYL21-0284</t>
  </si>
  <si>
    <t>Sales incentive - Nov 2019</t>
  </si>
  <si>
    <t>1 Main logic board</t>
  </si>
  <si>
    <t>paid with cash</t>
  </si>
  <si>
    <t>CR #07913; SI #29439</t>
  </si>
  <si>
    <t>CR #5701; SI #31984</t>
  </si>
  <si>
    <t>BDO-170547</t>
  </si>
  <si>
    <t>SYL21-0285</t>
  </si>
  <si>
    <t>SYL21-0286</t>
  </si>
  <si>
    <t>SYL21-0287</t>
  </si>
  <si>
    <t>SYL21-0288</t>
  </si>
  <si>
    <t>BDO-170548</t>
  </si>
  <si>
    <t>July 2021 billing</t>
  </si>
  <si>
    <t>SYL21-0289</t>
  </si>
  <si>
    <t>SYL21-0290</t>
  </si>
  <si>
    <t>SYL21-0291</t>
  </si>
  <si>
    <t>SYL21-0292</t>
  </si>
  <si>
    <t>SYL21-0293</t>
  </si>
  <si>
    <t>SYL21-0294</t>
  </si>
  <si>
    <t>SYL21-0295</t>
  </si>
  <si>
    <t>SYL21-0296</t>
  </si>
  <si>
    <t>SYL21-0297</t>
  </si>
  <si>
    <t>SYL21-0298</t>
  </si>
  <si>
    <t>SYL21-0299</t>
  </si>
  <si>
    <t>SYL21-0300</t>
  </si>
  <si>
    <t>SYL21-0301</t>
  </si>
  <si>
    <t>SYL21-0302</t>
  </si>
  <si>
    <t>SYL21-0303</t>
  </si>
  <si>
    <t>SYL21-0304</t>
  </si>
  <si>
    <t>SYL21-0305</t>
  </si>
  <si>
    <t>SYL21-0306</t>
  </si>
  <si>
    <t>SYL21-0307</t>
  </si>
  <si>
    <t>SYL21-0308</t>
  </si>
  <si>
    <t>SYL21-0309</t>
  </si>
  <si>
    <t>SYL21-0310</t>
  </si>
  <si>
    <t>SYL21-0311</t>
  </si>
  <si>
    <t>SYL21-0312</t>
  </si>
  <si>
    <t>SYL21-0313</t>
  </si>
  <si>
    <t>SYL21-0314</t>
  </si>
  <si>
    <t>SYL21-0315</t>
  </si>
  <si>
    <t>SYL21-0316</t>
  </si>
  <si>
    <t>SYL21-0317</t>
  </si>
  <si>
    <t>SYL21-0318</t>
  </si>
  <si>
    <t>SYL21-0319</t>
  </si>
  <si>
    <t>SYL21-0320</t>
  </si>
  <si>
    <t>SYL21-0321</t>
  </si>
  <si>
    <t>SYL21-0322</t>
  </si>
  <si>
    <t>SYL21-0323</t>
  </si>
  <si>
    <t>SYL21-0324</t>
  </si>
  <si>
    <t>SYL21-0325</t>
  </si>
  <si>
    <t>SYL21-0326</t>
  </si>
  <si>
    <t>SYL21-0327</t>
  </si>
  <si>
    <t>SYL21-0328</t>
  </si>
  <si>
    <t>SYL21-0329</t>
  </si>
  <si>
    <t>SYL21-0330</t>
  </si>
  <si>
    <t>SYL21-0331</t>
  </si>
  <si>
    <t>SYL21-0332</t>
  </si>
  <si>
    <t>SYL21-0333</t>
  </si>
  <si>
    <t>SYL21-0334</t>
  </si>
  <si>
    <t>SYL21-0335</t>
  </si>
  <si>
    <t>SYL21-0336</t>
  </si>
  <si>
    <t>SYL21-0337</t>
  </si>
  <si>
    <t>SYL21-0338</t>
  </si>
  <si>
    <t>SYL21-0339</t>
  </si>
  <si>
    <t>SYL21-0340</t>
  </si>
  <si>
    <t>SYL21-0341</t>
  </si>
  <si>
    <t>SYL21-0342</t>
  </si>
  <si>
    <t>SYL21-0343</t>
  </si>
  <si>
    <t>SYL21-0344</t>
  </si>
  <si>
    <t>SYL21-0345</t>
  </si>
  <si>
    <t>SYL21-0346</t>
  </si>
  <si>
    <t>SYL21-0347</t>
  </si>
  <si>
    <t>SYL21-0348</t>
  </si>
  <si>
    <t>SYL21-0349</t>
  </si>
  <si>
    <t>SYL21-0350</t>
  </si>
  <si>
    <t>SYL21-0351</t>
  </si>
  <si>
    <t>SYL21-0352</t>
  </si>
  <si>
    <t>SYL21-0353</t>
  </si>
  <si>
    <t>SYL21-0354</t>
  </si>
  <si>
    <t>SYL21-0355</t>
  </si>
  <si>
    <t>SYL21-0356</t>
  </si>
  <si>
    <t>SYL21-0357</t>
  </si>
  <si>
    <t>SYL21-0358</t>
  </si>
  <si>
    <t>SYL21-0359</t>
  </si>
  <si>
    <t>SYL21-0360</t>
  </si>
  <si>
    <t>SYL21-0361</t>
  </si>
  <si>
    <t>SYL21-0362</t>
  </si>
  <si>
    <t>SYL21-0363</t>
  </si>
  <si>
    <t>SYL21-0364</t>
  </si>
  <si>
    <t>SYL21-0365</t>
  </si>
  <si>
    <t>SYL21-0366</t>
  </si>
  <si>
    <t>SYL21-0367</t>
  </si>
  <si>
    <t>SYL21-0368</t>
  </si>
  <si>
    <t>SYL21-0369</t>
  </si>
  <si>
    <t>SYL21-0370</t>
  </si>
  <si>
    <t>SYL21-0371</t>
  </si>
  <si>
    <t>SYL21-0372</t>
  </si>
  <si>
    <t>SYL21-0373</t>
  </si>
  <si>
    <t>SYL21-0374</t>
  </si>
  <si>
    <t>SYL21-0375</t>
  </si>
  <si>
    <t>SYL21-0376</t>
  </si>
  <si>
    <t>SYL21-0377</t>
  </si>
  <si>
    <t>SYL21-0378</t>
  </si>
  <si>
    <t>SYL21-0379</t>
  </si>
  <si>
    <t>SYL21-0380</t>
  </si>
  <si>
    <t>SYL21-0381</t>
  </si>
  <si>
    <t>SYL21-0382</t>
  </si>
  <si>
    <t>SYL21-0383</t>
  </si>
  <si>
    <t>SYL21-0384</t>
  </si>
  <si>
    <t>SYL21-0385</t>
  </si>
  <si>
    <t>SYL21-0386</t>
  </si>
  <si>
    <t>SYL21-0387</t>
  </si>
  <si>
    <t>SYL21-0388</t>
  </si>
  <si>
    <t>SYL21-0389</t>
  </si>
  <si>
    <t>SYL21-0390</t>
  </si>
  <si>
    <t>SYL21-0391</t>
  </si>
  <si>
    <t>SYL21-0392</t>
  </si>
  <si>
    <t>SYL21-0393</t>
  </si>
  <si>
    <t>SYL21-0394</t>
  </si>
  <si>
    <t>SYL21-0395</t>
  </si>
  <si>
    <t>SYL21-0396</t>
  </si>
  <si>
    <t>SYL21-0397</t>
  </si>
  <si>
    <t>SYL21-0398</t>
  </si>
  <si>
    <t>SYL21-0399</t>
  </si>
  <si>
    <t>SYL21-0400</t>
  </si>
  <si>
    <t>SYL21-0401</t>
  </si>
  <si>
    <t>SYL21-0402</t>
  </si>
  <si>
    <t>SYL21-0403</t>
  </si>
  <si>
    <t>SYL21-0404</t>
  </si>
  <si>
    <t>SYL21-0405</t>
  </si>
  <si>
    <t>SYL21-0406</t>
  </si>
  <si>
    <t>SYL21-0407</t>
  </si>
  <si>
    <t>SYL21-0408</t>
  </si>
  <si>
    <t>SYL21-0409</t>
  </si>
  <si>
    <t>SYL21-0410</t>
  </si>
  <si>
    <t>SYL21-0411</t>
  </si>
  <si>
    <t>SYL21-0412</t>
  </si>
  <si>
    <t>SYL21-0413</t>
  </si>
  <si>
    <t>SYL21-0414</t>
  </si>
  <si>
    <t>SYL21-0415</t>
  </si>
  <si>
    <t>SYL21-0416</t>
  </si>
  <si>
    <t>SYL21-0417</t>
  </si>
  <si>
    <t>SYL21-0418</t>
  </si>
  <si>
    <t>SYL21-0419</t>
  </si>
  <si>
    <t>SYL21-0420</t>
  </si>
  <si>
    <t>SYL21-0421</t>
  </si>
  <si>
    <t>SYL21-0422</t>
  </si>
  <si>
    <t>SYL21-0423</t>
  </si>
  <si>
    <t>SYL21-0424</t>
  </si>
  <si>
    <t>SYL21-0425</t>
  </si>
  <si>
    <t>SYL21-0426</t>
  </si>
  <si>
    <t>SYL21-0427</t>
  </si>
  <si>
    <t>SYL21-0428</t>
  </si>
  <si>
    <t>SYL21-0429</t>
  </si>
  <si>
    <t>SYL21-0430</t>
  </si>
  <si>
    <t>SYL21-0431</t>
  </si>
  <si>
    <t>SYL21-0432</t>
  </si>
  <si>
    <t>SYL21-0433</t>
  </si>
  <si>
    <t>SYL21-0434</t>
  </si>
  <si>
    <t>SYL21-0435</t>
  </si>
  <si>
    <t>SYL21-0436</t>
  </si>
  <si>
    <t>SYL21-0437</t>
  </si>
  <si>
    <t>SYL21-0438</t>
  </si>
  <si>
    <t>SYL21-0439</t>
  </si>
  <si>
    <t>SYL21-0440</t>
  </si>
  <si>
    <t>SYL21-0441</t>
  </si>
  <si>
    <t>SYL21-0442</t>
  </si>
  <si>
    <t>SYL21-0443</t>
  </si>
  <si>
    <t>CR #19303; SI #31227</t>
  </si>
  <si>
    <t>July 11 to Aug 10, 2021 billing</t>
  </si>
  <si>
    <t>Petty cash - Mailyn Q.</t>
  </si>
  <si>
    <t>Loan payment - July 2021</t>
  </si>
  <si>
    <t>July 16 to Aug 15, 2021 billing</t>
  </si>
  <si>
    <t>July 10 to Aug 9, 2021 billing</t>
  </si>
  <si>
    <t>BDO-170550</t>
  </si>
  <si>
    <t>2550M payment - July 2021</t>
  </si>
  <si>
    <t>July 17, 2021 billing</t>
  </si>
  <si>
    <t>BDO-170551</t>
  </si>
  <si>
    <t>Advanced medical assistance to Richard Dizon</t>
  </si>
  <si>
    <t>Richard Dizon</t>
  </si>
  <si>
    <t>BDO-170552</t>
  </si>
  <si>
    <t>BDO-170549</t>
  </si>
  <si>
    <t>Fund transfer ro CBC</t>
  </si>
  <si>
    <t>BDO-170554</t>
  </si>
  <si>
    <t>Sun billing - July 2021</t>
  </si>
  <si>
    <t>BDO-170555</t>
  </si>
  <si>
    <t>7 customer display</t>
  </si>
  <si>
    <t>OR #136</t>
  </si>
  <si>
    <t>Diagnostic fee=2,000; Ribbon shaft=700</t>
  </si>
  <si>
    <t>Inv 2021-08-0009A</t>
  </si>
  <si>
    <t>AR #5664; SI #39098</t>
  </si>
  <si>
    <t>CR #18787; SI #142240</t>
  </si>
  <si>
    <t>CR #0251; SI #0386</t>
  </si>
  <si>
    <t>Back office support fee - July 2021</t>
  </si>
  <si>
    <t>1601C &amp; 0619E - July 2021</t>
  </si>
  <si>
    <t>CR #4843; SI #43819</t>
  </si>
  <si>
    <t>216-165-870-000</t>
  </si>
  <si>
    <t>BDO-170556</t>
  </si>
  <si>
    <t>BDO-170557</t>
  </si>
  <si>
    <t>Car registration 2021</t>
  </si>
  <si>
    <t>BDO-170558</t>
  </si>
  <si>
    <t>BDO-170559</t>
  </si>
  <si>
    <t>BDO-170560</t>
  </si>
  <si>
    <t>BDO-170561</t>
  </si>
  <si>
    <t>CR #2351; SI #2835</t>
  </si>
  <si>
    <t>Aug 2021 billing</t>
  </si>
  <si>
    <t>Aug 17, 2021 billing</t>
  </si>
  <si>
    <t>1601C &amp; 0619E - Aug 2021</t>
  </si>
  <si>
    <t>007-980-489-00000</t>
  </si>
  <si>
    <t>CR #52671; SI #74836</t>
  </si>
  <si>
    <t>Medical reimbursement</t>
  </si>
  <si>
    <t>5 Epson TMU220D USB printer; 2 Epson TMU220B LAN printer</t>
  </si>
  <si>
    <t>Aug 10 to Sept 9, 2021 billing</t>
  </si>
  <si>
    <t>BDO-170563</t>
  </si>
  <si>
    <t>BDO-170562</t>
  </si>
  <si>
    <t>2550M - August 2021</t>
  </si>
  <si>
    <t>Aug 11 to Sept 10, 2021 billing</t>
  </si>
  <si>
    <t>BDO-126413</t>
  </si>
  <si>
    <t>AR #2194; BS #03948</t>
  </si>
  <si>
    <t>AR #2195; BS #03949</t>
  </si>
  <si>
    <t>Aug 16 to Sept 15, 2021 billing</t>
  </si>
  <si>
    <t>Sun billing - Aug 2021</t>
  </si>
  <si>
    <t>Refund</t>
  </si>
  <si>
    <t>Almusal Corp</t>
  </si>
  <si>
    <t>8 APC UPS</t>
  </si>
  <si>
    <t>Back office support fee - Aug 2021</t>
  </si>
  <si>
    <t>Power supply = 2,800; Service fee = 500</t>
  </si>
  <si>
    <t>BDO-170564</t>
  </si>
  <si>
    <t>Business Permit - 4th Quarter 2021</t>
  </si>
  <si>
    <t>OR #145</t>
  </si>
  <si>
    <t>SI #0408; CR #0260</t>
  </si>
  <si>
    <t>AR #2021-1005</t>
  </si>
  <si>
    <t>Bookkeeping fee - June to Aug 2021</t>
  </si>
  <si>
    <t>BDO-170568</t>
  </si>
  <si>
    <t>1601C &amp; 0619E - Sept 2021</t>
  </si>
  <si>
    <t>BDO-170566</t>
  </si>
  <si>
    <t>CR #19971; SI #50525</t>
  </si>
  <si>
    <t>BDO-170567</t>
  </si>
  <si>
    <t>BDO-170565</t>
  </si>
  <si>
    <t>CR #6212; SI #43887</t>
  </si>
  <si>
    <t>CR #2358; SI #2887</t>
  </si>
  <si>
    <t>10 Postech touchscreen monitor</t>
  </si>
  <si>
    <t>BDO - 126414</t>
  </si>
  <si>
    <t>Sept 2021 billing</t>
  </si>
  <si>
    <t>CR #1455; SI #5262</t>
  </si>
  <si>
    <t>5 LS2208 codsoft scanner</t>
  </si>
  <si>
    <t>5 Epson TMU220b Printer</t>
  </si>
  <si>
    <t>10 EOS mini CPU i5</t>
  </si>
  <si>
    <t>Sept 17, 2021 billing</t>
  </si>
  <si>
    <t>Sept 10 to Oct 9, 2021 billing</t>
  </si>
  <si>
    <t>Sept 11 to Oct 10, 2021 billing</t>
  </si>
  <si>
    <t>Sept 16 to Oct 15, 2021 billing</t>
  </si>
  <si>
    <t>BDO-170569</t>
  </si>
  <si>
    <t>5 Viewplus 18.5" monitor</t>
  </si>
  <si>
    <t>5 Customer display</t>
  </si>
  <si>
    <t>Modification</t>
  </si>
  <si>
    <t>Oct 10 to Nov 10, 2021 billing</t>
  </si>
  <si>
    <t>Sunlife accident insurance 2022</t>
  </si>
  <si>
    <t>AR #1947; BS #04024</t>
  </si>
  <si>
    <t>AR #1943; BS #04009</t>
  </si>
  <si>
    <t>CR #4580; SI #4949</t>
  </si>
  <si>
    <t>AR #1941; BS #04022</t>
  </si>
  <si>
    <t>BDO-170572</t>
  </si>
  <si>
    <t>6 rolls stretch film</t>
  </si>
  <si>
    <t>Cyre Packaging Supplies</t>
  </si>
  <si>
    <t>409-805-158-000</t>
  </si>
  <si>
    <t>BDO-170573</t>
  </si>
  <si>
    <t>OR #0014479</t>
  </si>
  <si>
    <t>Back office support fee - Sept 2021</t>
  </si>
  <si>
    <t>Additional sunlife insurance renewal</t>
  </si>
  <si>
    <t>BDO-170576</t>
  </si>
  <si>
    <t>BDO-170575</t>
  </si>
  <si>
    <t>CR #6221; SI #43930</t>
  </si>
  <si>
    <t>CR #53440; SI #75992</t>
  </si>
  <si>
    <t>AR #5700; SI #32160</t>
  </si>
  <si>
    <t>AR #5699; SI #32200</t>
  </si>
  <si>
    <t>270 Star ribbon</t>
  </si>
  <si>
    <t>10 Epson Printer</t>
  </si>
  <si>
    <t>CTC Solutions Technology, Inc</t>
  </si>
  <si>
    <t>010-393-332-000</t>
  </si>
  <si>
    <t>AR #1950</t>
  </si>
  <si>
    <t>BDO-170570</t>
  </si>
  <si>
    <t>BDO-170571</t>
  </si>
  <si>
    <t>Sun billing - Oct 2021</t>
  </si>
  <si>
    <t>CR #19022; SI #143665</t>
  </si>
  <si>
    <t>25 Star printer</t>
  </si>
  <si>
    <t>BDO-170578</t>
  </si>
  <si>
    <t>Full dividend - 2020</t>
  </si>
  <si>
    <t>BDO-170577</t>
  </si>
  <si>
    <t>CR #08092; SI #29625</t>
  </si>
  <si>
    <t>CR #08091; SI #29672</t>
  </si>
  <si>
    <t>CR #0149; SI #0232</t>
  </si>
  <si>
    <t>Oct 2021 billing</t>
  </si>
  <si>
    <t>CR #4532; SI #4951</t>
  </si>
  <si>
    <t>Oct 17, 2021 billing</t>
  </si>
  <si>
    <t>30 TP Link archer c64 routers</t>
  </si>
  <si>
    <t>5 Epson printers</t>
  </si>
  <si>
    <t>CR #0267; SI #0435</t>
  </si>
  <si>
    <t>OR #0154</t>
  </si>
  <si>
    <t>CR #0268; SI #0436</t>
  </si>
  <si>
    <t>Oct 11 to Nov 10, 2021 billing</t>
  </si>
  <si>
    <t>BDO-170579</t>
  </si>
  <si>
    <t>BDO-170580</t>
  </si>
  <si>
    <t>4 box 1ply; 5 box 2 ply</t>
  </si>
  <si>
    <t>10 power supply; 5 dlink 8port; 10 kaspersky anti-virus</t>
  </si>
  <si>
    <t>Back office support fee - Oct 2021</t>
  </si>
  <si>
    <t>Oct 10 to Nov 9, 2021 billing</t>
  </si>
  <si>
    <t>Oct 16 to Nov 15, 2021 billing</t>
  </si>
  <si>
    <t>Lenovo tablet for testing</t>
  </si>
  <si>
    <t>Gaisano Interpace Computer System</t>
  </si>
  <si>
    <t>000-273-941-00001</t>
  </si>
  <si>
    <t>CR #1127; SI #5459</t>
  </si>
  <si>
    <t>CR #16035; SI #30216</t>
  </si>
  <si>
    <t>SI #46195</t>
  </si>
  <si>
    <t>BDO-170582</t>
  </si>
  <si>
    <t>CR #0090; SI #0111</t>
  </si>
  <si>
    <t>CR #0089; SI #0244</t>
  </si>
  <si>
    <t>BDO-170581</t>
  </si>
  <si>
    <t>OR #0014579</t>
  </si>
  <si>
    <t>CR #19964; SI #32201</t>
  </si>
  <si>
    <t>2 Epson TMU220B LAN; 8 Epson TMU220D USB</t>
  </si>
  <si>
    <t>OR #0158</t>
  </si>
  <si>
    <t>CR #0274SI #0444</t>
  </si>
  <si>
    <t>7 Viewplus monitor</t>
  </si>
  <si>
    <t>CR #1573; SI #5544</t>
  </si>
  <si>
    <t>CR #1574; SI #5545</t>
  </si>
  <si>
    <t>Nov 17, 2021 billing</t>
  </si>
  <si>
    <t>20 Keyboard &amp; mouse</t>
  </si>
  <si>
    <t>Nov 2021 billing</t>
  </si>
  <si>
    <t>Nov 11 to Dec 10, 2021 billing</t>
  </si>
  <si>
    <t>Nov 10 to Dec 9, 2021 billing</t>
  </si>
  <si>
    <t>CR #2378; SI #3005</t>
  </si>
  <si>
    <t>Southeastasia Retail Inc</t>
  </si>
  <si>
    <t>Deposited, 12-14</t>
  </si>
  <si>
    <t>CR #1575; SI #5546</t>
  </si>
  <si>
    <t>Bookkeeping fee - Sept &amp; Oct 2021</t>
  </si>
  <si>
    <t>FORM 2307</t>
  </si>
  <si>
    <t>BDO-170583</t>
  </si>
  <si>
    <t>5 Intel core I3</t>
  </si>
  <si>
    <t>CR #20387; SI #50970</t>
  </si>
  <si>
    <t>AR #0114; SI #0400</t>
  </si>
  <si>
    <t>4 MSI Cubi i5</t>
  </si>
  <si>
    <t>CR #6223; SI #43973</t>
  </si>
  <si>
    <t>2 rolls barcode sticker &amp; 2 rolls ribbon</t>
  </si>
  <si>
    <t>BDO-170584</t>
  </si>
  <si>
    <t>Sun billing - Dec 2021</t>
  </si>
  <si>
    <t>Back office support - Nov 2021</t>
  </si>
  <si>
    <t>OR #161</t>
  </si>
  <si>
    <t>3 Epson TMU220B USB printer; 10 Epson TMU220D USB printer</t>
  </si>
  <si>
    <t>10 Epson T82X printer</t>
  </si>
  <si>
    <t>2 Epson T82X printer; 2 Epson TMU220A USB printer</t>
  </si>
  <si>
    <t>CR #20305; SI #32628</t>
  </si>
  <si>
    <t>Cash assistance to Jonathan E. (Cebu support)</t>
  </si>
  <si>
    <t>AR #2237; BS #04057</t>
  </si>
  <si>
    <t>For the Year ended December 31, 2022</t>
  </si>
  <si>
    <t>SYL22-0001</t>
  </si>
  <si>
    <t>SYL22-0002</t>
  </si>
  <si>
    <t>SYL22-0003</t>
  </si>
  <si>
    <t>SYL22-0004</t>
  </si>
  <si>
    <t>SYL22-0005</t>
  </si>
  <si>
    <t>SYL22-0006</t>
  </si>
  <si>
    <t>SYL22-0007</t>
  </si>
  <si>
    <t>BDO-170585</t>
  </si>
  <si>
    <t>BDO-170586</t>
  </si>
  <si>
    <t>OR #0054033</t>
  </si>
  <si>
    <t>SYL22-0008</t>
  </si>
  <si>
    <t>SYL22-0009</t>
  </si>
  <si>
    <t>SYL22-0010</t>
  </si>
  <si>
    <t>SYL22-0011</t>
  </si>
  <si>
    <t>SYL22-0012</t>
  </si>
  <si>
    <t>SYL22-0013</t>
  </si>
  <si>
    <t>10 Epson TMU220D USB printer</t>
  </si>
  <si>
    <t>1 Epson T82X printer</t>
  </si>
  <si>
    <t>SYL22-0014</t>
  </si>
  <si>
    <t>SYL22-0015</t>
  </si>
  <si>
    <t>SYL22-0016</t>
  </si>
  <si>
    <t>SYL22-0017</t>
  </si>
  <si>
    <t>SYL22-0018</t>
  </si>
  <si>
    <t>Dec 17, 2021 billing</t>
  </si>
  <si>
    <t>Dec 2021 billing</t>
  </si>
  <si>
    <t>Service charge incentives - 3rd to 4th Q</t>
  </si>
  <si>
    <t>BDO-170588</t>
  </si>
  <si>
    <t>BDO-170587</t>
  </si>
  <si>
    <t>5 rolls barcode sticker</t>
  </si>
  <si>
    <t>SYL22-0019</t>
  </si>
  <si>
    <t>SYL22-0020</t>
  </si>
  <si>
    <t>SYL22-0021</t>
  </si>
  <si>
    <t>SYL22-0022</t>
  </si>
  <si>
    <t>SYL22-0023</t>
  </si>
  <si>
    <t>SYL22-0024</t>
  </si>
  <si>
    <t>SYL22-0025</t>
  </si>
  <si>
    <t>SYL22-0026</t>
  </si>
  <si>
    <t>SYL22-0027</t>
  </si>
  <si>
    <t>SYL22-0028</t>
  </si>
  <si>
    <t>SYL22-0029</t>
  </si>
  <si>
    <t>SYL22-0030</t>
  </si>
  <si>
    <t>Dec 10, 2021 to Jan 9, 2022 billing</t>
  </si>
  <si>
    <t>Dec 11, 2021 to Jan 10, 2022 billing</t>
  </si>
  <si>
    <t>Jan 10, 2022 billing</t>
  </si>
  <si>
    <t>AR #0125; SI #0458</t>
  </si>
  <si>
    <t>AR #0127; SI #0453</t>
  </si>
  <si>
    <t>AR #0126; SI #0459</t>
  </si>
  <si>
    <t>AR #0124; SI #0517</t>
  </si>
  <si>
    <t>AR #0123; SI #0536</t>
  </si>
  <si>
    <t>AR #0128; SI #0543</t>
  </si>
  <si>
    <t xml:space="preserve">Petty cash </t>
  </si>
  <si>
    <t>LF001</t>
  </si>
  <si>
    <t>Business Permit - 1st Quarter 2022</t>
  </si>
  <si>
    <t>SYL22-0031</t>
  </si>
  <si>
    <t>SYL22-0032</t>
  </si>
  <si>
    <t>SYL22-0033</t>
  </si>
  <si>
    <t>SYL22-0034</t>
  </si>
  <si>
    <t>SYL22-0035</t>
  </si>
  <si>
    <t>SYL22-0036</t>
  </si>
  <si>
    <t>Petty cash - MQ</t>
  </si>
  <si>
    <t>3 Windows tablet for Amano</t>
  </si>
  <si>
    <t>Deposited, 1-24</t>
  </si>
  <si>
    <t>Back office support fee - Dec 2021</t>
  </si>
  <si>
    <t>BDO-170590</t>
  </si>
  <si>
    <t>CR #1146; SI #5654</t>
  </si>
  <si>
    <t>BDO-170591</t>
  </si>
  <si>
    <t>EEGM: Service fee = 2,000; Ribbon shaft = 700</t>
  </si>
  <si>
    <t>AR #2022-0113</t>
  </si>
  <si>
    <t>BDO-170589</t>
  </si>
  <si>
    <t>1 Intel core i5</t>
  </si>
  <si>
    <t>LF002</t>
  </si>
  <si>
    <t>LF003</t>
  </si>
  <si>
    <t>SYL22-0037</t>
  </si>
  <si>
    <t>SYL22-0038</t>
  </si>
  <si>
    <t>SYL22-0039</t>
  </si>
  <si>
    <t>SYL22-0040</t>
  </si>
  <si>
    <t>SYL22-0041</t>
  </si>
  <si>
    <t>SYL22-0042</t>
  </si>
  <si>
    <t>SYL22-0043</t>
  </si>
  <si>
    <t>SYL22-0044</t>
  </si>
  <si>
    <t>SYL22-0045</t>
  </si>
  <si>
    <t>SYL22-0046</t>
  </si>
  <si>
    <t>SYL22-0047</t>
  </si>
  <si>
    <t>SYL22-0048</t>
  </si>
  <si>
    <t>Cash assistance</t>
  </si>
  <si>
    <t>BDO-126415</t>
  </si>
  <si>
    <t>Dec 16, 2021 to Jan 15, 2022 billing</t>
  </si>
  <si>
    <t>Globe Telecom Inc</t>
  </si>
  <si>
    <t>SI #51054; CR #20570</t>
  </si>
  <si>
    <t>Sales incentive - Jan 2020</t>
  </si>
  <si>
    <t>BDO-170593</t>
  </si>
  <si>
    <t>BDO-170592</t>
  </si>
  <si>
    <t>30 TP Link C64 Router</t>
  </si>
  <si>
    <t>Philteq Entreprise Inc</t>
  </si>
  <si>
    <t>008-292-913-000</t>
  </si>
  <si>
    <t>SI #0579; AR #0140</t>
  </si>
  <si>
    <t>2 APC UPS; 5 Dlink 8port</t>
  </si>
  <si>
    <t>Deficit tax 2021 and penalty on discrepancy</t>
  </si>
  <si>
    <t>SI #0674; AR #0139</t>
  </si>
  <si>
    <t>SI #0502; CR #0288</t>
  </si>
  <si>
    <t>OR #166</t>
  </si>
  <si>
    <t>Maintenance fee</t>
  </si>
  <si>
    <t>Audit fee 2022 DP</t>
  </si>
  <si>
    <t>Windows tablet for Ramen Ron</t>
  </si>
  <si>
    <t>Deposited, 2-8</t>
  </si>
  <si>
    <t>BDO-126416</t>
  </si>
  <si>
    <t>BDO-170594</t>
  </si>
  <si>
    <t>Insurance</t>
  </si>
  <si>
    <t>BDO Life Assurance Company Inc</t>
  </si>
  <si>
    <t>Deposited, 2-2</t>
  </si>
  <si>
    <t>2 Epson T82X USB Printer</t>
  </si>
  <si>
    <t>CTC Solutions Technology Inc</t>
  </si>
  <si>
    <t>SYL22-0049</t>
  </si>
  <si>
    <t>SYL22-0050</t>
  </si>
  <si>
    <t>SYL22-0051</t>
  </si>
  <si>
    <t>SYL22-0052</t>
  </si>
  <si>
    <t>SYL22-0053</t>
  </si>
  <si>
    <t>SYL22-0054</t>
  </si>
  <si>
    <t>SI #31350</t>
  </si>
  <si>
    <t>Jan 2022 billing</t>
  </si>
  <si>
    <t>Smart Communications Inc</t>
  </si>
  <si>
    <t>BDO-126417</t>
  </si>
  <si>
    <t>SYL22-0055</t>
  </si>
  <si>
    <t>SYL22-0056</t>
  </si>
  <si>
    <t>SYL22-0057</t>
  </si>
  <si>
    <t>SYL22-0058</t>
  </si>
  <si>
    <t>SYL22-0059</t>
  </si>
  <si>
    <t>SYL22-0060</t>
  </si>
  <si>
    <t>SYL22-0061</t>
  </si>
  <si>
    <t>SYL22-0062</t>
  </si>
  <si>
    <t>Jan 10 to Feb 9, 2022 billing</t>
  </si>
  <si>
    <t>Jan 11 to Feb 10, 2022 billing</t>
  </si>
  <si>
    <t>LF004</t>
  </si>
  <si>
    <t>LF005</t>
  </si>
  <si>
    <t>BDO-126418</t>
  </si>
  <si>
    <t>Kim Karvinen Luces</t>
  </si>
  <si>
    <t>SYL22-0063</t>
  </si>
  <si>
    <t>SYL22-0064</t>
  </si>
  <si>
    <t>SYL22-0065</t>
  </si>
  <si>
    <t>SYL22-0066</t>
  </si>
  <si>
    <t>SYL22-0067</t>
  </si>
  <si>
    <t>BDO-170597</t>
  </si>
  <si>
    <t>Teamviewer renewal</t>
  </si>
  <si>
    <t>Sun billing - Jan 2022</t>
  </si>
  <si>
    <t>BDO-170595</t>
  </si>
  <si>
    <t>Jimac subscription renewal</t>
  </si>
  <si>
    <t>CRIF D-B Philippines, Inc</t>
  </si>
  <si>
    <t>BDO-170598</t>
  </si>
  <si>
    <t>Jan 16 to Feb 15, 2022 billing</t>
  </si>
  <si>
    <t>6 rolls barcode sticker</t>
  </si>
  <si>
    <t>Paid in cash</t>
  </si>
  <si>
    <t>SI #30032; CR #07824</t>
  </si>
  <si>
    <t>SYL22-0068</t>
  </si>
  <si>
    <t>SYL22-0069</t>
  </si>
  <si>
    <t>SYL22-0070</t>
  </si>
  <si>
    <t>SYL22-0071</t>
  </si>
  <si>
    <t>SYL22-0072</t>
  </si>
  <si>
    <t>SYL22-0073</t>
  </si>
  <si>
    <t>SYL22-0074</t>
  </si>
  <si>
    <t>SYL22-0075</t>
  </si>
  <si>
    <t>5 Epson TMU220B LAN printer</t>
  </si>
  <si>
    <t>Back office support fee - Jan 2022</t>
  </si>
  <si>
    <t>CR #0282; SI #0783</t>
  </si>
  <si>
    <t>ZD420 4-inch desktop printer</t>
  </si>
  <si>
    <t>Newton Integrated Solutions Inc</t>
  </si>
  <si>
    <t>004-449-533-000</t>
  </si>
  <si>
    <t>CR #0283; SI #0668</t>
  </si>
  <si>
    <t>OR #172</t>
  </si>
  <si>
    <t>Feb 17, 2022 billing</t>
  </si>
  <si>
    <t>Bookkeeping fee - Nov &amp; Dec 2021</t>
  </si>
  <si>
    <t>100 ERC ribbon</t>
  </si>
  <si>
    <t>BDO-170600</t>
  </si>
  <si>
    <t>BDO-227301</t>
  </si>
  <si>
    <t>CR #39832; SI #105686</t>
  </si>
  <si>
    <t>SYL22-0076</t>
  </si>
  <si>
    <t>SYL22-0077</t>
  </si>
  <si>
    <t>SYL22-0078</t>
  </si>
  <si>
    <t>Allowance going to Booksale Bacolod</t>
  </si>
  <si>
    <t>1 Datalogic QW2400 handheld scanner</t>
  </si>
  <si>
    <t>CR #0502; SI #0788</t>
  </si>
  <si>
    <t>CR #0501; SI #0837</t>
  </si>
  <si>
    <t>CR #17039; SI #31904</t>
  </si>
  <si>
    <t>CR #1700; SI #5908</t>
  </si>
  <si>
    <t>1 Samsung 500GB EVO 870 2.5 SATA SSD Drive Model # MZ-77E500BW</t>
  </si>
  <si>
    <t>SYL22-0079</t>
  </si>
  <si>
    <t>SYL22-0080</t>
  </si>
  <si>
    <t>SYL22-0081</t>
  </si>
  <si>
    <t>SYL22-0082</t>
  </si>
  <si>
    <t>SYL22-0083</t>
  </si>
  <si>
    <t>SYL22-0084</t>
  </si>
  <si>
    <t>SYL22-0085</t>
  </si>
  <si>
    <t>CR #1493; SI #2370</t>
  </si>
  <si>
    <t>2 Fire extinguisher refill</t>
  </si>
  <si>
    <t>Feb 2022 billing</t>
  </si>
  <si>
    <t>SYL22-0086</t>
  </si>
  <si>
    <t>SYL22-0087</t>
  </si>
  <si>
    <t>SYL22-0088</t>
  </si>
  <si>
    <t>SYL22-0089</t>
  </si>
  <si>
    <t>SYL22-0090</t>
  </si>
  <si>
    <t>SYL22-0091</t>
  </si>
  <si>
    <t>SYL22-0092</t>
  </si>
  <si>
    <t>Feb 11 to March 10, 2022 billing</t>
  </si>
  <si>
    <t>Feb 10 to March 9, 2022 billing</t>
  </si>
  <si>
    <t>1 Epson TMU220A USB printer</t>
  </si>
  <si>
    <t>3 Epson TMU220A USB printer</t>
  </si>
  <si>
    <t>SYL22-0093</t>
  </si>
  <si>
    <t>SYL22-0094</t>
  </si>
  <si>
    <t>SYL22-0095</t>
  </si>
  <si>
    <t>SYL22-0096</t>
  </si>
  <si>
    <t>SYL22-0097</t>
  </si>
  <si>
    <t>SYL22-0098</t>
  </si>
  <si>
    <t>Syluxent Inc - Renewal 2022</t>
  </si>
  <si>
    <t>LF006</t>
  </si>
  <si>
    <t>LF007</t>
  </si>
  <si>
    <t>CR #0531; SI #0830</t>
  </si>
  <si>
    <t>CR #0530; SI #0831</t>
  </si>
  <si>
    <t>Windows tablet for Gastrobar</t>
  </si>
  <si>
    <t>SI #0057751</t>
  </si>
  <si>
    <t>LF008</t>
  </si>
  <si>
    <t>Feb 16 to March 15, 2022 billing</t>
  </si>
  <si>
    <t>2 Star printer</t>
  </si>
  <si>
    <t>009-784-216-00000</t>
  </si>
  <si>
    <t>1 1tb hard disk</t>
  </si>
  <si>
    <t>CR #1869; SI #5979</t>
  </si>
  <si>
    <t>CR #0309; SI #0894</t>
  </si>
  <si>
    <t>SYL22-0099</t>
  </si>
  <si>
    <t>SYL22-0100</t>
  </si>
  <si>
    <t>SYL22-0101</t>
  </si>
  <si>
    <t>SYL22-0102</t>
  </si>
  <si>
    <t>SYL22-0103</t>
  </si>
  <si>
    <t>SYL22-0104</t>
  </si>
  <si>
    <t>SYL22-0105</t>
  </si>
  <si>
    <t>SYL22-0106</t>
  </si>
  <si>
    <t>SYL22-0107</t>
  </si>
  <si>
    <t>SYL22-0108</t>
  </si>
  <si>
    <t>SYL22-0109</t>
  </si>
  <si>
    <t>SYL22-0110</t>
  </si>
  <si>
    <t>SYL22-0111</t>
  </si>
  <si>
    <t>SYL22-0112</t>
  </si>
  <si>
    <t>SYL22-0113</t>
  </si>
  <si>
    <t>SYL22-0114</t>
  </si>
  <si>
    <t>SYL22-0115</t>
  </si>
  <si>
    <t>SYL22-0116</t>
  </si>
  <si>
    <t>SYL22-0117</t>
  </si>
  <si>
    <t>Back office support fee - Feb 2022</t>
  </si>
  <si>
    <t>OR #180</t>
  </si>
  <si>
    <t>Sun billing - Feb 2022</t>
  </si>
  <si>
    <t>CR #0310; SI #0904</t>
  </si>
  <si>
    <t>BDO-227302</t>
  </si>
  <si>
    <t>BDO-227303</t>
  </si>
  <si>
    <t>CR #0304; SI #0580</t>
  </si>
  <si>
    <t>Deposited, 4-6</t>
  </si>
  <si>
    <t>Office printer</t>
  </si>
  <si>
    <t>3 Epson T82X USB Printer</t>
  </si>
  <si>
    <t>1 1tb hard disk; 7 APC UPS; 10 Dlink 8port; 10 Anti-virus</t>
  </si>
  <si>
    <t>Business Permit - 2nd Quarter 2022</t>
  </si>
  <si>
    <t>Complink Marketing, Inc</t>
  </si>
  <si>
    <t>200-937-884-000</t>
  </si>
  <si>
    <t>Deposited, 4-8</t>
  </si>
  <si>
    <t>CR #1891; SI #6042</t>
  </si>
  <si>
    <t>Xray &amp; drug test 2022</t>
  </si>
  <si>
    <t>New World Diagnostics Inc</t>
  </si>
  <si>
    <t>007-896-694-000</t>
  </si>
  <si>
    <t>Mar 17, 2022 billing</t>
  </si>
  <si>
    <t>Mar 2022 billing</t>
  </si>
  <si>
    <t>SYL22-0118</t>
  </si>
  <si>
    <t>SYL22-0119</t>
  </si>
  <si>
    <t>SYL22-0120</t>
  </si>
  <si>
    <t>SYL22-0121</t>
  </si>
  <si>
    <t>SYL22-0122</t>
  </si>
  <si>
    <t>SYL22-0123</t>
  </si>
  <si>
    <t>20 Epson printer head</t>
  </si>
  <si>
    <t>BDO-227304</t>
  </si>
  <si>
    <t>1 Intel Core i5 NO HD</t>
  </si>
  <si>
    <t>OR #786963</t>
  </si>
  <si>
    <t>CR #0339; SI #0949</t>
  </si>
  <si>
    <t>CR #0340; SI #0967</t>
  </si>
  <si>
    <t>CR #0338; SI #0957</t>
  </si>
  <si>
    <t>CR #2298; BS #04134</t>
  </si>
  <si>
    <t>2 rolls barcode sticker</t>
  </si>
  <si>
    <t>LF009</t>
  </si>
  <si>
    <t>LF010</t>
  </si>
  <si>
    <t>LF011</t>
  </si>
  <si>
    <t>LF012</t>
  </si>
  <si>
    <t>LF013</t>
  </si>
  <si>
    <t>1 box belden cat6</t>
  </si>
  <si>
    <t>CR #1896; SI #6077</t>
  </si>
  <si>
    <t>2 Epson T82X USB printer</t>
  </si>
  <si>
    <t>5 Epson TMU220B LAN printer = Partial</t>
  </si>
  <si>
    <t>5 Epson TMU220B LAN printer = Completion</t>
  </si>
  <si>
    <t>5 Epson TMU220D USB printer = Partial</t>
  </si>
  <si>
    <t>SYL22-0124</t>
  </si>
  <si>
    <t>SYL22-0125</t>
  </si>
  <si>
    <t>SYL22-0126</t>
  </si>
  <si>
    <t>SYL22-0127</t>
  </si>
  <si>
    <t>SYL22-0128</t>
  </si>
  <si>
    <t>SYL22-0129</t>
  </si>
  <si>
    <t>SYL22-0130</t>
  </si>
  <si>
    <t>SYL22-0131</t>
  </si>
  <si>
    <t>SYL22-0132</t>
  </si>
  <si>
    <t>SYL22-0133</t>
  </si>
  <si>
    <t>SYL22-0134</t>
  </si>
  <si>
    <t>CANCEL</t>
  </si>
  <si>
    <t>8 Epson TMU220D USB printer</t>
  </si>
  <si>
    <t>CR #21112; SI #52006</t>
  </si>
  <si>
    <t>Mar 11 to Apr 10, 2022 billing</t>
  </si>
  <si>
    <t>Mar 10 to Apr 9, 2022 billing</t>
  </si>
  <si>
    <t>Barcode ribbon</t>
  </si>
  <si>
    <t>Back office support fee - March 2022</t>
  </si>
  <si>
    <t>CR #0751; SI #1006</t>
  </si>
  <si>
    <t>SYL22-0135</t>
  </si>
  <si>
    <t>SYL22-0136</t>
  </si>
  <si>
    <t>SYL22-0137</t>
  </si>
  <si>
    <t>SYL22-0138</t>
  </si>
  <si>
    <t>SYL22-0139</t>
  </si>
  <si>
    <t>SYL22-0140</t>
  </si>
  <si>
    <t>SYL22-0141</t>
  </si>
  <si>
    <t>SYL22-0142</t>
  </si>
  <si>
    <t>SYL22-0143</t>
  </si>
  <si>
    <t>SYL22-0144</t>
  </si>
  <si>
    <t>SYL22-0145</t>
  </si>
  <si>
    <t>SYL22-0146</t>
  </si>
  <si>
    <t>SYL22-0147</t>
  </si>
  <si>
    <t>SYL22-0148</t>
  </si>
  <si>
    <t>SYL22-0149</t>
  </si>
  <si>
    <t>BDO-227306</t>
  </si>
  <si>
    <t>BDO-227305</t>
  </si>
  <si>
    <t>BDO-227307</t>
  </si>
  <si>
    <t>Apico-lordotic view</t>
  </si>
  <si>
    <t>LF014</t>
  </si>
  <si>
    <t>OR #0183</t>
  </si>
  <si>
    <t>Mar 16 to Apr 15, 2022</t>
  </si>
  <si>
    <t>1 Symbol scanner LS2208</t>
  </si>
  <si>
    <t>5 Postech touchscreen monitor</t>
  </si>
  <si>
    <t>Alphapos Inc</t>
  </si>
  <si>
    <t>OR #796468</t>
  </si>
  <si>
    <t>BDO-126420</t>
  </si>
  <si>
    <t>CR #08335SI #30232</t>
  </si>
  <si>
    <t>CR #0754; SI #1044</t>
  </si>
  <si>
    <t>BDO-126421</t>
  </si>
  <si>
    <t>BDO-126419</t>
  </si>
  <si>
    <t>LF015</t>
  </si>
  <si>
    <t>Jimac Incorporated</t>
  </si>
  <si>
    <t>1 Epson T82X USB printer</t>
  </si>
  <si>
    <t>4 Symbol scanner LS2208</t>
  </si>
  <si>
    <t>OR #0015493</t>
  </si>
  <si>
    <t>SYL22-0150</t>
  </si>
  <si>
    <t>SYL22-0151</t>
  </si>
  <si>
    <t>SYL22-0152</t>
  </si>
  <si>
    <t>SYL22-0153</t>
  </si>
  <si>
    <t>SYL22-0154</t>
  </si>
  <si>
    <t>BDO-126422</t>
  </si>
  <si>
    <t>Richard Dizon Jr</t>
  </si>
  <si>
    <t xml:space="preserve">Bookkeeping fee - Jan &amp; Feb 2022 </t>
  </si>
  <si>
    <t>Kimberly D. Roxas</t>
  </si>
  <si>
    <t>SYL22-0155</t>
  </si>
  <si>
    <t>SYL22-0156</t>
  </si>
  <si>
    <t>SYL22-0157</t>
  </si>
  <si>
    <t>SYL22-0158</t>
  </si>
  <si>
    <t>SYL22-0159</t>
  </si>
  <si>
    <t>SYL22-0160</t>
  </si>
  <si>
    <t>SYL22-0161</t>
  </si>
  <si>
    <t>April 2022 billing</t>
  </si>
  <si>
    <t>CR #21260; SI #34098</t>
  </si>
  <si>
    <t>CR #0712; SI #1061</t>
  </si>
  <si>
    <t>CR #0711; SI #1057</t>
  </si>
  <si>
    <t>BDO-227309</t>
  </si>
  <si>
    <t>Honda Cars Pasig</t>
  </si>
  <si>
    <t>000-220-239-00003</t>
  </si>
  <si>
    <t>Deposited, 5/16</t>
  </si>
  <si>
    <t>LF016</t>
  </si>
  <si>
    <t>LF017</t>
  </si>
  <si>
    <t>LF018</t>
  </si>
  <si>
    <t>BDO-126423</t>
  </si>
  <si>
    <t>Advance medical assistance</t>
  </si>
  <si>
    <t>Christopher Jan Abarquez</t>
  </si>
  <si>
    <t>April 10 to May 9, 2022 billing</t>
  </si>
  <si>
    <t>April 11 to May 10, 2022 billing</t>
  </si>
  <si>
    <t>SYL22-0162</t>
  </si>
  <si>
    <t>SYL22-0163</t>
  </si>
  <si>
    <t>SYL22-0164</t>
  </si>
  <si>
    <t>SYL22-0165</t>
  </si>
  <si>
    <t>SYL22-0166</t>
  </si>
  <si>
    <t>SYL22-0167</t>
  </si>
  <si>
    <t>SYL22-0168</t>
  </si>
  <si>
    <t>SYL22-0169</t>
  </si>
  <si>
    <t>BDO-227310</t>
  </si>
  <si>
    <t>Audit fee 2022 - FP</t>
  </si>
  <si>
    <t>Back office support fee - April 2022</t>
  </si>
  <si>
    <t>10 Power supply unit</t>
  </si>
  <si>
    <t>CR 1985; SI #6202</t>
  </si>
  <si>
    <t>CR #0718; SI #1082</t>
  </si>
  <si>
    <t>OR #189</t>
  </si>
  <si>
    <t>SYL22-0170</t>
  </si>
  <si>
    <t>SYL22-0171</t>
  </si>
  <si>
    <t>SYL22-0172</t>
  </si>
  <si>
    <t>SYL22-0173</t>
  </si>
  <si>
    <t>SYL22-0174</t>
  </si>
  <si>
    <t>Windows tablet for Corso Como</t>
  </si>
  <si>
    <t>BDO-227311</t>
  </si>
  <si>
    <t>5 APC UPS</t>
  </si>
  <si>
    <t>4 Star TSP143III LAN thermal printer</t>
  </si>
  <si>
    <t>CR #0720; SI #1104</t>
  </si>
  <si>
    <t>CR #0721; SI #1113</t>
  </si>
  <si>
    <t>Additional medical reimbursement</t>
  </si>
  <si>
    <t>SYL22-0175</t>
  </si>
  <si>
    <t>SYL22-0176</t>
  </si>
  <si>
    <t>SYL22-0177</t>
  </si>
  <si>
    <t>SYL22-0178</t>
  </si>
  <si>
    <t>SYL22-0179</t>
  </si>
  <si>
    <t>SYL22-0180</t>
  </si>
  <si>
    <t>SYL22-0181</t>
  </si>
  <si>
    <t>SYL22-0182</t>
  </si>
  <si>
    <t>SYL22-0183</t>
  </si>
  <si>
    <t>SYL22-0184</t>
  </si>
  <si>
    <t>SYL22-0185</t>
  </si>
  <si>
    <t>SYL22-0186</t>
  </si>
  <si>
    <t>SYL22-0187</t>
  </si>
  <si>
    <t>SYL22-0188</t>
  </si>
  <si>
    <t>Overtime pay - Ricky Morales</t>
  </si>
  <si>
    <t>2 Triton CD 415</t>
  </si>
  <si>
    <t>SI #60825</t>
  </si>
  <si>
    <t>LF019</t>
  </si>
  <si>
    <t>Apr 16 to May 15, 2022 billing</t>
  </si>
  <si>
    <t>15 Cash drawer</t>
  </si>
  <si>
    <t>21 Keyboard &amp; mouse</t>
  </si>
  <si>
    <t>OT pay - Ricky Morales</t>
  </si>
  <si>
    <t>CR #1987; SI #6214</t>
  </si>
  <si>
    <t>2 Triton CD 415; 5 Poseidon monitor</t>
  </si>
  <si>
    <t>CR #1841; SI #6250</t>
  </si>
  <si>
    <t>LF020</t>
  </si>
  <si>
    <t>5 ribbon shaft - 3920; 2 printer head - 4,480</t>
  </si>
  <si>
    <t>SYL22-0189</t>
  </si>
  <si>
    <t>SYL22-0190</t>
  </si>
  <si>
    <t>SYL22-0191</t>
  </si>
  <si>
    <t>SYL22-0192</t>
  </si>
  <si>
    <t>SYL22-0193</t>
  </si>
  <si>
    <t>SYL22-0194</t>
  </si>
  <si>
    <t>10 touchscreen monitor</t>
  </si>
  <si>
    <t>Bdo-227312</t>
  </si>
  <si>
    <t>OR #15751</t>
  </si>
  <si>
    <t>AR #2328/ BS #04171</t>
  </si>
  <si>
    <t>CR #4804; SI #5089</t>
  </si>
  <si>
    <t>002-705-362-000</t>
  </si>
  <si>
    <t>AR #2300; BS #04137</t>
  </si>
  <si>
    <t>AR #2310; BS #04142</t>
  </si>
  <si>
    <t>AR #2323; BS #04149</t>
  </si>
  <si>
    <t>AR #2326; BS #04160</t>
  </si>
  <si>
    <t>CR #08388; SI #30523</t>
  </si>
  <si>
    <t>CR #08389; SI #30524</t>
  </si>
  <si>
    <t>CR #08390; SI #30540</t>
  </si>
  <si>
    <t>Apr 17, 2022 billing</t>
  </si>
  <si>
    <t>8 EOS mini CPU 1TB HD/ 2 EOS mini CPU No HD</t>
  </si>
  <si>
    <t>Jimac</t>
  </si>
  <si>
    <t>SYL22-0195</t>
  </si>
  <si>
    <t>SYL22-0196</t>
  </si>
  <si>
    <t>SYL22-0197</t>
  </si>
  <si>
    <t>SYL22-0198</t>
  </si>
  <si>
    <t>SYL22-0199</t>
  </si>
  <si>
    <t>SYL22-0200</t>
  </si>
  <si>
    <t>SYL22-0201</t>
  </si>
  <si>
    <t>SYL22-0202</t>
  </si>
  <si>
    <t>CR #0722; SI #1114</t>
  </si>
  <si>
    <t>CR #2610; SI #0003251</t>
  </si>
  <si>
    <t>1 Epson TMU220 parallel; 3 Epson TMU220d serial printer</t>
  </si>
  <si>
    <t>BDO-227313</t>
  </si>
  <si>
    <t>Refund for the pcie lancard</t>
  </si>
  <si>
    <t>Casa Reyes, Inc</t>
  </si>
  <si>
    <t>SYL22-0203</t>
  </si>
  <si>
    <t>SYL22-0204</t>
  </si>
  <si>
    <t>SYL22-0205</t>
  </si>
  <si>
    <t>SYL22-0206</t>
  </si>
  <si>
    <t>SYL22-0207</t>
  </si>
  <si>
    <t>SYL22-0208</t>
  </si>
  <si>
    <t>SYL22-0209</t>
  </si>
  <si>
    <t>SYL22-0210</t>
  </si>
  <si>
    <t>SYL22-0211</t>
  </si>
  <si>
    <t>SYL22-0212</t>
  </si>
  <si>
    <t>SYL22-0213</t>
  </si>
  <si>
    <t>20 RJ11 cash drawer</t>
  </si>
  <si>
    <t>Penalty &amp; DP on reprint of receipt/ invoice</t>
  </si>
  <si>
    <t>BDO-227315</t>
  </si>
  <si>
    <t>1 intel Core i5(no HD); 1 4gb ram; 5 Intel Core i5</t>
  </si>
  <si>
    <t>May 2022 billing</t>
  </si>
  <si>
    <t>BDO-227314</t>
  </si>
  <si>
    <t>Sun billing</t>
  </si>
  <si>
    <t>BDO-227316</t>
  </si>
  <si>
    <t>BDO-227317</t>
  </si>
  <si>
    <t>30 TP Link Archer C64 AC 1200</t>
  </si>
  <si>
    <t>Part time fee - Ayala programming</t>
  </si>
  <si>
    <t>Jefferson Flordeliza</t>
  </si>
  <si>
    <t>SYL22-0214</t>
  </si>
  <si>
    <t>SYL22-0215</t>
  </si>
  <si>
    <t>SYL22-0216</t>
  </si>
  <si>
    <t>SYL22-0217</t>
  </si>
  <si>
    <t>SYL22-0218</t>
  </si>
  <si>
    <t>SYL22-0219</t>
  </si>
  <si>
    <t>SYL22-0220</t>
  </si>
  <si>
    <t>SYL22-0221</t>
  </si>
  <si>
    <t>SYL22-0222</t>
  </si>
  <si>
    <t>SYL22-0223</t>
  </si>
  <si>
    <t>FP on reprint of receipt/ invoice</t>
  </si>
  <si>
    <t>CR #17945; SI #33570</t>
  </si>
  <si>
    <t>May 11 to June 10, 2022 billing</t>
  </si>
  <si>
    <t>May 10 to June 9, 2022 billing</t>
  </si>
  <si>
    <t>Deposited, 6/14</t>
  </si>
  <si>
    <t>OR #1152021064</t>
  </si>
  <si>
    <t>CR #0864; SI #1181</t>
  </si>
  <si>
    <t>CR #0346; SI #0693</t>
  </si>
  <si>
    <t>Bookkeeping fee</t>
  </si>
  <si>
    <t>CR #0345; SI #0679</t>
  </si>
  <si>
    <t>CR #0343; SI #0653</t>
  </si>
  <si>
    <t>CR #0344; SI #0681</t>
  </si>
  <si>
    <t>Pardinez Printing</t>
  </si>
  <si>
    <t>211-083-495-00000</t>
  </si>
  <si>
    <t>OR #21121</t>
  </si>
  <si>
    <t>CR #2702; SI #0003295</t>
  </si>
  <si>
    <t>BDO-227318</t>
  </si>
  <si>
    <t>Richard Vejano</t>
  </si>
  <si>
    <t>SYL22-0224</t>
  </si>
  <si>
    <t>SYL22-0225</t>
  </si>
  <si>
    <t>SYL22-0226</t>
  </si>
  <si>
    <t>SYL22-0227</t>
  </si>
  <si>
    <t>SYL22-0228</t>
  </si>
  <si>
    <t>SYL22-0229</t>
  </si>
  <si>
    <t>SYL22-0230</t>
  </si>
  <si>
    <t>SYL22-0231</t>
  </si>
  <si>
    <t>SYL22-0232</t>
  </si>
  <si>
    <t>SYL22-0233</t>
  </si>
  <si>
    <t>SYL22-0234</t>
  </si>
  <si>
    <t>SYL22-0235</t>
  </si>
  <si>
    <t>SYL22-0236</t>
  </si>
  <si>
    <t>SYL22-0237</t>
  </si>
  <si>
    <t>SYL22-0238</t>
  </si>
  <si>
    <t>BDO-227319</t>
  </si>
  <si>
    <t>May 16 to June 15, 2022 billing</t>
  </si>
  <si>
    <t>BDO-227320</t>
  </si>
  <si>
    <t>3 Windows tablet for Amano BGC</t>
  </si>
  <si>
    <t>Back office support fee - May 2022</t>
  </si>
  <si>
    <t>3 Epson TM-T82 USB printer</t>
  </si>
  <si>
    <t>CR #21313; SI #52203</t>
  </si>
  <si>
    <t>BN 2022-068</t>
  </si>
  <si>
    <t>SI #0061004</t>
  </si>
  <si>
    <t>SI #6400; CR #2198</t>
  </si>
  <si>
    <t>Business Permit - 3rd Quarter 2022</t>
  </si>
  <si>
    <t xml:space="preserve">2 H2-i3-4010Y </t>
  </si>
  <si>
    <t>Windows tablet for The Coffee Academics</t>
  </si>
  <si>
    <t>SI #61637</t>
  </si>
  <si>
    <t>4 Xprinter</t>
  </si>
  <si>
    <t>Citibank FAO Storehub Phils Inc</t>
  </si>
  <si>
    <t>Service charge incentives - 1st to 2nd Q</t>
  </si>
  <si>
    <t>LF022</t>
  </si>
  <si>
    <t>LF023</t>
  </si>
  <si>
    <t>LF024</t>
  </si>
  <si>
    <t>OR #199</t>
  </si>
  <si>
    <t>BDO-227322</t>
  </si>
  <si>
    <t>June 2022 billing</t>
  </si>
  <si>
    <t>SYL22-0239</t>
  </si>
  <si>
    <t>SYL22-0240</t>
  </si>
  <si>
    <t>SYL22-0241</t>
  </si>
  <si>
    <t>SYL22-0242</t>
  </si>
  <si>
    <t>SYL22-0243</t>
  </si>
  <si>
    <t>SYL22-0244</t>
  </si>
  <si>
    <t>SYL22-0245</t>
  </si>
  <si>
    <t>SYL22-0246</t>
  </si>
  <si>
    <t>SYL22-0247</t>
  </si>
  <si>
    <t>SYL22-0248</t>
  </si>
  <si>
    <t>SYL22-0249</t>
  </si>
  <si>
    <t>SYL22-0250</t>
  </si>
  <si>
    <t>SYL22-0251</t>
  </si>
  <si>
    <t>SYL22-0252</t>
  </si>
  <si>
    <t>SYL22-0253</t>
  </si>
  <si>
    <t>SYL22-0254</t>
  </si>
  <si>
    <t>SYL22-0255</t>
  </si>
  <si>
    <t>June 17, 2022 billing</t>
  </si>
  <si>
    <t>30 Cash drawer</t>
  </si>
  <si>
    <t>Insurance 2022</t>
  </si>
  <si>
    <t>Sun Life of Canada Phils Inc</t>
  </si>
  <si>
    <t>BDO-227323</t>
  </si>
  <si>
    <t>Car insurance 2022</t>
  </si>
  <si>
    <t>BDO-227324</t>
  </si>
  <si>
    <t>BDO-126424</t>
  </si>
  <si>
    <t xml:space="preserve">Car preventive maintenance </t>
  </si>
  <si>
    <t>BDO-126425</t>
  </si>
  <si>
    <t>LF025</t>
  </si>
  <si>
    <t>LF026</t>
  </si>
  <si>
    <t>LF027</t>
  </si>
  <si>
    <t>OR #08501; SI #30723</t>
  </si>
  <si>
    <t>June 11 to July 10, 2022</t>
  </si>
  <si>
    <t>5 Triton CD 415</t>
  </si>
  <si>
    <t>SYL22-0256</t>
  </si>
  <si>
    <t>SYL22-0257</t>
  </si>
  <si>
    <t>SYL22-0258</t>
  </si>
  <si>
    <t>SYL22-0259</t>
  </si>
  <si>
    <t>SYL22-0260</t>
  </si>
  <si>
    <t>1 box thermal paper</t>
  </si>
  <si>
    <t>15 Windows 10 pro</t>
  </si>
  <si>
    <t>Aniceto Oro Jr</t>
  </si>
  <si>
    <t>June 10 to July 9, 2022 billing</t>
  </si>
  <si>
    <t>June 11 to july 10, 2022 billing</t>
  </si>
  <si>
    <t>Deposited, 7/18</t>
  </si>
  <si>
    <t>LF028</t>
  </si>
  <si>
    <t>SI #1219; CR #0731</t>
  </si>
  <si>
    <t>SI #0757; CR #0372</t>
  </si>
  <si>
    <t>SI #0721; CR #0371</t>
  </si>
  <si>
    <t>CR #4826; SI #5090</t>
  </si>
  <si>
    <t>AR #2243; BS #4066</t>
  </si>
  <si>
    <t>AR #2270; BS #04094</t>
  </si>
  <si>
    <t>CR #4839; SI #5119</t>
  </si>
  <si>
    <t>AR #2372; BS #04198</t>
  </si>
  <si>
    <t>AR #2374; BS #04216</t>
  </si>
  <si>
    <t>SYL22-0261</t>
  </si>
  <si>
    <t>SYL22-0262</t>
  </si>
  <si>
    <t>SYL22-0263</t>
  </si>
  <si>
    <t>SYL22-0264</t>
  </si>
  <si>
    <t>SYL22-0265</t>
  </si>
  <si>
    <t>SYL22-0266</t>
  </si>
  <si>
    <t>SYL22-0267</t>
  </si>
  <si>
    <t>SYL22-0268</t>
  </si>
  <si>
    <t>SYL22-0269</t>
  </si>
  <si>
    <t>SYL22-0270</t>
  </si>
  <si>
    <t>SYL22-0271</t>
  </si>
  <si>
    <t>5 Epson TM-T82X USB printer</t>
  </si>
  <si>
    <t>3 Epson TM-T82 LAN printer</t>
  </si>
  <si>
    <t>CR #0744; SI #1287</t>
  </si>
  <si>
    <t>CR #0745; SI #1302</t>
  </si>
  <si>
    <t>10 Epson TM-T82 LAN printer</t>
  </si>
  <si>
    <t>June 16 to July 15, 2022 billing</t>
  </si>
  <si>
    <t>CR #08538; SI #30769</t>
  </si>
  <si>
    <t>CR #08539; SI #30621</t>
  </si>
  <si>
    <t>CR #0882; SI #1324</t>
  </si>
  <si>
    <t>LF030</t>
  </si>
  <si>
    <t>LF029</t>
  </si>
  <si>
    <t>LF031</t>
  </si>
  <si>
    <t>OR #1461</t>
  </si>
  <si>
    <t>CR #58267; SI #82739</t>
  </si>
  <si>
    <t>SYL22-0272</t>
  </si>
  <si>
    <t>SYL22-0273</t>
  </si>
  <si>
    <t>SYL22-0274</t>
  </si>
  <si>
    <t>SYL22-0275</t>
  </si>
  <si>
    <t>SYL22-0276</t>
  </si>
  <si>
    <t>SYL22-0277</t>
  </si>
  <si>
    <t>SYL22-0278</t>
  </si>
  <si>
    <t>SYL22-0279</t>
  </si>
  <si>
    <t>SYL22-0280</t>
  </si>
  <si>
    <t>SYL22-0281</t>
  </si>
  <si>
    <t>SYL22-0282</t>
  </si>
  <si>
    <t>SYL22-0283</t>
  </si>
  <si>
    <t>SYL22-0284</t>
  </si>
  <si>
    <t>30 RJ11 cash drawer; 3 Mini cash drawer</t>
  </si>
  <si>
    <t>BDO-227326</t>
  </si>
  <si>
    <t>BDO-227327</t>
  </si>
  <si>
    <t>BDO-126426</t>
  </si>
  <si>
    <t>July 17, 2022 billing</t>
  </si>
  <si>
    <t>3 Epson TMU220D USB printer</t>
  </si>
  <si>
    <t>2 Epson TMU220D USB printer</t>
  </si>
  <si>
    <t>BDO-227328</t>
  </si>
  <si>
    <t>LF032</t>
  </si>
  <si>
    <t>CR #0951; SI #1361</t>
  </si>
  <si>
    <t xml:space="preserve">Return payment </t>
  </si>
  <si>
    <t>Grupo Alegria Inc</t>
  </si>
  <si>
    <t>July 2022 billing</t>
  </si>
  <si>
    <t>SYL22-0285</t>
  </si>
  <si>
    <t>SYL22-0286</t>
  </si>
  <si>
    <t>SYL22-0287</t>
  </si>
  <si>
    <t>SYL22-0288</t>
  </si>
  <si>
    <t>SYL22-0289</t>
  </si>
  <si>
    <t>SYL22-0290</t>
  </si>
  <si>
    <t>SYL22-0291</t>
  </si>
  <si>
    <t>SYL22-0292</t>
  </si>
  <si>
    <t>SYL22-0293</t>
  </si>
  <si>
    <t>SYL22-0294</t>
  </si>
  <si>
    <t>AR #2384; BS #04224</t>
  </si>
  <si>
    <t>CR #4851; SI #5142</t>
  </si>
  <si>
    <t>CR #1058; SI #1412</t>
  </si>
  <si>
    <t>CR #1057; SI #1362</t>
  </si>
  <si>
    <t>Luna X HK316V histone POS system</t>
  </si>
  <si>
    <t>CR #1059; SI 1432</t>
  </si>
  <si>
    <t>CR #1060; SI 1432</t>
  </si>
  <si>
    <t>CR #1061; SI 1432</t>
  </si>
  <si>
    <t>CR #17283; SI #34852</t>
  </si>
  <si>
    <t>Back office support fee - June 2022</t>
  </si>
  <si>
    <t>SYL22-0295</t>
  </si>
  <si>
    <t>SYL22-0296</t>
  </si>
  <si>
    <t>SYL22-0297</t>
  </si>
  <si>
    <t>SYL22-0298</t>
  </si>
  <si>
    <t>SYL22-0299</t>
  </si>
  <si>
    <t>SYL22-0300</t>
  </si>
  <si>
    <t>SYL22-0301</t>
  </si>
  <si>
    <t>SYL22-0302</t>
  </si>
  <si>
    <t>SYL22-0303</t>
  </si>
  <si>
    <t>SYL22-0304</t>
  </si>
  <si>
    <t>July 11 to Aug 10, 2022 billing</t>
  </si>
  <si>
    <t>July 10 to Aug 9, 2022 billing</t>
  </si>
  <si>
    <t>8 box 1ply; 7 box 2 ply</t>
  </si>
  <si>
    <t>CR #17282; SI #35202</t>
  </si>
  <si>
    <t>CR #2226; SI #6640</t>
  </si>
  <si>
    <t>OR #209</t>
  </si>
  <si>
    <t>10 APC UPS</t>
  </si>
  <si>
    <t>1 Printer head</t>
  </si>
  <si>
    <t>SYL22-0305</t>
  </si>
  <si>
    <t>SYL22-0306</t>
  </si>
  <si>
    <t>SYL22-0307</t>
  </si>
  <si>
    <t>SYL22-0308</t>
  </si>
  <si>
    <t>SYL22-0309</t>
  </si>
  <si>
    <t>SYL22-0310</t>
  </si>
  <si>
    <t>SYL22-0311</t>
  </si>
  <si>
    <t>SYL22-0312</t>
  </si>
  <si>
    <t>BDO-227329</t>
  </si>
  <si>
    <t xml:space="preserve">30 TP Link Archer C64 </t>
  </si>
  <si>
    <t>CR #2232; SI #6664</t>
  </si>
  <si>
    <t>LF033</t>
  </si>
  <si>
    <t>SI #0809; CR #0399</t>
  </si>
  <si>
    <t>5 touchscreen monitor</t>
  </si>
  <si>
    <t>Zebra ZD220 thermal transfer printer</t>
  </si>
  <si>
    <t>BDO-12627</t>
  </si>
  <si>
    <t>Richard Dizon, Jr</t>
  </si>
  <si>
    <t>CR #18685; SI #35024</t>
  </si>
  <si>
    <t>Windows tablet for Café Alegria</t>
  </si>
  <si>
    <t>SYL22-0313</t>
  </si>
  <si>
    <t>SYL22-0314</t>
  </si>
  <si>
    <t>SYL22-0315</t>
  </si>
  <si>
    <t>SYL22-0316</t>
  </si>
  <si>
    <t>SYL22-0317</t>
  </si>
  <si>
    <t>SYL22-0318</t>
  </si>
  <si>
    <t>SYL22-0319</t>
  </si>
  <si>
    <t>SYL22-0320</t>
  </si>
  <si>
    <t>SYL22-0321</t>
  </si>
  <si>
    <t>SYL22-0322</t>
  </si>
  <si>
    <t>SYL22-0323</t>
  </si>
  <si>
    <t>SYL22-0324</t>
  </si>
  <si>
    <t>July 16 to Aug 15, 2022 billing</t>
  </si>
  <si>
    <t>Ricky Morales</t>
  </si>
  <si>
    <t>AR #2389; BS #04235</t>
  </si>
  <si>
    <t>MBJJ Property Holding &amp; Development Corp</t>
  </si>
  <si>
    <t>BDO-126428</t>
  </si>
  <si>
    <t>SYL22-0325</t>
  </si>
  <si>
    <t>SYL22-0326</t>
  </si>
  <si>
    <t>SYL22-0327</t>
  </si>
  <si>
    <t>SYL22-0328</t>
  </si>
  <si>
    <t>SYL22-0329</t>
  </si>
  <si>
    <t>SYL22-0330</t>
  </si>
  <si>
    <t>SYL22-0331</t>
  </si>
  <si>
    <t>SYL22-0332</t>
  </si>
  <si>
    <t>SYL22-0333</t>
  </si>
  <si>
    <t>SYL22-0334</t>
  </si>
  <si>
    <t>SYL22-0335</t>
  </si>
  <si>
    <t>SYL22-0336</t>
  </si>
  <si>
    <t>SYL22-0337</t>
  </si>
  <si>
    <t>SYL22-0338</t>
  </si>
  <si>
    <t>SYL22-0339</t>
  </si>
  <si>
    <t>SYL22-0340</t>
  </si>
  <si>
    <t>SYL22-0341</t>
  </si>
  <si>
    <t>SYL22-0342</t>
  </si>
  <si>
    <t>SYL22-0343</t>
  </si>
  <si>
    <t>SYL22-0344</t>
  </si>
  <si>
    <t>SYL22-0345</t>
  </si>
  <si>
    <t>SYL22-0346</t>
  </si>
  <si>
    <t>SYL22-0347</t>
  </si>
  <si>
    <t>SYL22-0348</t>
  </si>
  <si>
    <t>SYL22-0349</t>
  </si>
  <si>
    <t>SYL22-0350</t>
  </si>
  <si>
    <t>SYL22-0351</t>
  </si>
  <si>
    <t>SYL22-0352</t>
  </si>
  <si>
    <t>SYL22-0353</t>
  </si>
  <si>
    <t>SYL22-0354</t>
  </si>
  <si>
    <t>SYL22-0355</t>
  </si>
  <si>
    <t>SYL22-0356</t>
  </si>
  <si>
    <t>SYL22-0357</t>
  </si>
  <si>
    <t>SYL22-0358</t>
  </si>
  <si>
    <t>SYL22-0359</t>
  </si>
  <si>
    <t>SYL22-0360</t>
  </si>
  <si>
    <t>SYL22-0361</t>
  </si>
  <si>
    <t>SYL22-0362</t>
  </si>
  <si>
    <t>SYL22-0363</t>
  </si>
  <si>
    <t>SYL22-0364</t>
  </si>
  <si>
    <t>SYL22-0365</t>
  </si>
  <si>
    <t>SYL22-0366</t>
  </si>
  <si>
    <t>SYL22-0367</t>
  </si>
  <si>
    <t>SYL22-0368</t>
  </si>
  <si>
    <t>SYL22-0369</t>
  </si>
  <si>
    <t>SYL22-0370</t>
  </si>
  <si>
    <t>SYL22-0371</t>
  </si>
  <si>
    <t>SYL22-0372</t>
  </si>
  <si>
    <t>SYL22-0373</t>
  </si>
  <si>
    <t>SYL22-0374</t>
  </si>
  <si>
    <t>SYL22-0375</t>
  </si>
  <si>
    <t>SYL22-0376</t>
  </si>
  <si>
    <t>SYL22-0377</t>
  </si>
  <si>
    <t>SYL22-0378</t>
  </si>
  <si>
    <t>1 roll sticker</t>
  </si>
  <si>
    <t>SI #7362</t>
  </si>
  <si>
    <t>Bookkeeping fee - May &amp; June 2022</t>
  </si>
  <si>
    <t>Deposited, 8/25</t>
  </si>
  <si>
    <t>BDO-227330</t>
  </si>
  <si>
    <t>20 EOS Mini cpu i5 = DP</t>
  </si>
  <si>
    <t>20 EOS Mini cpu i5 = FP</t>
  </si>
  <si>
    <t>SI #6718; CR #2249</t>
  </si>
  <si>
    <t>CR #08647; SI #30883</t>
  </si>
  <si>
    <t>CR #08648; SI #30968</t>
  </si>
  <si>
    <t>Back office support fee - July 2022</t>
  </si>
  <si>
    <t>LF034</t>
  </si>
  <si>
    <t>LF035</t>
  </si>
  <si>
    <t>2 Epson TMU220D LAN printer</t>
  </si>
  <si>
    <t>1 Poseidon PSD3206 2D scanner</t>
  </si>
  <si>
    <t>Aug 17, 2022 billing</t>
  </si>
  <si>
    <t>Mailyn P. Quibin</t>
  </si>
  <si>
    <t>BDO-227331</t>
  </si>
  <si>
    <t>OR #214; Inv #0822-005</t>
  </si>
  <si>
    <t>BDO-227332</t>
  </si>
  <si>
    <t>Refund to client</t>
  </si>
  <si>
    <t>Carmela Melchor</t>
  </si>
  <si>
    <t>BDO-227333</t>
  </si>
  <si>
    <t>CR #1087; SI #1532</t>
  </si>
  <si>
    <t>CR #1089; SI #1536</t>
  </si>
  <si>
    <t>CR #1088; SI #1535</t>
  </si>
  <si>
    <t>CR #2371; SI #6765</t>
  </si>
  <si>
    <t>1 1TB hard disk</t>
  </si>
  <si>
    <t>CR #2370; SI #6764</t>
  </si>
  <si>
    <t>2 Samsung 500GB SSD</t>
  </si>
  <si>
    <t>LF036</t>
  </si>
  <si>
    <t>Refund - Double transfer of payment</t>
  </si>
  <si>
    <t>1 Epson TMU220D USB printer</t>
  </si>
  <si>
    <t>August 2022 billing</t>
  </si>
  <si>
    <t>BDO-227334</t>
  </si>
  <si>
    <t>Aug 10 to Sept 9, 2022 billing</t>
  </si>
  <si>
    <t>BDO-126429</t>
  </si>
  <si>
    <t>30 printer head</t>
  </si>
  <si>
    <t>Aug 11 to Sept 10, 2022 billing</t>
  </si>
  <si>
    <t>CR #0431; SI #0816</t>
  </si>
  <si>
    <t>CR #0435; SI #0816</t>
  </si>
  <si>
    <t>CR #1108; SI #1598</t>
  </si>
  <si>
    <t>CR #1107; SI #1599</t>
  </si>
  <si>
    <t>Sept 10, 2022 billing</t>
  </si>
  <si>
    <t>OR #0221</t>
  </si>
  <si>
    <t>Back office support fee - Aug 2022</t>
  </si>
  <si>
    <t>LF037</t>
  </si>
  <si>
    <t>LF038</t>
  </si>
  <si>
    <t>Sun Life of Canada (Phils) Inc</t>
  </si>
  <si>
    <t>BDO-227335</t>
  </si>
  <si>
    <t>Medical assistance</t>
  </si>
  <si>
    <t>AR #2398; BS #04236</t>
  </si>
  <si>
    <t>AR #2408; BS #4252</t>
  </si>
  <si>
    <t>AR #2403; BS #4247</t>
  </si>
  <si>
    <t>CR #4869; SI #5173</t>
  </si>
  <si>
    <t>AR #2397; BS #04240</t>
  </si>
  <si>
    <t>Aug 16 to Sept 15, 2022 billing</t>
  </si>
  <si>
    <t>Aircon cleaning fee</t>
  </si>
  <si>
    <t>BDO-227336</t>
  </si>
  <si>
    <t>BS #04257</t>
  </si>
  <si>
    <t>3 EOS Mini CPU i5 NO HDD</t>
  </si>
  <si>
    <t>BDO-126430</t>
  </si>
  <si>
    <t>BDO-227337</t>
  </si>
  <si>
    <t>Additional medical assistance</t>
  </si>
  <si>
    <t>Tristar Appliance Service Center Inc</t>
  </si>
  <si>
    <t>002-283-992-00000</t>
  </si>
  <si>
    <t>OR #87973; SI #36191</t>
  </si>
  <si>
    <t>SYL22-0379</t>
  </si>
  <si>
    <t>SYL22-0380</t>
  </si>
  <si>
    <t>SYL22-0381</t>
  </si>
  <si>
    <t>SYL22-0382</t>
  </si>
  <si>
    <t>SYL22-0383</t>
  </si>
  <si>
    <t>SYL22-0384</t>
  </si>
  <si>
    <t>SYL22-0385</t>
  </si>
  <si>
    <t>SYL22-0386</t>
  </si>
  <si>
    <t>SYL22-0387</t>
  </si>
  <si>
    <t>SYL22-0388</t>
  </si>
  <si>
    <t>SYL22-0389</t>
  </si>
  <si>
    <t>SYL22-0390</t>
  </si>
  <si>
    <t>SYL22-0391</t>
  </si>
  <si>
    <t>SYL22-0392</t>
  </si>
  <si>
    <t>10 Power supply; 10 Dlink 8port; 1 32gb USB; 1 DDR3 8gb RAM; 10 Anti-virus</t>
  </si>
  <si>
    <t>4 Epson TMU220D USB printer</t>
  </si>
  <si>
    <t>5 Intel core i5</t>
  </si>
  <si>
    <t>BDO-126431</t>
  </si>
  <si>
    <t>BDO-227339</t>
  </si>
  <si>
    <t>LF040</t>
  </si>
  <si>
    <t>LF041</t>
  </si>
  <si>
    <t>CR #2527; SI #6908</t>
  </si>
  <si>
    <t>CR #8770; SI #31104</t>
  </si>
  <si>
    <t>LF039</t>
  </si>
  <si>
    <t>Edison Murillo</t>
  </si>
  <si>
    <t>Back office support fee - Sept 2022</t>
  </si>
  <si>
    <t>BDO-227340</t>
  </si>
  <si>
    <t>PCG IT Center Corporation</t>
  </si>
  <si>
    <t>Business Permit - 4th Quarter 2022</t>
  </si>
  <si>
    <t>CR #1154; SI #1699</t>
  </si>
  <si>
    <t>SYL22-0393</t>
  </si>
  <si>
    <t>SYL22-0394</t>
  </si>
  <si>
    <t>SYL22-0395</t>
  </si>
  <si>
    <t>SYL22-0396</t>
  </si>
  <si>
    <t>SYL22-0397</t>
  </si>
  <si>
    <t>SYL22-0398</t>
  </si>
  <si>
    <t>SYL22-0399</t>
  </si>
  <si>
    <t>SYL22-0400</t>
  </si>
  <si>
    <t>SYL22-0401</t>
  </si>
  <si>
    <t>SYL22-0402</t>
  </si>
  <si>
    <t>SYL22-0403</t>
  </si>
  <si>
    <t>SYL22-0404</t>
  </si>
  <si>
    <t>SYL22-0405</t>
  </si>
  <si>
    <t>SYL22-0406</t>
  </si>
  <si>
    <t>SYL22-0407</t>
  </si>
  <si>
    <t>SYL22-0408</t>
  </si>
  <si>
    <t>SYL22-0409</t>
  </si>
  <si>
    <t>SYL22-0410</t>
  </si>
  <si>
    <t>SYL22-0411</t>
  </si>
  <si>
    <t>SYL22-0412</t>
  </si>
  <si>
    <t>SYL22-0413</t>
  </si>
  <si>
    <t>SYL22-0414</t>
  </si>
  <si>
    <t>SYL22-0415</t>
  </si>
  <si>
    <t>SYL22-0416</t>
  </si>
  <si>
    <t>SYL22-0417</t>
  </si>
  <si>
    <t>SYL22-0418</t>
  </si>
  <si>
    <t>SYL22-0419</t>
  </si>
  <si>
    <t>SYL22-0420</t>
  </si>
  <si>
    <t>SYL22-0421</t>
  </si>
  <si>
    <t>SYL22-0422</t>
  </si>
  <si>
    <t>SYL22-0423</t>
  </si>
  <si>
    <t>SYL22-0424</t>
  </si>
  <si>
    <t>SYL22-0425</t>
  </si>
  <si>
    <t>SYL22-0426</t>
  </si>
  <si>
    <t>SYL22-0427</t>
  </si>
  <si>
    <t>SYL22-0428</t>
  </si>
  <si>
    <t>SYL22-0429</t>
  </si>
  <si>
    <t>10 rolls sticker</t>
  </si>
  <si>
    <t>BS #04279</t>
  </si>
  <si>
    <t>Oct 10, 2022 billing</t>
  </si>
  <si>
    <t>10 APC UPS; 5 AOC monitor; 1 500gb SSD; 1 Intel core i5</t>
  </si>
  <si>
    <t>Machine &amp; Computer World, Inc</t>
  </si>
  <si>
    <t>CR #0940; SI #0951</t>
  </si>
  <si>
    <t>2 Epson TM-T82X LAN printer</t>
  </si>
  <si>
    <t>1 Bbox thermal paper</t>
  </si>
  <si>
    <t>Sept 17, 2022 billing</t>
  </si>
  <si>
    <t>Sept 11 to Oct 10, 2022 billing</t>
  </si>
  <si>
    <t>Sept 10 to Oct 11, 2022 billing</t>
  </si>
  <si>
    <t>Budget for APC UPS for Guigui Grill</t>
  </si>
  <si>
    <t>Jonathan Encontro</t>
  </si>
  <si>
    <t>OR #229; Inv #1022-005</t>
  </si>
  <si>
    <t>CR #520; SI #0846</t>
  </si>
  <si>
    <t>CR #1163; SI #1815</t>
  </si>
  <si>
    <t>CR #1164; SI #1697</t>
  </si>
  <si>
    <t>CR #1165; SI #1830</t>
  </si>
  <si>
    <t>CR #17910; SI #35902</t>
  </si>
  <si>
    <t>CR #8771; SI #31269</t>
  </si>
  <si>
    <t>1 Godex EZ120</t>
  </si>
  <si>
    <t>22 Lunar touchscreen monitor</t>
  </si>
  <si>
    <t>Creative Minds Business Enterprise</t>
  </si>
  <si>
    <t>213-386-617-00000</t>
  </si>
  <si>
    <t>CR #00576; SI #00547</t>
  </si>
  <si>
    <t>CR #00577; SI #00547</t>
  </si>
  <si>
    <t>15 Posiflex customer display</t>
  </si>
  <si>
    <t>005-413-427-000</t>
  </si>
  <si>
    <t>180 pcs star ribbon</t>
  </si>
  <si>
    <t>25 keyboard &amp; mouse; 1 32gb flash drive</t>
  </si>
  <si>
    <t xml:space="preserve">Training for the First Aider &amp; Safety Officer </t>
  </si>
  <si>
    <t>BDO-227341</t>
  </si>
  <si>
    <t>September 2022 billing</t>
  </si>
  <si>
    <t>CR #2554; SI #7049</t>
  </si>
  <si>
    <t>LF043</t>
  </si>
  <si>
    <t>Sept 16 to Oct 15, 2022 billing</t>
  </si>
  <si>
    <t>Windows 10 pro - FP</t>
  </si>
  <si>
    <t>Sales incentive - Sept &amp; Nov 2019</t>
  </si>
  <si>
    <t>Car registration 2022</t>
  </si>
  <si>
    <t>CR #08814; SI #31307</t>
  </si>
  <si>
    <t>LF044</t>
  </si>
  <si>
    <t>LF042</t>
  </si>
  <si>
    <t>LF045</t>
  </si>
  <si>
    <t>FedEx shipping fee c/o Storehub</t>
  </si>
  <si>
    <t>October 2022 billing</t>
  </si>
  <si>
    <t>CR #19873; SI #146742</t>
  </si>
  <si>
    <t>BDO-227342</t>
  </si>
  <si>
    <t>Oct 17, 2022 billing</t>
  </si>
  <si>
    <t>First Adamantine OPC</t>
  </si>
  <si>
    <t>600-398-466-00000</t>
  </si>
  <si>
    <t>LF046</t>
  </si>
  <si>
    <t>LF047</t>
  </si>
  <si>
    <t>CR #13934; SI #20543</t>
  </si>
  <si>
    <t>SYL22-0430</t>
  </si>
  <si>
    <t>SYL22-0431</t>
  </si>
  <si>
    <t>SYL22-0432</t>
  </si>
  <si>
    <t>SYL22-0433</t>
  </si>
  <si>
    <t>SYL22-0434</t>
  </si>
  <si>
    <t>SYL22-0435</t>
  </si>
  <si>
    <t>SYL22-0436</t>
  </si>
  <si>
    <t>SYL22-0437</t>
  </si>
  <si>
    <t>SYL22-0438</t>
  </si>
  <si>
    <t>SYL22-0439</t>
  </si>
  <si>
    <t>SYL22-0440</t>
  </si>
  <si>
    <t>SYL22-0441</t>
  </si>
  <si>
    <t>SYL22-0442</t>
  </si>
  <si>
    <t>BDO-227344</t>
  </si>
  <si>
    <t>Car repair &amp; tire replacement</t>
  </si>
  <si>
    <t>BDO-227343</t>
  </si>
  <si>
    <t>Christmas party 2022 contribution</t>
  </si>
  <si>
    <t>Arny Bautista</t>
  </si>
  <si>
    <t>Service charge - Serenitea Belfast</t>
  </si>
  <si>
    <t>CR #1238; SI #1945</t>
  </si>
  <si>
    <t>SI #5241</t>
  </si>
  <si>
    <t>Nov 10, 2022 billing</t>
  </si>
  <si>
    <t>350 rolls 2ply journal paper</t>
  </si>
  <si>
    <t>CR #21435; SI #36241</t>
  </si>
  <si>
    <t>Oct 10 to Nov 11, 2022 billing</t>
  </si>
  <si>
    <t>Oct 11 to Nov 10, 2022 billing</t>
  </si>
  <si>
    <t>CR #154; SI #182</t>
  </si>
  <si>
    <t>SYL22-0443</t>
  </si>
  <si>
    <t>SYL22-0444</t>
  </si>
  <si>
    <t>SYL22-0445</t>
  </si>
  <si>
    <t>SYL22-0446</t>
  </si>
  <si>
    <t>SYL22-0447</t>
  </si>
  <si>
    <t>SYL22-0448</t>
  </si>
  <si>
    <t>SYL22-0449</t>
  </si>
  <si>
    <t>SYL22-0450</t>
  </si>
  <si>
    <t>SYL22-0451</t>
  </si>
  <si>
    <t>SYL22-0452</t>
  </si>
  <si>
    <t>SYL22-0453</t>
  </si>
  <si>
    <t>SYL22-0454</t>
  </si>
  <si>
    <t>SYL22-0455</t>
  </si>
  <si>
    <t>18 EOS mini CPU i5; 1 EOS mini CPU i5 no HD</t>
  </si>
  <si>
    <t>Smart billing</t>
  </si>
  <si>
    <t>BDO-227345</t>
  </si>
  <si>
    <t>CR #548; SI #0914</t>
  </si>
  <si>
    <t>Oct 16 to Nov 15, 2022 billing</t>
  </si>
  <si>
    <t>20 Kaspersky anti-virus; 1 256gb SSD</t>
  </si>
  <si>
    <t>013-755-116-000</t>
  </si>
  <si>
    <t>CR #166; SI #228</t>
  </si>
  <si>
    <t>CR #08587; SI #31389</t>
  </si>
  <si>
    <t>9 Gprinter; 5 Xprinter</t>
  </si>
  <si>
    <t>CR #08593; SI #31428</t>
  </si>
  <si>
    <t>LF048</t>
  </si>
  <si>
    <t>LF049</t>
  </si>
  <si>
    <t>LF050</t>
  </si>
  <si>
    <t>Deposited, 11/24</t>
  </si>
  <si>
    <t>Deposited, 11/4</t>
  </si>
  <si>
    <t>10 Xprinter Dot-matrix USB/ LAN; 30 Ribbon; 100 2ply; 150 1ply; 100 thermal paper</t>
  </si>
  <si>
    <t>Christmas party sharing</t>
  </si>
  <si>
    <t>1 EOS mini CPU i5</t>
  </si>
  <si>
    <t>BDO-227346</t>
  </si>
  <si>
    <t>Christmas 2022 give aways</t>
  </si>
  <si>
    <t>Bookkeeping fee - July-Sept 2022</t>
  </si>
  <si>
    <t>Ribbon shaft=1000; Diagnostic fee=500</t>
  </si>
  <si>
    <t>SYL22-0456</t>
  </si>
  <si>
    <t>SYL22-0457</t>
  </si>
  <si>
    <t>BDO-126432</t>
  </si>
  <si>
    <t>SYL22-0458</t>
  </si>
  <si>
    <t>SYL22-0459</t>
  </si>
  <si>
    <t>SYL22-0460</t>
  </si>
  <si>
    <t>SYL22-0461</t>
  </si>
  <si>
    <t>1 Godex EZ120; 11 Zebra 2D scanner</t>
  </si>
  <si>
    <t>CR #13947; SI #21442</t>
  </si>
  <si>
    <t>CR #8877; SI #31473</t>
  </si>
  <si>
    <t>SYL22-0462</t>
  </si>
  <si>
    <t>SYL22-0463</t>
  </si>
  <si>
    <t>SYL22-0464</t>
  </si>
  <si>
    <t>SYL22-0465</t>
  </si>
  <si>
    <t>SYL22-0466</t>
  </si>
  <si>
    <t>SYL22-0467</t>
  </si>
  <si>
    <t>Referal fee - Calor888</t>
  </si>
  <si>
    <t>Gary O. Yebra</t>
  </si>
  <si>
    <t>Lenovo tablet for The Coffee Academics</t>
  </si>
  <si>
    <t>Deposited, 12/6 less 50.00 na bank charge</t>
  </si>
  <si>
    <t>Nov 2022 billing</t>
  </si>
  <si>
    <t>000-273-941-00023</t>
  </si>
  <si>
    <t>SI #0057258</t>
  </si>
  <si>
    <t>Nov 10 to Dec 9, 2022 billing</t>
  </si>
  <si>
    <t>LF051</t>
  </si>
  <si>
    <t>LF052</t>
  </si>
  <si>
    <t>SYL22-0468</t>
  </si>
  <si>
    <t>SYL22-0469</t>
  </si>
  <si>
    <t>SYL22-0470</t>
  </si>
  <si>
    <t>SYL22-0471</t>
  </si>
  <si>
    <t>SYL22-0472</t>
  </si>
  <si>
    <t>SYL22-0473</t>
  </si>
  <si>
    <t>SYL22-0474</t>
  </si>
  <si>
    <t>SYL22-0475</t>
  </si>
  <si>
    <t>SYL22-0476</t>
  </si>
  <si>
    <t>SYL22-0477</t>
  </si>
  <si>
    <t>10 Windows 10 pro = FP</t>
  </si>
  <si>
    <t>10 Windows 10 pro = DP</t>
  </si>
  <si>
    <t>Back office support fee - Oct 2022</t>
  </si>
  <si>
    <t>1TB SSD for Cinnabon SM MOA</t>
  </si>
  <si>
    <t>PC Hub Computer Technology, Inc</t>
  </si>
  <si>
    <t>222-469-805-00000</t>
  </si>
  <si>
    <t>SI #119398</t>
  </si>
  <si>
    <t>Repair fee - At Circle Café</t>
  </si>
  <si>
    <t>SYL22-0478</t>
  </si>
  <si>
    <t>SYL22-0479</t>
  </si>
  <si>
    <t>SYL22-0480</t>
  </si>
  <si>
    <t>SYL22-0481</t>
  </si>
  <si>
    <t>SYL22-0482</t>
  </si>
  <si>
    <t>SYL22-0483</t>
  </si>
  <si>
    <t>SYL22-0484</t>
  </si>
  <si>
    <t>SYL22-0485</t>
  </si>
  <si>
    <t>SYL22-0486</t>
  </si>
  <si>
    <t>SYL22-0487</t>
  </si>
  <si>
    <t>10 APC UPS; 1 1TB external hard disk</t>
  </si>
  <si>
    <t>10 Xprinter</t>
  </si>
  <si>
    <t>1 generic MSR</t>
  </si>
  <si>
    <t>CR #569; SI #0948</t>
  </si>
  <si>
    <t>CR #568; SI #0947</t>
  </si>
  <si>
    <t>Cash-out for new handset - Globe plan</t>
  </si>
  <si>
    <t>Dec 10, 2022 billing</t>
  </si>
  <si>
    <t>Nov  17, 2022 billing</t>
  </si>
  <si>
    <t>Advance payment for additional plan</t>
  </si>
  <si>
    <t>CR #224; SI #290</t>
  </si>
  <si>
    <t>LF053</t>
  </si>
  <si>
    <t>50 keyboard &amp; mouse; 5 AOC monitor</t>
  </si>
  <si>
    <t>Nov 16 to Dec 15, 2022 billing</t>
  </si>
  <si>
    <t>OR #242</t>
  </si>
  <si>
    <t>CR #570; SI #973</t>
  </si>
  <si>
    <t>LF054</t>
  </si>
  <si>
    <t>CR #21018; SI #21777</t>
  </si>
  <si>
    <t>LF055</t>
  </si>
  <si>
    <t>BDO-227349</t>
  </si>
  <si>
    <t>Sales software - Partial</t>
  </si>
  <si>
    <t>Jimac  Inc</t>
  </si>
  <si>
    <t>SYL23-0001</t>
  </si>
  <si>
    <t>SYL23-0002</t>
  </si>
  <si>
    <t>SYL23-0003</t>
  </si>
  <si>
    <t>SYL23-0004</t>
  </si>
  <si>
    <t>SYL23-0005</t>
  </si>
  <si>
    <t>SYL23-0006</t>
  </si>
  <si>
    <t>SYL23-0007</t>
  </si>
  <si>
    <t>SYL23-0008</t>
  </si>
  <si>
    <t>SYL23-0009</t>
  </si>
  <si>
    <t>SYL23-0010</t>
  </si>
  <si>
    <t>SYL23-0011</t>
  </si>
  <si>
    <t>SYL23-0012</t>
  </si>
  <si>
    <t>SYL23-0013</t>
  </si>
  <si>
    <t>SYL23-0014</t>
  </si>
  <si>
    <t>SYL23-0015</t>
  </si>
  <si>
    <t>SYL23-0016</t>
  </si>
  <si>
    <t>SYL23-0017</t>
  </si>
  <si>
    <t>SYL23-0018</t>
  </si>
  <si>
    <t>SYL23-0019</t>
  </si>
  <si>
    <t>SYL23-0020</t>
  </si>
  <si>
    <t>SYL23-0021</t>
  </si>
  <si>
    <t>SYL23-0022</t>
  </si>
  <si>
    <t>SYL23-0023</t>
  </si>
  <si>
    <t>SYL23-0024</t>
  </si>
  <si>
    <t>SYL23-0025</t>
  </si>
  <si>
    <t>SYL23-0026</t>
  </si>
  <si>
    <t>SYL23-0027</t>
  </si>
  <si>
    <t>SYL23-0028</t>
  </si>
  <si>
    <t>SYL23-0029</t>
  </si>
  <si>
    <t>SYL23-0030</t>
  </si>
  <si>
    <t>SYL23-0031</t>
  </si>
  <si>
    <t>SYL23-0032</t>
  </si>
  <si>
    <t>SYL23-0033</t>
  </si>
  <si>
    <t>SYL23-0034</t>
  </si>
  <si>
    <t>SYL23-0035</t>
  </si>
  <si>
    <t>SYL23-0036</t>
  </si>
  <si>
    <t>SYL23-0037</t>
  </si>
  <si>
    <t>SYL23-0038</t>
  </si>
  <si>
    <t>Business Permit - 1st Quarter 2023</t>
  </si>
  <si>
    <t>BDO-227351</t>
  </si>
  <si>
    <t>Intel core I5 no HD</t>
  </si>
  <si>
    <t>010-604-463-00000</t>
  </si>
  <si>
    <t>Grupo Alegria, Inc</t>
  </si>
  <si>
    <t>Jan 17, 2023 billing</t>
  </si>
  <si>
    <t>BDO-126433</t>
  </si>
  <si>
    <t>Service incentives - 3rd-4th Q 2022</t>
  </si>
  <si>
    <t>1 Barcode printer; 1 Customer display</t>
  </si>
  <si>
    <t>CR #08972; SI #31579</t>
  </si>
  <si>
    <t>Printer repair - Serenitea Bay Mall</t>
  </si>
  <si>
    <t>Nov &amp; Dec 2022 billing</t>
  </si>
  <si>
    <t>Printer repair - EEGM Marketing</t>
  </si>
  <si>
    <t>50 ERC39; 15 Xprinter</t>
  </si>
  <si>
    <t>CR #1386; SI #2104</t>
  </si>
  <si>
    <t>January 10, 2023 billing</t>
  </si>
  <si>
    <t>Dec 2022 billing</t>
  </si>
  <si>
    <t>Dec 11 to Jan 10, 2023 billing</t>
  </si>
  <si>
    <t>Dec 10 to Jan 9, 2023 billing</t>
  </si>
  <si>
    <t>Excess - Globe billing</t>
  </si>
  <si>
    <t>BDO-227353</t>
  </si>
  <si>
    <t>Sales software - FP</t>
  </si>
  <si>
    <t>CR #4784; SI #5286</t>
  </si>
  <si>
    <t>10 Printer head; 10 PH cable</t>
  </si>
  <si>
    <t>Back office support fee - Dec 2022</t>
  </si>
  <si>
    <t>400 rolls 1ply; 150 rolls 2ply</t>
  </si>
  <si>
    <t>8 Epson TMU220D USB prinyer</t>
  </si>
  <si>
    <t>BDO-227354</t>
  </si>
  <si>
    <t>Intel core i5</t>
  </si>
  <si>
    <t>010-604-463-000</t>
  </si>
  <si>
    <t>BDO-227355</t>
  </si>
  <si>
    <t>BDO-126434</t>
  </si>
  <si>
    <t>BDO-227356</t>
  </si>
  <si>
    <t>Car maintenance - Jan 2023</t>
  </si>
  <si>
    <t>SYL23-0039</t>
  </si>
  <si>
    <t>SYL23-0040</t>
  </si>
  <si>
    <t>SYL23-0041</t>
  </si>
  <si>
    <t>SYL23-0042</t>
  </si>
  <si>
    <t>SYL23-0043</t>
  </si>
  <si>
    <t>BDO-227357</t>
  </si>
  <si>
    <t>SYL23-0044</t>
  </si>
  <si>
    <t>SYL23-0045</t>
  </si>
  <si>
    <t>SYL23-0046</t>
  </si>
  <si>
    <t>SYL23-0047</t>
  </si>
  <si>
    <t>SYL23-0048</t>
  </si>
  <si>
    <t>SYL23-0049</t>
  </si>
  <si>
    <t>SYL23-0050</t>
  </si>
  <si>
    <t>Membership renewal 2023</t>
  </si>
  <si>
    <t>2 Epson T82X LAN printer</t>
  </si>
  <si>
    <t>Dec 16, 2022 to Jan 15, 2023 billing</t>
  </si>
  <si>
    <t>10 APC UPS 650VA UPS</t>
  </si>
  <si>
    <t>SYL22-0018 &amp; 35</t>
  </si>
  <si>
    <t>15 Epson TMU220D USB printer/ 2 Epson TMU220B USB printer</t>
  </si>
  <si>
    <t>5 K4-i5-4210U 256SSD; 1 K4-i5-4210U NO HDD/SSD</t>
  </si>
  <si>
    <t>CR #14221; SI #21776</t>
  </si>
  <si>
    <t>1 Epson T82X LAN printer</t>
  </si>
  <si>
    <t>Aquarius POS Solutions, Inc</t>
  </si>
  <si>
    <t>SKIPPED</t>
  </si>
  <si>
    <t>SYL23-0051</t>
  </si>
  <si>
    <t>SYL23-0052</t>
  </si>
  <si>
    <t>SYL23-0053</t>
  </si>
  <si>
    <t>SYL23-0054</t>
  </si>
  <si>
    <t>SYL23-0055</t>
  </si>
  <si>
    <t>SYL23-0056</t>
  </si>
  <si>
    <t>SYL23-0057</t>
  </si>
  <si>
    <t>SYL23-0058</t>
  </si>
  <si>
    <t>SYL23-0059</t>
  </si>
  <si>
    <t>SYL23-0060</t>
  </si>
  <si>
    <t>SYL23-0061</t>
  </si>
  <si>
    <t>SYL23-0062</t>
  </si>
  <si>
    <t>SYL23-0063</t>
  </si>
  <si>
    <t>SYL23-0064</t>
  </si>
  <si>
    <t>SYL23-0065</t>
  </si>
  <si>
    <t>SYL23-0066</t>
  </si>
  <si>
    <t>SYL23-0067</t>
  </si>
  <si>
    <t>SYL23-0068</t>
  </si>
  <si>
    <t>SYL23-0069</t>
  </si>
  <si>
    <t>SYL23-0070</t>
  </si>
  <si>
    <t>SYL23-0071</t>
  </si>
  <si>
    <t>SYL23-0072</t>
  </si>
  <si>
    <t>SYL23-0073</t>
  </si>
  <si>
    <t>SYL23-0074</t>
  </si>
  <si>
    <t>SYL23-0075</t>
  </si>
  <si>
    <t>SYL23-0076</t>
  </si>
  <si>
    <t>SYL23-0077</t>
  </si>
  <si>
    <t>SYL23-0078</t>
  </si>
  <si>
    <t>SYL23-0079</t>
  </si>
  <si>
    <t>SYL23-0080</t>
  </si>
  <si>
    <t>SYL23-0081</t>
  </si>
  <si>
    <t>SYL23-0082</t>
  </si>
  <si>
    <t>SYL23-0083</t>
  </si>
  <si>
    <t>SYL23-0084</t>
  </si>
  <si>
    <t>SYL23-0085</t>
  </si>
  <si>
    <t>SYL23-0086</t>
  </si>
  <si>
    <t>SYL23-0087</t>
  </si>
  <si>
    <t>SYL23-0088</t>
  </si>
  <si>
    <t>SYL23-0089</t>
  </si>
  <si>
    <t>SYL23-0090</t>
  </si>
  <si>
    <t>3 OJT allowance - Jan 23 to Feb 3, 2023</t>
  </si>
  <si>
    <t>Allowance going to Booksale Legazpi</t>
  </si>
  <si>
    <t>UPS for Bap Heaven</t>
  </si>
  <si>
    <t>BDO-126435</t>
  </si>
  <si>
    <t>3 Symbol scanner</t>
  </si>
  <si>
    <t>Feb 17, 2023 billing</t>
  </si>
  <si>
    <t>Printer repair - Igo Korean Mart</t>
  </si>
  <si>
    <t>2 Star printer BSC10</t>
  </si>
  <si>
    <t>BDO-227358</t>
  </si>
  <si>
    <t>BDO-227359</t>
  </si>
  <si>
    <t>BDO Insurance 2023</t>
  </si>
  <si>
    <t>Octagon Computer Superstore</t>
  </si>
  <si>
    <t>004-780-008-159</t>
  </si>
  <si>
    <t>Jan 2023 billing</t>
  </si>
  <si>
    <t>Bookkeeping fee - Oct to Dec 2022</t>
  </si>
  <si>
    <t>1 Star BSC10 LAN printer</t>
  </si>
  <si>
    <t>BDO-227360</t>
  </si>
  <si>
    <t>BDO-227361</t>
  </si>
  <si>
    <t>Uniform</t>
  </si>
  <si>
    <t>Fast Retailing Philippines, Inc</t>
  </si>
  <si>
    <t>008-204-649-049</t>
  </si>
  <si>
    <t>Feb 10, 2023 billing</t>
  </si>
  <si>
    <t>Allowance going to Booksale SM Baguio</t>
  </si>
  <si>
    <t>OJT allowance</t>
  </si>
  <si>
    <t>Jan 10 to Feb 9, 2023 billing</t>
  </si>
  <si>
    <t>Jan 11 to Feb 10, 2023 billing</t>
  </si>
  <si>
    <t>Back office fee - Jan 2023</t>
  </si>
  <si>
    <t>SYL23-0091</t>
  </si>
  <si>
    <t>SYL23-0092</t>
  </si>
  <si>
    <t>SYL23-0093</t>
  </si>
  <si>
    <t>SYL23-0094</t>
  </si>
  <si>
    <t>SYL23-0095</t>
  </si>
  <si>
    <t>SYL23-0096</t>
  </si>
  <si>
    <t>SYL23-0097</t>
  </si>
  <si>
    <t>SYL23-0098</t>
  </si>
  <si>
    <t>SYL23-0099</t>
  </si>
  <si>
    <t>SYL23-0100</t>
  </si>
  <si>
    <t>SYL23-0101</t>
  </si>
  <si>
    <t>SYL23-0102</t>
  </si>
  <si>
    <t>SYL23-0103</t>
  </si>
  <si>
    <t>SYL23-0104</t>
  </si>
  <si>
    <t>SYL23-0105</t>
  </si>
  <si>
    <t>SYL23-0106</t>
  </si>
  <si>
    <t>SYL23-0107</t>
  </si>
  <si>
    <t>SYL23-0108</t>
  </si>
  <si>
    <t>SYL23-0109</t>
  </si>
  <si>
    <t>SYL23-0110</t>
  </si>
  <si>
    <t>Jan 16 to Feb 15, 2023 billing</t>
  </si>
  <si>
    <t>Service charge - Igo Korean Mart</t>
  </si>
  <si>
    <t>Service charge - Pidoks &amp; Konbini</t>
  </si>
  <si>
    <t>360 star ribbon</t>
  </si>
  <si>
    <t>1 Gprinter</t>
  </si>
  <si>
    <t>BDO-227362</t>
  </si>
  <si>
    <t>Uniform embroidery - DP</t>
  </si>
  <si>
    <t>TeamViewer renewal 2023</t>
  </si>
  <si>
    <t>Deposited, 2/22less 50.00 na bank charge</t>
  </si>
  <si>
    <t>Deposited, 2/23</t>
  </si>
  <si>
    <t>BDO-126436</t>
  </si>
  <si>
    <t>Uniform embroidery - FP</t>
  </si>
  <si>
    <t>An Gad's Personalized Prints</t>
  </si>
  <si>
    <t>354-406-108-00003</t>
  </si>
  <si>
    <t>2 pcs SSD - Ojo Eyewear &amp; Cinnabon</t>
  </si>
  <si>
    <t>Dynamic Personal Computer, Inc</t>
  </si>
  <si>
    <t>001-755-479-00000</t>
  </si>
  <si>
    <t>Anniversary token</t>
  </si>
  <si>
    <t>Gift Gate Inc</t>
  </si>
  <si>
    <t>000-092-083-00074</t>
  </si>
  <si>
    <t>Deposited, 3/2</t>
  </si>
  <si>
    <t>BDO-227363</t>
  </si>
  <si>
    <t>10 APC UPS; 5 AOC monitor; 10 Kaspersky anti-virus</t>
  </si>
  <si>
    <t>3 LS2208 symbol scanner; 6 Gprinter; 5 mini cash drawer</t>
  </si>
  <si>
    <t>20 cash drawer</t>
  </si>
  <si>
    <t>Syluxent renewal - 2023</t>
  </si>
  <si>
    <t>Mar 17, 2023 billing</t>
  </si>
  <si>
    <t>SYL23-0111</t>
  </si>
  <si>
    <t>SYL23-0112</t>
  </si>
  <si>
    <t>SYL23-0113</t>
  </si>
  <si>
    <t>SYL23-0114</t>
  </si>
  <si>
    <t>SYL23-0115</t>
  </si>
  <si>
    <t>SYL23-0116</t>
  </si>
  <si>
    <t>SYL23-0117</t>
  </si>
  <si>
    <t>SYL23-0118</t>
  </si>
  <si>
    <t>SYL23-0119</t>
  </si>
  <si>
    <t>SYL23-0120</t>
  </si>
  <si>
    <t>Audit services fee 2023 - DP</t>
  </si>
  <si>
    <t>BDO-227364</t>
  </si>
  <si>
    <t>BDO-227365</t>
  </si>
  <si>
    <t>1 1TB SSD sata</t>
  </si>
  <si>
    <t>10 Epson T82X USB printer</t>
  </si>
  <si>
    <t>15 EOS mini CPU i5</t>
  </si>
  <si>
    <t>SYL23-0121</t>
  </si>
  <si>
    <t>SYL23-0122</t>
  </si>
  <si>
    <t>SYL23-0123</t>
  </si>
  <si>
    <t>SYL23-0124</t>
  </si>
  <si>
    <t>SYL23-0125</t>
  </si>
  <si>
    <t>SYL23-0126</t>
  </si>
  <si>
    <t>1 Datalogic scanner</t>
  </si>
  <si>
    <t>Michael Alberto</t>
  </si>
  <si>
    <t>Referral fee -DP (Nara Thai)</t>
  </si>
  <si>
    <t>Feb 2023 billing</t>
  </si>
  <si>
    <t>BDO-227366</t>
  </si>
  <si>
    <t>2 500gb SSD Sata</t>
  </si>
  <si>
    <t>1 EZ120 Godex barcode printer</t>
  </si>
  <si>
    <t>SYL23-0127</t>
  </si>
  <si>
    <t>SYL23-0128</t>
  </si>
  <si>
    <t>SYL23-0129</t>
  </si>
  <si>
    <t>SYL23-0130</t>
  </si>
  <si>
    <t>SYL23-0131</t>
  </si>
  <si>
    <t>SYL23-0132</t>
  </si>
  <si>
    <t>SYL23-0133</t>
  </si>
  <si>
    <t>SYL23-0134</t>
  </si>
  <si>
    <t>SYL23-0135</t>
  </si>
  <si>
    <t>March 11, 2023 billing</t>
  </si>
  <si>
    <t>Feb 10 to Mar 9, 2023 billing</t>
  </si>
  <si>
    <t>Feb 11 to Mar 10, 2023 billing</t>
  </si>
  <si>
    <t>10 APC UPS; 5 AOC monitor; 20 Keyboard &amp; mouse; 5 Mouse only</t>
  </si>
  <si>
    <t>SYL23-0136</t>
  </si>
  <si>
    <t>SYL23-0137</t>
  </si>
  <si>
    <t>SYL23-0138</t>
  </si>
  <si>
    <t>SYL23-0139</t>
  </si>
  <si>
    <t>SYL23-0140</t>
  </si>
  <si>
    <t>SYL23-0141</t>
  </si>
  <si>
    <t>BDO-126437</t>
  </si>
  <si>
    <t>BDO-227367</t>
  </si>
  <si>
    <t>BDO-227368</t>
  </si>
  <si>
    <t>Feb 16 to Mar 15, 2023 billing</t>
  </si>
  <si>
    <t>SYL23-0142</t>
  </si>
  <si>
    <t>SYL23-0143</t>
  </si>
  <si>
    <t>SYL23-0144</t>
  </si>
  <si>
    <t>SYL23-0145</t>
  </si>
  <si>
    <t>SYL23-0146</t>
  </si>
  <si>
    <t>SYL23-0147</t>
  </si>
  <si>
    <t>SYL23-0148</t>
  </si>
  <si>
    <t>SYL23-0149</t>
  </si>
  <si>
    <t>SYL23-0150</t>
  </si>
  <si>
    <t>SYL23-0151</t>
  </si>
  <si>
    <t>SYL23-0152</t>
  </si>
  <si>
    <t>SYL23-0153</t>
  </si>
  <si>
    <t>Back office support fee -Feb 2023</t>
  </si>
  <si>
    <t>150 rolls thermal paper; 250 rolls journal paper 1ply</t>
  </si>
  <si>
    <t>Barcode ribbon &amp; sticker</t>
  </si>
  <si>
    <t>BDO-227369</t>
  </si>
  <si>
    <t>3 500gb SSD</t>
  </si>
  <si>
    <t>Lenovo tablet for The Coffee Guy</t>
  </si>
  <si>
    <t>5 Epson TMU220D LAN printer</t>
  </si>
  <si>
    <t>SYL23-0154</t>
  </si>
  <si>
    <t>SYL23-0155</t>
  </si>
  <si>
    <t>SYL23-0156</t>
  </si>
  <si>
    <t>SYL23-0157</t>
  </si>
  <si>
    <t>SYL23-0158</t>
  </si>
  <si>
    <t>SYL23-0159</t>
  </si>
  <si>
    <t>SYL23-0160</t>
  </si>
  <si>
    <t>SYL23-0161</t>
  </si>
  <si>
    <t>Allowance going to Ojo Eyewear Rob Santiago</t>
  </si>
  <si>
    <t>BDO-126438</t>
  </si>
  <si>
    <t>Gaisano Interpace Computer Systems</t>
  </si>
  <si>
    <t>2 Star BSC10  USB printer</t>
  </si>
  <si>
    <t>Repair fee - 1,000; Power supply - 3,600; Printer head - 2,600</t>
  </si>
  <si>
    <t>BDO-227370</t>
  </si>
  <si>
    <t>SYL23-0162</t>
  </si>
  <si>
    <t>SYL23-0163</t>
  </si>
  <si>
    <t>SYL23-0164</t>
  </si>
  <si>
    <t>SYL23-0165</t>
  </si>
  <si>
    <t>SYL23-0166</t>
  </si>
  <si>
    <t>SYL23-0167</t>
  </si>
  <si>
    <t>SYL23-0168</t>
  </si>
  <si>
    <t>5 Epson T82X LAN printer</t>
  </si>
  <si>
    <t>SYL23-0169</t>
  </si>
  <si>
    <t>SYL23-0170</t>
  </si>
  <si>
    <t>SYL23-0171</t>
  </si>
  <si>
    <t>SYL23-0172</t>
  </si>
  <si>
    <t>SYL23-0173</t>
  </si>
  <si>
    <t>SYL23-0174</t>
  </si>
  <si>
    <t>SYL23-0175</t>
  </si>
  <si>
    <t>Mar 2023 billing</t>
  </si>
  <si>
    <t>Deposited, 4/14</t>
  </si>
  <si>
    <t>Business Permit - 2nd Quarter 2023</t>
  </si>
  <si>
    <t>April 10, 2023 billing</t>
  </si>
  <si>
    <t>Programming fee - Lorenz Jedd Alvarez</t>
  </si>
  <si>
    <t>BDO-126440</t>
  </si>
  <si>
    <t>BDO-227371</t>
  </si>
  <si>
    <t>April 17, 2023 billing</t>
  </si>
  <si>
    <t>SYL23-0176</t>
  </si>
  <si>
    <t>SYL23-0177</t>
  </si>
  <si>
    <t>SYL23-0178</t>
  </si>
  <si>
    <t>SYL23-0179</t>
  </si>
  <si>
    <t>SYL23-0180</t>
  </si>
  <si>
    <t>SYL23-0181</t>
  </si>
  <si>
    <t>SYL23-0182</t>
  </si>
  <si>
    <t>Lenovo tablet - Master Siomai Cebu</t>
  </si>
  <si>
    <t>5 EOS mini CPU i5 SSD; 5 EOS mini CPU i5 HDD; 10 NO SSD/HDD</t>
  </si>
  <si>
    <t xml:space="preserve">Programming fee </t>
  </si>
  <si>
    <t>Mar 10 to Apr 9, 2023 billing</t>
  </si>
  <si>
    <t>Mar 11 to Apr 10, 2023 billing</t>
  </si>
  <si>
    <t>BDO-227372</t>
  </si>
  <si>
    <t>Luminaire Printing and Publishing Corp</t>
  </si>
  <si>
    <t>SYL23-0183</t>
  </si>
  <si>
    <t>SYL23-0184</t>
  </si>
  <si>
    <t>SYL23-0185</t>
  </si>
  <si>
    <t>SYL23-0186</t>
  </si>
  <si>
    <t>SYL23-0187</t>
  </si>
  <si>
    <t>SYL23-0188</t>
  </si>
  <si>
    <t>SYL23-0189</t>
  </si>
  <si>
    <t>SYL23-0190</t>
  </si>
  <si>
    <t>SYL23-0191</t>
  </si>
  <si>
    <t>Allowance going to Tanaw Boracay &amp; Nathania Palawan</t>
  </si>
  <si>
    <t>Mar 16 to Apr 15, 2023 billing</t>
  </si>
  <si>
    <t>1TB SSD for Tanaw Restaurant</t>
  </si>
  <si>
    <t>SYL23-0192</t>
  </si>
  <si>
    <t>SYL23-0193</t>
  </si>
  <si>
    <t>SYL23-0194</t>
  </si>
  <si>
    <t>SYL23-0195</t>
  </si>
  <si>
    <t>SYL23-0196</t>
  </si>
  <si>
    <t>SYL23-0197</t>
  </si>
  <si>
    <t>SYL23-0198</t>
  </si>
  <si>
    <t>SYL23-0199</t>
  </si>
  <si>
    <t>BDO-227374</t>
  </si>
  <si>
    <t>5 Intel Core i5; 3 500gb SSD</t>
  </si>
  <si>
    <t>1tb HDD; 2 ribbon gear</t>
  </si>
  <si>
    <t>300 rolls 2ply; 250 rolls 1ply</t>
  </si>
  <si>
    <t>7 Epson TMU220D USB printer</t>
  </si>
  <si>
    <t>10 APC UPS; 3 AOC monitor; 10 power supply</t>
  </si>
  <si>
    <t>Petty cash - RM</t>
  </si>
  <si>
    <t>Back office support fee - March 2023</t>
  </si>
  <si>
    <t>SYL23-0200</t>
  </si>
  <si>
    <t>SYL23-0201</t>
  </si>
  <si>
    <t>SYL23-0202</t>
  </si>
  <si>
    <t>SYL23-0203</t>
  </si>
  <si>
    <t>SYL23-0204</t>
  </si>
  <si>
    <t>SYL23-0205</t>
  </si>
  <si>
    <t>SYL23-0206</t>
  </si>
  <si>
    <t>SYL23-0207</t>
  </si>
  <si>
    <t>SYL23-0208</t>
  </si>
  <si>
    <t>SYL23-0209</t>
  </si>
  <si>
    <t>SYL23-0210</t>
  </si>
  <si>
    <t>SYL23-0211</t>
  </si>
  <si>
    <t>SYL23-0212</t>
  </si>
  <si>
    <t>SYL23-0213</t>
  </si>
  <si>
    <t>SYL23-0214</t>
  </si>
  <si>
    <t>SYL23-0215</t>
  </si>
  <si>
    <t>SYL23-0216</t>
  </si>
  <si>
    <t>SYL23-0217</t>
  </si>
  <si>
    <t>SYL23-0218</t>
  </si>
  <si>
    <t>SYL23-0219</t>
  </si>
  <si>
    <t>SYL23-0220</t>
  </si>
  <si>
    <t>SYL23-0221</t>
  </si>
  <si>
    <t>SYL23-0222</t>
  </si>
  <si>
    <t>SYL23-0223</t>
  </si>
  <si>
    <t>SYL23-0224</t>
  </si>
  <si>
    <t>SYL23-0225</t>
  </si>
  <si>
    <t>SYL23-0226</t>
  </si>
  <si>
    <t>SYL23-0227</t>
  </si>
  <si>
    <t>SYL23-0228</t>
  </si>
  <si>
    <t>SYL23-0229</t>
  </si>
  <si>
    <t>SYL23-0230</t>
  </si>
  <si>
    <t>SYL23-0231</t>
  </si>
  <si>
    <t>SYL23-0232</t>
  </si>
  <si>
    <t>SYL23-0233</t>
  </si>
  <si>
    <t>SYL23-0234</t>
  </si>
  <si>
    <t>SYL23-0235</t>
  </si>
  <si>
    <t>LF021</t>
  </si>
  <si>
    <t>2 SP 742 LAN printer</t>
  </si>
  <si>
    <t>April 2023 billing</t>
  </si>
  <si>
    <t>BDO-227375</t>
  </si>
  <si>
    <t>004-780-008-177</t>
  </si>
  <si>
    <t>Brochure printing - DP</t>
  </si>
  <si>
    <t>May 17, 2023 billing</t>
  </si>
  <si>
    <t>Oneway Commercial Printing and Trading Co., Inc</t>
  </si>
  <si>
    <t>BDO-126441</t>
  </si>
  <si>
    <t>Apr 2023 billing</t>
  </si>
  <si>
    <t>Audit 2022 fee - FP</t>
  </si>
  <si>
    <t>Referral fee - Nara Thai SM Megamall</t>
  </si>
  <si>
    <t>Mike Alberto</t>
  </si>
  <si>
    <t>Brochure printing - FP</t>
  </si>
  <si>
    <t>Apr 10 to May 9, 2023 billing</t>
  </si>
  <si>
    <t>Apr 11 to May 10, 2023 billing</t>
  </si>
  <si>
    <t>May 10, 2023 billing</t>
  </si>
  <si>
    <t>15 EOS mini CPU i5 NO SSD/HDD</t>
  </si>
  <si>
    <t>1 1TB SSD</t>
  </si>
  <si>
    <t>April 16 to May 15, 2023 billing</t>
  </si>
  <si>
    <t>Service &amp; repair fee for OOW printer - Suscon</t>
  </si>
  <si>
    <t>BDO-227378</t>
  </si>
  <si>
    <t>10 Windows 10 pro 64bit</t>
  </si>
  <si>
    <t>Jesusa Rosario</t>
  </si>
  <si>
    <t>10 box 2ply journal paper</t>
  </si>
  <si>
    <t>BDO-227377</t>
  </si>
  <si>
    <t>Jimac Membership Renewal</t>
  </si>
  <si>
    <t>BDO-2273776</t>
  </si>
  <si>
    <t>Deposited, 6/8</t>
  </si>
  <si>
    <t>Back office support fee - April 2023</t>
  </si>
  <si>
    <t>SYL23-0236</t>
  </si>
  <si>
    <t>SYL23-0237</t>
  </si>
  <si>
    <t>SYL23-0238</t>
  </si>
  <si>
    <t>SYL23-0239</t>
  </si>
  <si>
    <t>SYL23-0240</t>
  </si>
  <si>
    <t>SYL23-0241</t>
  </si>
  <si>
    <t>SYL23-0242</t>
  </si>
  <si>
    <t>SYL23-0243</t>
  </si>
  <si>
    <t>SYL23-0244</t>
  </si>
  <si>
    <t>SYL23-0245</t>
  </si>
  <si>
    <t>SYL23-0246</t>
  </si>
  <si>
    <t>SYL23-0247</t>
  </si>
  <si>
    <t>SYL23-0248</t>
  </si>
  <si>
    <t>SYL23-0249</t>
  </si>
  <si>
    <t>SYL23-0250</t>
  </si>
  <si>
    <t>SYL23-0251</t>
  </si>
  <si>
    <t>SYL23-0252</t>
  </si>
  <si>
    <t>SYL23-0253</t>
  </si>
  <si>
    <t>SYL23-0254</t>
  </si>
  <si>
    <t>SYL23-0255</t>
  </si>
  <si>
    <t>SYL23-0256</t>
  </si>
  <si>
    <t>BDO-227380</t>
  </si>
  <si>
    <t>BDO-227379</t>
  </si>
  <si>
    <t>Membership renewal - Syluxent</t>
  </si>
  <si>
    <t>Sun Life of Canada(Philippines), Inc</t>
  </si>
  <si>
    <t>June 17, 2023 billing</t>
  </si>
  <si>
    <t>5 Epson TMU220B USB printer</t>
  </si>
  <si>
    <t>2 Epson TMU220A USB printer</t>
  </si>
  <si>
    <t>7 Epson T82X LAN printer</t>
  </si>
  <si>
    <t>May 2023 billing</t>
  </si>
  <si>
    <t>1 box thermal paper/ 10 box 1ply journal paper</t>
  </si>
  <si>
    <t>Katalyst Diversified Industries Corp</t>
  </si>
  <si>
    <t>008-467-360-000</t>
  </si>
  <si>
    <t>BDO-227381</t>
  </si>
  <si>
    <t>3 500GB SSD SATA/ 5 Intel core i5/ 4 Kingston 480gb SSD SATA</t>
  </si>
  <si>
    <t>SYL23-0257</t>
  </si>
  <si>
    <t>SYL23-0258</t>
  </si>
  <si>
    <t>SYL23-0259</t>
  </si>
  <si>
    <t>SYL23-0260</t>
  </si>
  <si>
    <t>SYL23-0261</t>
  </si>
  <si>
    <t>SYL23-0262</t>
  </si>
  <si>
    <t>SYL23-0263</t>
  </si>
  <si>
    <t>SYL23-0264</t>
  </si>
  <si>
    <t>SYL23-0265</t>
  </si>
  <si>
    <t>SYL23-0266</t>
  </si>
  <si>
    <t>SYL23-0267</t>
  </si>
  <si>
    <t>SYL23-0268</t>
  </si>
  <si>
    <t>SYL23-0269</t>
  </si>
  <si>
    <t>SYL23-0270</t>
  </si>
  <si>
    <t>SYL23-0271</t>
  </si>
  <si>
    <t>SYL23-0272</t>
  </si>
  <si>
    <t>SYL23-0273</t>
  </si>
  <si>
    <t>SYL23-0274</t>
  </si>
  <si>
    <t>SYL23-0275</t>
  </si>
  <si>
    <t>SYL23-0276</t>
  </si>
  <si>
    <t>SYL23-0277</t>
  </si>
  <si>
    <t>SYL23-0278</t>
  </si>
  <si>
    <t>SYL23-0279</t>
  </si>
  <si>
    <t>SYL23-0280</t>
  </si>
  <si>
    <t>SYL23-0281</t>
  </si>
  <si>
    <t>SYL23-0282</t>
  </si>
  <si>
    <t>SYL23-0283</t>
  </si>
  <si>
    <t>SYL23-0284</t>
  </si>
  <si>
    <t>SYL23-0285</t>
  </si>
  <si>
    <t>SYL23-0286</t>
  </si>
  <si>
    <t>SYL23-0287</t>
  </si>
  <si>
    <t>SYL23-0288</t>
  </si>
  <si>
    <t>SYL23-0289</t>
  </si>
  <si>
    <t>SYL23-0290</t>
  </si>
  <si>
    <t>SYL23-0291</t>
  </si>
  <si>
    <t>SYL23-0292</t>
  </si>
  <si>
    <t>SYL23-0293</t>
  </si>
  <si>
    <t>SYL23-0294</t>
  </si>
  <si>
    <t>SYL23-0295</t>
  </si>
  <si>
    <t>SYL23-0296</t>
  </si>
  <si>
    <t>SYL23-0297</t>
  </si>
  <si>
    <t>Exhibit share WOFEX &amp; NRCE 2023</t>
  </si>
  <si>
    <t>BDO-227382</t>
  </si>
  <si>
    <t>10 512gb SSD; 1 TPLink CPE 510 dualband wireless LAN</t>
  </si>
  <si>
    <t>Back office support fee - May 2023</t>
  </si>
  <si>
    <t>The'a Paws refund</t>
  </si>
  <si>
    <t>Nenette Enriquez</t>
  </si>
  <si>
    <t>May 16 to June 15, 2023 billing</t>
  </si>
  <si>
    <t>June 10, 2023 billing</t>
  </si>
  <si>
    <t>BDO-227384</t>
  </si>
  <si>
    <t>Printer parts</t>
  </si>
  <si>
    <t>2 Epson T82X USB printer; 10 APC UPS</t>
  </si>
  <si>
    <t>20 Keyboard &amp; mouse; 20 Kaspersky Anti-virus</t>
  </si>
  <si>
    <t>BDO-126443</t>
  </si>
  <si>
    <t>Final billing</t>
  </si>
  <si>
    <t>BDO-227383</t>
  </si>
  <si>
    <t>NAIA downloading - Partial payment</t>
  </si>
  <si>
    <t>May 11 to June 10, 2023 billing</t>
  </si>
  <si>
    <t>May 10 to June 9, 2023 billing</t>
  </si>
  <si>
    <t xml:space="preserve">Final pay </t>
  </si>
  <si>
    <t>1 IMIN D2-402 Desktop POS</t>
  </si>
  <si>
    <t>Ablaze Marketing</t>
  </si>
  <si>
    <t>282-010-428-000</t>
  </si>
  <si>
    <t>Car preventive maintenance</t>
  </si>
  <si>
    <t>BDO-227386</t>
  </si>
  <si>
    <t>Car Insurance - 2023</t>
  </si>
  <si>
    <t>Bookkeeping fee - Jan to Apr 2023</t>
  </si>
  <si>
    <t>New Bombay Foods, Inc</t>
  </si>
  <si>
    <t>Referral Fee</t>
  </si>
  <si>
    <t>8 box thermal paper; 2 box 1ply; 2 box 2 ply</t>
  </si>
  <si>
    <t>July 17, 2023 billing</t>
  </si>
  <si>
    <t>BDO-126444</t>
  </si>
  <si>
    <t>Service charge incentive - 1st to 2nd Quarter 2023</t>
  </si>
  <si>
    <t>BDO-227387</t>
  </si>
  <si>
    <t>Deposited,7/12</t>
  </si>
  <si>
    <t>June 2023 billing</t>
  </si>
  <si>
    <t>30 Cash drawer; 5 Mini cash drawer</t>
  </si>
  <si>
    <t>SYL23-0298</t>
  </si>
  <si>
    <t>SYL23-0299</t>
  </si>
  <si>
    <t>SYL23-0300</t>
  </si>
  <si>
    <t>SYL23-0301</t>
  </si>
  <si>
    <t>SYL23-0302</t>
  </si>
  <si>
    <t>SYL23-0303</t>
  </si>
  <si>
    <t>SYL23-0304</t>
  </si>
  <si>
    <t>SYL23-0305</t>
  </si>
  <si>
    <t>June 16 to July 15, 2023 billing</t>
  </si>
  <si>
    <t>SYL23-0306</t>
  </si>
  <si>
    <t>SYL23-0307</t>
  </si>
  <si>
    <t>SYL23-0308</t>
  </si>
  <si>
    <t>SYL23-0309</t>
  </si>
  <si>
    <t>SYL23-0310</t>
  </si>
  <si>
    <t>SYL23-0311</t>
  </si>
  <si>
    <t>SYL23-0312</t>
  </si>
  <si>
    <t>SYL23-0313</t>
  </si>
  <si>
    <t>SYL23-0314</t>
  </si>
  <si>
    <t>SYL23-0315</t>
  </si>
  <si>
    <t>SYL23-0316</t>
  </si>
  <si>
    <t>SYL23-0317</t>
  </si>
  <si>
    <t>SYL23-0318</t>
  </si>
  <si>
    <t>SYL23-0319</t>
  </si>
  <si>
    <t>SYL23-0320</t>
  </si>
  <si>
    <t>SYL23-0321</t>
  </si>
  <si>
    <t>SYL23-0322</t>
  </si>
  <si>
    <t>SYL23-0323</t>
  </si>
  <si>
    <t>SYL23-0324</t>
  </si>
  <si>
    <t>SYL23-0325</t>
  </si>
  <si>
    <t>SYL23-0326</t>
  </si>
  <si>
    <t>SYL23-0327</t>
  </si>
  <si>
    <t>June 10 to July 9, 2023 billing</t>
  </si>
  <si>
    <t>June 11 to July 10, 2023 billing</t>
  </si>
  <si>
    <t>2 Epson TMU220B USB printer</t>
  </si>
  <si>
    <t>20 BOX 2ply journal paper</t>
  </si>
  <si>
    <t>5 Epson TM-T82X USB printer; 5 APC UPS 650VA</t>
  </si>
  <si>
    <t>Programming fee - Lorenz Jed A.</t>
  </si>
  <si>
    <t>BDO-126445</t>
  </si>
  <si>
    <t>Back office support fee - June 2023</t>
  </si>
  <si>
    <t>BDO-227388</t>
  </si>
  <si>
    <t>5 500gb SSD Sata; 5 Intel core i5; 1 Kingston 480gb SSD Sata</t>
  </si>
  <si>
    <t>SYL23-0328</t>
  </si>
  <si>
    <t>SYL23-0329</t>
  </si>
  <si>
    <t>SYL23-0330</t>
  </si>
  <si>
    <t>SYL23-0331</t>
  </si>
  <si>
    <t>SYL23-0332</t>
  </si>
  <si>
    <t>SYL23-0333</t>
  </si>
  <si>
    <t>SYL23-0334</t>
  </si>
  <si>
    <t>5 AOC monitor</t>
  </si>
  <si>
    <t>Service charge-1500; Ribbon shaft-900</t>
  </si>
  <si>
    <t>SYL23-0335</t>
  </si>
  <si>
    <t>SYL23-0336</t>
  </si>
  <si>
    <t>SYL23-0337</t>
  </si>
  <si>
    <t>SYL23-0338</t>
  </si>
  <si>
    <t>SYL23-0339</t>
  </si>
  <si>
    <t>SYL23-0340</t>
  </si>
  <si>
    <t>SYL23-0341</t>
  </si>
  <si>
    <t>SYL23-0342</t>
  </si>
  <si>
    <t>SYL23-0343</t>
  </si>
  <si>
    <t>BDO-227389</t>
  </si>
  <si>
    <t>1 8GB RAM for EOS</t>
  </si>
  <si>
    <t xml:space="preserve">Referral fee - Wakasaya </t>
  </si>
  <si>
    <t>Mini PC for testing</t>
  </si>
  <si>
    <t>7 Postech touchscreen monitor</t>
  </si>
  <si>
    <t>IT Verse Inc</t>
  </si>
  <si>
    <t>614-689-880-00001</t>
  </si>
  <si>
    <t>Deposited,8/4</t>
  </si>
  <si>
    <t>SYL23-0344</t>
  </si>
  <si>
    <t>SYL23-0345</t>
  </si>
  <si>
    <t>SYL23-0346</t>
  </si>
  <si>
    <t>SYL23-0347</t>
  </si>
  <si>
    <t>SYL23-0348</t>
  </si>
  <si>
    <t>SYL23-0349</t>
  </si>
  <si>
    <t>SYL23-0350</t>
  </si>
  <si>
    <t>SYL23-0351</t>
  </si>
  <si>
    <t>SYL23-0352</t>
  </si>
  <si>
    <t>SYL23-0353</t>
  </si>
  <si>
    <t>SYL23-0354</t>
  </si>
  <si>
    <t>SYL23-0355</t>
  </si>
  <si>
    <t>SYL23-0356</t>
  </si>
  <si>
    <t>SYL23-0357</t>
  </si>
  <si>
    <t>SYL23-0358</t>
  </si>
  <si>
    <t>SYL23-0359</t>
  </si>
  <si>
    <t>SYL23-0360</t>
  </si>
  <si>
    <t>SYL23-0361</t>
  </si>
  <si>
    <t>SYL23-0362</t>
  </si>
  <si>
    <t>SYL23-0363</t>
  </si>
  <si>
    <t>Rebecca Gutierrez</t>
  </si>
  <si>
    <t>July 10, 2023 billing</t>
  </si>
  <si>
    <t>BDO-126446</t>
  </si>
  <si>
    <t>BDO-227390</t>
  </si>
  <si>
    <t>SYL23-0364</t>
  </si>
  <si>
    <t>SYL23-0365</t>
  </si>
  <si>
    <t>SYL23-0366</t>
  </si>
  <si>
    <t>SYL23-0367</t>
  </si>
  <si>
    <t>SYL23-0368</t>
  </si>
  <si>
    <t>SYL23-0369</t>
  </si>
  <si>
    <t>SYL23-0370</t>
  </si>
  <si>
    <t>Aug 17, 2023 billing</t>
  </si>
  <si>
    <t>Aug 10, 2023 billing</t>
  </si>
  <si>
    <t>July 10 to Aug 9, 2023 billing</t>
  </si>
  <si>
    <t>July 11 to Aug 10, 2023 billing</t>
  </si>
  <si>
    <t>July billing</t>
  </si>
  <si>
    <t>BDO-227391</t>
  </si>
  <si>
    <t>20 EOS mini CPU i5 no SSD</t>
  </si>
  <si>
    <t>Motherboard for EOS i5</t>
  </si>
  <si>
    <t>SYL23-0371</t>
  </si>
  <si>
    <t>SYL23-0372</t>
  </si>
  <si>
    <t>SYL23-0373</t>
  </si>
  <si>
    <t>SYL23-0374</t>
  </si>
  <si>
    <t>SYL23-0375</t>
  </si>
  <si>
    <t>SYL23-0376</t>
  </si>
  <si>
    <t>SYL23-0377</t>
  </si>
  <si>
    <t>SYL23-0378</t>
  </si>
  <si>
    <t>10 rolls barcode sticker - Nikka Babes Minimart</t>
  </si>
  <si>
    <t>10 APC UPS 650VA</t>
  </si>
  <si>
    <t>BDO-227392</t>
  </si>
  <si>
    <t>BDO-227394</t>
  </si>
  <si>
    <t>July 16 to Aug 15, 2023 billing</t>
  </si>
  <si>
    <t>SYL23-0379</t>
  </si>
  <si>
    <t>SYL23-0380</t>
  </si>
  <si>
    <t>SYL23-0381</t>
  </si>
  <si>
    <t>SYL23-0382</t>
  </si>
  <si>
    <t>Sept 17, 2023 billing</t>
  </si>
  <si>
    <t>Rebecca Gutirrez</t>
  </si>
  <si>
    <t>Service charge - 1500; Motherboard - 7,900 = CITY GARDEN</t>
  </si>
  <si>
    <t>SYL23-0383</t>
  </si>
  <si>
    <t>SYL23-0384</t>
  </si>
  <si>
    <t>SYL23-0385</t>
  </si>
  <si>
    <t>SYL23-0386</t>
  </si>
  <si>
    <t>SYL23-0387</t>
  </si>
  <si>
    <t>SYL23-0388</t>
  </si>
  <si>
    <t>BDO-126448</t>
  </si>
  <si>
    <t>SYL23-0389</t>
  </si>
  <si>
    <t>SYL23-0390</t>
  </si>
  <si>
    <t>SYL23-0391</t>
  </si>
  <si>
    <t>SYL23-0392</t>
  </si>
  <si>
    <t>SYL23-0393</t>
  </si>
  <si>
    <t>SYL23-0394</t>
  </si>
  <si>
    <t>SYL23-0395</t>
  </si>
  <si>
    <t>SYL23-0396</t>
  </si>
  <si>
    <t>SYL23-0397</t>
  </si>
  <si>
    <t>SYL23-0398</t>
  </si>
  <si>
    <t>SYL23-0399</t>
  </si>
  <si>
    <t>SYL23-0400</t>
  </si>
  <si>
    <t>SYL23-0401</t>
  </si>
  <si>
    <t>SYL23-0402</t>
  </si>
  <si>
    <t>SYL23-0403</t>
  </si>
  <si>
    <t>Sept 10, 2023 billing</t>
  </si>
  <si>
    <t>PFA exhibit share</t>
  </si>
  <si>
    <t>Aug 10 to Sept 9, 2023 billing</t>
  </si>
  <si>
    <t>Aug 11 to Sept 10, 2023 billing</t>
  </si>
  <si>
    <t>Referral fee - Win's Pub</t>
  </si>
  <si>
    <t>8 Epson TMU220B USB printer</t>
  </si>
  <si>
    <t>IP camera for office</t>
  </si>
  <si>
    <t>August 2023 billing</t>
  </si>
  <si>
    <t>010-393-332-00000</t>
  </si>
  <si>
    <t>8 Poseidon EZ202 customer display</t>
  </si>
  <si>
    <t>BDO-227395</t>
  </si>
  <si>
    <t>BDO-227396</t>
  </si>
  <si>
    <t>AR #2899</t>
  </si>
  <si>
    <t>SYL23-0404</t>
  </si>
  <si>
    <t>SYL23-0405</t>
  </si>
  <si>
    <t>SYL23-0406</t>
  </si>
  <si>
    <t>SYL23-0407</t>
  </si>
  <si>
    <t>SYL23-0408</t>
  </si>
  <si>
    <t>SYL23-0409</t>
  </si>
  <si>
    <t>Full dividend 2019 - Ruben E.</t>
  </si>
  <si>
    <t>Back office support fee - Aug 2023</t>
  </si>
  <si>
    <t>BDO-227397</t>
  </si>
  <si>
    <t>7 Intel core i5</t>
  </si>
  <si>
    <t>10 Postech touchscreen monitort</t>
  </si>
  <si>
    <t>SYL23-0410</t>
  </si>
  <si>
    <t>SYL23-0411</t>
  </si>
  <si>
    <t>SYL23-0412</t>
  </si>
  <si>
    <t>SYL23-0413</t>
  </si>
  <si>
    <t>SYL23-0414</t>
  </si>
  <si>
    <t>SYL23-0415</t>
  </si>
  <si>
    <t>SYL23-0416</t>
  </si>
  <si>
    <t>Aug 16 to Sept 15, 2023</t>
  </si>
  <si>
    <t>BDO-227398</t>
  </si>
  <si>
    <t>Retirement incentive</t>
  </si>
  <si>
    <t>Paulina Lanuza</t>
  </si>
  <si>
    <t>8 Epson TM-T82X LAN printer</t>
  </si>
  <si>
    <t>Bookkeeping fee - May-July 2023</t>
  </si>
  <si>
    <t>Ricky's airfare</t>
  </si>
  <si>
    <t>Ricky's accomodation</t>
  </si>
  <si>
    <t>SYL23-0417</t>
  </si>
  <si>
    <t>SYL23-0418</t>
  </si>
  <si>
    <t>SYL23-0419</t>
  </si>
  <si>
    <t>SYL23-0420</t>
  </si>
  <si>
    <t>SYL23-0421</t>
  </si>
  <si>
    <t>SYL23-0422</t>
  </si>
  <si>
    <t>SYL23-0423</t>
  </si>
  <si>
    <t>SYL23-0424</t>
  </si>
  <si>
    <t>SYL23-0425</t>
  </si>
  <si>
    <t>BDO-227399</t>
  </si>
  <si>
    <t>1 SP747M-LAN</t>
  </si>
  <si>
    <t>1 8gb DDR4 RAM; 10 480gb SSD Sata</t>
  </si>
  <si>
    <t>SYL23-0426</t>
  </si>
  <si>
    <t>SYL23-0427</t>
  </si>
  <si>
    <t>SYL23-0428</t>
  </si>
  <si>
    <t>SYL23-0429</t>
  </si>
  <si>
    <t>SYL23-0430</t>
  </si>
  <si>
    <t>SYL23-0431</t>
  </si>
  <si>
    <t>SYL23-0432</t>
  </si>
  <si>
    <t>SYL23-0433</t>
  </si>
  <si>
    <t>SYL23-0434</t>
  </si>
  <si>
    <t>Returned CA payment - Error</t>
  </si>
  <si>
    <t>J&amp;J Consumer Goods Trading</t>
  </si>
  <si>
    <t>205-681-388-00000</t>
  </si>
  <si>
    <t>2 8gb DDR3L</t>
  </si>
  <si>
    <t>BDO-227400</t>
  </si>
  <si>
    <t>10 AOC monitor</t>
  </si>
  <si>
    <t>5 box thermal paper; 5 box 1ply journal paper</t>
  </si>
  <si>
    <t>20 Windows 10 pro</t>
  </si>
  <si>
    <t>10 APC UPS; 10 Epson TM-T82X LAN printer</t>
  </si>
  <si>
    <t>SYL23-0435</t>
  </si>
  <si>
    <t>SYL23-0436</t>
  </si>
  <si>
    <t>SYL23-0437</t>
  </si>
  <si>
    <t>SYL23-0438</t>
  </si>
  <si>
    <t>For the Year ended December 31, 2023</t>
  </si>
  <si>
    <t>Oct 17, 2023 billing</t>
  </si>
  <si>
    <t>Pag-ibig payment - Sept 2023 PARTIAL</t>
  </si>
  <si>
    <t>Pag-ibig payment - Sept 2023 FULL</t>
  </si>
  <si>
    <t>SYL23-0439</t>
  </si>
  <si>
    <t>SYL23-0440</t>
  </si>
  <si>
    <t>SYL23-0441</t>
  </si>
  <si>
    <t>SYL23-0442</t>
  </si>
  <si>
    <t>SYL23-0443</t>
  </si>
  <si>
    <t>SYL23-0444</t>
  </si>
  <si>
    <t>SYL23-0445</t>
  </si>
  <si>
    <t>BDO-126449</t>
  </si>
  <si>
    <t>Partial dividend 2020 - Ruben E</t>
  </si>
  <si>
    <t>1 EOS power adaptor</t>
  </si>
  <si>
    <t>20 Kaspersky anti-virus, 10 8port switch hub, 25 Keyboard &amp; mouse</t>
  </si>
  <si>
    <t>SYL23-0446</t>
  </si>
  <si>
    <t>SYL23-0447</t>
  </si>
  <si>
    <t>SYL23-0448</t>
  </si>
  <si>
    <t>SYL23-0449</t>
  </si>
  <si>
    <t>SYL23-0450</t>
  </si>
  <si>
    <t>SYL23-0451</t>
  </si>
  <si>
    <t>SYL23-0452</t>
  </si>
  <si>
    <t>SYL23-0453</t>
  </si>
  <si>
    <t>Oct 10, 2023 billing</t>
  </si>
  <si>
    <t>20 Epson TMU220D USB printer</t>
  </si>
  <si>
    <t>4 Poseidon customer display</t>
  </si>
  <si>
    <t>SYL23-0454</t>
  </si>
  <si>
    <t>SYL23-0455</t>
  </si>
  <si>
    <t>SYL23-0456</t>
  </si>
  <si>
    <t>SYL23-0457</t>
  </si>
  <si>
    <t>SYL23-0458</t>
  </si>
  <si>
    <t>SYL23-0459</t>
  </si>
  <si>
    <t>SYL23-0460</t>
  </si>
  <si>
    <t>SYL23-0461</t>
  </si>
  <si>
    <t>SYL23-0462</t>
  </si>
  <si>
    <t>SYL23-0463</t>
  </si>
  <si>
    <t>SYL23-0464</t>
  </si>
  <si>
    <t>SYL23-0465</t>
  </si>
  <si>
    <t>SYL23-0466</t>
  </si>
  <si>
    <t>SYL23-0467</t>
  </si>
  <si>
    <t>SYL23-0468</t>
  </si>
  <si>
    <t>SYL23-0469</t>
  </si>
  <si>
    <t>SYL23-0470</t>
  </si>
  <si>
    <t>SYL23-0471</t>
  </si>
  <si>
    <t>SYL23-0472</t>
  </si>
  <si>
    <t>SYL23-0473</t>
  </si>
  <si>
    <t>SYL23-0474</t>
  </si>
  <si>
    <t>SYL23-0475</t>
  </si>
  <si>
    <t>SYL23-0476</t>
  </si>
  <si>
    <t>SYL23-0477</t>
  </si>
  <si>
    <t>SYL23-0478</t>
  </si>
  <si>
    <t>SYL23-0479</t>
  </si>
  <si>
    <t>SYL23-0480</t>
  </si>
  <si>
    <t>SYL23-0481</t>
  </si>
  <si>
    <t>SYL23-0482</t>
  </si>
  <si>
    <t>SYL23-0483</t>
  </si>
  <si>
    <t>SYL23-0484</t>
  </si>
  <si>
    <t>SYL23-0485</t>
  </si>
  <si>
    <t>SYL23-0486</t>
  </si>
  <si>
    <t>SYL23-0487</t>
  </si>
  <si>
    <t>SYL23-0488</t>
  </si>
  <si>
    <t>SYL23-0489</t>
  </si>
  <si>
    <t>SYL23-0490</t>
  </si>
  <si>
    <t>SYL23-0491</t>
  </si>
  <si>
    <t>SYL23-0492</t>
  </si>
  <si>
    <t>SYL23-0493</t>
  </si>
  <si>
    <t>SYL23-0494</t>
  </si>
  <si>
    <t>SYL23-0495</t>
  </si>
  <si>
    <t>SYL23-0496</t>
  </si>
  <si>
    <t>SYL23-0497</t>
  </si>
  <si>
    <t>SYL23-0498</t>
  </si>
  <si>
    <t>SYL23-0499</t>
  </si>
  <si>
    <t>SYL23-0500</t>
  </si>
  <si>
    <t>SYL23-0501</t>
  </si>
  <si>
    <t>SYL23-0502</t>
  </si>
  <si>
    <t>SYL23-0503</t>
  </si>
  <si>
    <t>SYL23-0504</t>
  </si>
  <si>
    <t>SYL23-0505</t>
  </si>
  <si>
    <t>SYL23-0506</t>
  </si>
  <si>
    <t>SYL23-0507</t>
  </si>
  <si>
    <t>SYL23-0508</t>
  </si>
  <si>
    <t>SYL23-0509</t>
  </si>
  <si>
    <t>SYL23-0510</t>
  </si>
  <si>
    <t>SYL23-0511</t>
  </si>
  <si>
    <t>SYL23-0512</t>
  </si>
  <si>
    <t>SYL23-0513</t>
  </si>
  <si>
    <t>SYL23-0514</t>
  </si>
  <si>
    <t>SYL23-0515</t>
  </si>
  <si>
    <t>SYL23-0516</t>
  </si>
  <si>
    <t>SYL23-0517</t>
  </si>
  <si>
    <t>SYL23-0518</t>
  </si>
  <si>
    <t>SYL23-0519</t>
  </si>
  <si>
    <t>SYL23-0520</t>
  </si>
  <si>
    <t>SYL23-0521</t>
  </si>
  <si>
    <t>SYL23-0522</t>
  </si>
  <si>
    <t>SYL23-0523</t>
  </si>
  <si>
    <t>SYL23-0524</t>
  </si>
  <si>
    <t>SYL23-0525</t>
  </si>
  <si>
    <t>SYL23-0526</t>
  </si>
  <si>
    <t>SYL23-0527</t>
  </si>
  <si>
    <t>SYL23-0528</t>
  </si>
  <si>
    <t>SYL23-0529</t>
  </si>
  <si>
    <t>SYL23-0530</t>
  </si>
  <si>
    <t>SYL23-0531</t>
  </si>
  <si>
    <t>SYL23-0532</t>
  </si>
  <si>
    <t>SYL23-0533</t>
  </si>
  <si>
    <t>BDO-227402</t>
  </si>
  <si>
    <t>1 8gb DDR4</t>
  </si>
  <si>
    <t>BDO-227404</t>
  </si>
  <si>
    <t>BDO-227401</t>
  </si>
  <si>
    <t>Godex label sticker: 220.00 &amp; 1175.00</t>
  </si>
  <si>
    <t>LRC World Trade Corporation</t>
  </si>
  <si>
    <t>003-253-202-000</t>
  </si>
  <si>
    <t>Sept 2023 billing</t>
  </si>
  <si>
    <t>Back office support fee - Sept 2023</t>
  </si>
  <si>
    <t>Advance programming fee</t>
  </si>
  <si>
    <t>2 Godex EZ120 barcode printer</t>
  </si>
  <si>
    <t>000-092-083-00028</t>
  </si>
  <si>
    <t>Sept 16 to Oct 15, 2023 billing</t>
  </si>
  <si>
    <t>BDO-126450</t>
  </si>
  <si>
    <t>BDO-126451</t>
  </si>
  <si>
    <t>10 EOS mini CPU i5 NO SSD</t>
  </si>
  <si>
    <t>Car registration 2023</t>
  </si>
  <si>
    <t>BDO-227406</t>
  </si>
  <si>
    <t>BDO-227405</t>
  </si>
  <si>
    <t>7 Intel core i5; 10 480gb SSD Kingston</t>
  </si>
  <si>
    <t>Company lunch</t>
  </si>
  <si>
    <t>Epicurean Partners Exchange, Inc</t>
  </si>
  <si>
    <t>007-189-834-00004</t>
  </si>
  <si>
    <t>CR 08974; SI 31625</t>
  </si>
  <si>
    <t>CR 08973; SI 31651</t>
  </si>
  <si>
    <t>CR 1286; SI 1296</t>
  </si>
  <si>
    <t>CR 248; SI 329</t>
  </si>
  <si>
    <t>AR 2023-0102</t>
  </si>
  <si>
    <t>CR 1385; SI 2154</t>
  </si>
  <si>
    <t>CR 08936; SI 31676</t>
  </si>
  <si>
    <t>CR 4787; SI 5286</t>
  </si>
  <si>
    <t>AR 2095; BS 04329</t>
  </si>
  <si>
    <t>OR 250</t>
  </si>
  <si>
    <t>CR 61226; SI 86886</t>
  </si>
  <si>
    <t>CR 18708; SI 37067</t>
  </si>
  <si>
    <t>CR 1288; SI 2174</t>
  </si>
  <si>
    <t>CR 1394; SI 1412</t>
  </si>
  <si>
    <t>CR 1419; SI 2218</t>
  </si>
  <si>
    <t>CR 271; SI 395</t>
  </si>
  <si>
    <t>CR 21673; SI 22158</t>
  </si>
  <si>
    <t>CR 1418; SI 2237</t>
  </si>
  <si>
    <t>CR 627; SI 1016</t>
  </si>
  <si>
    <t>CR 08937; SI 31833</t>
  </si>
  <si>
    <t>CR 613; SI 1019</t>
  </si>
  <si>
    <t>CR 639; SI 1025</t>
  </si>
  <si>
    <t>AR 2561; SOA J23-0156</t>
  </si>
  <si>
    <t>CR 637; SI 1031</t>
  </si>
  <si>
    <t>CR 18928;I 37372</t>
  </si>
  <si>
    <t>CR 1702; SI 2325</t>
  </si>
  <si>
    <t>CR 1701; SI 2323</t>
  </si>
  <si>
    <t>CR 5055; SI 5309</t>
  </si>
  <si>
    <t>SI 1270 &amp; 5320</t>
  </si>
  <si>
    <t>OR 251</t>
  </si>
  <si>
    <t>CR 628; SI 1046</t>
  </si>
  <si>
    <t>CR 629; SI 1041</t>
  </si>
  <si>
    <t>CR 638; SI 1040</t>
  </si>
  <si>
    <t>CR 09217; SI 31935</t>
  </si>
  <si>
    <t>SI 220361</t>
  </si>
  <si>
    <t>CR 1647; SI 1662</t>
  </si>
  <si>
    <t>CR 14495; SI 22605</t>
  </si>
  <si>
    <t>CR 09219; SI 31988</t>
  </si>
  <si>
    <t>CR 09218; SI 31989</t>
  </si>
  <si>
    <t>CR 2472; SI 2472</t>
  </si>
  <si>
    <t>CR 1674; SI 1692</t>
  </si>
  <si>
    <t>CR 654; SI 1064</t>
  </si>
  <si>
    <t>CR 1492; SI 2483</t>
  </si>
  <si>
    <t>CR 1718; SI 2532</t>
  </si>
  <si>
    <t>CR 09302; SI 32045</t>
  </si>
  <si>
    <t>CR 1716; SI 02858</t>
  </si>
  <si>
    <t>CR 04165; SI 04399</t>
  </si>
  <si>
    <t>CR 14569; SI 0022935</t>
  </si>
  <si>
    <t>CR 1757; SI 1779</t>
  </si>
  <si>
    <t>OR 260; AR 2023-041</t>
  </si>
  <si>
    <t>CR 19366; SI 37851</t>
  </si>
  <si>
    <t>AR 2574; BS 04374</t>
  </si>
  <si>
    <t>SI 0060550</t>
  </si>
  <si>
    <t>AR 2575; BS 04375</t>
  </si>
  <si>
    <t>CR 435; SI 0575</t>
  </si>
  <si>
    <t>CR 1727; SI 2601</t>
  </si>
  <si>
    <t>CR 667; SI 1084</t>
  </si>
  <si>
    <t>CR 666; SI 1081</t>
  </si>
  <si>
    <t>CR 1743; SI 2656</t>
  </si>
  <si>
    <t>SI 0062034</t>
  </si>
  <si>
    <t>SI 1095; CR 678</t>
  </si>
  <si>
    <t>AR 2467; BS 04385</t>
  </si>
  <si>
    <t>CR 1594; SI 2719</t>
  </si>
  <si>
    <t>CR 21049; SI 23457</t>
  </si>
  <si>
    <t>SI 38214; CR 19642</t>
  </si>
  <si>
    <t>AR 2582; BS 04390; BS 04391</t>
  </si>
  <si>
    <t>CR 1945; SI 1982</t>
  </si>
  <si>
    <t>OR 263</t>
  </si>
  <si>
    <t>CR 696; SI 1108</t>
  </si>
  <si>
    <t>OR 002517</t>
  </si>
  <si>
    <t>OR 0026781</t>
  </si>
  <si>
    <t>CR 1593; SI 2950</t>
  </si>
  <si>
    <t>CR 697; SI 1120</t>
  </si>
  <si>
    <t>CR 2014; SI 03326</t>
  </si>
  <si>
    <t>CR 695; SI 1122</t>
  </si>
  <si>
    <t>CR 2051; SI 2096</t>
  </si>
  <si>
    <t>CR 0651; SI 0746</t>
  </si>
  <si>
    <t>CR 19740; SI 38595</t>
  </si>
  <si>
    <t>CR 63907; SI 90801</t>
  </si>
  <si>
    <t>OR 275</t>
  </si>
  <si>
    <t>CR 1948; SI 3065</t>
  </si>
  <si>
    <t>CR 1947; SI 3061</t>
  </si>
  <si>
    <t>CR 1946; SI 3064</t>
  </si>
  <si>
    <t>CR 1945; SI 3062</t>
  </si>
  <si>
    <t>CR 1944; SI 3108</t>
  </si>
  <si>
    <t>AR 2861; BS 04424</t>
  </si>
  <si>
    <t>CR 2187; SI 2235</t>
  </si>
  <si>
    <t>OR 278</t>
  </si>
  <si>
    <t>CR 5127; SI 5410</t>
  </si>
  <si>
    <t>CR 2872; BS 04427</t>
  </si>
  <si>
    <t>CR 2719; SI 3215</t>
  </si>
  <si>
    <t>CR 17991; SI 24381</t>
  </si>
  <si>
    <t>CR 20181; SI 39081</t>
  </si>
  <si>
    <t>CR 0756; SI 0899</t>
  </si>
  <si>
    <t>CR 15236; SI 15077</t>
  </si>
  <si>
    <t>CR 09556; SI 32687</t>
  </si>
  <si>
    <t>CR 2734; SI 5125</t>
  </si>
  <si>
    <t>CR 2733; SI 5126</t>
  </si>
  <si>
    <t>SI CR 2732; 5124</t>
  </si>
  <si>
    <t>CR 20285; SI 39224</t>
  </si>
  <si>
    <t>CR 2731; SI 5127</t>
  </si>
  <si>
    <t>CR 2374; SI 2429</t>
  </si>
  <si>
    <t>OR 283</t>
  </si>
  <si>
    <t>CR 18040; SI 24790</t>
  </si>
  <si>
    <t>CR 740; SI 1193</t>
  </si>
  <si>
    <t>CR 5202; SI 5432</t>
  </si>
  <si>
    <t>CR 3461; SI 3461</t>
  </si>
  <si>
    <t>CR 09557; SI 32824</t>
  </si>
  <si>
    <t>CR 0812; SI 0985</t>
  </si>
  <si>
    <t>CR 2790; SI 5227</t>
  </si>
  <si>
    <t>CR 2789; SI 5228</t>
  </si>
  <si>
    <t>OR 91996</t>
  </si>
  <si>
    <t>CR 2886; SI 5312</t>
  </si>
  <si>
    <t>CR 774; SI 1207</t>
  </si>
  <si>
    <t>CR 775; SI 1208</t>
  </si>
  <si>
    <t>CR 776; SI 1209</t>
  </si>
  <si>
    <t>CR 2890; BS 04464</t>
  </si>
  <si>
    <t>CR 2888; SI 5354</t>
  </si>
  <si>
    <t>CR 2889; BS 04466</t>
  </si>
  <si>
    <t>CR 2530; SI 04190</t>
  </si>
  <si>
    <t>CR 5213; SI 5488</t>
  </si>
  <si>
    <t>CR 9682; SI 32974</t>
  </si>
  <si>
    <t>CR 2578; SI 2640</t>
  </si>
  <si>
    <t>CR 777; SI 1227</t>
  </si>
  <si>
    <t>OR 293</t>
  </si>
  <si>
    <t>CR 2943; SI 5544</t>
  </si>
  <si>
    <t>BS 04480</t>
  </si>
  <si>
    <t>CR 2944; SI 5563</t>
  </si>
  <si>
    <t>CR 09728; SI 33088</t>
  </si>
  <si>
    <t>OR 291</t>
  </si>
  <si>
    <t>CR 0928; SI 1101</t>
  </si>
  <si>
    <t>CR 2706; SI 2791</t>
  </si>
  <si>
    <t>CR 2945; SI 5589</t>
  </si>
  <si>
    <t>CR 803; SI 1252</t>
  </si>
  <si>
    <t>CR 2757; SI 2851</t>
  </si>
  <si>
    <t>CR 0993; SI 5671</t>
  </si>
  <si>
    <t>CR 09716; SI 33181</t>
  </si>
  <si>
    <t>CR 804; SI 1257</t>
  </si>
  <si>
    <t>CR 0994; SI 5670</t>
  </si>
  <si>
    <t>CR 18238; SI 25799</t>
  </si>
  <si>
    <t>CR 21080; SI 40113</t>
  </si>
  <si>
    <t>CR 2784; SI 2878</t>
  </si>
  <si>
    <t>CR 2598; SI 5679</t>
  </si>
  <si>
    <t>CR 09729; SI 33203</t>
  </si>
  <si>
    <t>CR 5005</t>
  </si>
  <si>
    <t>CR 5006; SI 5552</t>
  </si>
  <si>
    <t>CR 805; SI 1274</t>
  </si>
  <si>
    <t>CR 1017; SI 1195</t>
  </si>
  <si>
    <t>CR 18562; SI 1274</t>
  </si>
  <si>
    <t>CR 3051; SI 5860</t>
  </si>
  <si>
    <t>CR 09749; SI 33274</t>
  </si>
  <si>
    <t>CR 09750; SI 33288 &amp; 33291</t>
  </si>
  <si>
    <t>CR 2910; SI 3011</t>
  </si>
  <si>
    <t>SI 114738</t>
  </si>
  <si>
    <t>CR 2963; SI 3054</t>
  </si>
  <si>
    <t>OR 36382</t>
  </si>
  <si>
    <t>25 APC UPS 650VA</t>
  </si>
  <si>
    <t>OR 307</t>
  </si>
  <si>
    <t>MMG Enterprise</t>
  </si>
  <si>
    <t>10 rolls label sticker</t>
  </si>
  <si>
    <t>BDO-126452</t>
  </si>
  <si>
    <t>Sunlife insurance 2023-2024</t>
  </si>
  <si>
    <t>Sun Life of Canada Phils., Inc</t>
  </si>
  <si>
    <t>SI 18657</t>
  </si>
  <si>
    <t>Wofex exhibit 2024 - Partial</t>
  </si>
  <si>
    <t>Corporate giveaways</t>
  </si>
  <si>
    <t>Electricity &amp; sticker roll share</t>
  </si>
  <si>
    <t>10 rolls barcode sticker</t>
  </si>
  <si>
    <t>1 Star BSC10 USB printer</t>
  </si>
  <si>
    <t>Commission - Oct 2023</t>
  </si>
  <si>
    <t>BDO-227407</t>
  </si>
  <si>
    <t>Air fare</t>
  </si>
  <si>
    <t>MMG True Enterprises Inc</t>
  </si>
  <si>
    <t>BDO-227408</t>
  </si>
  <si>
    <t>BDO-227409</t>
  </si>
  <si>
    <t>BS 04518</t>
  </si>
  <si>
    <t>1 IMIN D2-402</t>
  </si>
  <si>
    <t>207-624-241-00000</t>
  </si>
  <si>
    <t>Gentleprince Inc</t>
  </si>
  <si>
    <t>007-189-670-000</t>
  </si>
  <si>
    <t>SI 6355</t>
  </si>
  <si>
    <t>CR #820; SI 1307</t>
  </si>
  <si>
    <t>Nov 17, 2023 billing</t>
  </si>
  <si>
    <t>BDO-227411</t>
  </si>
  <si>
    <t>Philcopy Corporation</t>
  </si>
  <si>
    <t>000-169-318-00000</t>
  </si>
  <si>
    <t>Nov 10, 2023 billing</t>
  </si>
  <si>
    <t>Oct 10 to Nov 9, 2023 billing</t>
  </si>
  <si>
    <t>Oct 2023 billing</t>
  </si>
  <si>
    <t>CR 186789; SI 515506</t>
  </si>
  <si>
    <t>Travel expense</t>
  </si>
  <si>
    <t>Wofex 2024 - DP</t>
  </si>
  <si>
    <t>Peptarsus Inc</t>
  </si>
  <si>
    <t>BDO-227412</t>
  </si>
  <si>
    <t>5 8gb RAM; 1 TP Link Wifi dongle dual band with antenna</t>
  </si>
  <si>
    <t>BDO-227413</t>
  </si>
  <si>
    <t>Christmas 2023 giveaways</t>
  </si>
  <si>
    <t>Christmas party 2023 share</t>
  </si>
  <si>
    <t>Oct 16 to Nov 15, 2023 billing</t>
  </si>
  <si>
    <t>Ricky M - Airfare and lodging</t>
  </si>
  <si>
    <t>Back office support fee - Oct 2023</t>
  </si>
  <si>
    <t>Christmas party 2023 - DP on venue</t>
  </si>
  <si>
    <t>CR 3363; SI 5936</t>
  </si>
  <si>
    <t>CR 3360; SI 5937</t>
  </si>
  <si>
    <t>CR 821; SI 1295</t>
  </si>
  <si>
    <t>CR 3361; SI 5992</t>
  </si>
  <si>
    <t>CR 09855; SI 33360</t>
  </si>
  <si>
    <t>CR 09856; SI 33374</t>
  </si>
  <si>
    <t>CR 3359; SI 6063</t>
  </si>
  <si>
    <t>CR 3362; SI 6095</t>
  </si>
  <si>
    <t>CR 3091; SI 3194</t>
  </si>
  <si>
    <t>BDO-227414</t>
  </si>
  <si>
    <t>BDO-227415</t>
  </si>
  <si>
    <t>BDO-227416</t>
  </si>
  <si>
    <t>Christmas giveaways - Additional</t>
  </si>
  <si>
    <t>3 Mini cash drawer</t>
  </si>
  <si>
    <t>7 box 2ply journal paper; 5 box 1ply journal paper</t>
  </si>
  <si>
    <t>4 2D Zebra 2208 barcode scanner</t>
  </si>
  <si>
    <t>SYL23-0534</t>
  </si>
  <si>
    <t>SYL23-0535</t>
  </si>
  <si>
    <t>SYL23-0536</t>
  </si>
  <si>
    <t>SYL23-0537</t>
  </si>
  <si>
    <t>SYL23-0538</t>
  </si>
  <si>
    <t>CR 5044; SI 5596</t>
  </si>
  <si>
    <t>CR 21754; SI 40818</t>
  </si>
  <si>
    <t>CR 22894; SI 88356</t>
  </si>
  <si>
    <t>Give aways</t>
  </si>
  <si>
    <t>10 Power supply</t>
  </si>
  <si>
    <t>CR 18791; SI 26459</t>
  </si>
  <si>
    <t>BDO-227417</t>
  </si>
  <si>
    <t>CR 3136; SI 3242</t>
  </si>
  <si>
    <t>Christmas raffle share</t>
  </si>
  <si>
    <t>SYL23-0539</t>
  </si>
  <si>
    <t>SYL23-0540</t>
  </si>
  <si>
    <t>SYL23-0541</t>
  </si>
  <si>
    <t>SYL23-0542</t>
  </si>
  <si>
    <t>SYL23-0543</t>
  </si>
  <si>
    <t>SYL23-0544</t>
  </si>
  <si>
    <t>SYL23-0545</t>
  </si>
  <si>
    <t>SYL23-0546</t>
  </si>
  <si>
    <t>SYL23-0547</t>
  </si>
  <si>
    <t>3 8gb RAM</t>
  </si>
  <si>
    <t>5 Star BSC10 printer</t>
  </si>
  <si>
    <t>2 IMIN D2-402</t>
  </si>
  <si>
    <t>5 Epson TM-T82X printer</t>
  </si>
  <si>
    <t>1 EOS motherboard</t>
  </si>
  <si>
    <t>Smart ID printer (Ofc use)</t>
  </si>
  <si>
    <t>Tablet for Molave Restaurant - Lazada purchased</t>
  </si>
  <si>
    <t>LF056</t>
  </si>
  <si>
    <t>LF057</t>
  </si>
  <si>
    <t>Excess payment from Famous Amos Trinoma</t>
  </si>
  <si>
    <t>SJ Shaw Food Corp</t>
  </si>
  <si>
    <t>Refund to Sugarhux</t>
  </si>
  <si>
    <t>Anne Klein R. Delos Reyes</t>
  </si>
  <si>
    <t>Zebra 2D vertical scanner</t>
  </si>
  <si>
    <t>SYL23-0548</t>
  </si>
  <si>
    <t>SYL23-0549</t>
  </si>
  <si>
    <t>SYL23-0550</t>
  </si>
  <si>
    <t>SYL23-0551</t>
  </si>
  <si>
    <t>SYL23-0552</t>
  </si>
  <si>
    <t>SYL23-0553</t>
  </si>
  <si>
    <t>SYL23-0554</t>
  </si>
  <si>
    <t>SYL23-0555</t>
  </si>
  <si>
    <t>SYL23-0556</t>
  </si>
  <si>
    <t>SYL23-0557</t>
  </si>
  <si>
    <t>SYL23-0558</t>
  </si>
  <si>
    <t>Christmas party share - Prize and games</t>
  </si>
  <si>
    <t>Ribbon cartridge for the ID printer</t>
  </si>
  <si>
    <t>Dec 17, 2023 billing</t>
  </si>
  <si>
    <t>Nov 2023 billing</t>
  </si>
  <si>
    <t>Ricky M - Airfare and lodging ADDITIONAL</t>
  </si>
  <si>
    <t>BDO-227418</t>
  </si>
  <si>
    <t>SYL23-0559</t>
  </si>
  <si>
    <t>SYL23-0560</t>
  </si>
  <si>
    <t>SYL23-0561</t>
  </si>
  <si>
    <t>SYL23-0562</t>
  </si>
  <si>
    <t>SYL23-0563</t>
  </si>
  <si>
    <t>SYL23-0564</t>
  </si>
  <si>
    <t>SYL23-0565</t>
  </si>
  <si>
    <t>BDO-227419</t>
  </si>
  <si>
    <t>Door lock</t>
  </si>
  <si>
    <t>24/7 Locks and Key Dupicate Services</t>
  </si>
  <si>
    <t>408-284-400-000</t>
  </si>
  <si>
    <t>OR 1261</t>
  </si>
  <si>
    <t>OR 316</t>
  </si>
  <si>
    <t>CR 184227; SI 515366</t>
  </si>
  <si>
    <t>Deposited,12/12</t>
  </si>
  <si>
    <t>LF058</t>
  </si>
  <si>
    <t>LF059</t>
  </si>
  <si>
    <t>BDO-126453</t>
  </si>
  <si>
    <t>Nov 10 to Dec 9, 2023 billing</t>
  </si>
  <si>
    <t>SYL23-0566</t>
  </si>
  <si>
    <t>SYL23-0567</t>
  </si>
  <si>
    <t>SYL23-0568</t>
  </si>
  <si>
    <t>SYL23-0569</t>
  </si>
  <si>
    <t>SYL23-0570</t>
  </si>
  <si>
    <t>SYL23-0571</t>
  </si>
  <si>
    <t>SYL23-0572</t>
  </si>
  <si>
    <t>Dec 10, 2023 billing</t>
  </si>
  <si>
    <t>Dec 2023 billing</t>
  </si>
  <si>
    <t>CR 844; SI 1308</t>
  </si>
  <si>
    <t>AR 2644; BS 04513</t>
  </si>
  <si>
    <t>CR 10009; SI 33550</t>
  </si>
  <si>
    <t>CR 10008; SI 33607</t>
  </si>
  <si>
    <t>CR 10010; SI 33526</t>
  </si>
  <si>
    <t>Nov 11 to Dec 10, 2023 billing</t>
  </si>
  <si>
    <t>BDO-227420</t>
  </si>
  <si>
    <t>Princess Leonardo</t>
  </si>
  <si>
    <t>Nov 16 to Dec 15, 2023 billing</t>
  </si>
  <si>
    <t>6 box 2ply journal paper</t>
  </si>
  <si>
    <t>Deposited,12/20</t>
  </si>
  <si>
    <t>CR 1211; SI 1419</t>
  </si>
  <si>
    <t>SYL23-0573</t>
  </si>
  <si>
    <t>SYL23-0574</t>
  </si>
  <si>
    <t>SYL23-0575</t>
  </si>
  <si>
    <t>SYL23-0576</t>
  </si>
  <si>
    <t>SYL23-0577</t>
  </si>
  <si>
    <t>Accomodation fee</t>
  </si>
  <si>
    <t>Adora Custodio</t>
  </si>
  <si>
    <t>Back office support fee - Nov 2023</t>
  </si>
  <si>
    <t>CR 3437' SI 6184</t>
  </si>
  <si>
    <t>CR 3440; SI 6264</t>
  </si>
  <si>
    <t>CR 3439; SI 6253</t>
  </si>
  <si>
    <t>CR 3438; SI 6228</t>
  </si>
  <si>
    <t>For the Year ended December 31, 2024</t>
  </si>
  <si>
    <t>Business Permit - 1st Quarter 2024</t>
  </si>
  <si>
    <t>SYL24-0001</t>
  </si>
  <si>
    <t>SYL24-0002</t>
  </si>
  <si>
    <t>SYL24-0003</t>
  </si>
  <si>
    <t>SYL24-0004</t>
  </si>
  <si>
    <t>SYL24-0005</t>
  </si>
  <si>
    <t>SYL24-0006</t>
  </si>
  <si>
    <t>SYL24-0007</t>
  </si>
  <si>
    <t>SYL24-0008</t>
  </si>
  <si>
    <t>SYL24-0009</t>
  </si>
  <si>
    <t>SYL24-0010</t>
  </si>
  <si>
    <t>SYL24-0011</t>
  </si>
  <si>
    <t>SYL24-0012</t>
  </si>
  <si>
    <t>SYL24-0013</t>
  </si>
  <si>
    <t>SYL24-0014</t>
  </si>
  <si>
    <t>SYL24-0015</t>
  </si>
  <si>
    <t>SYL24-0016</t>
  </si>
  <si>
    <t>SYL24-0017</t>
  </si>
  <si>
    <t>SYL24-0018</t>
  </si>
  <si>
    <t>SYL24-0019</t>
  </si>
  <si>
    <t>SYL24-0020</t>
  </si>
  <si>
    <t>SYL24-0021</t>
  </si>
  <si>
    <t>SYL24-0022</t>
  </si>
  <si>
    <t>SYL24-0023</t>
  </si>
  <si>
    <t>SYL24-0024</t>
  </si>
  <si>
    <t>SYL24-0025</t>
  </si>
  <si>
    <t>SYL24-0026</t>
  </si>
  <si>
    <t>SYL24-0027</t>
  </si>
  <si>
    <t>SYL24-0028</t>
  </si>
  <si>
    <t>SYL24-0029</t>
  </si>
  <si>
    <t>SYL24-0030</t>
  </si>
  <si>
    <t>SYL24-0031</t>
  </si>
  <si>
    <t>SYL24-0032</t>
  </si>
  <si>
    <t>SYL24-0033</t>
  </si>
  <si>
    <t>SYL24-0034</t>
  </si>
  <si>
    <t>SYL24-0035</t>
  </si>
  <si>
    <t>SYL24-0036</t>
  </si>
  <si>
    <t>SYL24-0037</t>
  </si>
  <si>
    <t>SYL24-0038</t>
  </si>
  <si>
    <t>SYL24-0039</t>
  </si>
  <si>
    <t>SYL24-0040</t>
  </si>
  <si>
    <t>SYL24-0041</t>
  </si>
  <si>
    <t>SYL24-0042</t>
  </si>
  <si>
    <t>SYL24-0043</t>
  </si>
  <si>
    <t>SYL24-0044</t>
  </si>
  <si>
    <t>SYL24-0045</t>
  </si>
  <si>
    <t>SYL24-0046</t>
  </si>
  <si>
    <t>SYL24-0047</t>
  </si>
  <si>
    <t>SYL24-0048</t>
  </si>
  <si>
    <t>SYL24-0049</t>
  </si>
  <si>
    <t>7 Star BSC10 USB printer</t>
  </si>
  <si>
    <t>LF060</t>
  </si>
  <si>
    <t>LF061</t>
  </si>
  <si>
    <t>OR 319</t>
  </si>
  <si>
    <t>PC001</t>
  </si>
  <si>
    <t>PC002</t>
  </si>
  <si>
    <t>Sales incentive - Oct 2022 &amp; Sept 2023</t>
  </si>
  <si>
    <t>Audit fee 2023 - DP</t>
  </si>
  <si>
    <t>BDO-227421</t>
  </si>
  <si>
    <t>Jan 17, 2024 billing</t>
  </si>
  <si>
    <t>Service charge incentives - 3rd &amp; 4th quarter 2023</t>
  </si>
  <si>
    <t>2 Godex barcode printer</t>
  </si>
  <si>
    <t>CR 1765; SI 6362</t>
  </si>
  <si>
    <t>CR 23127; SI 88644</t>
  </si>
  <si>
    <t>1 Godex EZ120 barcode printer</t>
  </si>
  <si>
    <t>3 Epson TMU220D LAN printer</t>
  </si>
  <si>
    <t>Jan 2024 billing</t>
  </si>
  <si>
    <t>Dec 10 to Jan 9, 2024 billing</t>
  </si>
  <si>
    <t>Globe Telecom , Inc</t>
  </si>
  <si>
    <t>BDO-227422</t>
  </si>
  <si>
    <t>BDO-227423</t>
  </si>
  <si>
    <t>CR 859; SI 1354</t>
  </si>
  <si>
    <t>CR 858; SI 1348</t>
  </si>
  <si>
    <t>CR 860; SI 1349</t>
  </si>
  <si>
    <t>PC003</t>
  </si>
  <si>
    <t>Dec 11 to Jan 10, 2024 billing</t>
  </si>
  <si>
    <t>BDO-227424</t>
  </si>
  <si>
    <t>Jan 11, 2024 bill date</t>
  </si>
  <si>
    <t>Gabriel Alvarez</t>
  </si>
  <si>
    <t>CR 21967; SI 41234</t>
  </si>
  <si>
    <t>Office globe billing</t>
  </si>
  <si>
    <t>Back office support fee - Dec 2023</t>
  </si>
  <si>
    <t>BDO-227425</t>
  </si>
  <si>
    <t>CR 3423; SI 3545</t>
  </si>
  <si>
    <t>Panday Metal Industrial Corporation</t>
  </si>
  <si>
    <t>20 ERC39 ribbon</t>
  </si>
  <si>
    <t>3 box 2ply; 8 box 1ply</t>
  </si>
  <si>
    <t>004-475-296-00000</t>
  </si>
  <si>
    <t>3 Epson TM-T82X USB printer</t>
  </si>
  <si>
    <t>BDO-227426</t>
  </si>
  <si>
    <t>CR 10097; SI 33831</t>
  </si>
  <si>
    <t>CR 10100; SI 33791</t>
  </si>
  <si>
    <t>CR 10098; SI 33820</t>
  </si>
  <si>
    <t>CR 10099; SI 33776</t>
  </si>
  <si>
    <t>PC004</t>
  </si>
  <si>
    <t>PC005</t>
  </si>
  <si>
    <t>Part-timer allowance</t>
  </si>
  <si>
    <t>2 Poseidon customer display</t>
  </si>
  <si>
    <t>OR 323</t>
  </si>
  <si>
    <t>BDO-227427</t>
  </si>
  <si>
    <t>CR 3752; SI 6459</t>
  </si>
  <si>
    <t>CR 3751; SI 6541</t>
  </si>
  <si>
    <t>CR 5305; SI 5622</t>
  </si>
  <si>
    <t>BDO-227428</t>
  </si>
  <si>
    <t>BDO Insurance 2024</t>
  </si>
  <si>
    <t>SYL24-0050</t>
  </si>
  <si>
    <t>SYL24-0051</t>
  </si>
  <si>
    <t>SYL24-0052</t>
  </si>
  <si>
    <t>SYL24-0053</t>
  </si>
  <si>
    <t>SYL24-0054</t>
  </si>
  <si>
    <t>SYL24-0055</t>
  </si>
  <si>
    <t>SYL24-0056</t>
  </si>
  <si>
    <t>SYL24-0057</t>
  </si>
  <si>
    <t>Star printer print head</t>
  </si>
  <si>
    <t>3 Epson TM-T82X LAN printer</t>
  </si>
  <si>
    <t>CR 878; SI 1413</t>
  </si>
  <si>
    <t>CR 877; SI 1403</t>
  </si>
  <si>
    <t>7 Intel core i5; 5 480gb SSD sata</t>
  </si>
  <si>
    <t>CR 3510; SI 3631</t>
  </si>
  <si>
    <t>CR 22388; SI 41644</t>
  </si>
  <si>
    <t>BDO-227429</t>
  </si>
  <si>
    <t>PC006</t>
  </si>
  <si>
    <t>Feb 2024 billing</t>
  </si>
  <si>
    <t>SYL24-0058</t>
  </si>
  <si>
    <t>SYL24-0059</t>
  </si>
  <si>
    <t>SYL24-0060</t>
  </si>
  <si>
    <t>SYL24-0061</t>
  </si>
  <si>
    <t>SYL24-0062</t>
  </si>
  <si>
    <t>Feb 17, 2024 billing</t>
  </si>
  <si>
    <t>BDO-227430</t>
  </si>
  <si>
    <t>BDO-227431</t>
  </si>
  <si>
    <t>BDO-227432</t>
  </si>
  <si>
    <t>Fund transfer to BDO2</t>
  </si>
  <si>
    <t>SYL24-0063</t>
  </si>
  <si>
    <t>SYL24-0064</t>
  </si>
  <si>
    <t>SYL24-0065</t>
  </si>
  <si>
    <t>SYL24-0066</t>
  </si>
  <si>
    <t>SYL24-0067</t>
  </si>
  <si>
    <t>SYL24-0068</t>
  </si>
  <si>
    <t>BDO-227436</t>
  </si>
  <si>
    <t>Insurance 2024</t>
  </si>
  <si>
    <t>BDOI</t>
  </si>
  <si>
    <t>BDO-227434</t>
  </si>
  <si>
    <t>CM &amp; Handling fees</t>
  </si>
  <si>
    <t>BDO-227435</t>
  </si>
  <si>
    <t>BDO-126455</t>
  </si>
  <si>
    <t>Car downpayment</t>
  </si>
  <si>
    <t>Iconic Dealership, Inc</t>
  </si>
  <si>
    <t>BDO-227433</t>
  </si>
  <si>
    <t>Other payment for car loan</t>
  </si>
  <si>
    <t>Feb 11, 2024 billing</t>
  </si>
  <si>
    <t>SYL24-0069</t>
  </si>
  <si>
    <t>SYL24-0070</t>
  </si>
  <si>
    <t>SYL24-0071</t>
  </si>
  <si>
    <t>SYL24-0072</t>
  </si>
  <si>
    <t>SYL24-0073</t>
  </si>
  <si>
    <t>SYL24-0074</t>
  </si>
  <si>
    <t>SYL24-0075</t>
  </si>
  <si>
    <t>PC007</t>
  </si>
  <si>
    <t>BDO-126457</t>
  </si>
  <si>
    <t>Raymark Joseph Fabile</t>
  </si>
  <si>
    <t>008-452-246-00005</t>
  </si>
  <si>
    <t>CR 2152018538</t>
  </si>
  <si>
    <t>SYL24-0076</t>
  </si>
  <si>
    <t>SYL24-0077</t>
  </si>
  <si>
    <t>SYL24-0078</t>
  </si>
  <si>
    <t>SYL24-0079</t>
  </si>
  <si>
    <t>SYL24-0080</t>
  </si>
  <si>
    <t>SYL24-0081</t>
  </si>
  <si>
    <t>SYL24-0082</t>
  </si>
  <si>
    <t>SYL24-0083</t>
  </si>
  <si>
    <t>SYL24-0084</t>
  </si>
  <si>
    <t>SYL24-0085</t>
  </si>
  <si>
    <t>Anniversary token for Joanne Zapanta</t>
  </si>
  <si>
    <t>Jan 10, to Feb 9, 2024 billing</t>
  </si>
  <si>
    <t>Jan 11 to Feb 10, 2024 billing</t>
  </si>
  <si>
    <t>PC008</t>
  </si>
  <si>
    <t>Deposited, Feb 19</t>
  </si>
  <si>
    <t>CR 10140; SI 33904</t>
  </si>
  <si>
    <t>CR 10142; SI 33896</t>
  </si>
  <si>
    <t>CR 10141; SI 33895</t>
  </si>
  <si>
    <t>Deposited, Feb 22</t>
  </si>
  <si>
    <t>Jan 16 to Feb 15, 2024 billing</t>
  </si>
  <si>
    <t>Globe Telecom,Inc</t>
  </si>
  <si>
    <t>PC009</t>
  </si>
  <si>
    <t>CR 3678; SI 6569</t>
  </si>
  <si>
    <t>CR 3679; SI 6702</t>
  </si>
  <si>
    <t>PC010</t>
  </si>
  <si>
    <t>PC011</t>
  </si>
  <si>
    <t>CR 23455; SI 89132</t>
  </si>
  <si>
    <t>SYL24-0086</t>
  </si>
  <si>
    <t>SYL24-0087</t>
  </si>
  <si>
    <t>SYL24-0088</t>
  </si>
  <si>
    <t>SYL24-0089</t>
  </si>
  <si>
    <t>SYL24-0090</t>
  </si>
  <si>
    <t>SYL24-0091</t>
  </si>
  <si>
    <t>SYL24-0092</t>
  </si>
  <si>
    <t>Teamviewer license fee</t>
  </si>
  <si>
    <t>50 rolls barcode sticker</t>
  </si>
  <si>
    <t>22 APC UPS 650VA</t>
  </si>
  <si>
    <t>CR 890; SI 1407</t>
  </si>
  <si>
    <t>5 Acer LED monitor</t>
  </si>
  <si>
    <t>213-755-116-00000</t>
  </si>
  <si>
    <t>PC012</t>
  </si>
  <si>
    <t>CR 21915; SI 27330</t>
  </si>
  <si>
    <t>SYL24-0093</t>
  </si>
  <si>
    <t>SYL24-0094</t>
  </si>
  <si>
    <t>SYL24-0095</t>
  </si>
  <si>
    <t>SYL24-0096</t>
  </si>
  <si>
    <t>SYL24-0097</t>
  </si>
  <si>
    <t>SYL24-0098</t>
  </si>
  <si>
    <t>3 Zebra 2208 2D barcode scanner</t>
  </si>
  <si>
    <t>CR 3805; SI 6731</t>
  </si>
  <si>
    <t>SYL24-0026/0027</t>
  </si>
  <si>
    <t>50 Star ribbon</t>
  </si>
  <si>
    <t>10 box 1ply; 4 box 2ply</t>
  </si>
  <si>
    <t>CR 900; SI 1423</t>
  </si>
  <si>
    <t>SYL24-0099</t>
  </si>
  <si>
    <t>SYL24-0100</t>
  </si>
  <si>
    <t>SYL24-0101</t>
  </si>
  <si>
    <t>SYL24-0102</t>
  </si>
  <si>
    <t>SYL24-0103</t>
  </si>
  <si>
    <t>SYL24-0104</t>
  </si>
  <si>
    <t>Nextfun tablet for Dilingers GB3</t>
  </si>
  <si>
    <t>Analyn Letada</t>
  </si>
  <si>
    <t>Bookkeeping fee - Oct to Dec 2023</t>
  </si>
  <si>
    <t>PC013</t>
  </si>
  <si>
    <t>PC014</t>
  </si>
  <si>
    <t>SYL24-0105</t>
  </si>
  <si>
    <t>SYL24-0106</t>
  </si>
  <si>
    <t>SYL24-0107</t>
  </si>
  <si>
    <t>SYL24-0108</t>
  </si>
  <si>
    <t>SYL24-0109</t>
  </si>
  <si>
    <t>SYL24-0110</t>
  </si>
  <si>
    <t>SYL24-0111</t>
  </si>
  <si>
    <t>BDO-226437</t>
  </si>
  <si>
    <t>Mar 17, 2024 billing</t>
  </si>
  <si>
    <t>Printing of 50 bklts SI &amp; CR</t>
  </si>
  <si>
    <t>SYL24-0119</t>
  </si>
  <si>
    <t>SYL24-0112</t>
  </si>
  <si>
    <t>SYL24-0113</t>
  </si>
  <si>
    <t>SYL24-0114</t>
  </si>
  <si>
    <t>SYL24-0115</t>
  </si>
  <si>
    <t>SYL24-0116</t>
  </si>
  <si>
    <t>SYL24-0117</t>
  </si>
  <si>
    <t>Syluxent membership renewal DNB</t>
  </si>
  <si>
    <t>Syluxent Ayala renewal</t>
  </si>
  <si>
    <t>Jimac Ayala renewal</t>
  </si>
  <si>
    <t>Mar 2024 billing</t>
  </si>
  <si>
    <t>OR 330</t>
  </si>
  <si>
    <t>BDO - 227438</t>
  </si>
  <si>
    <t>CR 1764; SI 6361</t>
  </si>
  <si>
    <t>CR 1368; SI 1599 &amp; 1600</t>
  </si>
  <si>
    <t>SYL24-0118</t>
  </si>
  <si>
    <t>SYL24-0120</t>
  </si>
  <si>
    <t>SYL24-0121</t>
  </si>
  <si>
    <t>SYL24-0122</t>
  </si>
  <si>
    <t>SYL24-0123</t>
  </si>
  <si>
    <t>SYL24-0124</t>
  </si>
  <si>
    <t>SYL24-0125</t>
  </si>
  <si>
    <t>SYL24-0126</t>
  </si>
  <si>
    <t>Part timer allowance</t>
  </si>
  <si>
    <t>10 Adata 480GB SSD</t>
  </si>
  <si>
    <t>130 Star ribbon</t>
  </si>
  <si>
    <t>March 10, 2024 billing</t>
  </si>
  <si>
    <t>LTO registration fee</t>
  </si>
  <si>
    <t>Iconic Dealership Inc</t>
  </si>
  <si>
    <t>AR 1207000726; BS 1007001887</t>
  </si>
  <si>
    <t>CR 5270; SI 5681</t>
  </si>
  <si>
    <t>AR 2532; BS 04574</t>
  </si>
  <si>
    <t>SYL24-0127</t>
  </si>
  <si>
    <t>SYL24-0128</t>
  </si>
  <si>
    <t>SYL24-0129</t>
  </si>
  <si>
    <t>SYL24-0130</t>
  </si>
  <si>
    <t>SYL24-0131</t>
  </si>
  <si>
    <t>Feb 16 to Mar 15, 2024</t>
  </si>
  <si>
    <t>Feb 10 to Mar 9, 2024</t>
  </si>
  <si>
    <t>Back office support fee - Jan 2024</t>
  </si>
  <si>
    <t>Back office support fee - Feb 2024</t>
  </si>
  <si>
    <t>SYL24-0132</t>
  </si>
  <si>
    <t>SYL24-0133</t>
  </si>
  <si>
    <t>SYL24-0134</t>
  </si>
  <si>
    <t>SYL24-0135</t>
  </si>
  <si>
    <t>SYL24-0136</t>
  </si>
  <si>
    <t>SYL24-0137</t>
  </si>
  <si>
    <t>SYL24-0138</t>
  </si>
  <si>
    <t>CR 906; SI 1481</t>
  </si>
  <si>
    <t>CR 905; SI 1481</t>
  </si>
  <si>
    <t>CR 3826; SI 3955</t>
  </si>
  <si>
    <t>PC015</t>
  </si>
  <si>
    <t>CR 10220; SI 34056</t>
  </si>
  <si>
    <t>CR 10221; SI 34058</t>
  </si>
  <si>
    <t>CR 10222; SI 34077</t>
  </si>
  <si>
    <t>CR 8783; SI 5921</t>
  </si>
  <si>
    <t>BDO-126459</t>
  </si>
  <si>
    <t>Repair fee = 1120 &amp; Motherboard = 2342</t>
  </si>
  <si>
    <t>Service charge - IGO KOREAN MART</t>
  </si>
  <si>
    <t>PC016</t>
  </si>
  <si>
    <t>BDO-126460</t>
  </si>
  <si>
    <t>Cash advance - Ryan Fabile</t>
  </si>
  <si>
    <t>SYL24-0139</t>
  </si>
  <si>
    <t>SYL24-0140</t>
  </si>
  <si>
    <t>SYL24-0141</t>
  </si>
  <si>
    <t>SYL24-0142</t>
  </si>
  <si>
    <t>SYL24-0143</t>
  </si>
  <si>
    <t>BDO-227439</t>
  </si>
  <si>
    <t>Sales incentive - Oct 2023</t>
  </si>
  <si>
    <t>PC017</t>
  </si>
  <si>
    <t>Deposited, Mar 27</t>
  </si>
  <si>
    <t>CR 3498; SI 7041, OR 0171</t>
  </si>
  <si>
    <t>Business Permit - 2nd Quarter 2024</t>
  </si>
  <si>
    <t>BDO-126461</t>
  </si>
  <si>
    <t>CR 19276; SI 27616</t>
  </si>
  <si>
    <t>CR 4154; SI 6847</t>
  </si>
  <si>
    <t>CR 23023; SI 42237</t>
  </si>
  <si>
    <t>PC018</t>
  </si>
  <si>
    <t>SYL24-0144</t>
  </si>
  <si>
    <t>SYL24-0145</t>
  </si>
  <si>
    <t>SYL24-0146</t>
  </si>
  <si>
    <t>SYL24-0147</t>
  </si>
  <si>
    <t>SYL24-0148</t>
  </si>
  <si>
    <t>Apr 11, 2024 billing</t>
  </si>
  <si>
    <t>IMIN D2-402</t>
  </si>
  <si>
    <t>SYL24-0149</t>
  </si>
  <si>
    <t>SYL24-0150</t>
  </si>
  <si>
    <t>SYL24-0151</t>
  </si>
  <si>
    <t>SYL24-0152</t>
  </si>
  <si>
    <t>SYL24-0153</t>
  </si>
  <si>
    <t>3 EZ202 customer display</t>
  </si>
  <si>
    <t>April 17, 2024 billing</t>
  </si>
  <si>
    <t>Mar 10 to Apr 9, 2024 billing</t>
  </si>
  <si>
    <t>Mar 11 to Apr 10, 2024 billing</t>
  </si>
  <si>
    <t>April 2024 billing</t>
  </si>
  <si>
    <t>SYL24-0154</t>
  </si>
  <si>
    <t>SYL24-0155</t>
  </si>
  <si>
    <t>SYL24-0156</t>
  </si>
  <si>
    <t>SYL24-0157</t>
  </si>
  <si>
    <t>SYL24-0158</t>
  </si>
  <si>
    <t>SYL24-0159</t>
  </si>
  <si>
    <t>BDO-126462</t>
  </si>
  <si>
    <t>OR 332</t>
  </si>
  <si>
    <t>PC019</t>
  </si>
  <si>
    <t>SYL24-0160</t>
  </si>
  <si>
    <t>SYL24-0161</t>
  </si>
  <si>
    <t>SYL24-0162</t>
  </si>
  <si>
    <t>SYL24-0163</t>
  </si>
  <si>
    <t>SYL24-0164</t>
  </si>
  <si>
    <t>SYL24-0165</t>
  </si>
  <si>
    <t>SYL24-0166</t>
  </si>
  <si>
    <t>IMIN D3-505</t>
  </si>
  <si>
    <t>CR 23873; SI 89812</t>
  </si>
  <si>
    <t>10 EZ202 customer display</t>
  </si>
  <si>
    <t>Mar 16 to Apr 15, 2024 billing</t>
  </si>
  <si>
    <t>Board &amp; lodging expense - Ricky Morales</t>
  </si>
  <si>
    <t>SYL24-0167</t>
  </si>
  <si>
    <t>SYL24-0168</t>
  </si>
  <si>
    <t>SYL24-0169</t>
  </si>
  <si>
    <t>SYL24-0170</t>
  </si>
  <si>
    <t>SYL24-0171</t>
  </si>
  <si>
    <t>BDO-227440</t>
  </si>
  <si>
    <t>Audit fee = FP</t>
  </si>
  <si>
    <t>PC020</t>
  </si>
  <si>
    <t>SYL24-0172</t>
  </si>
  <si>
    <t>SYL24-0173</t>
  </si>
  <si>
    <t>SYL24-0174</t>
  </si>
  <si>
    <t>SYL24-0175</t>
  </si>
  <si>
    <t>SYL24-0176</t>
  </si>
  <si>
    <t>SYL24-0177</t>
  </si>
  <si>
    <t>SYL24-0178</t>
  </si>
  <si>
    <t>10 Postech touchscreen monitor; 10 Havit USB keyboard</t>
  </si>
  <si>
    <t>Aircon purchase</t>
  </si>
  <si>
    <t>BS 04591, 04592</t>
  </si>
  <si>
    <t>Basic membership renewal 2024 - JIMAC</t>
  </si>
  <si>
    <t>PC021</t>
  </si>
  <si>
    <t>3 Epson TMU220B USB printer; 2 Epson TMT82X USB printer; 2 Epson TMT82X LAN printer</t>
  </si>
  <si>
    <t>PC022</t>
  </si>
  <si>
    <t>CR 4776; SI 7625</t>
  </si>
  <si>
    <t>SYL24-0179</t>
  </si>
  <si>
    <t>SYL24-0180</t>
  </si>
  <si>
    <t>SYL24-0181</t>
  </si>
  <si>
    <t>SYL24-0182</t>
  </si>
  <si>
    <t>SYL24-0183</t>
  </si>
  <si>
    <t>SYL24-0184</t>
  </si>
  <si>
    <t>Back office support fee - Mar 2024</t>
  </si>
  <si>
    <t>Anniversary token - CJ Abarquez</t>
  </si>
  <si>
    <t>CR 1476; SI 1736</t>
  </si>
  <si>
    <t>CR 10366; SI 34473</t>
  </si>
  <si>
    <t>CR 10365; SI 34474</t>
  </si>
  <si>
    <t>1 Godex EZ120 barcode printer; 5 Barcode sticker</t>
  </si>
  <si>
    <t>CR 10363; SI 34343</t>
  </si>
  <si>
    <t>CR 10362; SI 34301</t>
  </si>
  <si>
    <t>CR 10364; SI 34383</t>
  </si>
  <si>
    <t>CR 4198; SI 7187</t>
  </si>
  <si>
    <t>CR 4197; SI 7188</t>
  </si>
  <si>
    <t>OR 338</t>
  </si>
  <si>
    <t>SYL24-0185</t>
  </si>
  <si>
    <t>SYL24-0186</t>
  </si>
  <si>
    <t>SYL24-0187</t>
  </si>
  <si>
    <t>SYL24-0188</t>
  </si>
  <si>
    <t>SYL24-0189</t>
  </si>
  <si>
    <t>SYL24-0190</t>
  </si>
  <si>
    <t>SI 015989</t>
  </si>
  <si>
    <t>PC023</t>
  </si>
  <si>
    <t>CR 24006; SI 89863</t>
  </si>
  <si>
    <t>SYL24-0191</t>
  </si>
  <si>
    <t>SYL24-0192</t>
  </si>
  <si>
    <t>SYL24-0193</t>
  </si>
  <si>
    <t>SYL24-0194</t>
  </si>
  <si>
    <t>SYL24-0195</t>
  </si>
  <si>
    <t>SYL24-0196</t>
  </si>
  <si>
    <t>May 11, 2024 billing</t>
  </si>
  <si>
    <t>May 17, 2024 billing</t>
  </si>
  <si>
    <t>BDO-227441</t>
  </si>
  <si>
    <t>BDO-227442</t>
  </si>
  <si>
    <t>BDO-227443</t>
  </si>
  <si>
    <t>5 Intel core i5; 10 480gb SSD; 1 8gb RAM</t>
  </si>
  <si>
    <t>SYL24-0197</t>
  </si>
  <si>
    <t>SYL24-0198</t>
  </si>
  <si>
    <t>SYL24-0199</t>
  </si>
  <si>
    <t>SYL24-0200</t>
  </si>
  <si>
    <t>Deposited, May 14</t>
  </si>
  <si>
    <t>PC025</t>
  </si>
  <si>
    <t>PC024</t>
  </si>
  <si>
    <t>May 2024 billing</t>
  </si>
  <si>
    <t>April 10 to May 9, 2024 billing</t>
  </si>
  <si>
    <t>Apr 11 to May 10, 2024 billing</t>
  </si>
  <si>
    <t>CR 5332; SI 5725</t>
  </si>
  <si>
    <t>SYL24-0201</t>
  </si>
  <si>
    <t>SYL24-0202</t>
  </si>
  <si>
    <t>SYL24-0203</t>
  </si>
  <si>
    <t>SYL24-0204</t>
  </si>
  <si>
    <t>SYL24-0205</t>
  </si>
  <si>
    <t>SYL24-0206</t>
  </si>
  <si>
    <t>SYL24-0207</t>
  </si>
  <si>
    <t>Airfare &amp; accomodation - Ricky M.</t>
  </si>
  <si>
    <t>April 16 to May 15, 2024 billing</t>
  </si>
  <si>
    <t>Abuloy</t>
  </si>
  <si>
    <t>EOS power adaptor</t>
  </si>
  <si>
    <t>3 Epson 220D LAN printer</t>
  </si>
  <si>
    <t>SYL24-0208</t>
  </si>
  <si>
    <t>SYL24-0209</t>
  </si>
  <si>
    <t>SYL24-0210</t>
  </si>
  <si>
    <t>SYL24-0211</t>
  </si>
  <si>
    <t>SYL24-0212</t>
  </si>
  <si>
    <t>SYL24-0213</t>
  </si>
  <si>
    <t>SYL24-0214</t>
  </si>
  <si>
    <t>SYL24-0215</t>
  </si>
  <si>
    <t>Company uniform</t>
  </si>
  <si>
    <t>SI 0011783</t>
  </si>
  <si>
    <t>008-204-649-00008</t>
  </si>
  <si>
    <t>BDO-227446</t>
  </si>
  <si>
    <t>2 8GB RAM</t>
  </si>
  <si>
    <t>BDO-227445</t>
  </si>
  <si>
    <t>Deposited, May 28</t>
  </si>
  <si>
    <t>SI 061625-P; SI 106348</t>
  </si>
  <si>
    <t>PC026</t>
  </si>
  <si>
    <t>CR 4232; SI 4360</t>
  </si>
  <si>
    <t>SYL24-0216</t>
  </si>
  <si>
    <t>SYL24-0217</t>
  </si>
  <si>
    <t>SYL24-0218</t>
  </si>
  <si>
    <t>SYL24-0219</t>
  </si>
  <si>
    <t>SYL24-0220</t>
  </si>
  <si>
    <t>SYL24-0221</t>
  </si>
  <si>
    <t>SYL24-0222</t>
  </si>
  <si>
    <t>SYL24-0223</t>
  </si>
  <si>
    <t>SYL24-0224</t>
  </si>
  <si>
    <t>SYL24-0225</t>
  </si>
  <si>
    <t>SYL24-0226</t>
  </si>
  <si>
    <t>SYL24-0227</t>
  </si>
  <si>
    <t>Allowance</t>
  </si>
  <si>
    <t>Accommodation expense - Ricky M</t>
  </si>
  <si>
    <t>Bookkeeping fee - Jan to Mar 2024</t>
  </si>
  <si>
    <t>PC027</t>
  </si>
  <si>
    <t>PC028</t>
  </si>
  <si>
    <t>Uniform's embroidery - DP</t>
  </si>
  <si>
    <t>BDO-266703</t>
  </si>
  <si>
    <t>PC029</t>
  </si>
  <si>
    <t>CR 946; SI 1545</t>
  </si>
  <si>
    <t>CR 945; SI 1486</t>
  </si>
  <si>
    <t>SYL24-0228</t>
  </si>
  <si>
    <t>SYL24-0229</t>
  </si>
  <si>
    <t>SYL24-0230</t>
  </si>
  <si>
    <t>SYL24-0231</t>
  </si>
  <si>
    <t>SYL24-0232</t>
  </si>
  <si>
    <t>SYL24-0233</t>
  </si>
  <si>
    <t>SYL24-0234</t>
  </si>
  <si>
    <t>SYL24-0235</t>
  </si>
  <si>
    <t>SYL24-0236</t>
  </si>
  <si>
    <t>SYL24-0237</t>
  </si>
  <si>
    <t>SYL24-0238</t>
  </si>
  <si>
    <t>SYL24-0239</t>
  </si>
  <si>
    <t>SYL24-0240</t>
  </si>
  <si>
    <t>SYL24-0241</t>
  </si>
  <si>
    <t>SYL24-0242</t>
  </si>
  <si>
    <t>SYL24-0243</t>
  </si>
  <si>
    <t>SYL24-0244</t>
  </si>
  <si>
    <t>SYL24-0245</t>
  </si>
  <si>
    <t>SYL24-0246</t>
  </si>
  <si>
    <t>10 EOS Mini CPU i5 LESS: Loaned 5 EOS</t>
  </si>
  <si>
    <t>CR 19483; SI 28454</t>
  </si>
  <si>
    <t>15 Power supply</t>
  </si>
  <si>
    <t>Bookkeeping fee - April 2024</t>
  </si>
  <si>
    <t>June 17, 2024 billing</t>
  </si>
  <si>
    <t>Accommodation fee - Ricky M.</t>
  </si>
  <si>
    <t>June 2024 billing</t>
  </si>
  <si>
    <t xml:space="preserve"> CR 4046; SI 7456</t>
  </si>
  <si>
    <t>1TB SSD for Vice Cosmetics server</t>
  </si>
  <si>
    <t>ARX Computer Center, Inc</t>
  </si>
  <si>
    <t>000-406-230-00000</t>
  </si>
  <si>
    <t>SI 64056</t>
  </si>
  <si>
    <t>OR 344; Inv 0424-26</t>
  </si>
  <si>
    <t>CR 10502; SI 34484</t>
  </si>
  <si>
    <t>CR 4122; SI 4253</t>
  </si>
  <si>
    <t>CR 4310; SI 4437</t>
  </si>
  <si>
    <t>May 10 - June 9, 2024 billing</t>
  </si>
  <si>
    <t>May 11 - June 10, 2024 billing</t>
  </si>
  <si>
    <t>Uniform's embroidery - FP</t>
  </si>
  <si>
    <t>SYL24-0247</t>
  </si>
  <si>
    <t>SYL24-0248</t>
  </si>
  <si>
    <t>SYL24-0249</t>
  </si>
  <si>
    <t>SYL24-0250</t>
  </si>
  <si>
    <t>SYL24-0251</t>
  </si>
  <si>
    <t>SYL24-0252</t>
  </si>
  <si>
    <t>SYL24-0253</t>
  </si>
  <si>
    <t>SYL24-0254</t>
  </si>
  <si>
    <t>SYL24-0255</t>
  </si>
  <si>
    <t>Additional uniform</t>
  </si>
  <si>
    <t>June 10, 2024 billing</t>
  </si>
  <si>
    <t>BDO-227447</t>
  </si>
  <si>
    <t>CR 3870; SI 7197</t>
  </si>
  <si>
    <t>CR 961; SI 1556</t>
  </si>
  <si>
    <t>CR 3869; SI 7598</t>
  </si>
  <si>
    <t>CR 3868; SI 7597</t>
  </si>
  <si>
    <t>CR 4361; SI 4491</t>
  </si>
  <si>
    <t>SI 0784</t>
  </si>
  <si>
    <t>An Gad's Personalized Print</t>
  </si>
  <si>
    <t>Globe billing</t>
  </si>
  <si>
    <t>Back office support fee - May 2024</t>
  </si>
  <si>
    <t>Ser Inv 345</t>
  </si>
  <si>
    <t>SYL24-0256</t>
  </si>
  <si>
    <t>SYL24-0257</t>
  </si>
  <si>
    <t>SYL24-0258</t>
  </si>
  <si>
    <t>SYL24-0259</t>
  </si>
  <si>
    <t>SYL24-0260</t>
  </si>
  <si>
    <t>SYL24-0261</t>
  </si>
  <si>
    <t>SYL24-0262</t>
  </si>
  <si>
    <t>BDO-266704</t>
  </si>
  <si>
    <t>BDO-227448</t>
  </si>
  <si>
    <t>SYL24-0263</t>
  </si>
  <si>
    <t>SYL24-0264</t>
  </si>
  <si>
    <t>SYL24-0265</t>
  </si>
  <si>
    <t>SYL24-0266</t>
  </si>
  <si>
    <t>Windows 11</t>
  </si>
  <si>
    <t>Referral fee - Food Express</t>
  </si>
  <si>
    <t>Leo Ibardaloza</t>
  </si>
  <si>
    <t>SYL24-0267</t>
  </si>
  <si>
    <t>SYL24-0268</t>
  </si>
  <si>
    <t>SYL24-0269</t>
  </si>
  <si>
    <t>SYL24-0270</t>
  </si>
  <si>
    <t>SYL24-0271</t>
  </si>
  <si>
    <t>SYL24-0272</t>
  </si>
  <si>
    <t>SYL24-0273</t>
  </si>
  <si>
    <t>SYL24-0274</t>
  </si>
  <si>
    <t>SYL24-0275</t>
  </si>
  <si>
    <t>SYL24-0276</t>
  </si>
  <si>
    <t>SYL24-0277</t>
  </si>
  <si>
    <t>SYL24-0278</t>
  </si>
  <si>
    <t>SYL24-0279</t>
  </si>
  <si>
    <t>SYL24-0280</t>
  </si>
  <si>
    <t>BDO-266705</t>
  </si>
  <si>
    <t>July 2024 billing</t>
  </si>
  <si>
    <t>Delivery fee</t>
  </si>
  <si>
    <t>CR 4478; SI 4607</t>
  </si>
  <si>
    <t>July 17, 2024 billing</t>
  </si>
  <si>
    <t>5 Acer monitor</t>
  </si>
  <si>
    <t>25 Keyboard &amp; mouse</t>
  </si>
  <si>
    <t>CR 1652; SI 1873</t>
  </si>
  <si>
    <t>EZ120 Godex barcode printer; 3 Godex label sticker</t>
  </si>
  <si>
    <t>5 box 2ply journal paper</t>
  </si>
  <si>
    <t>5 Mini cash drawer; 3 Poseidon EZ202 customer display</t>
  </si>
  <si>
    <t>10 480gb SSD</t>
  </si>
  <si>
    <t>CR 4389; SI 4516</t>
  </si>
  <si>
    <t>CR 5343; SI 5749</t>
  </si>
  <si>
    <t>CR 1968; SI 28536</t>
  </si>
  <si>
    <t>CR 19688; SI 28562</t>
  </si>
  <si>
    <t>SYL24-0281</t>
  </si>
  <si>
    <t>SYL24-0282</t>
  </si>
  <si>
    <t>SYL24-0283</t>
  </si>
  <si>
    <t>SYL24-0284</t>
  </si>
  <si>
    <t>SYL24-0285</t>
  </si>
  <si>
    <t>SYL24-0286</t>
  </si>
  <si>
    <t>SYL24-0287</t>
  </si>
  <si>
    <t>SYL24-0288</t>
  </si>
  <si>
    <t>SYL24-0289</t>
  </si>
  <si>
    <t>SYL24-0290</t>
  </si>
  <si>
    <t>SYL24-0291</t>
  </si>
  <si>
    <t>SYL24-0292</t>
  </si>
  <si>
    <t>SYL24-0293</t>
  </si>
  <si>
    <t>SYL24-0294</t>
  </si>
  <si>
    <t>SYL24-0295</t>
  </si>
  <si>
    <t>SYL24-0296</t>
  </si>
  <si>
    <t>SYL24-0297</t>
  </si>
  <si>
    <t>SYL24-0298</t>
  </si>
  <si>
    <t>3 H7-i5 EOS mini CPU</t>
  </si>
  <si>
    <t>7 H7-i5 EOS mini CPU</t>
  </si>
  <si>
    <t>5 Zebra DS2208 handheld scanner</t>
  </si>
  <si>
    <t>Epson TMU220A USB printer</t>
  </si>
  <si>
    <t>WOFEX exhibit share - Partial</t>
  </si>
  <si>
    <t>Service charge incentive - 1st - 2nd quarter</t>
  </si>
  <si>
    <t>UPS budget for Bap Heaven</t>
  </si>
  <si>
    <t>PC030</t>
  </si>
  <si>
    <t>PC031</t>
  </si>
  <si>
    <t>June 10 - July 9, 2024 billing</t>
  </si>
  <si>
    <t>June 11 - July 10, 2024 billing</t>
  </si>
  <si>
    <t>July 10, 2024 billing</t>
  </si>
  <si>
    <t>2 EZ120 Godex barcode printer; 6 Godex label sticker</t>
  </si>
  <si>
    <t>Delivery fee to Bap Heaven Cebu</t>
  </si>
  <si>
    <t>AP Cargo Logistic Network Corp</t>
  </si>
  <si>
    <t>005-247-530-00000</t>
  </si>
  <si>
    <t>Vat Invoice 00390</t>
  </si>
  <si>
    <t>BDO-227449</t>
  </si>
  <si>
    <t>PC032</t>
  </si>
  <si>
    <t>PC033</t>
  </si>
  <si>
    <t>PC034</t>
  </si>
  <si>
    <t>PC035</t>
  </si>
  <si>
    <t>PC036</t>
  </si>
  <si>
    <t>SYL24-0299</t>
  </si>
  <si>
    <t>SYL24-0300</t>
  </si>
  <si>
    <t>SYL24-0301</t>
  </si>
  <si>
    <t>SYL24-0302</t>
  </si>
  <si>
    <t>SYL24-0303</t>
  </si>
  <si>
    <t>SYL24-0304</t>
  </si>
  <si>
    <t>SYL24-0305</t>
  </si>
  <si>
    <t>SYL24-0306</t>
  </si>
  <si>
    <t>SYL24-0307</t>
  </si>
  <si>
    <t>SYL24-0308</t>
  </si>
  <si>
    <t>SYL24-0309</t>
  </si>
  <si>
    <t>SYL24-0310</t>
  </si>
  <si>
    <t>SYL24-0311</t>
  </si>
  <si>
    <t>SYL24-0312</t>
  </si>
  <si>
    <t>SYL24-0313</t>
  </si>
  <si>
    <t>SYL24-0314</t>
  </si>
  <si>
    <t>SYL24-0315</t>
  </si>
  <si>
    <t>1 4gb RAM DDR3 - EOS</t>
  </si>
  <si>
    <t>10 Star ribbon</t>
  </si>
  <si>
    <t>CR 24037; SI 43706</t>
  </si>
  <si>
    <t>CR 24036; SI 43668</t>
  </si>
  <si>
    <t>BDO-227450</t>
  </si>
  <si>
    <t>CR 4550; SI 4676</t>
  </si>
  <si>
    <t>SYL24-0316</t>
  </si>
  <si>
    <t>SYL24-0317</t>
  </si>
  <si>
    <t>SYL24-0318</t>
  </si>
  <si>
    <t>SYL24-0319</t>
  </si>
  <si>
    <t>SYL24-0320</t>
  </si>
  <si>
    <t>SYL24-0321</t>
  </si>
  <si>
    <t>SYL24-0322</t>
  </si>
  <si>
    <t>SYL24-0323</t>
  </si>
  <si>
    <t>SYL24-0324</t>
  </si>
  <si>
    <t>SYL24-0325</t>
  </si>
  <si>
    <t>SYL24-0326</t>
  </si>
  <si>
    <t>SYL24-0327</t>
  </si>
  <si>
    <t>SYL24-0328</t>
  </si>
  <si>
    <t>SYL24-0329</t>
  </si>
  <si>
    <t>SYL24-0330</t>
  </si>
  <si>
    <t>SYL24-0331</t>
  </si>
  <si>
    <t>SYL24-0332</t>
  </si>
  <si>
    <t>SYL24-0333</t>
  </si>
  <si>
    <t>SYL24-0334</t>
  </si>
  <si>
    <t>SYL24-0335</t>
  </si>
  <si>
    <t>SYL24-0336</t>
  </si>
  <si>
    <t>SYL24-0337</t>
  </si>
  <si>
    <t>SYL24-0338</t>
  </si>
  <si>
    <t>SYL24-0339</t>
  </si>
  <si>
    <t>SYL24-0340</t>
  </si>
  <si>
    <t>SYL24-0341</t>
  </si>
  <si>
    <t>SYL24-0342</t>
  </si>
  <si>
    <t>SYL24-0343</t>
  </si>
  <si>
    <t>10 Epson TMU220D LAN printer</t>
  </si>
  <si>
    <t>BDO-266706</t>
  </si>
  <si>
    <t>BDO-227451</t>
  </si>
  <si>
    <t>Albert Yu</t>
  </si>
  <si>
    <t>Sun Life Canada (Phils), Inc</t>
  </si>
  <si>
    <t>CR 978; SI 1596</t>
  </si>
  <si>
    <t>CR 976; SI 1575</t>
  </si>
  <si>
    <t>CR 977; SI 1595</t>
  </si>
  <si>
    <t>PC037</t>
  </si>
  <si>
    <t>170 Star ribbon</t>
  </si>
  <si>
    <t>CR 10624; SI 34809</t>
  </si>
  <si>
    <t>CR 10621; SI 34750</t>
  </si>
  <si>
    <t>CR 10622; SI 34891</t>
  </si>
  <si>
    <t>CR 10623; SI 34915</t>
  </si>
  <si>
    <t>Back office support fee - June 2024</t>
  </si>
  <si>
    <t>EOS power adapter</t>
  </si>
  <si>
    <t>Referral fee: Noceda Corp</t>
  </si>
  <si>
    <t>Vangie De - Erit</t>
  </si>
  <si>
    <t>BDO-227453</t>
  </si>
  <si>
    <t>008-204-649-068</t>
  </si>
  <si>
    <t>SI 257</t>
  </si>
  <si>
    <t>CR 1697; SI 1951</t>
  </si>
  <si>
    <t>BDO-227452</t>
  </si>
  <si>
    <t>10 480GB SSD</t>
  </si>
  <si>
    <t>CR 4614; SI 4745</t>
  </si>
  <si>
    <t>CR 988; SI 1616</t>
  </si>
  <si>
    <t>Ser Inv 354</t>
  </si>
  <si>
    <t>CR 4132; SI 7888</t>
  </si>
  <si>
    <t>CR 4131; SI 7827</t>
  </si>
  <si>
    <t>CR 987; SI 1587</t>
  </si>
  <si>
    <t>CR 4130; SI 7933</t>
  </si>
  <si>
    <t>CR 4133; SI 7893</t>
  </si>
  <si>
    <t>PC038</t>
  </si>
  <si>
    <t>2 Nextfun tablet</t>
  </si>
  <si>
    <t>PC039</t>
  </si>
  <si>
    <t>BDO-227454</t>
  </si>
  <si>
    <t>INV 11520</t>
  </si>
  <si>
    <t>Deposited, Aug 8</t>
  </si>
  <si>
    <t>PC040</t>
  </si>
  <si>
    <t>CR 19904; SI 28931</t>
  </si>
  <si>
    <t>SYL24-0344</t>
  </si>
  <si>
    <t>SYL24-0345</t>
  </si>
  <si>
    <t>SYL24-0346</t>
  </si>
  <si>
    <t>SYL24-0347</t>
  </si>
  <si>
    <t>SYL24-0348</t>
  </si>
  <si>
    <t>SYL24-0349</t>
  </si>
  <si>
    <t>SYL24-0350</t>
  </si>
  <si>
    <t>SYL24-0351</t>
  </si>
  <si>
    <t>SYL24-0352</t>
  </si>
  <si>
    <t>Aug 17, 2024 billing</t>
  </si>
  <si>
    <t>10 ERC39 ribbon</t>
  </si>
  <si>
    <t>5 Mini cash drawer</t>
  </si>
  <si>
    <t>BDO-227455</t>
  </si>
  <si>
    <t>Allaine Cruz</t>
  </si>
  <si>
    <t>4 box thermal paper</t>
  </si>
  <si>
    <t>AR 2687; BS 04629</t>
  </si>
  <si>
    <t>CR 5373; SI 5782</t>
  </si>
  <si>
    <t>SYL24-0353</t>
  </si>
  <si>
    <t>SYL24-0354</t>
  </si>
  <si>
    <t>SYL24-0355</t>
  </si>
  <si>
    <t>SYL24-0356</t>
  </si>
  <si>
    <t>SYL24-0357</t>
  </si>
  <si>
    <t>2 Chuwy tablet - Office use &amp; Pamana Tsokolateria</t>
  </si>
  <si>
    <t>July 10 to Aug 9, 2024 billing</t>
  </si>
  <si>
    <t>July 11 - Aug 10, 2024 billing</t>
  </si>
  <si>
    <t>Aug 2024 billing</t>
  </si>
  <si>
    <t>AR 2682</t>
  </si>
  <si>
    <t>SYL24-0358</t>
  </si>
  <si>
    <t>SYL24-0359</t>
  </si>
  <si>
    <t>SYL24-0360</t>
  </si>
  <si>
    <t>SYL24-0361</t>
  </si>
  <si>
    <t>SYL24-0362</t>
  </si>
  <si>
    <t>SYL24-0363</t>
  </si>
  <si>
    <t>BDO-227456</t>
  </si>
  <si>
    <t>SYL24-0364</t>
  </si>
  <si>
    <t>SYL24-0365</t>
  </si>
  <si>
    <t>SYL24-0366</t>
  </si>
  <si>
    <t>SYL24-0367</t>
  </si>
  <si>
    <t>SYL24-0368</t>
  </si>
  <si>
    <t>SYL24-0369</t>
  </si>
  <si>
    <t>SYL24-0370</t>
  </si>
  <si>
    <t>SYL24-0371</t>
  </si>
  <si>
    <t>SYL24-0372</t>
  </si>
  <si>
    <t>SYL24-0373</t>
  </si>
  <si>
    <t>SYL24-0374</t>
  </si>
  <si>
    <t>SYL24-0375</t>
  </si>
  <si>
    <t>SYL24-0376</t>
  </si>
  <si>
    <t>SYL24-0377</t>
  </si>
  <si>
    <t>SYL24-0378</t>
  </si>
  <si>
    <t>SYL24-0379</t>
  </si>
  <si>
    <t>Swan 1 2nd display NFC</t>
  </si>
  <si>
    <t>Grand Tech Int'l. Ent. Corp.</t>
  </si>
  <si>
    <t>iMin Swift 2 Pro Mobile POS</t>
  </si>
  <si>
    <t>Zylica Technologies, Inc</t>
  </si>
  <si>
    <t>618-352-917-00000</t>
  </si>
  <si>
    <t>CR 0179; SI 0143</t>
  </si>
  <si>
    <t>Stamp payment</t>
  </si>
  <si>
    <t>2 iMin Swan 1</t>
  </si>
  <si>
    <t>002-705-362-00000</t>
  </si>
  <si>
    <t>Back pay</t>
  </si>
  <si>
    <t>Richard German</t>
  </si>
  <si>
    <t>BDO-227457</t>
  </si>
  <si>
    <t>SI 06453</t>
  </si>
  <si>
    <t>Eniale's Stamp Emblems and Tags Manufacturing</t>
  </si>
  <si>
    <t>769-462-392-00000</t>
  </si>
  <si>
    <t>CR 4764; SI 4897</t>
  </si>
  <si>
    <t>CR 10691; SI 35070</t>
  </si>
  <si>
    <t>CR 10692; SI 35081</t>
  </si>
  <si>
    <t>CR 10693; SI 35009</t>
  </si>
  <si>
    <t>CR 24781; SI 91325</t>
  </si>
  <si>
    <t>CR 4098; SI 7961</t>
  </si>
  <si>
    <t>CR 4097; SI 8162</t>
  </si>
  <si>
    <t>CR 4099; SI 8160</t>
  </si>
  <si>
    <t>Back office support fee - July 2024</t>
  </si>
  <si>
    <t>Exhibit expenses share</t>
  </si>
  <si>
    <t>BDO-227458</t>
  </si>
  <si>
    <t>8 Intel core i5; 10 Kaspersky anti-virus</t>
  </si>
  <si>
    <t>CR 4810; SI 4941</t>
  </si>
  <si>
    <t>CR 1006; SI 1608</t>
  </si>
  <si>
    <t>BDO-227460</t>
  </si>
  <si>
    <t>Condolence money</t>
  </si>
  <si>
    <t>Bookkeeping fee - Apr - July 2024</t>
  </si>
  <si>
    <t>CR 24753; SI 44369</t>
  </si>
  <si>
    <t>SYL24-0380</t>
  </si>
  <si>
    <t>SYL24-0381</t>
  </si>
  <si>
    <t>SYL24-0382</t>
  </si>
  <si>
    <t>SYL24-0383</t>
  </si>
  <si>
    <t>SYL24-0384</t>
  </si>
  <si>
    <t>SYL24-0385</t>
  </si>
  <si>
    <t>SYL24-0386</t>
  </si>
  <si>
    <t>SYL24-0387</t>
  </si>
  <si>
    <t>SYL24-0388</t>
  </si>
  <si>
    <t>SYL24-0389</t>
  </si>
  <si>
    <t>SYL24-0390</t>
  </si>
  <si>
    <t>SYL24-0391</t>
  </si>
  <si>
    <t>SYL24-0392</t>
  </si>
  <si>
    <t>SYL24-0393</t>
  </si>
  <si>
    <t>SYL24-0394</t>
  </si>
  <si>
    <t>SYL24-0395</t>
  </si>
  <si>
    <t>SYL24-0396</t>
  </si>
  <si>
    <t>SYL24-0397</t>
  </si>
  <si>
    <t>SYL24-0399</t>
  </si>
  <si>
    <t>SYL24-0400</t>
  </si>
  <si>
    <t>SYL24-0401</t>
  </si>
  <si>
    <t>SYL24-0402</t>
  </si>
  <si>
    <t>SYL24-0403</t>
  </si>
  <si>
    <t>SYL24-0404</t>
  </si>
  <si>
    <t>SYL24-0405</t>
  </si>
  <si>
    <t>SYL24-0406</t>
  </si>
  <si>
    <t>20 Kaspersky anti-virus; 5 Dlink 8port switch hub</t>
  </si>
  <si>
    <t>2 EOS mini CPU i5</t>
  </si>
  <si>
    <t>Sept 17, 2024 billing</t>
  </si>
  <si>
    <t>10 Windows 10 pro; 5 Windows 11</t>
  </si>
  <si>
    <t>BDO-227459</t>
  </si>
  <si>
    <t>BDO-227461</t>
  </si>
  <si>
    <t>5 Acer monitor; 1 TPLink 16port switch hub</t>
  </si>
  <si>
    <t>CR 4840; SI 4973</t>
  </si>
  <si>
    <t>5 Zebra 2208 barcode scanner</t>
  </si>
  <si>
    <t>3 box 2ply; 7 box 1ply</t>
  </si>
  <si>
    <t>3 Epson TMT82X LAN printer</t>
  </si>
  <si>
    <t>25 APC UPS</t>
  </si>
  <si>
    <t>SI 8311</t>
  </si>
  <si>
    <t>SI 8310</t>
  </si>
  <si>
    <t>PC041</t>
  </si>
  <si>
    <t>PC042</t>
  </si>
  <si>
    <t>PC043</t>
  </si>
  <si>
    <t>PC044</t>
  </si>
  <si>
    <t>PC045</t>
  </si>
  <si>
    <t>PC046</t>
  </si>
  <si>
    <t>CR 5385; SI 5796</t>
  </si>
  <si>
    <t>AR 2699</t>
  </si>
  <si>
    <t>CR 5391; SI 5821, 5818, 5820</t>
  </si>
  <si>
    <t>AR 2703; BS 04651</t>
  </si>
  <si>
    <t>2 Huntkey power supply</t>
  </si>
  <si>
    <t>6 Mini cash drawer</t>
  </si>
  <si>
    <t>Aug 10 to Sept 9, 2024 billing</t>
  </si>
  <si>
    <t>SYL24-0407</t>
  </si>
  <si>
    <t>SYL24-0408</t>
  </si>
  <si>
    <t>SYL24-0409</t>
  </si>
  <si>
    <t>SYL24-0410</t>
  </si>
  <si>
    <t>SYL24-0411</t>
  </si>
  <si>
    <t>SYL24-0412</t>
  </si>
  <si>
    <t>SYL24-0413</t>
  </si>
  <si>
    <t>Aug 10 - Sept 9, 2024 billing</t>
  </si>
  <si>
    <t>Aug 11 - Sept 10, 2024 billing</t>
  </si>
  <si>
    <t>BDO-227462</t>
  </si>
  <si>
    <t>Sept 10, 2024 billing</t>
  </si>
  <si>
    <t>BS 04656</t>
  </si>
  <si>
    <t xml:space="preserve">1 Intel core i5 </t>
  </si>
  <si>
    <t>5 Printer head</t>
  </si>
  <si>
    <t>CR 1817; SI 2072</t>
  </si>
  <si>
    <t>PC047</t>
  </si>
  <si>
    <t>BDO-227464</t>
  </si>
  <si>
    <t>Syluxent Inc.</t>
  </si>
  <si>
    <t xml:space="preserve">Complink Marketing, Inc </t>
  </si>
  <si>
    <t>SI 79086</t>
  </si>
  <si>
    <t>SYL24-0414</t>
  </si>
  <si>
    <t>SYL24-0415</t>
  </si>
  <si>
    <t>SYL24-0419</t>
  </si>
  <si>
    <t xml:space="preserve">Honor tablet for testing </t>
  </si>
  <si>
    <t>Joanne's company laptop</t>
  </si>
  <si>
    <t>Back office support fee - Aug 2024</t>
  </si>
  <si>
    <t>Ser Inv 362</t>
  </si>
  <si>
    <t>BDO- 227466</t>
  </si>
  <si>
    <t xml:space="preserve"> 5 Acer monitor; 10 Kaspersky anti-virus</t>
  </si>
  <si>
    <t>PC048</t>
  </si>
  <si>
    <t>CR 4864; SI 4995</t>
  </si>
  <si>
    <t>SYL24-0416</t>
  </si>
  <si>
    <t>SYL24-0417</t>
  </si>
  <si>
    <t>Svl 363</t>
  </si>
  <si>
    <t>SYL24-0424</t>
  </si>
  <si>
    <t>SYL24-0418</t>
  </si>
  <si>
    <t>SYL24-0421</t>
  </si>
  <si>
    <t>SYL24-0422</t>
  </si>
  <si>
    <t>1 Intel core i5 ; 5 500gb SSD sata</t>
  </si>
  <si>
    <t>1 Godex EZ120 barcode printer; 3 Barcode sticker</t>
  </si>
  <si>
    <t>Maritess Balanguit</t>
  </si>
  <si>
    <t xml:space="preserve">Sales incentive - June 2024 </t>
  </si>
  <si>
    <t>3 Huntkey power supply</t>
  </si>
  <si>
    <t>SYL24-0425</t>
  </si>
  <si>
    <t>SI 5101;  CR 4960</t>
  </si>
  <si>
    <t>SI 44649; CR 24828</t>
  </si>
  <si>
    <t>SYL24-0426</t>
  </si>
  <si>
    <t>PC049</t>
  </si>
  <si>
    <t>SYL24-0431</t>
  </si>
  <si>
    <t>PC050</t>
  </si>
  <si>
    <t>Sept 2024 billing</t>
  </si>
  <si>
    <t>SYL24-0429</t>
  </si>
  <si>
    <t>SYL24-0430</t>
  </si>
  <si>
    <t>SYL24-0427</t>
  </si>
  <si>
    <t>3 Eos mini CPU</t>
  </si>
  <si>
    <t>18 Eos mini CPU</t>
  </si>
  <si>
    <t>SYL24-0428</t>
  </si>
  <si>
    <t>SYL24-0423</t>
  </si>
  <si>
    <t>SI 5051; CR 4913</t>
  </si>
  <si>
    <t>Business Permit - 4th Quarter 2024</t>
  </si>
  <si>
    <t>SI 35451; CR 10841</t>
  </si>
  <si>
    <t>SI 35321; CR 10839</t>
  </si>
  <si>
    <t>SI 35338; CR 10840</t>
  </si>
  <si>
    <t>SI 1659; CR 1030</t>
  </si>
  <si>
    <t>SI 1650; CR 1028</t>
  </si>
  <si>
    <t>SYL24-0432</t>
  </si>
  <si>
    <t>SYL24-0433</t>
  </si>
  <si>
    <t>SYL24-0434</t>
  </si>
  <si>
    <t>SYL24-0436</t>
  </si>
  <si>
    <t>SYL24-0437</t>
  </si>
  <si>
    <t>SYL24-0438</t>
  </si>
  <si>
    <t>SYL24-0439</t>
  </si>
  <si>
    <t>SYL24-0440</t>
  </si>
  <si>
    <t>SYL24-0441</t>
  </si>
  <si>
    <t>SI 1674; CR 1029</t>
  </si>
  <si>
    <t>SI 29337; CR 22011</t>
  </si>
  <si>
    <t>BDO-227469</t>
  </si>
  <si>
    <t>Oct 17, 2024 billing</t>
  </si>
  <si>
    <t>BDO-227470</t>
  </si>
  <si>
    <t>SI 8397; CR 4764</t>
  </si>
  <si>
    <t>Kingston SATA for Luxasia</t>
  </si>
  <si>
    <t>SI 11771; CR 7683</t>
  </si>
  <si>
    <t xml:space="preserve">Chuwy tablet  for Mamou Greenbelt 5 </t>
  </si>
  <si>
    <t>Complink Marketing Inc</t>
  </si>
  <si>
    <t>SI 79290</t>
  </si>
  <si>
    <t>SYL24-0442</t>
  </si>
  <si>
    <t>BDO- 266708</t>
  </si>
  <si>
    <t>SYL24-0443</t>
  </si>
  <si>
    <t>Oct 10, 2024 bill date</t>
  </si>
  <si>
    <t>SYL24-0444</t>
  </si>
  <si>
    <t>SYL24-0445</t>
  </si>
  <si>
    <t>BDO-227471</t>
  </si>
  <si>
    <t>10  Acer Monitor</t>
  </si>
  <si>
    <t xml:space="preserve"> </t>
  </si>
  <si>
    <t>Sept 10 to Oct 9, 2024 billing</t>
  </si>
  <si>
    <t>Sept 11 - Oct 10, 2024 billing</t>
  </si>
  <si>
    <t>SYL24-0446</t>
  </si>
  <si>
    <t>SYL24-0447</t>
  </si>
  <si>
    <t>SYL24-0448</t>
  </si>
  <si>
    <t>SYL24-0449</t>
  </si>
  <si>
    <t>SYL24-0450</t>
  </si>
  <si>
    <t>SYL24-0451</t>
  </si>
  <si>
    <t>SYL24-0452</t>
  </si>
  <si>
    <t>SYL24-0453</t>
  </si>
  <si>
    <t>SYL24-0454</t>
  </si>
  <si>
    <t>BDO-227472</t>
  </si>
  <si>
    <t>10 480GB SSD Sata</t>
  </si>
  <si>
    <t>PC051</t>
  </si>
  <si>
    <t>PC052</t>
  </si>
  <si>
    <t>SYL24-0455</t>
  </si>
  <si>
    <t>SYL24-0456</t>
  </si>
  <si>
    <t>SYL24-0457</t>
  </si>
  <si>
    <t>SYL24-0458</t>
  </si>
  <si>
    <t>SYL24-0459</t>
  </si>
  <si>
    <t>SYL24-0460</t>
  </si>
  <si>
    <t>SYL24-0461</t>
  </si>
  <si>
    <t>SYL24-0462</t>
  </si>
  <si>
    <t>SYL24-0463</t>
  </si>
  <si>
    <t>SYL24-0464</t>
  </si>
  <si>
    <t>SYL24-0465</t>
  </si>
  <si>
    <t>SYL24-0466</t>
  </si>
  <si>
    <t>SYL24-0467</t>
  </si>
  <si>
    <t>SYL24-0468</t>
  </si>
  <si>
    <t>SYL24-0469</t>
  </si>
  <si>
    <t>SI 5204; CR 5057</t>
  </si>
  <si>
    <t>SI 5205; CR 5058</t>
  </si>
  <si>
    <t>PC053</t>
  </si>
  <si>
    <t xml:space="preserve">Godex barcode printer, 3 Godex label sticker, 2 Zebra Barcode Scanner </t>
  </si>
  <si>
    <t>250 Journal Paper- 2 ply</t>
  </si>
  <si>
    <t>Office Repair</t>
  </si>
  <si>
    <t>BDO- 227473</t>
  </si>
  <si>
    <t>Petty Cash- MQ</t>
  </si>
  <si>
    <t xml:space="preserve">Godex barcode printer, 3 Godex label sticker </t>
  </si>
  <si>
    <t>Back office support fee - Sept 2024</t>
  </si>
  <si>
    <t>Benefit Cebu Service Fee</t>
  </si>
  <si>
    <t>Siu Migrino Sagarino &amp; Co, CPA</t>
  </si>
  <si>
    <t>OR 1749</t>
  </si>
  <si>
    <t>SI 8398; CR 4786</t>
  </si>
  <si>
    <t>Godex barcode printer w/ sticker label, Cash Drawer,Scanner, Customer Display</t>
  </si>
  <si>
    <t>BDO-227474</t>
  </si>
  <si>
    <t>BDO-227475</t>
  </si>
  <si>
    <t>BDO-227476</t>
  </si>
  <si>
    <t>Christmas 2024 give aways</t>
  </si>
  <si>
    <t>BDO-227477</t>
  </si>
  <si>
    <t>Keyboard and Mouse</t>
  </si>
  <si>
    <t>SI 5268; CR 5126</t>
  </si>
  <si>
    <t>deposited, Oct 29, 2024</t>
  </si>
  <si>
    <t>SYL24-0470</t>
  </si>
  <si>
    <t>SYL24-0471</t>
  </si>
  <si>
    <t>SYL24-0472</t>
  </si>
  <si>
    <t>PC054</t>
  </si>
  <si>
    <t>Martin Reyes</t>
  </si>
  <si>
    <t xml:space="preserve">Excess Payment </t>
  </si>
  <si>
    <t>Comfort Sole Phil Inc</t>
  </si>
  <si>
    <t>Bookkeeping Fee- Aug 2024</t>
  </si>
  <si>
    <t>SYL24-0473</t>
  </si>
  <si>
    <t>BDO-227478</t>
  </si>
  <si>
    <t>SYL24-0435</t>
  </si>
  <si>
    <t>PC055</t>
  </si>
  <si>
    <t>SI 1691; CR 1054</t>
  </si>
  <si>
    <t>SI 1692; CR 1053</t>
  </si>
  <si>
    <t>SYL24-0476</t>
  </si>
  <si>
    <t>BDO-266709</t>
  </si>
  <si>
    <t xml:space="preserve">Cash Advance </t>
  </si>
  <si>
    <t>SYL24-0474</t>
  </si>
  <si>
    <t>SYL24-0475</t>
  </si>
  <si>
    <t>Petty cash- MQ</t>
  </si>
  <si>
    <t>PC056</t>
  </si>
  <si>
    <t>Petty cash- RM</t>
  </si>
  <si>
    <t>SI 8291; CR 5147</t>
  </si>
  <si>
    <t>PC057</t>
  </si>
  <si>
    <t>VOID VOUCHER</t>
  </si>
  <si>
    <t>Advance Software Sales</t>
  </si>
  <si>
    <t>SYL24-0477</t>
  </si>
  <si>
    <t>SYL24-0478</t>
  </si>
  <si>
    <t>Oct 2024 billing</t>
  </si>
  <si>
    <t>SYL24-0479</t>
  </si>
  <si>
    <t>SYL24-0480</t>
  </si>
  <si>
    <t>SYL24-0481</t>
  </si>
  <si>
    <t>Final Pay</t>
  </si>
  <si>
    <t>BDO-227479</t>
  </si>
  <si>
    <t>SYL24-0482</t>
  </si>
  <si>
    <t>SI 5840, SI 5841, SI 5853; CR 5474</t>
  </si>
  <si>
    <t>SYL24-0483</t>
  </si>
  <si>
    <t>SYL24-0484</t>
  </si>
  <si>
    <t>SYL24-0485</t>
  </si>
  <si>
    <t>SYL24-0486</t>
  </si>
  <si>
    <t>BDO-227480</t>
  </si>
  <si>
    <t>5 Intel core i5; 5 480gb SSD sata</t>
  </si>
  <si>
    <t xml:space="preserve">5 Intel core i5; 5 480gb SSD Sata and 1 Box Belden Cat6 </t>
  </si>
  <si>
    <t>SI 8344; CR 5185</t>
  </si>
  <si>
    <t>SYL24-0487</t>
  </si>
  <si>
    <t>SYL24-0488</t>
  </si>
  <si>
    <t>SYL24-0489</t>
  </si>
  <si>
    <t>SYL24-0490</t>
  </si>
  <si>
    <t>BDO-227482</t>
  </si>
  <si>
    <t>Christmas Party 2024 share</t>
  </si>
  <si>
    <t>Full Software Sales</t>
  </si>
  <si>
    <t>Imin K1 IDS</t>
  </si>
  <si>
    <t>Zylica Technologies Inc</t>
  </si>
  <si>
    <t>SYL24-0491</t>
  </si>
  <si>
    <t>SYL24-0492</t>
  </si>
  <si>
    <t>SYL24-0495</t>
  </si>
  <si>
    <t>SYL24-0494</t>
  </si>
  <si>
    <t>SYL24-0493</t>
  </si>
  <si>
    <t>SYL24-0496</t>
  </si>
  <si>
    <t>Nov 17, 2024 billing</t>
  </si>
  <si>
    <t>Nov 10, 2024 bill date</t>
  </si>
  <si>
    <t>BDO-227483</t>
  </si>
  <si>
    <t>SI 2250; CR; 1971</t>
  </si>
  <si>
    <t>SI 45242; CR; 25215</t>
  </si>
  <si>
    <t>SI 0238; CR 0465</t>
  </si>
  <si>
    <t>PC058</t>
  </si>
  <si>
    <t>SI 35602; CR 10973</t>
  </si>
  <si>
    <t>SI 35634; CR 10974</t>
  </si>
  <si>
    <t>SI 35658; CR 10975</t>
  </si>
  <si>
    <t>SYL24-0497</t>
  </si>
  <si>
    <t>Oct 10 to Nov 9 Billing (Mai)</t>
  </si>
  <si>
    <t>SYL24-0498</t>
  </si>
  <si>
    <t>Oct 10 to Nov 9 Billing (Ofc)</t>
  </si>
  <si>
    <t xml:space="preserve">Oct 11 to Nov 10 Billing </t>
  </si>
  <si>
    <t>SYL24-0499</t>
  </si>
  <si>
    <t>SYL24-0500</t>
  </si>
  <si>
    <t>SYL24-0501</t>
  </si>
  <si>
    <t>BDO-227484</t>
  </si>
  <si>
    <t xml:space="preserve">SI 5356; CR 5214 </t>
  </si>
  <si>
    <t>Svl 5387</t>
  </si>
  <si>
    <t>SI 5888; SI 5889; CR 5510</t>
  </si>
  <si>
    <t>AR: 2719</t>
  </si>
  <si>
    <t>SYL24-0502</t>
  </si>
  <si>
    <t>Rebecca Guiterrez</t>
  </si>
  <si>
    <t>SI 8744; CR 4903</t>
  </si>
  <si>
    <t>SYL24-0503</t>
  </si>
  <si>
    <t>PC059</t>
  </si>
  <si>
    <t>SYL24-0504</t>
  </si>
  <si>
    <t>Car Repair</t>
  </si>
  <si>
    <t>SYL24-0505</t>
  </si>
  <si>
    <t>SYL24-0506</t>
  </si>
  <si>
    <t xml:space="preserve">3 Posilflex MR-21064 </t>
  </si>
  <si>
    <t>SYL24-0507</t>
  </si>
  <si>
    <t>Receipts Booklet (AR, CR , SI)</t>
  </si>
  <si>
    <t>SYL24-0508</t>
  </si>
  <si>
    <t>Chuwi Tablet for Casa Reyes</t>
  </si>
  <si>
    <t>SYL24-0509</t>
  </si>
  <si>
    <t>SYL24-0510</t>
  </si>
  <si>
    <t>SYL24-0511</t>
  </si>
  <si>
    <t>SYL24-0512</t>
  </si>
  <si>
    <t>SYL24-0513</t>
  </si>
  <si>
    <t>10 Windows 10 pro and Windows 11 pro</t>
  </si>
  <si>
    <t>Globe billing Oct 16 to Nov 15</t>
  </si>
  <si>
    <t>BDO- 227485</t>
  </si>
  <si>
    <t>NVME. 2 500GB Kingston and 5 kaspersky Anti virus</t>
  </si>
  <si>
    <t>BDO- 227486</t>
  </si>
  <si>
    <t>Marites Balanquit</t>
  </si>
  <si>
    <t>deposited, Nov 26, 2024</t>
  </si>
  <si>
    <t>PC060</t>
  </si>
  <si>
    <t>BDO- 227487</t>
  </si>
  <si>
    <t>SYL24-0514</t>
  </si>
  <si>
    <t>SYL24-0515</t>
  </si>
  <si>
    <t>SI 5401; CR 5256</t>
  </si>
  <si>
    <t>SYL24-0516</t>
  </si>
  <si>
    <t>SYL24-0517</t>
  </si>
  <si>
    <t>BDO- 227488</t>
  </si>
  <si>
    <t>10 NVME2 500gb 5 intel core i5; 480gb SSD sata</t>
  </si>
  <si>
    <t>SI 154314; CR 22368</t>
  </si>
  <si>
    <t>PC061</t>
  </si>
  <si>
    <t>SI 5410; CR 5266</t>
  </si>
  <si>
    <t>SYL24-0518</t>
  </si>
  <si>
    <t xml:space="preserve">SI 8853; CR 4921 </t>
  </si>
  <si>
    <t>SYL24-0519</t>
  </si>
  <si>
    <t>8GB DDR4; STAR PRINTER MCP20</t>
  </si>
  <si>
    <t>SYL24-0520</t>
  </si>
  <si>
    <t xml:space="preserve">IMIN SWAN 1 4GB + 32GB ROM; 2 IMIN SWAN DUAL DISPLAY; IMIN CRANE 1 4GB+32GB ROM; IMIN CRANE 1 TABLE STAND ONLY  </t>
  </si>
  <si>
    <t>SYL24-0521</t>
  </si>
  <si>
    <t>FALCON 2- TF2-11 4+64 WIFI; FALCON 2 CASE</t>
  </si>
  <si>
    <t>SYL24-0522</t>
  </si>
  <si>
    <t xml:space="preserve">2 SWAN 1 4GB+32GB ROM; 2 IMIN SWAN 1 DUAL DISPLAY </t>
  </si>
  <si>
    <t>SYL24-0523</t>
  </si>
  <si>
    <t>2 EPSON TMU220A LAN; 3 EPSON TMU220D  USB PRINTER</t>
  </si>
  <si>
    <t>SYL24-0524</t>
  </si>
  <si>
    <t>10 EPSON TMU220D USB PRINTER</t>
  </si>
  <si>
    <t>SYL24-0525</t>
  </si>
  <si>
    <t>Dec 17, 2024 billing</t>
  </si>
  <si>
    <t>SYL24-0526</t>
  </si>
  <si>
    <t>SYL24-0527</t>
  </si>
  <si>
    <t>Nov 2024 billing</t>
  </si>
  <si>
    <t>SYL24-0528</t>
  </si>
  <si>
    <t>SYL24-0529</t>
  </si>
  <si>
    <t>BDO-227489</t>
  </si>
  <si>
    <t>SYL24-0530</t>
  </si>
  <si>
    <t>BDO-227490</t>
  </si>
  <si>
    <t>10 Acer Lcd Monitor</t>
  </si>
  <si>
    <t>SI 1771;</t>
  </si>
  <si>
    <t>SI 1769</t>
  </si>
  <si>
    <t>SYL24-0531</t>
  </si>
  <si>
    <t>BDO- 227491</t>
  </si>
  <si>
    <t>Lechon Share for Xmas Party</t>
  </si>
  <si>
    <t>SYL24-0532</t>
  </si>
  <si>
    <t>PC062</t>
  </si>
  <si>
    <t>SI 5446; CR 5301</t>
  </si>
  <si>
    <t>SYL24-0533</t>
  </si>
  <si>
    <t>BDO- 227492</t>
  </si>
  <si>
    <t>10 Kaspersky Anti Virus</t>
  </si>
  <si>
    <t>SYL24- 0153</t>
  </si>
  <si>
    <t>SYL24-0534</t>
  </si>
  <si>
    <t xml:space="preserve">10 Windows 11 </t>
  </si>
  <si>
    <t>SYL24-0535</t>
  </si>
  <si>
    <t>Syluxent Christmas Party</t>
  </si>
  <si>
    <t>SYL24-0536</t>
  </si>
  <si>
    <t>BDO- 227495</t>
  </si>
  <si>
    <t>SYL24-0537</t>
  </si>
  <si>
    <t>Refund - Emazing Dish</t>
  </si>
  <si>
    <t>Showroom 7 Inc.</t>
  </si>
  <si>
    <t>SI 8932; CR; 4927</t>
  </si>
  <si>
    <t>SI 8961; CR 4926</t>
  </si>
  <si>
    <t>SYL24-0538</t>
  </si>
  <si>
    <t>Programming Fee</t>
  </si>
  <si>
    <t>SYL24-0539</t>
  </si>
  <si>
    <t>SYL24-0540</t>
  </si>
  <si>
    <t>5 Epson TMU220D Lan printer</t>
  </si>
  <si>
    <t>SYL24- 0152</t>
  </si>
  <si>
    <t>SYL24-0541</t>
  </si>
  <si>
    <t>SYL24- 0147</t>
  </si>
  <si>
    <t>SYL24-0542</t>
  </si>
  <si>
    <t>SYL24- 0149</t>
  </si>
  <si>
    <t>SYL24-0543</t>
  </si>
  <si>
    <t>SYL24-0544</t>
  </si>
  <si>
    <t xml:space="preserve">Other Expense </t>
  </si>
  <si>
    <t>SI 5465; CR; 5320</t>
  </si>
  <si>
    <t>SYL24-0545</t>
  </si>
  <si>
    <t>Pety Cash- MQ</t>
  </si>
  <si>
    <t>SYL24-0546</t>
  </si>
  <si>
    <t>Manila Electricity Company</t>
  </si>
  <si>
    <t>SYL24-0547</t>
  </si>
  <si>
    <t>SYL24-0548</t>
  </si>
  <si>
    <t>SYL24-0549</t>
  </si>
  <si>
    <t>5 Switch hub 8port; 5 Router</t>
  </si>
  <si>
    <t>SYL24-0550</t>
  </si>
  <si>
    <t>BDO-227496</t>
  </si>
  <si>
    <t>SI 8986; CR 4494</t>
  </si>
  <si>
    <t>SYL24-0551</t>
  </si>
  <si>
    <t>SYL24-0552</t>
  </si>
  <si>
    <t>12 UPC UPS 650VA</t>
  </si>
  <si>
    <t>SYL24-0553</t>
  </si>
  <si>
    <t>Nov 10 to Dec 9 Billing (Mai)</t>
  </si>
  <si>
    <t>Nov 10 to Dec 9 Billing (Ofc)</t>
  </si>
  <si>
    <t xml:space="preserve">Nov 11 to Dec 10 Billing </t>
  </si>
  <si>
    <t>SYL24-0554</t>
  </si>
  <si>
    <t>SYL24-0555</t>
  </si>
  <si>
    <t>SYL24-0556</t>
  </si>
  <si>
    <t>SYL24-0557</t>
  </si>
  <si>
    <t xml:space="preserve">10 Eos Mini CPU 8gb Ram, No SSD no OS </t>
  </si>
  <si>
    <t>SYL24-0558</t>
  </si>
  <si>
    <t>Pety Cash- RM</t>
  </si>
  <si>
    <t>PC064</t>
  </si>
  <si>
    <t>PC065</t>
  </si>
  <si>
    <t>SYL24-0559</t>
  </si>
  <si>
    <t>Back office support fee - Oct 2024</t>
  </si>
  <si>
    <t>SYL24-0560</t>
  </si>
  <si>
    <t>Back office support fee - Nov 2024</t>
  </si>
  <si>
    <t>SYL24-0561</t>
  </si>
  <si>
    <t>SYL24-0562</t>
  </si>
  <si>
    <t>SYL24-0563</t>
  </si>
  <si>
    <t>SYL24-0564</t>
  </si>
  <si>
    <t xml:space="preserve">250 Journal paper2 ply ; 500 Journal 1ply; 150 Thermal Paper </t>
  </si>
  <si>
    <t>deposited, Dec 23, 2024</t>
  </si>
  <si>
    <t>PCO67</t>
  </si>
  <si>
    <t>deposited Dec 23, 2024</t>
  </si>
  <si>
    <t>PCO66</t>
  </si>
  <si>
    <t>SYL24-0565</t>
  </si>
  <si>
    <t>3 PCS Office Chair</t>
  </si>
  <si>
    <t>SYL24-0567</t>
  </si>
  <si>
    <t>SYL24-0566</t>
  </si>
  <si>
    <t>SYL24-0568</t>
  </si>
  <si>
    <t xml:space="preserve">Support Cost Coco Fresh </t>
  </si>
  <si>
    <t>Gideon Gallo</t>
  </si>
  <si>
    <t>SYL24-0569</t>
  </si>
  <si>
    <t>PC068</t>
  </si>
  <si>
    <t>PC069</t>
  </si>
  <si>
    <t>For the Year ended December 31, 2025</t>
  </si>
  <si>
    <t>SYL-25-0001</t>
  </si>
  <si>
    <t>BDO-227497</t>
  </si>
  <si>
    <t>SYL-25-0002</t>
  </si>
  <si>
    <t>20 Cash Drawer, 6 Mini Cash box</t>
  </si>
  <si>
    <t>SYL-25-0003</t>
  </si>
  <si>
    <t>Business Permit, Clearance, Insurance, etc</t>
  </si>
  <si>
    <t>SYL-25-0004</t>
  </si>
  <si>
    <t>SYL-25-0005</t>
  </si>
  <si>
    <t>JAN 17, 2025 billing</t>
  </si>
  <si>
    <t>DEC 2024 billing</t>
  </si>
  <si>
    <t>SYL-25-0006</t>
  </si>
  <si>
    <t>SYL-25-0007</t>
  </si>
  <si>
    <t>SI A30137, CR 22445</t>
  </si>
  <si>
    <t>SI 9040, CR 4942</t>
  </si>
  <si>
    <t>SI 9042, CR 4941</t>
  </si>
  <si>
    <t>SYL-25-0008</t>
  </si>
  <si>
    <t>Pety Cash - RM</t>
  </si>
  <si>
    <t>SYL-25-0009</t>
  </si>
  <si>
    <t>Pety Cash - MQ</t>
  </si>
  <si>
    <t>SYL-25-0010</t>
  </si>
  <si>
    <t>10 Postech Monitor</t>
  </si>
  <si>
    <t>SYL-25-0011</t>
  </si>
  <si>
    <t>Epson T82x usb printer , Epson T82x lan printer</t>
  </si>
  <si>
    <t>SYL25-0002</t>
  </si>
  <si>
    <t>SYL-25-0012</t>
  </si>
  <si>
    <t>SYL25-0003</t>
  </si>
  <si>
    <t>8gb DDR3 Ram</t>
  </si>
  <si>
    <t>SI 1799; CR 1095</t>
  </si>
  <si>
    <t>SI 1784; CR 1093</t>
  </si>
  <si>
    <t>SI 1770; CR 1092</t>
  </si>
  <si>
    <t>Svl 398</t>
  </si>
  <si>
    <t>Svl 397</t>
  </si>
  <si>
    <t>SI 1768; CR 1091</t>
  </si>
  <si>
    <t>SI 1785; CR 1094</t>
  </si>
  <si>
    <t>SYL-25-0013</t>
  </si>
  <si>
    <t>BDO-227498</t>
  </si>
  <si>
    <t>Deposited: Jan 10, 2025</t>
  </si>
  <si>
    <t>SYL-25-0014</t>
  </si>
  <si>
    <t>BDO-227499</t>
  </si>
  <si>
    <t>SYL25-0005</t>
  </si>
  <si>
    <t>1 nvme.2 , 5 desktop cpu SSD sata</t>
  </si>
  <si>
    <t>Gilmore Alpha IT Matrix Corp</t>
  </si>
  <si>
    <t>659-889- 739-00000</t>
  </si>
  <si>
    <t>SI 000003; CR 000003</t>
  </si>
  <si>
    <t>SYL-25-0015</t>
  </si>
  <si>
    <t>SYL-25-0016</t>
  </si>
  <si>
    <t>SYL-25-0017</t>
  </si>
  <si>
    <t>SYL-25-0018</t>
  </si>
  <si>
    <t>Dec 10 to Jan 9 Billing (Mai)</t>
  </si>
  <si>
    <t>Dec 10 to Jan 9 Billing (Ofc)</t>
  </si>
  <si>
    <t>SYL-25-0019</t>
  </si>
  <si>
    <t>SYL-25-0020</t>
  </si>
  <si>
    <t>1 Imin, 2 Dual display, 1 Crane  1 , 1 Table stand</t>
  </si>
  <si>
    <t>SYL-25-0021</t>
  </si>
  <si>
    <t>2 Imin, 2 Dual Display</t>
  </si>
  <si>
    <t>SYL-25-0022</t>
  </si>
  <si>
    <t>SYL-25-0023</t>
  </si>
  <si>
    <t>SYL-25-0024</t>
  </si>
  <si>
    <t>BDO-227500</t>
  </si>
  <si>
    <t>Company Outing Downpayment</t>
  </si>
  <si>
    <t>SYL-25-0025</t>
  </si>
  <si>
    <t>SYL-25-0026</t>
  </si>
  <si>
    <t>Downpayment for Coaster</t>
  </si>
  <si>
    <t>SYL-25-0027</t>
  </si>
  <si>
    <t>BDO-266710</t>
  </si>
  <si>
    <t>SI 1808; CR 1099</t>
  </si>
  <si>
    <t>SI 1807; CR 1098</t>
  </si>
  <si>
    <t>SYL-25-0028</t>
  </si>
  <si>
    <t xml:space="preserve">5 Huntkey power supply </t>
  </si>
  <si>
    <t>SYL25-0001</t>
  </si>
  <si>
    <t>SI 2337; CR 2026</t>
  </si>
  <si>
    <t>SYL-25-0029</t>
  </si>
  <si>
    <t>SYL-25-0030</t>
  </si>
  <si>
    <t>2 Epson TMU220A usb printer, 100 ERC 38B Ribbon</t>
  </si>
  <si>
    <t>SYL-25-0031</t>
  </si>
  <si>
    <t>Back office support fee - Dec 2024</t>
  </si>
  <si>
    <t>SYL-25-0032</t>
  </si>
  <si>
    <t>SYL-25-0033</t>
  </si>
  <si>
    <t>SYL-25-0034</t>
  </si>
  <si>
    <t>Sales Incentives sept -2024</t>
  </si>
  <si>
    <t>SYL-25-0035</t>
  </si>
  <si>
    <t>BDO-266711</t>
  </si>
  <si>
    <t>SI 46109; CR 34437</t>
  </si>
  <si>
    <t>BDO-266712</t>
  </si>
  <si>
    <t>SYL-25-0036</t>
  </si>
  <si>
    <t>BDO-325101</t>
  </si>
  <si>
    <t>5 desktop 480gb SSD sata</t>
  </si>
  <si>
    <t>SYL25-0008</t>
  </si>
  <si>
    <t>SI 000006; CR 000006</t>
  </si>
  <si>
    <t>BDO-325102</t>
  </si>
  <si>
    <t>SYL-25-0037</t>
  </si>
  <si>
    <t>SYL-25-0038</t>
  </si>
  <si>
    <t>SYL-25-0039</t>
  </si>
  <si>
    <t>SYL-25-0040</t>
  </si>
  <si>
    <t>BDO-325103</t>
  </si>
  <si>
    <t>Car Maintenance</t>
  </si>
  <si>
    <t>SYL-25-0042</t>
  </si>
  <si>
    <t>SYL-25-0041</t>
  </si>
  <si>
    <t>SYL25-0009</t>
  </si>
  <si>
    <t>CR; 5583</t>
  </si>
  <si>
    <t>SYL25-0007</t>
  </si>
  <si>
    <t>SI 9168; CR 05083</t>
  </si>
  <si>
    <t>SYL-25-0043</t>
  </si>
  <si>
    <t>SYL-25-0044</t>
  </si>
  <si>
    <t>Petty Cash- RM</t>
  </si>
  <si>
    <t>SYL-25-0045</t>
  </si>
  <si>
    <t>6 Mini Cash Drawer</t>
  </si>
  <si>
    <t>SYL-25-0046</t>
  </si>
  <si>
    <t xml:space="preserve">10 Epson TMU220d USB </t>
  </si>
  <si>
    <t>SYL-25-0047</t>
  </si>
  <si>
    <t>10 Kaspersky Anti Virus ; 1 Chuwi Hi10</t>
  </si>
  <si>
    <t>SYL-25-0048</t>
  </si>
  <si>
    <t>5 Godex EZ120 label sticker</t>
  </si>
  <si>
    <t>SYL-25-0049</t>
  </si>
  <si>
    <t>BDO-325104</t>
  </si>
  <si>
    <t>SYL-25-0050</t>
  </si>
  <si>
    <t>BDO-325105</t>
  </si>
  <si>
    <t>SYL25-0013</t>
  </si>
  <si>
    <t>SYL25-0011</t>
  </si>
  <si>
    <t>SI 36028; CR 11217</t>
  </si>
  <si>
    <t>SI 36182; CR 11216</t>
  </si>
  <si>
    <t>SYL25- 0012</t>
  </si>
  <si>
    <t>SYL-25-0051</t>
  </si>
  <si>
    <t>BDO-266713</t>
  </si>
  <si>
    <t>Richard Dizon Jr.</t>
  </si>
  <si>
    <t>SYL-25-0052</t>
  </si>
  <si>
    <t>BDO-325106</t>
  </si>
  <si>
    <t>Dell Poweredge T360</t>
  </si>
  <si>
    <t>Macrologic Diversified Technologies Inc</t>
  </si>
  <si>
    <t>008-290-765-00000</t>
  </si>
  <si>
    <t>SYL25-0016</t>
  </si>
  <si>
    <t>SI 000010; CR 000014</t>
  </si>
  <si>
    <t>SI 000015; CR 000015</t>
  </si>
  <si>
    <t>6 Intel core 6 Motherboard 5 tgroup 8gb DDR4; 6 1tb nvme teamgroup; matx case with 700watts psu;  a4tech keyboard and mouse ; windows 11 professional 1 teeamgroup 16gb DDR43200</t>
  </si>
  <si>
    <t>SYL-25-0053</t>
  </si>
  <si>
    <t>Petty Cash - MQ</t>
  </si>
  <si>
    <t>SYL-25-0054</t>
  </si>
  <si>
    <t>FEB 17, 2025 billing</t>
  </si>
  <si>
    <t>SYL-25-0055</t>
  </si>
  <si>
    <t>Svl 405</t>
  </si>
  <si>
    <t>SYL25-0031</t>
  </si>
  <si>
    <t>SYL25- 0090</t>
  </si>
  <si>
    <t>SI 9231; CR 05098</t>
  </si>
  <si>
    <t>SI 9119; CR 05099</t>
  </si>
  <si>
    <t>SYL-25-0056</t>
  </si>
  <si>
    <t>5 Epson TMU220B Lan printer</t>
  </si>
  <si>
    <t>SYL25-0017</t>
  </si>
  <si>
    <t>SYL-25-0057</t>
  </si>
  <si>
    <t>SYL25-0018</t>
  </si>
  <si>
    <t>3 Postech Touchscreen Monitor</t>
  </si>
  <si>
    <t>SYL-25-0058</t>
  </si>
  <si>
    <t>SYL-25-0059</t>
  </si>
  <si>
    <t>SYL25-0019</t>
  </si>
  <si>
    <t>5 512gb ram SSD sata</t>
  </si>
  <si>
    <t>Lorenz Jedd Alvarez</t>
  </si>
  <si>
    <t>SI 2391; CR 2104</t>
  </si>
  <si>
    <t>SI 000016; CR 000027</t>
  </si>
  <si>
    <t>SYL-25-0060</t>
  </si>
  <si>
    <t>SYL-25-0061</t>
  </si>
  <si>
    <t>SYL-25-0062</t>
  </si>
  <si>
    <t>JAN 2025 billing</t>
  </si>
  <si>
    <t>SYL-25-0063</t>
  </si>
  <si>
    <t>SYL-25-0064</t>
  </si>
  <si>
    <t>SYL-25-0065</t>
  </si>
  <si>
    <t>SYL-25-0066</t>
  </si>
  <si>
    <t>BDO-325107</t>
  </si>
  <si>
    <t>BDO Insurance 2025</t>
  </si>
  <si>
    <t>SYL-25-0067</t>
  </si>
  <si>
    <t>BDO-325108</t>
  </si>
  <si>
    <t>Car Insurance - 2025</t>
  </si>
  <si>
    <t>SYL-25-0068</t>
  </si>
  <si>
    <t>BDO-325109</t>
  </si>
  <si>
    <t>Deposited Feb. 12</t>
  </si>
  <si>
    <t>SI 9262; CR 4282</t>
  </si>
  <si>
    <t>SYL-25-0069</t>
  </si>
  <si>
    <t>Jan 10, 2024 bill date</t>
  </si>
  <si>
    <t>DEC 13, 2024 bill date</t>
  </si>
  <si>
    <t>SYL-25-0070</t>
  </si>
  <si>
    <t>7 POSTECH TOUCHSCREEN MONITOR</t>
  </si>
  <si>
    <t>SYL-25-0071</t>
  </si>
  <si>
    <t>SYL25-0021</t>
  </si>
  <si>
    <t>5 EPSON TMU220D LAN PRINTER</t>
  </si>
  <si>
    <t>SYL-25-0072</t>
  </si>
  <si>
    <t>SYL-25-0073</t>
  </si>
  <si>
    <t>SYL25-0022</t>
  </si>
  <si>
    <t>2 STICK MEMORY CRUCIAL SODIUM 8GB; 1 KINGSTON NVME</t>
  </si>
  <si>
    <t>BDO-325110</t>
  </si>
  <si>
    <t>SYL-25-0074</t>
  </si>
  <si>
    <t>SYL-25-0075</t>
  </si>
  <si>
    <t>SYL-25-0076</t>
  </si>
  <si>
    <t>Jan 10 to Feb 9 Billing (Mai)</t>
  </si>
  <si>
    <t>Jan 10 to Feb 9 Billing (Ofc)</t>
  </si>
  <si>
    <t>Back office support fee - Jan 2025</t>
  </si>
  <si>
    <t>Feb 10, 2025 bill date</t>
  </si>
  <si>
    <t>SYL-25-0077</t>
  </si>
  <si>
    <t>BDO-325111</t>
  </si>
  <si>
    <t>SI 36201; CR 11252</t>
  </si>
  <si>
    <t>SYL25-0014</t>
  </si>
  <si>
    <t>SI 1810; CR 1124</t>
  </si>
  <si>
    <t>SI 1818 CR 1123</t>
  </si>
  <si>
    <t>Svl 408</t>
  </si>
  <si>
    <t>SYL-25-0078</t>
  </si>
  <si>
    <t>SYL-25-0079</t>
  </si>
  <si>
    <t>Petty Cash - RM</t>
  </si>
  <si>
    <t>SYL-25-0080</t>
  </si>
  <si>
    <t>SYL-25-0081</t>
  </si>
  <si>
    <t>SYL-25-0082</t>
  </si>
  <si>
    <t>SYL-25-0083</t>
  </si>
  <si>
    <t>SYL-25-0084</t>
  </si>
  <si>
    <t>SYL-25-0085</t>
  </si>
  <si>
    <t>10 Ribbon take up gear; 25 Printer head</t>
  </si>
  <si>
    <t>Falcon 2 ; Falcon Case and IMIN  Swan 1</t>
  </si>
  <si>
    <t>SI 000033; CR 000047</t>
  </si>
  <si>
    <t>Audit Fee- DP 2024</t>
  </si>
  <si>
    <t>SYL-25-0086</t>
  </si>
  <si>
    <t>SYL-25-0087</t>
  </si>
  <si>
    <t>SYL-25-0088</t>
  </si>
  <si>
    <t>Bookkeeping Fee- Sept to Nov 2024</t>
  </si>
  <si>
    <t>5 Switchhub; 10 Keyboard and mouse; 5 Nvme3; 2 kingston nvm3 1tb; 1 16port switchhub</t>
  </si>
  <si>
    <t>SYL25-0026</t>
  </si>
  <si>
    <t>BDO-325112</t>
  </si>
  <si>
    <t>SYL-25-0089</t>
  </si>
  <si>
    <t>SYL-25-0090</t>
  </si>
  <si>
    <t>SYL-25-0091</t>
  </si>
  <si>
    <t>SYL-25-0092</t>
  </si>
  <si>
    <t>2 Swan 1; 2 Second Display; 1 Crane 1; Table stand; 2 Mcp20 star printer</t>
  </si>
  <si>
    <t>4 8GB DDR3 RAM</t>
  </si>
  <si>
    <t>SYL25-0028</t>
  </si>
  <si>
    <t>SYL25-0030</t>
  </si>
  <si>
    <t>2 REFILL FIRE EXTINGUISHER</t>
  </si>
  <si>
    <t xml:space="preserve">EMDCC FIRE PROTECTION PRODUCT TRADING </t>
  </si>
  <si>
    <t>SYL-25-0093</t>
  </si>
  <si>
    <t>SYL-25-0094</t>
  </si>
  <si>
    <t>laptop - Maintenance</t>
  </si>
  <si>
    <t>SI 2400; CR 2122</t>
  </si>
  <si>
    <t>SI 571001285; CR 716000960</t>
  </si>
  <si>
    <t>SI 571001285; AR 00455; CR 7166000961</t>
  </si>
  <si>
    <t>SYL-25-0095</t>
  </si>
  <si>
    <t>BDO-325113</t>
  </si>
  <si>
    <t xml:space="preserve">5 512gb ram SSD sata; 5 desktop; 10 Windows 11 </t>
  </si>
  <si>
    <t>SYL25-0027</t>
  </si>
  <si>
    <t>Deposited Feb. 28</t>
  </si>
  <si>
    <t>SI 000047; CR  000048</t>
  </si>
  <si>
    <t>SI 00461; CR 00504</t>
  </si>
  <si>
    <t>SYL25-0023</t>
  </si>
  <si>
    <t>SI 1849; CR 1132</t>
  </si>
  <si>
    <t>SI1852; CR 1131</t>
  </si>
  <si>
    <t>SYL-25-0096</t>
  </si>
  <si>
    <t xml:space="preserve">Outing Payable - Hotel  &amp; Van </t>
  </si>
  <si>
    <t>SYL-25-0097</t>
  </si>
  <si>
    <t xml:space="preserve">Outing Food Budget </t>
  </si>
  <si>
    <t>SI 000050; CR  000059</t>
  </si>
  <si>
    <t>SYL-25-0098</t>
  </si>
  <si>
    <t>SI 36282; CR 11277</t>
  </si>
  <si>
    <t>SYL25-0024</t>
  </si>
  <si>
    <t>SYL-25-0099</t>
  </si>
  <si>
    <t>180 Star ribbon Rc700b black</t>
  </si>
  <si>
    <t>SYL-25-0100</t>
  </si>
  <si>
    <t>10 Mini Cash drawer, 5 Scanner barcode</t>
  </si>
  <si>
    <t>SI 36381</t>
  </si>
  <si>
    <t>SYL25-0032</t>
  </si>
  <si>
    <t>SYL-25-0101</t>
  </si>
  <si>
    <t>SYL25-0033</t>
  </si>
  <si>
    <t>150 THERMAL PAPER</t>
  </si>
  <si>
    <t>SYL-25-0102</t>
  </si>
  <si>
    <t>SYL25-0029</t>
  </si>
  <si>
    <t xml:space="preserve">GODEX BARCODE PRINTER , LABEL STICKER </t>
  </si>
  <si>
    <t>SYL-25-0103</t>
  </si>
  <si>
    <t>SYL25-0035</t>
  </si>
  <si>
    <t>SI 9302; CR 05366</t>
  </si>
  <si>
    <t>SYL-25-0104</t>
  </si>
  <si>
    <t>BDO-325114</t>
  </si>
  <si>
    <t>SYL-25-0105</t>
  </si>
  <si>
    <t>BDO-325115</t>
  </si>
  <si>
    <t>SYL-25-0106</t>
  </si>
  <si>
    <t>SYL-25-0107</t>
  </si>
  <si>
    <t>SYL-25-0108</t>
  </si>
  <si>
    <t>SYL-25-0109</t>
  </si>
  <si>
    <t>SYL-25-0110</t>
  </si>
  <si>
    <t>SYL-25-0111</t>
  </si>
  <si>
    <t>SYL-25-0112</t>
  </si>
  <si>
    <t>SYL-25-0113</t>
  </si>
  <si>
    <t>SYL-25-0114</t>
  </si>
  <si>
    <t>SYL-25-0115</t>
  </si>
  <si>
    <t>10 Epson Tmu220d Usb Printer</t>
  </si>
  <si>
    <t xml:space="preserve">10 512gb ssd sata; 10 kaspersky anti virus; 10 windows 11 </t>
  </si>
  <si>
    <t>SYL25-0006</t>
  </si>
  <si>
    <t>SYL25-0037</t>
  </si>
  <si>
    <t>5 Epson Tmu220d lan printer</t>
  </si>
  <si>
    <t>MAR 17, 2025 billing</t>
  </si>
  <si>
    <t>FEB 2025 billing</t>
  </si>
  <si>
    <t>Deposited Mar. 11</t>
  </si>
  <si>
    <t>SYL-25-0116</t>
  </si>
  <si>
    <t>SYL-25-0117</t>
  </si>
  <si>
    <t>Back office support fee - Feb 2025</t>
  </si>
  <si>
    <t>SI 9443; CR 05382</t>
  </si>
  <si>
    <t>SI 9442; CR 05381</t>
  </si>
  <si>
    <t>SI 000061; CR 000066</t>
  </si>
  <si>
    <t>SYL-25-0118</t>
  </si>
  <si>
    <t>Petty Cash -MQ</t>
  </si>
  <si>
    <t>SYL-25-0119</t>
  </si>
  <si>
    <t>Petty Cash-RM</t>
  </si>
  <si>
    <t>SYL-25-0120</t>
  </si>
  <si>
    <t>SYL-25-0121</t>
  </si>
  <si>
    <t>SYL24-154</t>
  </si>
  <si>
    <t>1 Crane 1 , 1 Crane table stand</t>
  </si>
  <si>
    <t>SYL-25-0122</t>
  </si>
  <si>
    <t>SYL25-0038</t>
  </si>
  <si>
    <t>15 APC UPS</t>
  </si>
  <si>
    <t>SYL-25-0123</t>
  </si>
  <si>
    <t>SYL25-0039</t>
  </si>
  <si>
    <t xml:space="preserve">2 Swan 1, 2 Dual Display </t>
  </si>
  <si>
    <t>Mar 10, 2025 bill date</t>
  </si>
  <si>
    <t>SYL-25-0124</t>
  </si>
  <si>
    <t>SYL-25-0125</t>
  </si>
  <si>
    <t>Johnnel L. Magtalas</t>
  </si>
  <si>
    <t>SYL-25-0126</t>
  </si>
  <si>
    <t>SYL-25-0127</t>
  </si>
  <si>
    <t>Feb 10 to Mar 9 Billing (Mai)</t>
  </si>
  <si>
    <t>Feb 10 to Mar 9 Billing (Ofc)</t>
  </si>
  <si>
    <t>SYL-25-0128</t>
  </si>
  <si>
    <t>SYL-25-0129</t>
  </si>
  <si>
    <t>SYL-25-0130</t>
  </si>
  <si>
    <t>SYL-25-0131</t>
  </si>
  <si>
    <t>SYL-25-0132</t>
  </si>
  <si>
    <t>SYL-25-0133</t>
  </si>
  <si>
    <t>5 Router</t>
  </si>
  <si>
    <t>SYL25-0043</t>
  </si>
  <si>
    <t>SYL25-0041</t>
  </si>
  <si>
    <t>2 Epson TM-T82X USB printer/  4 Epson TM-T82X LAN printer</t>
  </si>
  <si>
    <t>SI 9546, CR 05288</t>
  </si>
  <si>
    <t>SI 9452, CR 05287</t>
  </si>
  <si>
    <t>SYL25-0036</t>
  </si>
  <si>
    <t>Ricky's Airfare &amp; Accommodation</t>
  </si>
  <si>
    <t>SYL-25-0134</t>
  </si>
  <si>
    <t>SYL25-0045</t>
  </si>
  <si>
    <t>H7-I3-6167U 8gb ram, no ssd</t>
  </si>
  <si>
    <t>SI 66199, CR 34984</t>
  </si>
  <si>
    <t>SYL-25-0135</t>
  </si>
  <si>
    <t>BDO-325116</t>
  </si>
  <si>
    <t>OR 5421</t>
  </si>
  <si>
    <t>SI 1877, CR 1150</t>
  </si>
  <si>
    <t>SI 1855; CR 1149</t>
  </si>
  <si>
    <t>SI 1858; CR 1151</t>
  </si>
  <si>
    <t>SI 1876; CR 1152</t>
  </si>
  <si>
    <t>SYL-25-0136</t>
  </si>
  <si>
    <t>SYL-25-0137</t>
  </si>
  <si>
    <t>SYL-25-0138</t>
  </si>
  <si>
    <t>SYL-25-0139</t>
  </si>
  <si>
    <t>SYL-25-0140</t>
  </si>
  <si>
    <t>SYL-25-0141</t>
  </si>
  <si>
    <t>250 Journal paper 2 ply</t>
  </si>
  <si>
    <t>2 Poseidon PSD86 handsfree Scanner, 3 Zebra 2208 Barcode Scanner</t>
  </si>
  <si>
    <t>Airfare</t>
  </si>
  <si>
    <t>Petty Cash-MQ</t>
  </si>
  <si>
    <t>SYL-25-0142</t>
  </si>
  <si>
    <t>5 Epson TMU220D lan printer</t>
  </si>
  <si>
    <t>SYL-25-0143</t>
  </si>
  <si>
    <t>SYL-25-0144</t>
  </si>
  <si>
    <t>Airfare to Davao</t>
  </si>
  <si>
    <t>SI 36343, CR 11406</t>
  </si>
  <si>
    <t>SI 36395, CR 11404</t>
  </si>
  <si>
    <t>SI 36564, CR 11405</t>
  </si>
  <si>
    <t>SYL25-0047</t>
  </si>
  <si>
    <t>SI 1890, CR 1156</t>
  </si>
  <si>
    <t>SYL-25-0145</t>
  </si>
  <si>
    <t>BDO-325117</t>
  </si>
  <si>
    <t>SYL-25-0146</t>
  </si>
  <si>
    <t>SYL-25-0147</t>
  </si>
  <si>
    <t>Advance Medical Reimbursment -Maritess B.</t>
  </si>
  <si>
    <t xml:space="preserve">Marites balanquit </t>
  </si>
  <si>
    <t>SYL-25-0148</t>
  </si>
  <si>
    <t>SYL-25-0149</t>
  </si>
  <si>
    <t>SYL-25-0150</t>
  </si>
  <si>
    <t>SYL-25-0151</t>
  </si>
  <si>
    <t>SYL-25-0152</t>
  </si>
  <si>
    <t>SYL-25-0153</t>
  </si>
  <si>
    <t>SYL-25-0154</t>
  </si>
  <si>
    <t>2D Zebra 2208 Barcode Scanner</t>
  </si>
  <si>
    <t>10 Mini Cash Drawer</t>
  </si>
  <si>
    <t>SYL25-0048</t>
  </si>
  <si>
    <t xml:space="preserve">IMIN CRANE 1 , CRANE 1 TABLE STAND </t>
  </si>
  <si>
    <t>SYL25-0050</t>
  </si>
  <si>
    <t>10 POSTECH TOUCHSCREEN MONITOR</t>
  </si>
  <si>
    <t>SYL-25-0155</t>
  </si>
  <si>
    <t>BDO-325118</t>
  </si>
  <si>
    <t>SYL25-0049</t>
  </si>
  <si>
    <t>5 desktop intel core i5, Chuwi tablet, 3 LQ310 Ribbon</t>
  </si>
  <si>
    <t>SYL-25-0156</t>
  </si>
  <si>
    <t>SYL-25-0157</t>
  </si>
  <si>
    <t>SYL-25-0158</t>
  </si>
  <si>
    <t>SYL-25-0159</t>
  </si>
  <si>
    <t>Back office support fee - Mar 2025</t>
  </si>
  <si>
    <t>SYL-25-0160</t>
  </si>
  <si>
    <t>Membership Renewal 2025</t>
  </si>
  <si>
    <t>CRIF Philippines, Inc</t>
  </si>
  <si>
    <t>Business Permit - 2nd Quarter 2025</t>
  </si>
  <si>
    <t>SYL-25-0161</t>
  </si>
  <si>
    <t>SYL-25-0162</t>
  </si>
  <si>
    <t>SYL-25-0163</t>
  </si>
  <si>
    <t>SYL-25-0164</t>
  </si>
  <si>
    <t>SYL-25-0165</t>
  </si>
  <si>
    <t>SYL-25-0166</t>
  </si>
  <si>
    <t>April  11, 2025 bill date</t>
  </si>
  <si>
    <t>APR 17, 2025 billing</t>
  </si>
  <si>
    <t xml:space="preserve">25 Epson printer head </t>
  </si>
  <si>
    <t>Sales Software</t>
  </si>
  <si>
    <t>SYL25-0052</t>
  </si>
  <si>
    <t>SI 04709</t>
  </si>
  <si>
    <t>SI 6068</t>
  </si>
  <si>
    <t>SYL25-0046/SYL25-0040</t>
  </si>
  <si>
    <t>SI 000071, CR 000078</t>
  </si>
  <si>
    <t>SI 000067, CR 000077</t>
  </si>
  <si>
    <t>SI 9655, CR 05437</t>
  </si>
  <si>
    <t>Svl 0004</t>
  </si>
  <si>
    <t>SYL-25-0167</t>
  </si>
  <si>
    <t>SYL-25-0168</t>
  </si>
  <si>
    <t>SYL-25-0169</t>
  </si>
  <si>
    <t>Mar 10 to April 9 Billing (Mai)</t>
  </si>
  <si>
    <t>Mar 10 to April 9 Billing (Ofc)</t>
  </si>
  <si>
    <t>SYL-25-0170</t>
  </si>
  <si>
    <t>Audit Fee- FP 2024</t>
  </si>
  <si>
    <t>SYL-25-0171</t>
  </si>
  <si>
    <t xml:space="preserve">Condolence Money -Adi's father </t>
  </si>
  <si>
    <t>SYL-25-0172</t>
  </si>
  <si>
    <t>SYL-25-0173</t>
  </si>
  <si>
    <t>SYL-25-0174</t>
  </si>
  <si>
    <t>SYL-25-0175</t>
  </si>
  <si>
    <t>SYL-25-0176</t>
  </si>
  <si>
    <t>SYL-25-0177</t>
  </si>
  <si>
    <t>SYL-25-0178</t>
  </si>
  <si>
    <t>SYL-25-0179</t>
  </si>
  <si>
    <t>SYL-25-0180</t>
  </si>
  <si>
    <t>SYL-25-0181</t>
  </si>
  <si>
    <t>BDO-325119</t>
  </si>
  <si>
    <t>Ruben E. partial dividend</t>
  </si>
  <si>
    <t>BDO-325120</t>
  </si>
  <si>
    <t>Allen Malco</t>
  </si>
  <si>
    <t>BDO-325121</t>
  </si>
  <si>
    <t>kim Karvinen Luces</t>
  </si>
  <si>
    <t>SI 2502, CR 2218</t>
  </si>
  <si>
    <t>SI 66534, CR 35277</t>
  </si>
  <si>
    <t>SYL25-0044</t>
  </si>
  <si>
    <t>Windows 11 pro</t>
  </si>
  <si>
    <t>3 Epson TMU220B usb printer</t>
  </si>
  <si>
    <t>5 Switch hub, 10 Kaspersky Anti Virus, 5 windows 11</t>
  </si>
  <si>
    <t>SYL25-0053</t>
  </si>
  <si>
    <t>SYL25-0054</t>
  </si>
  <si>
    <t>BDO-325122</t>
  </si>
  <si>
    <t>BDO-325123</t>
  </si>
  <si>
    <t>Syluxent inc</t>
  </si>
  <si>
    <t>Allowance Harvest hotel</t>
  </si>
  <si>
    <t>AR 1803</t>
  </si>
  <si>
    <t>SI 36381,  CR 11446</t>
  </si>
  <si>
    <t>SI 9730, CR 05120</t>
  </si>
  <si>
    <t>SYL-25-0182</t>
  </si>
  <si>
    <t>SYL-25-0183</t>
  </si>
  <si>
    <t>SYL-25-0184</t>
  </si>
  <si>
    <t>SYL-25-0185</t>
  </si>
  <si>
    <t>SYL-25-0186</t>
  </si>
  <si>
    <t>SYL-25-0187</t>
  </si>
  <si>
    <t>SYL-25-0188</t>
  </si>
  <si>
    <t>SYL-25-0189</t>
  </si>
  <si>
    <t>SYL25-0056</t>
  </si>
  <si>
    <t>1250 Journal paper 2 ply</t>
  </si>
  <si>
    <t>SYL25-0057</t>
  </si>
  <si>
    <t>Epson Tmu220A USB printer, 3 Epson Tmu220B Lan printer</t>
  </si>
  <si>
    <t>BDO-325124</t>
  </si>
  <si>
    <t>Group Yearly Insurance 2025</t>
  </si>
  <si>
    <t xml:space="preserve">VIA Basic membership renewal </t>
  </si>
  <si>
    <t>BDO-325127</t>
  </si>
  <si>
    <t>3 Units of laptop</t>
  </si>
  <si>
    <t>Virtual E-com Solutions corp</t>
  </si>
  <si>
    <t>SYL-25-0190</t>
  </si>
  <si>
    <t>BDO-325128</t>
  </si>
  <si>
    <t>SI 000075; CR 000081</t>
  </si>
  <si>
    <t>SYL-25-0191</t>
  </si>
  <si>
    <t>SYL-25-0192</t>
  </si>
  <si>
    <t>MAR 2025 billing</t>
  </si>
  <si>
    <t>APR 2025 billing</t>
  </si>
  <si>
    <t>SYL-25-0193</t>
  </si>
  <si>
    <t>1 Precision PR-8S-usb (1200va/600 wtts)</t>
  </si>
  <si>
    <t>SYL25-0060</t>
  </si>
  <si>
    <t>SYL-25-0194</t>
  </si>
  <si>
    <t>SYL-25-0195</t>
  </si>
  <si>
    <t>BDO-325129</t>
  </si>
  <si>
    <t>BDO-325130</t>
  </si>
  <si>
    <t>Travel Expense</t>
  </si>
  <si>
    <t>SYL-25-0196</t>
  </si>
  <si>
    <t>SYL-25-0197</t>
  </si>
  <si>
    <t>BDO-266714</t>
  </si>
  <si>
    <t xml:space="preserve">Davao Airfare </t>
  </si>
  <si>
    <t>Rhea Joy Arador</t>
  </si>
  <si>
    <t xml:space="preserve">                                                                                                                                   </t>
  </si>
  <si>
    <t>SI 1902, CR 1172</t>
  </si>
  <si>
    <t>SI 9762, CR 05530</t>
  </si>
  <si>
    <t>SYL-25-0198</t>
  </si>
  <si>
    <t>SYL-25-0199</t>
  </si>
  <si>
    <t>SYL-25-0200</t>
  </si>
  <si>
    <t xml:space="preserve">Rommel John Allam Javier </t>
  </si>
  <si>
    <t>Back office support fee - Apr 2025</t>
  </si>
  <si>
    <t>SYL-25-0201</t>
  </si>
  <si>
    <t>SYL-25-0202</t>
  </si>
  <si>
    <t>SYL-25-0203</t>
  </si>
  <si>
    <t>Software Sales</t>
  </si>
  <si>
    <t>5 huntkey power supply, BSC10E Star printer</t>
  </si>
  <si>
    <t>SYL25-0055</t>
  </si>
  <si>
    <t>SYL25-0064</t>
  </si>
  <si>
    <t>5 Windows 11 pro</t>
  </si>
  <si>
    <t>SYL-25-0204</t>
  </si>
  <si>
    <t>SYL-25-0205</t>
  </si>
  <si>
    <t>SYL-25-0206</t>
  </si>
  <si>
    <t>SYL-25-0207</t>
  </si>
  <si>
    <t>BDO-266715</t>
  </si>
  <si>
    <t>Dividend 2024</t>
  </si>
  <si>
    <t>BDO-325131</t>
  </si>
  <si>
    <t>SYL-25-0208</t>
  </si>
  <si>
    <t>SYL-25-0209</t>
  </si>
  <si>
    <t>Syluxent LED Signage</t>
  </si>
  <si>
    <t>BDO-266716</t>
  </si>
  <si>
    <t>SYL-25-0210</t>
  </si>
  <si>
    <t>SYL-25-0211</t>
  </si>
  <si>
    <t>SYL-25-0212</t>
  </si>
  <si>
    <t>SYL-25-0213</t>
  </si>
  <si>
    <t>SYL-25-0214</t>
  </si>
  <si>
    <t>SYL-25-0215</t>
  </si>
  <si>
    <t>SYL-25-0216</t>
  </si>
  <si>
    <t>SYL-25-0217</t>
  </si>
  <si>
    <t xml:space="preserve">Allowance Davao exhibit </t>
  </si>
  <si>
    <t>May  10, 2025 bill date</t>
  </si>
  <si>
    <t>May 17, 2025 billing</t>
  </si>
  <si>
    <t xml:space="preserve">5 Eos mini cpu 8gb, no ssd, no os </t>
  </si>
  <si>
    <t>10 Apc ups , 5 Tmu220b usb printer</t>
  </si>
  <si>
    <t>5 mini cash drawer</t>
  </si>
  <si>
    <t>SYL-25-0218</t>
  </si>
  <si>
    <t>BDO-325132</t>
  </si>
  <si>
    <t>SYL-25-0219</t>
  </si>
  <si>
    <t>SYL-25-0220</t>
  </si>
  <si>
    <t>5 postech touchscreen monitor</t>
  </si>
  <si>
    <t>DDR4 Memory</t>
  </si>
  <si>
    <t>SI 2586, CR 2280</t>
  </si>
  <si>
    <t>Deposited May. 14</t>
  </si>
  <si>
    <t>SYL-25-0221</t>
  </si>
  <si>
    <t>SYL-25-0222</t>
  </si>
  <si>
    <t>SYL-25-0223</t>
  </si>
  <si>
    <t>SYL-25-0224</t>
  </si>
  <si>
    <t>SYL-25-0225</t>
  </si>
  <si>
    <t>SYL-25-0226</t>
  </si>
  <si>
    <t>Refferal fee</t>
  </si>
  <si>
    <t>Alvin Verdillo</t>
  </si>
  <si>
    <t>50 pads of SAF</t>
  </si>
  <si>
    <t xml:space="preserve">Oneway Commercial Printing &amp; trading, co., Inc </t>
  </si>
  <si>
    <t>SI 000079, CR 000088</t>
  </si>
  <si>
    <t>Deposited May. 16</t>
  </si>
  <si>
    <t>OR 0002855, BI 3220</t>
  </si>
  <si>
    <t>Invoice 0425-16, Svl 0012</t>
  </si>
  <si>
    <t>SI 66956, CR 35618</t>
  </si>
  <si>
    <t>BDO-325133</t>
  </si>
  <si>
    <t>BDO-325134</t>
  </si>
  <si>
    <t>Danilo Tan</t>
  </si>
  <si>
    <t>SYL-25-0227</t>
  </si>
  <si>
    <t>BDO-266718</t>
  </si>
  <si>
    <t>Payment for Marites B. CA</t>
  </si>
  <si>
    <t>SYL-25-0228</t>
  </si>
  <si>
    <t>SYL-25-0229</t>
  </si>
  <si>
    <t>SYL-25-0230</t>
  </si>
  <si>
    <t>SYL-25-0231</t>
  </si>
  <si>
    <t>SYL-25-0232</t>
  </si>
  <si>
    <t>Davao Accomadation</t>
  </si>
  <si>
    <t>Deposited May. 29</t>
  </si>
  <si>
    <t>SYL-25-0233</t>
  </si>
  <si>
    <t xml:space="preserve">Hazhel's allowance to harvest </t>
  </si>
  <si>
    <t>SYL-25-0234</t>
  </si>
  <si>
    <t>SYL-25-0235</t>
  </si>
  <si>
    <t>SYL-25-0236</t>
  </si>
  <si>
    <t>SYL25-0067</t>
  </si>
  <si>
    <t>10 Apc ups , 3 Tmu220b usb printer</t>
  </si>
  <si>
    <t>SYL25-0066</t>
  </si>
  <si>
    <t xml:space="preserve">5 Desktop w/ ssd, 10 window 11 pro , 5 Nvme.2 </t>
  </si>
  <si>
    <t>SI 9875, CR 05139</t>
  </si>
  <si>
    <t>SYL25-0061</t>
  </si>
  <si>
    <t>SI 36882, CR 11535</t>
  </si>
  <si>
    <t>SLY25-0063</t>
  </si>
  <si>
    <t>SYL-25-0237</t>
  </si>
  <si>
    <t>SYL-25-0238</t>
  </si>
  <si>
    <t>SYL-25-0239</t>
  </si>
  <si>
    <t>SYL-25-0240</t>
  </si>
  <si>
    <t>SYL-25-0241</t>
  </si>
  <si>
    <t>SYL-25-0242</t>
  </si>
  <si>
    <t>4233709</t>
  </si>
  <si>
    <t>4233710</t>
  </si>
  <si>
    <t>4233711</t>
  </si>
  <si>
    <t>4233712</t>
  </si>
  <si>
    <t>4233713</t>
  </si>
  <si>
    <t>4233714</t>
  </si>
  <si>
    <t>Refferal Fee</t>
  </si>
  <si>
    <t>1 Godex barcode printer, 3 label sticker</t>
  </si>
  <si>
    <t>SYL25-0069</t>
  </si>
  <si>
    <t>SYL25-0070</t>
  </si>
  <si>
    <t xml:space="preserve">J&amp;J Consumer goods trading </t>
  </si>
  <si>
    <t>BDO-266720</t>
  </si>
  <si>
    <t>SYL-25-0243</t>
  </si>
  <si>
    <t>BDO-325135</t>
  </si>
  <si>
    <t xml:space="preserve">Syluxent inc </t>
  </si>
  <si>
    <t>SI 017340, CR 11396</t>
  </si>
  <si>
    <t>SYL-25-0244</t>
  </si>
  <si>
    <t>SYL-25-0245</t>
  </si>
  <si>
    <t>4233715</t>
  </si>
  <si>
    <t>4233716</t>
  </si>
  <si>
    <t xml:space="preserve">1 Godex EZ120 Power supply </t>
  </si>
  <si>
    <t xml:space="preserve">250 Journal paper 2 ply </t>
  </si>
  <si>
    <t>SI 67655, CR 35767</t>
  </si>
  <si>
    <t>SYL25-0072</t>
  </si>
  <si>
    <t>SI 000088, CR 000093</t>
  </si>
  <si>
    <t>SI 1934, CR 1193</t>
  </si>
  <si>
    <t>SI 1938, CR 1192</t>
  </si>
  <si>
    <t>SYL25-0042</t>
  </si>
  <si>
    <t>SYL-25-0246</t>
  </si>
  <si>
    <t>BDO-266721</t>
  </si>
  <si>
    <t>Richard Dizaon Jr.</t>
  </si>
  <si>
    <t>SYL-25-0247</t>
  </si>
  <si>
    <t>SYL-25-0248</t>
  </si>
  <si>
    <t>4233717</t>
  </si>
  <si>
    <t>4233718</t>
  </si>
  <si>
    <t xml:space="preserve">Ricky Morales </t>
  </si>
  <si>
    <t>SYL-25-0249</t>
  </si>
  <si>
    <t>SYL-25-0250</t>
  </si>
  <si>
    <t>SYL-25-0251</t>
  </si>
  <si>
    <t>SYL-25-0252</t>
  </si>
  <si>
    <t>SYL-25-0253</t>
  </si>
  <si>
    <t>SYL-25-0254</t>
  </si>
  <si>
    <t>SYL-25-0255</t>
  </si>
  <si>
    <t>SYL-25-0256</t>
  </si>
  <si>
    <t>SYL-25-0257</t>
  </si>
  <si>
    <t>4233719</t>
  </si>
  <si>
    <t>4233720</t>
  </si>
  <si>
    <t>4233721</t>
  </si>
  <si>
    <t>4233722</t>
  </si>
  <si>
    <t>4233723</t>
  </si>
  <si>
    <t>4233724</t>
  </si>
  <si>
    <t>4233725</t>
  </si>
  <si>
    <t>4233726</t>
  </si>
  <si>
    <t>June  10, 2025 bill date</t>
  </si>
  <si>
    <t>MAY 2025 billing</t>
  </si>
  <si>
    <t>Back office support fee - May 2025</t>
  </si>
  <si>
    <t>Epson TM-T82X Usb and Lan printer</t>
  </si>
  <si>
    <t>May 10 to June 9 Billing (Mai)</t>
  </si>
  <si>
    <t>May 10 to June 9 Billing (Ofc)</t>
  </si>
  <si>
    <t>Baguio Event Fare</t>
  </si>
  <si>
    <t>Enoch Adrian Lim</t>
  </si>
  <si>
    <t>SYL-25-0258</t>
  </si>
  <si>
    <t>SYL-25-0259</t>
  </si>
  <si>
    <t>4233728</t>
  </si>
  <si>
    <t>BDO- 325136</t>
  </si>
  <si>
    <t>BDO- 325137</t>
  </si>
  <si>
    <t>SI 10110, CR 05629</t>
  </si>
  <si>
    <t>SYL25-0073</t>
  </si>
  <si>
    <t>SI 10056, CR 05630</t>
  </si>
  <si>
    <t>SI 10058,  CR 05631</t>
  </si>
  <si>
    <t>SYL-25-0260</t>
  </si>
  <si>
    <t>4233729</t>
  </si>
  <si>
    <t>Hotel Exhibit Ingress and Egress</t>
  </si>
  <si>
    <t>SYL-25-0261</t>
  </si>
  <si>
    <t>4233730</t>
  </si>
  <si>
    <t>Membership Renewal</t>
  </si>
  <si>
    <t>SYL-25-0262</t>
  </si>
  <si>
    <t>SYL-25-0263</t>
  </si>
  <si>
    <t>SYL-25-0264</t>
  </si>
  <si>
    <t>4233731</t>
  </si>
  <si>
    <t>4233732</t>
  </si>
  <si>
    <t>4233733</t>
  </si>
  <si>
    <t>3 Poseidon PSD86 handsfree Scanner</t>
  </si>
  <si>
    <t>SYL25-0074</t>
  </si>
  <si>
    <t>SYL25-0075</t>
  </si>
  <si>
    <t>DDR4 8gb ram</t>
  </si>
  <si>
    <t>SYL25-0078</t>
  </si>
  <si>
    <t>10 Acer lcd monitor</t>
  </si>
  <si>
    <t>SYL-25-0265</t>
  </si>
  <si>
    <t>SYL-25-0266</t>
  </si>
  <si>
    <t>4233734</t>
  </si>
  <si>
    <t>4233735</t>
  </si>
  <si>
    <t>SYL25-0079</t>
  </si>
  <si>
    <t xml:space="preserve">Printer head, Printer gear, cable </t>
  </si>
  <si>
    <t>tax invoice : 0525-16, AR: 0023</t>
  </si>
  <si>
    <t>SI 000092, CR 000095</t>
  </si>
  <si>
    <t>SYL-25-0267</t>
  </si>
  <si>
    <t>SYL-25-0268</t>
  </si>
  <si>
    <t>SYL-25-0269</t>
  </si>
  <si>
    <t>SYL-25-0270</t>
  </si>
  <si>
    <t>SYL-25-0271</t>
  </si>
  <si>
    <t>SYL-25-0272</t>
  </si>
  <si>
    <t>SYL-25-0273</t>
  </si>
  <si>
    <t>SYL-25-0274</t>
  </si>
  <si>
    <t>SYL-25-0275</t>
  </si>
  <si>
    <t>4233736</t>
  </si>
  <si>
    <t>4233737</t>
  </si>
  <si>
    <t>4233738</t>
  </si>
  <si>
    <t>4233739</t>
  </si>
  <si>
    <t>4233740</t>
  </si>
  <si>
    <t>4233741</t>
  </si>
  <si>
    <t>4233742</t>
  </si>
  <si>
    <t>4233743</t>
  </si>
  <si>
    <t>June 17, 2025 billing</t>
  </si>
  <si>
    <t>Deposited May. 17</t>
  </si>
  <si>
    <t xml:space="preserve">Petty Cash-MQ </t>
  </si>
  <si>
    <t xml:space="preserve">imin swan 1 </t>
  </si>
  <si>
    <t xml:space="preserve">Exhibit Share 2025 </t>
  </si>
  <si>
    <t>BDO-325138</t>
  </si>
  <si>
    <t>30 thermal pos paper</t>
  </si>
  <si>
    <t>SI 37233, CR 11636</t>
  </si>
  <si>
    <t>SYL25-0071</t>
  </si>
  <si>
    <t>SI 37088, CR 11635</t>
  </si>
  <si>
    <t>SI 37172, CR 11637</t>
  </si>
  <si>
    <t>SI 6087, 6086, CR 6315</t>
  </si>
  <si>
    <t>Billing no: 04720, AR 2747</t>
  </si>
  <si>
    <t>Billing no: 04721, AR 2748</t>
  </si>
  <si>
    <t>SYL-25-0276</t>
  </si>
  <si>
    <t>SYL-25-0277</t>
  </si>
  <si>
    <t>SYL-25-0278</t>
  </si>
  <si>
    <t>SYL-25-0279</t>
  </si>
  <si>
    <t>SYL-25-0280</t>
  </si>
  <si>
    <t>SYL-25-0281</t>
  </si>
  <si>
    <t>SYL-25-0282</t>
  </si>
  <si>
    <t>4233744</t>
  </si>
  <si>
    <t>4233745</t>
  </si>
  <si>
    <t>4233746</t>
  </si>
  <si>
    <t>4233747</t>
  </si>
  <si>
    <t>4233748</t>
  </si>
  <si>
    <t>4233749</t>
  </si>
  <si>
    <t>10 Tmu220D usb printer</t>
  </si>
  <si>
    <t>SYL25-006</t>
  </si>
  <si>
    <t>5 Bsc10 star usb printer</t>
  </si>
  <si>
    <t>SYL25-0082</t>
  </si>
  <si>
    <t>SYL25-0083</t>
  </si>
  <si>
    <t>5 Desktop,Windows 11, 10 keyboard and mouse</t>
  </si>
  <si>
    <t>SYL25-0081</t>
  </si>
  <si>
    <t>SYL25-0077</t>
  </si>
  <si>
    <t>SI 6141, 6142,6143 CR: 5752</t>
  </si>
  <si>
    <t>Programming Fee MN+LA</t>
  </si>
  <si>
    <t>SI 000090, CR 000099</t>
  </si>
  <si>
    <t>SI 000096, CR 000100</t>
  </si>
  <si>
    <t>Membership Renewal Syluxent Inc</t>
  </si>
  <si>
    <t>CRIF Philiipines Inc</t>
  </si>
  <si>
    <t>SYL-25-0283</t>
  </si>
  <si>
    <t>5 Tmu220d Usb printer</t>
  </si>
  <si>
    <t>BDO-325141</t>
  </si>
  <si>
    <t>SYL-25-0284</t>
  </si>
  <si>
    <t>SYL-25-0285</t>
  </si>
  <si>
    <t>SYL-25-0286</t>
  </si>
  <si>
    <t>SYL-25-0287</t>
  </si>
  <si>
    <t>SYL-25-0288</t>
  </si>
  <si>
    <t>SYL-25-0289</t>
  </si>
  <si>
    <t>SYL-25-0290</t>
  </si>
  <si>
    <t>SYL-25-0291</t>
  </si>
  <si>
    <t>SYL-25-0292</t>
  </si>
  <si>
    <t>4233750</t>
  </si>
  <si>
    <t>VOID CHEQUE</t>
  </si>
  <si>
    <t>4300051</t>
  </si>
  <si>
    <t>4300052</t>
  </si>
  <si>
    <t>4300053</t>
  </si>
  <si>
    <t>4300054</t>
  </si>
  <si>
    <t>4300055</t>
  </si>
  <si>
    <t>4300056</t>
  </si>
  <si>
    <t>4300057</t>
  </si>
  <si>
    <t>4300058</t>
  </si>
  <si>
    <t>SI 2663, CR 2337</t>
  </si>
  <si>
    <t>4300059</t>
  </si>
  <si>
    <t>SYL-25-0293</t>
  </si>
  <si>
    <t>4300060</t>
  </si>
  <si>
    <t>4300061</t>
  </si>
  <si>
    <t>4300062</t>
  </si>
  <si>
    <t>4300063</t>
  </si>
  <si>
    <t>4300064</t>
  </si>
  <si>
    <t>SYL-25-0294</t>
  </si>
  <si>
    <t>SYL-25-0295</t>
  </si>
  <si>
    <t>SYL-25-0296</t>
  </si>
  <si>
    <t>SYL-25-0297</t>
  </si>
  <si>
    <t>SYL25-0085</t>
  </si>
  <si>
    <t>Godex barcode printer, 3 label sticker</t>
  </si>
  <si>
    <t>5 Epson Tmu220B Usb printer, Epson Tm- t82X usb/ lan printer</t>
  </si>
  <si>
    <t>SYL-25-0298</t>
  </si>
  <si>
    <t>SYL-25-0299</t>
  </si>
  <si>
    <t>SYL-25-0300</t>
  </si>
  <si>
    <t>SYL-25-0301</t>
  </si>
  <si>
    <t>SYL-25-0302</t>
  </si>
  <si>
    <t>4300065</t>
  </si>
  <si>
    <t>4300066</t>
  </si>
  <si>
    <t>4300067</t>
  </si>
  <si>
    <t>JUNE 2025 billing</t>
  </si>
  <si>
    <t>4300068</t>
  </si>
  <si>
    <t>Nov 2024 Sales Incentives</t>
  </si>
  <si>
    <t>Sunlife Insurance -2025</t>
  </si>
  <si>
    <t>4300069</t>
  </si>
  <si>
    <t>4300072</t>
  </si>
  <si>
    <t>4300073</t>
  </si>
  <si>
    <t>4300074</t>
  </si>
  <si>
    <t>4300075</t>
  </si>
  <si>
    <t>4300076</t>
  </si>
  <si>
    <t>SYL-25-0303</t>
  </si>
  <si>
    <t>SYL-25-0304</t>
  </si>
  <si>
    <t>SYL-25-0305</t>
  </si>
  <si>
    <t>SYL-25-0306</t>
  </si>
  <si>
    <t>SYL-25-0307</t>
  </si>
  <si>
    <t>SYL-25-0308</t>
  </si>
  <si>
    <t>SYL-25-0309</t>
  </si>
  <si>
    <t>BDO-325143</t>
  </si>
  <si>
    <t>BDO-266722</t>
  </si>
  <si>
    <t>SI 37292, CR 11670</t>
  </si>
  <si>
    <t>SI 37227, CR 11669</t>
  </si>
  <si>
    <t>SI 10334, CR 05704</t>
  </si>
  <si>
    <t>SYL25-0086</t>
  </si>
  <si>
    <t>SI 10318, CR  05705</t>
  </si>
  <si>
    <t>Business Permit - 3nd Quarter 2025</t>
  </si>
  <si>
    <t>4300070</t>
  </si>
  <si>
    <t>Jan to May 2025 Book keeping Fee</t>
  </si>
  <si>
    <t>petty Cash-RM</t>
  </si>
  <si>
    <t>SYL-25-0310</t>
  </si>
  <si>
    <t>SYL-25-0311</t>
  </si>
  <si>
    <t>SYL-25-0312</t>
  </si>
  <si>
    <t>SYL-25-0313</t>
  </si>
  <si>
    <t>SYL-25-0314</t>
  </si>
  <si>
    <t>SYL-25-0315</t>
  </si>
  <si>
    <t>SYL-25-0316</t>
  </si>
  <si>
    <t>SYL-25-0317</t>
  </si>
  <si>
    <t>4300077</t>
  </si>
  <si>
    <t>4300078</t>
  </si>
  <si>
    <t xml:space="preserve">10 Apc Ups </t>
  </si>
  <si>
    <t xml:space="preserve">500 Journal paper 1 ply , 250 Journal paper 2 ply </t>
  </si>
  <si>
    <t>Sunfish HRA Consulting, Inc.</t>
  </si>
  <si>
    <t>4300079</t>
  </si>
  <si>
    <t>4300080</t>
  </si>
  <si>
    <t>4300082</t>
  </si>
  <si>
    <t>4300083</t>
  </si>
  <si>
    <t>Referral Fee- Alvin Verdillo</t>
  </si>
  <si>
    <t>July  12, 2025 bill date</t>
  </si>
  <si>
    <t>June 10 to July 9 Billing (Mai)</t>
  </si>
  <si>
    <t>June 10 to July 9 Billing (Ofc)</t>
  </si>
  <si>
    <t>July 17, 2025 billing</t>
  </si>
  <si>
    <t>4300084</t>
  </si>
  <si>
    <t>SYL-25-0318</t>
  </si>
  <si>
    <t>SYL-25-0319</t>
  </si>
  <si>
    <t>BDO-325144</t>
  </si>
  <si>
    <t>Company Uniform</t>
  </si>
  <si>
    <t>SYL-25-0320</t>
  </si>
  <si>
    <t>4300085</t>
  </si>
  <si>
    <t>Samsung Tv &amp; tilt Tv  expense - Marites B.</t>
  </si>
  <si>
    <t>4300086</t>
  </si>
  <si>
    <t>SYL-25-0321</t>
  </si>
  <si>
    <t>SYL-25-0322</t>
  </si>
  <si>
    <t>SYL-25-0323</t>
  </si>
  <si>
    <t>SYL-25-0324</t>
  </si>
  <si>
    <t>SYL-25-0325</t>
  </si>
  <si>
    <t>4300087</t>
  </si>
  <si>
    <t>4300088</t>
  </si>
  <si>
    <t>4300089</t>
  </si>
  <si>
    <t>4300090</t>
  </si>
  <si>
    <t>4300091</t>
  </si>
  <si>
    <t>SYL25-0090</t>
  </si>
  <si>
    <t>SYL25-0091</t>
  </si>
  <si>
    <t>Poseidon psd86 barcode scanner, 10 Cash drawer</t>
  </si>
  <si>
    <t>SYL-25-0326</t>
  </si>
  <si>
    <t>4300092</t>
  </si>
  <si>
    <t>SYL25-0092</t>
  </si>
  <si>
    <t>10 Windows 11 pro</t>
  </si>
  <si>
    <t>SI 1974, CR 1212</t>
  </si>
  <si>
    <t>SI 1987, CR 1211</t>
  </si>
  <si>
    <t>SI 68115, CR 36073</t>
  </si>
  <si>
    <t>SYL25-0087</t>
  </si>
  <si>
    <t>SYL-25-0327</t>
  </si>
  <si>
    <t>BDO-325145</t>
  </si>
  <si>
    <t xml:space="preserve">BIR Payment </t>
  </si>
  <si>
    <t>SYL-25-0328</t>
  </si>
  <si>
    <t>4300093</t>
  </si>
  <si>
    <t xml:space="preserve">Jersey Uniform </t>
  </si>
  <si>
    <t>SYL-25-0329</t>
  </si>
  <si>
    <t>SYL-25-0330</t>
  </si>
  <si>
    <t>SYL-25-0331</t>
  </si>
  <si>
    <t>SYL-25-0332</t>
  </si>
  <si>
    <t>4300094</t>
  </si>
  <si>
    <t>4300095</t>
  </si>
  <si>
    <t>Printer Repair -1500 Clutch Gear- 800</t>
  </si>
  <si>
    <t>4300097</t>
  </si>
  <si>
    <t>SYL25-0094</t>
  </si>
  <si>
    <t xml:space="preserve">30 box journal paper 2 ply </t>
  </si>
  <si>
    <t>4300098</t>
  </si>
  <si>
    <t>SYL25-0095</t>
  </si>
  <si>
    <t>14 Apc Ups</t>
  </si>
  <si>
    <t>SYL-25-0333</t>
  </si>
  <si>
    <t>SYL-25-0334</t>
  </si>
  <si>
    <t>SYL-25-0335</t>
  </si>
  <si>
    <t>SYL-25-0336</t>
  </si>
  <si>
    <t>4300099</t>
  </si>
  <si>
    <t>SYL25-0096</t>
  </si>
  <si>
    <t>4300100</t>
  </si>
  <si>
    <t>SYL25-0098</t>
  </si>
  <si>
    <t>2 imin swan 1 , 2 Falcon 2 , Imin D2</t>
  </si>
  <si>
    <t>BDO-325147</t>
  </si>
  <si>
    <t>SYL-25-0337</t>
  </si>
  <si>
    <t>4300101</t>
  </si>
  <si>
    <t>4300102</t>
  </si>
  <si>
    <t>SI 000100, CR  000104</t>
  </si>
  <si>
    <t>SYL-25-0338</t>
  </si>
  <si>
    <t>SYL-25-0339</t>
  </si>
  <si>
    <t>SYL-25-0340</t>
  </si>
  <si>
    <t>SYL-25-0341</t>
  </si>
  <si>
    <t>4300103</t>
  </si>
  <si>
    <t>4300104</t>
  </si>
  <si>
    <t>4300105</t>
  </si>
  <si>
    <t>BDO-325148</t>
  </si>
  <si>
    <t>Company Loan</t>
  </si>
  <si>
    <t>Uniform Embroidery</t>
  </si>
  <si>
    <t>SYL25-0100</t>
  </si>
  <si>
    <t>10 Kaspersky Anti Virus, 5 nvme.2, 2Viewsonic Monitor, 3 Sd Card 32gb</t>
  </si>
  <si>
    <t>Deposited July 30</t>
  </si>
  <si>
    <t>SI 2741, CR 2432</t>
  </si>
  <si>
    <t>Deposited July 18</t>
  </si>
  <si>
    <t>Deposited August 1</t>
  </si>
  <si>
    <t>SYL-25-0342</t>
  </si>
  <si>
    <t>SYL-25-0343</t>
  </si>
  <si>
    <t>SYL-25-0344</t>
  </si>
  <si>
    <t>SYL-25-0345</t>
  </si>
  <si>
    <t>SYL-25-0346</t>
  </si>
  <si>
    <t>SYL-25-0347</t>
  </si>
  <si>
    <t>SYL-25-0348</t>
  </si>
  <si>
    <t>4300106</t>
  </si>
  <si>
    <t>SYL25-0103</t>
  </si>
  <si>
    <t>5 Epson Tmu220b Usb printer</t>
  </si>
  <si>
    <t>BDO-325149</t>
  </si>
  <si>
    <t>4300107</t>
  </si>
  <si>
    <t xml:space="preserve">Petty Cash - MQ </t>
  </si>
  <si>
    <t>4300108</t>
  </si>
  <si>
    <t xml:space="preserve">Wofex Exhibit Allowance </t>
  </si>
  <si>
    <t>BDO-266723</t>
  </si>
  <si>
    <t>BDO-266724</t>
  </si>
  <si>
    <t>Partial Dividend 2024</t>
  </si>
  <si>
    <t>SYL-25-0349</t>
  </si>
  <si>
    <t>BDO-325150</t>
  </si>
  <si>
    <t>Syluxent</t>
  </si>
  <si>
    <t>4300109</t>
  </si>
  <si>
    <t>Calling Card</t>
  </si>
  <si>
    <t>SYL-25-0350</t>
  </si>
  <si>
    <t>SYL-25-0351</t>
  </si>
  <si>
    <t>SYL-25-0352</t>
  </si>
  <si>
    <t>SYL-25-0353</t>
  </si>
  <si>
    <t>SYL-25-0354</t>
  </si>
  <si>
    <t>SYL-25-0355</t>
  </si>
  <si>
    <t>SYL-25-0356</t>
  </si>
  <si>
    <t>4300110</t>
  </si>
  <si>
    <t>5 BS -011BU-2D Barcode Scanner 2D/1D</t>
  </si>
  <si>
    <t>Infosoft Consulting Corp.</t>
  </si>
  <si>
    <t>SYL25-0114</t>
  </si>
  <si>
    <t>4300111</t>
  </si>
  <si>
    <t>10 Epson tmu220d usb printer</t>
  </si>
  <si>
    <t>4300112</t>
  </si>
  <si>
    <t>4300113</t>
  </si>
  <si>
    <t>4300114</t>
  </si>
  <si>
    <t>4300115</t>
  </si>
  <si>
    <t>SYL25-0109</t>
  </si>
  <si>
    <t>10 eos 8gb, no ssd</t>
  </si>
  <si>
    <t>5 Desktop no ssd, 5 Nvme.2, 5 Windows 11 , 1 8gb ram</t>
  </si>
  <si>
    <t>SYL25-0110</t>
  </si>
  <si>
    <t>SYL25-0111</t>
  </si>
  <si>
    <t>4300116</t>
  </si>
  <si>
    <t>SYL25-0112</t>
  </si>
  <si>
    <t>5 Desktop with ssd, 5 nvme.2</t>
  </si>
  <si>
    <t>SYL-25-0357</t>
  </si>
  <si>
    <t>4300117</t>
  </si>
  <si>
    <t>SI 000104, CR 000106</t>
  </si>
  <si>
    <t>SI 000106, CR 000107</t>
  </si>
  <si>
    <t>VOID CHECK</t>
  </si>
  <si>
    <t>SYL-25-0358</t>
  </si>
  <si>
    <t>SYL-25-0359</t>
  </si>
  <si>
    <t>SYL-25-0360</t>
  </si>
  <si>
    <t>SYL-25-0361</t>
  </si>
  <si>
    <t>SYL-25-0362</t>
  </si>
  <si>
    <t>SYL-25-0363</t>
  </si>
  <si>
    <t>SYL-25-0364</t>
  </si>
  <si>
    <t>4300118</t>
  </si>
  <si>
    <t>4300119</t>
  </si>
  <si>
    <t>4300120</t>
  </si>
  <si>
    <t>4300121</t>
  </si>
  <si>
    <t>4300122</t>
  </si>
  <si>
    <t>SYL25-0128</t>
  </si>
  <si>
    <t>Postech cord &amp; adapter</t>
  </si>
  <si>
    <t>JULY 2025 billing</t>
  </si>
  <si>
    <t>Aug 17, 2025 billing</t>
  </si>
  <si>
    <t>4300123</t>
  </si>
  <si>
    <t>BDO-266725</t>
  </si>
  <si>
    <t>Hazhel Aguilar</t>
  </si>
  <si>
    <t>SYL-25-0365</t>
  </si>
  <si>
    <t>BDO-325151</t>
  </si>
  <si>
    <t>SI 2090, CR 1442</t>
  </si>
  <si>
    <t>SYL-25-0366</t>
  </si>
  <si>
    <t>SYL-25-0367</t>
  </si>
  <si>
    <t>SYL-25-0368</t>
  </si>
  <si>
    <t>SYL-25-0369</t>
  </si>
  <si>
    <t>SYL-25-0370</t>
  </si>
  <si>
    <t>SYL-25-0371</t>
  </si>
  <si>
    <t>4300124</t>
  </si>
  <si>
    <t>4300125</t>
  </si>
  <si>
    <t>4300126</t>
  </si>
  <si>
    <t>4300127</t>
  </si>
  <si>
    <t>4300128</t>
  </si>
  <si>
    <t>July 10 to Aug 09 Billing (Mai)</t>
  </si>
  <si>
    <t>July 10 to Aug 09 Billing (Ofc)</t>
  </si>
  <si>
    <t xml:space="preserve">Manila Electric Company </t>
  </si>
  <si>
    <t>Aug  12, 2025 bill date</t>
  </si>
  <si>
    <t>4300129</t>
  </si>
  <si>
    <t>4300130</t>
  </si>
  <si>
    <t>4300131</t>
  </si>
  <si>
    <t>SYL-25-0372</t>
  </si>
  <si>
    <t>SYL-25-0373</t>
  </si>
  <si>
    <t>1 epson T82X Lan Printer, 10 Apc Ups</t>
  </si>
  <si>
    <t>SYL25-0129</t>
  </si>
  <si>
    <t>SYL-25-0374</t>
  </si>
  <si>
    <t>SYL-25-0375</t>
  </si>
  <si>
    <t>BDO-325152</t>
  </si>
  <si>
    <t>BDO-325153</t>
  </si>
  <si>
    <t xml:space="preserve">Sales Software </t>
  </si>
  <si>
    <t>SYL-25-0376</t>
  </si>
  <si>
    <t>BDO-325154</t>
  </si>
  <si>
    <t>SYL-25-0377</t>
  </si>
  <si>
    <t>4300132</t>
  </si>
  <si>
    <t xml:space="preserve">1st Month Rental </t>
  </si>
  <si>
    <t>SI 10549, CR 05891</t>
  </si>
  <si>
    <t>SI 10599, CR 05892</t>
  </si>
  <si>
    <t>SI 10520, CR 05890</t>
  </si>
  <si>
    <t>SI 2774, CR 2747</t>
  </si>
  <si>
    <t>SYL-25-0378</t>
  </si>
  <si>
    <t>SYL-25-0379</t>
  </si>
  <si>
    <t>SYL-25-0380</t>
  </si>
  <si>
    <t>SYL-25-0381</t>
  </si>
  <si>
    <t>SYL-25-0382</t>
  </si>
  <si>
    <t>SYL-25-0383</t>
  </si>
  <si>
    <t>SYL-25-0384</t>
  </si>
  <si>
    <t>SYL-25-0385</t>
  </si>
  <si>
    <t>SYL-25-0386</t>
  </si>
  <si>
    <t>4300133</t>
  </si>
  <si>
    <t>4300134</t>
  </si>
  <si>
    <t>4300135</t>
  </si>
  <si>
    <t>4300136</t>
  </si>
  <si>
    <t>4300137</t>
  </si>
  <si>
    <t>4300138</t>
  </si>
  <si>
    <t>4300139</t>
  </si>
  <si>
    <t>4300140</t>
  </si>
  <si>
    <t>MBJJ Property holding &amp; development Corp.</t>
  </si>
  <si>
    <t xml:space="preserve">2nd Month Rental </t>
  </si>
  <si>
    <t xml:space="preserve">3rd Month Rental </t>
  </si>
  <si>
    <t>4th Month Rental</t>
  </si>
  <si>
    <t xml:space="preserve">5th Month Rental </t>
  </si>
  <si>
    <t xml:space="preserve">6th Month Rental </t>
  </si>
  <si>
    <t xml:space="preserve">7th Month Rental </t>
  </si>
  <si>
    <t xml:space="preserve">8th Month Rental </t>
  </si>
  <si>
    <t xml:space="preserve">9th Month Rental </t>
  </si>
  <si>
    <t xml:space="preserve">10th Month Rental </t>
  </si>
  <si>
    <t xml:space="preserve">11th Month Rental </t>
  </si>
  <si>
    <t xml:space="preserve">12th Month Rental </t>
  </si>
  <si>
    <t>SYL-25-0387</t>
  </si>
  <si>
    <t>SYL-25-0388</t>
  </si>
  <si>
    <t>SYL-25-0389</t>
  </si>
  <si>
    <t>SYL-25-0390</t>
  </si>
  <si>
    <t>SYL-25-0391</t>
  </si>
  <si>
    <t>SYL-25-0392</t>
  </si>
  <si>
    <t>SYL-25-0393</t>
  </si>
  <si>
    <t>4300141</t>
  </si>
  <si>
    <t>4300142</t>
  </si>
  <si>
    <t>4300143</t>
  </si>
  <si>
    <t>4300144</t>
  </si>
  <si>
    <t>4300145</t>
  </si>
  <si>
    <t>4300147</t>
  </si>
  <si>
    <t>Radiant Global HD Inc.</t>
  </si>
  <si>
    <t>SI 10667, CR 05711</t>
  </si>
  <si>
    <t>SI 10363, CR 05712</t>
  </si>
  <si>
    <t>SYL25-0088</t>
  </si>
  <si>
    <t>SI 37562, CR 11795</t>
  </si>
  <si>
    <t>SI 37433, CR 11794</t>
  </si>
  <si>
    <t>Deposited August 18</t>
  </si>
  <si>
    <t>SI 2025, CR 1235</t>
  </si>
  <si>
    <t>SI 2006, CR 1233</t>
  </si>
  <si>
    <t>SI 2005, CR 1232</t>
  </si>
  <si>
    <t>SI 1990, CR 1237</t>
  </si>
  <si>
    <t>SI 2011, CR  1234</t>
  </si>
  <si>
    <t>AR: 0993</t>
  </si>
  <si>
    <t xml:space="preserve">Syluxent Inc </t>
  </si>
  <si>
    <t>BDO-325155</t>
  </si>
  <si>
    <t>BDO-266726</t>
  </si>
  <si>
    <t>Ruben E. Full dividend 2024</t>
  </si>
  <si>
    <t>4300146</t>
  </si>
  <si>
    <t>SYL25-0131</t>
  </si>
  <si>
    <t>SYL-25-0394</t>
  </si>
  <si>
    <t>SI 68243, CR 36295</t>
  </si>
  <si>
    <t>SYL-25-0395</t>
  </si>
  <si>
    <t>SYL-25-0396</t>
  </si>
  <si>
    <t>SYL-25-0397</t>
  </si>
  <si>
    <t>SYL-25-0398</t>
  </si>
  <si>
    <t>SYL-25-0399</t>
  </si>
  <si>
    <t>BDO-325156</t>
  </si>
  <si>
    <t>BDO-325157</t>
  </si>
  <si>
    <t>Partial share for christmas party 2025</t>
  </si>
  <si>
    <t>4300148</t>
  </si>
  <si>
    <t xml:space="preserve">Epson TM-T82x lan printer </t>
  </si>
  <si>
    <t>4300149</t>
  </si>
  <si>
    <t>4300150</t>
  </si>
  <si>
    <t>SYL-25-0400</t>
  </si>
  <si>
    <t>4300151</t>
  </si>
  <si>
    <t>SYL-25-0401</t>
  </si>
  <si>
    <t>BDO-325158</t>
  </si>
  <si>
    <t>Deposited August 14</t>
  </si>
  <si>
    <t>SI 000102, CR 000105</t>
  </si>
  <si>
    <t>SI 10727, CR 05722</t>
  </si>
  <si>
    <t>SYL25-0134</t>
  </si>
  <si>
    <t>SYL-25-0402</t>
  </si>
  <si>
    <t>4300152</t>
  </si>
  <si>
    <t>SYL-25-0403</t>
  </si>
  <si>
    <t>SYL-25-0404</t>
  </si>
  <si>
    <t>SYL-25-0405</t>
  </si>
  <si>
    <t>SYL-25-0406</t>
  </si>
  <si>
    <t>4300153</t>
  </si>
  <si>
    <t>10 Epson Tmu220d usb printer</t>
  </si>
  <si>
    <t>4300154</t>
  </si>
  <si>
    <t>SYL25-0138</t>
  </si>
  <si>
    <t xml:space="preserve">150 thermal paper </t>
  </si>
  <si>
    <t>4300155</t>
  </si>
  <si>
    <t>SYL25-0144</t>
  </si>
  <si>
    <t>10 Windows 11 pro, 10 Keyboard and Mouse</t>
  </si>
  <si>
    <t>4300156</t>
  </si>
  <si>
    <t>SYL25-0145</t>
  </si>
  <si>
    <t>5 Epson Tmu220b usb printer</t>
  </si>
  <si>
    <t>SI 2798, CR 2513</t>
  </si>
  <si>
    <t>SYL-25-0407</t>
  </si>
  <si>
    <t>SYL-25-0408</t>
  </si>
  <si>
    <t>SYL-25-0409</t>
  </si>
  <si>
    <t>SYL-25-0410</t>
  </si>
  <si>
    <t>4300157</t>
  </si>
  <si>
    <t>4300158</t>
  </si>
  <si>
    <t>4300159</t>
  </si>
  <si>
    <t>4300160</t>
  </si>
  <si>
    <t>AUG 2025 billing</t>
  </si>
  <si>
    <t>Sunlife Insurance 2025</t>
  </si>
  <si>
    <t>SYL-25-0411</t>
  </si>
  <si>
    <t>4300161</t>
  </si>
  <si>
    <t>AUGUST 2025 billing</t>
  </si>
  <si>
    <t>SYL-25-0412</t>
  </si>
  <si>
    <t>SYL-25-0413</t>
  </si>
  <si>
    <t>SYL-25-0414</t>
  </si>
  <si>
    <t>SYL-25-0415</t>
  </si>
  <si>
    <t>SYL-25-0416</t>
  </si>
  <si>
    <t>4300162</t>
  </si>
  <si>
    <t>4300163</t>
  </si>
  <si>
    <t>4300164</t>
  </si>
  <si>
    <t>SYL25-0146</t>
  </si>
  <si>
    <t xml:space="preserve">4 Swan1 4gb + 32gb, 3 Falcon 2 </t>
  </si>
  <si>
    <t>5 New eos 8gb no Os</t>
  </si>
  <si>
    <t>SYL25-0147</t>
  </si>
  <si>
    <t xml:space="preserve">10 postech touchscreen  Monitor </t>
  </si>
  <si>
    <t>BDO-325159</t>
  </si>
  <si>
    <t>SYL25-0150</t>
  </si>
  <si>
    <t>5 Desktop i5 w/ ssd, 5 Nvme.2, 10 kaspersky anti virus , 16gb ddr4, 5 windows 11 , 6 Sd card 32gb</t>
  </si>
  <si>
    <t>SYL25-0151</t>
  </si>
  <si>
    <t>SI 6169, SI 6170, 6171, 6172, 6173, 6174, 6176  CR: 5810</t>
  </si>
  <si>
    <t>AR:0056</t>
  </si>
  <si>
    <t>SI 000109 CR: 000328</t>
  </si>
  <si>
    <t>SI 000356, CR 000327</t>
  </si>
  <si>
    <t>SYL-25-0417</t>
  </si>
  <si>
    <t>SYL-25-0418</t>
  </si>
  <si>
    <t>SYL-25-0419</t>
  </si>
  <si>
    <t>BDO-266727</t>
  </si>
  <si>
    <t xml:space="preserve">Full dividend 2024 </t>
  </si>
  <si>
    <t>4300165</t>
  </si>
  <si>
    <t>4300166</t>
  </si>
  <si>
    <t>4300167</t>
  </si>
  <si>
    <t>Sept 17, 2025 billing</t>
  </si>
  <si>
    <t>SYL-25-0420</t>
  </si>
  <si>
    <t>4300168</t>
  </si>
  <si>
    <t>SYL-25-0421</t>
  </si>
  <si>
    <t>4300169</t>
  </si>
  <si>
    <t>Cebu Support Cost</t>
  </si>
  <si>
    <t>Radiant Global HD inc</t>
  </si>
  <si>
    <t>SI 68794, CR 36570</t>
  </si>
  <si>
    <t>SYL-25-0422</t>
  </si>
  <si>
    <t>4300170</t>
  </si>
  <si>
    <t xml:space="preserve">2 Posiflex MR-21064 </t>
  </si>
  <si>
    <t>Heritage Multi - Office Product, Inc</t>
  </si>
  <si>
    <t>SI 10819, CR: 06073</t>
  </si>
  <si>
    <t>SI 10817, CR 06072</t>
  </si>
  <si>
    <t>Si 2843, CR 2527</t>
  </si>
  <si>
    <t>SI 156369, CR 23310</t>
  </si>
  <si>
    <t>SYL25-0113</t>
  </si>
  <si>
    <t>SYL-25-0423</t>
  </si>
  <si>
    <t>SYL-25-0424</t>
  </si>
  <si>
    <t>SYL-25-0425</t>
  </si>
  <si>
    <t>SYL-25-0426</t>
  </si>
  <si>
    <t>SYL-25-0427</t>
  </si>
  <si>
    <t>SYL-25-0428</t>
  </si>
  <si>
    <t>4300171</t>
  </si>
  <si>
    <t>4300172</t>
  </si>
  <si>
    <t>4300173</t>
  </si>
  <si>
    <t>4300174</t>
  </si>
  <si>
    <t>4300175</t>
  </si>
  <si>
    <t>4300176</t>
  </si>
  <si>
    <t>Sept  12, 2025 bill date</t>
  </si>
  <si>
    <t xml:space="preserve">7 Imin falcon case </t>
  </si>
  <si>
    <t>100 Barcode Sticker 40x30 CM</t>
  </si>
  <si>
    <t>SYL25-0153</t>
  </si>
  <si>
    <t>SYL25-0154</t>
  </si>
  <si>
    <t>2 Epson TM- T82X Lan printer</t>
  </si>
  <si>
    <t>SYL25-0152</t>
  </si>
  <si>
    <t>Aug 10 to Sept Billing (Mai )</t>
  </si>
  <si>
    <t>Aug 10 to Sept Billing (ofc)</t>
  </si>
  <si>
    <t>SYL-25-0429</t>
  </si>
  <si>
    <t>BDO-325160</t>
  </si>
  <si>
    <t>SYL-25-0430</t>
  </si>
  <si>
    <t>SYL-25-0431</t>
  </si>
  <si>
    <t>4300177</t>
  </si>
  <si>
    <t>BDO-325161</t>
  </si>
  <si>
    <t>Exhibit Share</t>
  </si>
  <si>
    <t>SI 2049, CR 1250</t>
  </si>
  <si>
    <t>SYL-25-0432</t>
  </si>
  <si>
    <t>BDO-325162</t>
  </si>
  <si>
    <t>SI 2048, CR 1249</t>
  </si>
  <si>
    <t>AR: 1010</t>
  </si>
  <si>
    <t>SYL-25-0433</t>
  </si>
  <si>
    <t>4300178</t>
  </si>
  <si>
    <t>Office Microwave</t>
  </si>
  <si>
    <t>SI 10939, CR 06087</t>
  </si>
  <si>
    <t>SYL-25-0434</t>
  </si>
  <si>
    <t>4300179</t>
  </si>
  <si>
    <t>7 Mini Cash Drawer</t>
  </si>
  <si>
    <t>SYL-25-0435</t>
  </si>
  <si>
    <t>SYL-25-0436</t>
  </si>
  <si>
    <t>4300180</t>
  </si>
  <si>
    <t xml:space="preserve">1 Falcon 2 </t>
  </si>
  <si>
    <t>BDO-325163</t>
  </si>
  <si>
    <t>Downpayment Syluxent Christmas party 2025</t>
  </si>
  <si>
    <t>Hobby Stadium Inc</t>
  </si>
  <si>
    <t>SYL-25-0437</t>
  </si>
  <si>
    <t>SYL-25-0438</t>
  </si>
  <si>
    <t>4300181</t>
  </si>
  <si>
    <t>4300182</t>
  </si>
  <si>
    <t>Poseidon PSD86 2D handsfree scanner</t>
  </si>
  <si>
    <t>SYL25-0159</t>
  </si>
  <si>
    <t>SYL25-0160</t>
  </si>
  <si>
    <t>5 Nvme.2 , 10 Windows 11 pro</t>
  </si>
  <si>
    <t>SYL-25-0439</t>
  </si>
  <si>
    <t>BDO-325164</t>
  </si>
  <si>
    <t>SYL-25-0440</t>
  </si>
  <si>
    <t>SYL-25-0441</t>
  </si>
  <si>
    <t>4300183</t>
  </si>
  <si>
    <t>4300184</t>
  </si>
  <si>
    <t>SI 37946 CR 11898</t>
  </si>
  <si>
    <t>SYL25-0155</t>
  </si>
  <si>
    <t>SI 37901 CR 11897</t>
  </si>
  <si>
    <t>SI 37979 CR 11899</t>
  </si>
  <si>
    <t>SYL-25-0442</t>
  </si>
  <si>
    <t>SYL-25-0443</t>
  </si>
  <si>
    <t>4300185</t>
  </si>
  <si>
    <t>4300186</t>
  </si>
  <si>
    <t>SYL-25-0444</t>
  </si>
  <si>
    <t>BDO-325165</t>
  </si>
  <si>
    <t xml:space="preserve">5 Desktop,10 Acer lcd monitor,5  nvme.2 , 5 windows 11 </t>
  </si>
  <si>
    <t>SYL25-0172</t>
  </si>
  <si>
    <t>SYL25-0156</t>
  </si>
  <si>
    <t>SI 000392, CR 000364</t>
  </si>
  <si>
    <t>SI 000423 CR 000395</t>
  </si>
  <si>
    <t>SYL-25-0445</t>
  </si>
  <si>
    <t>BDO-325166</t>
  </si>
  <si>
    <t>SYL-25-0446</t>
  </si>
  <si>
    <t>SYL-25-0447</t>
  </si>
  <si>
    <t>SYL-25-0448</t>
  </si>
  <si>
    <t>SYL-25-0449</t>
  </si>
  <si>
    <t>SYL-25-0450</t>
  </si>
  <si>
    <t>SYL-25-0451</t>
  </si>
  <si>
    <t>SYL-25-0452</t>
  </si>
  <si>
    <t>4300187</t>
  </si>
  <si>
    <t>Petty Cash -RM</t>
  </si>
  <si>
    <t>4300188</t>
  </si>
  <si>
    <t>4300189</t>
  </si>
  <si>
    <t>4300190</t>
  </si>
  <si>
    <t>4300191</t>
  </si>
  <si>
    <t>4300192</t>
  </si>
  <si>
    <t>SYL25-0173</t>
  </si>
  <si>
    <t>5 EOS MINI PC , 6 HUNTKEY POWER SUPPLY</t>
  </si>
  <si>
    <t>SYL25-0174</t>
  </si>
  <si>
    <t>5 Epson Tmu220B Usb Printer</t>
  </si>
  <si>
    <t>SYL25-0175</t>
  </si>
  <si>
    <t xml:space="preserve">TP Link (Archer AX53) AX3000 Dual band Gigabit WIFI 6 Router </t>
  </si>
  <si>
    <t>SYL25-0176</t>
  </si>
  <si>
    <t>10 Apc Ups</t>
  </si>
  <si>
    <t>BDO-266728</t>
  </si>
  <si>
    <t>SI 11112 CR 06028</t>
  </si>
  <si>
    <t>SI 11111 CR 06027</t>
  </si>
  <si>
    <t>SYL-25-0453</t>
  </si>
  <si>
    <t>4300193</t>
  </si>
  <si>
    <t xml:space="preserve">Petty Cash -MQ </t>
  </si>
  <si>
    <t>AR: 2766</t>
  </si>
  <si>
    <t>SI 6200 - SI 6222</t>
  </si>
  <si>
    <t>SYL-25-0454</t>
  </si>
  <si>
    <t>4300194</t>
  </si>
  <si>
    <t xml:space="preserve">Sept 2025 Billing </t>
  </si>
  <si>
    <t>SYL-25-0455</t>
  </si>
  <si>
    <t>4300196</t>
  </si>
  <si>
    <t>SYL25-0182</t>
  </si>
  <si>
    <t>Svl 0062, AR 0112</t>
  </si>
  <si>
    <t>invoice: 0825-16, AR 0089</t>
  </si>
  <si>
    <t>Svl 0113, AR 0114</t>
  </si>
  <si>
    <t>SI 20342, CR 13621</t>
  </si>
  <si>
    <t>SYL-25-0456</t>
  </si>
  <si>
    <t>SYL-25-0457</t>
  </si>
  <si>
    <t>SYL-25-0458</t>
  </si>
  <si>
    <t>SYL-25-0459</t>
  </si>
  <si>
    <t>SYL-25-0460</t>
  </si>
  <si>
    <t>SYL-25-0461</t>
  </si>
  <si>
    <t>SYL-25-0462</t>
  </si>
  <si>
    <t>SYL-25-0463</t>
  </si>
  <si>
    <t>SYL-25-0464</t>
  </si>
  <si>
    <t>SYL-25-0465</t>
  </si>
  <si>
    <t>SYL-25-0466</t>
  </si>
  <si>
    <t>SYL-25-0467</t>
  </si>
  <si>
    <t>SYL-25-0468</t>
  </si>
  <si>
    <t>SYL-25-0469</t>
  </si>
  <si>
    <t>4300197</t>
  </si>
  <si>
    <t>4300198</t>
  </si>
  <si>
    <t>4300199</t>
  </si>
  <si>
    <t>4300200</t>
  </si>
  <si>
    <t>4300201</t>
  </si>
  <si>
    <t>4300202</t>
  </si>
  <si>
    <t>4300203</t>
  </si>
  <si>
    <t>4300204</t>
  </si>
  <si>
    <t>Oct 17, 2025 billing</t>
  </si>
  <si>
    <t>SEPTEMBER 2025 billing</t>
  </si>
  <si>
    <t>Sept 10 to Oct 9 Billing (Mai )</t>
  </si>
  <si>
    <t>Sept 10 to Oct 9 Billing (Ofc )</t>
  </si>
  <si>
    <t>10 printer head and 50 printer cable</t>
  </si>
  <si>
    <t>10 kaspersky Anti Virus, 10 Windows 11 pro</t>
  </si>
  <si>
    <t>4300205</t>
  </si>
  <si>
    <t>4300208</t>
  </si>
  <si>
    <t>4300209</t>
  </si>
  <si>
    <t>4300210</t>
  </si>
  <si>
    <t>SYL25-0187</t>
  </si>
  <si>
    <t>SYL25-0183</t>
  </si>
  <si>
    <t>SYL25-0184</t>
  </si>
  <si>
    <t>BDO-325167</t>
  </si>
  <si>
    <t>BDO-325168</t>
  </si>
  <si>
    <t>Software Sales - Android</t>
  </si>
  <si>
    <t>BDO-325169</t>
  </si>
  <si>
    <t>SYL-25-0470</t>
  </si>
  <si>
    <t xml:space="preserve">500 Journal paper 1 ply, 100 thermal paper </t>
  </si>
  <si>
    <t>SYL-25-0471</t>
  </si>
  <si>
    <t>BDO-325170</t>
  </si>
  <si>
    <t>Christmas Corporate Give Aways</t>
  </si>
  <si>
    <t>Young E.I.S Printing Corporation</t>
  </si>
  <si>
    <t>SI 000425, CR 000427</t>
  </si>
  <si>
    <t>SI 000450, CR 000428</t>
  </si>
  <si>
    <t>SYL-25-0472</t>
  </si>
  <si>
    <t>SYL-25-0473</t>
  </si>
  <si>
    <t>SYL-25-0474</t>
  </si>
  <si>
    <t>SYL-25-0475</t>
  </si>
  <si>
    <t>SYL-25-0476</t>
  </si>
  <si>
    <t>SYL-25-0477</t>
  </si>
  <si>
    <t>SYL-25-0478</t>
  </si>
  <si>
    <t>SYL-25-0479</t>
  </si>
  <si>
    <t>SYL-25-0480</t>
  </si>
  <si>
    <t>SYL-25-0481</t>
  </si>
  <si>
    <t>SYL-25-0482</t>
  </si>
  <si>
    <t>SYL-25-0483</t>
  </si>
  <si>
    <t>4300211</t>
  </si>
  <si>
    <t>4300212</t>
  </si>
  <si>
    <t>4300213</t>
  </si>
  <si>
    <t>4300214</t>
  </si>
  <si>
    <t>4300216</t>
  </si>
  <si>
    <t xml:space="preserve">Wrong Deposit </t>
  </si>
  <si>
    <t>4300217</t>
  </si>
  <si>
    <t>Oct  11, 2025 bill date</t>
  </si>
  <si>
    <t>Acer Lcd Monitor 25'5 inch</t>
  </si>
  <si>
    <t>10 Keyboard and Mouse</t>
  </si>
  <si>
    <t>SI 69463, CR 36668</t>
  </si>
  <si>
    <t>SYL25-0188</t>
  </si>
  <si>
    <t>SI 000460, CR 000431</t>
  </si>
  <si>
    <t>SYL25-0189</t>
  </si>
  <si>
    <t>SI 000462, CR 000430</t>
  </si>
  <si>
    <t>SYL25-0190</t>
  </si>
  <si>
    <t xml:space="preserve">For baguio expense </t>
  </si>
  <si>
    <t>4300218</t>
  </si>
  <si>
    <t>4300219</t>
  </si>
  <si>
    <t>4300220</t>
  </si>
  <si>
    <t>4300221</t>
  </si>
  <si>
    <t>4 Epson Tmu220B Lan</t>
  </si>
  <si>
    <t>SYL25-0191</t>
  </si>
  <si>
    <t>10 Mini Cash Drawer, 10 Cash Drawer</t>
  </si>
  <si>
    <t>SYL25-0192</t>
  </si>
  <si>
    <t>SYL25-0194</t>
  </si>
  <si>
    <t xml:space="preserve">3 BS -011BU - 2D barcode scanner </t>
  </si>
  <si>
    <t>Kassa Technologies Inc .</t>
  </si>
  <si>
    <t>681-528-437-00000</t>
  </si>
  <si>
    <t>SYL25-0193</t>
  </si>
  <si>
    <t>BDO-325171</t>
  </si>
  <si>
    <t xml:space="preserve">5 Desktop  w/ ssd , 5 nvme.2 </t>
  </si>
  <si>
    <t>BDO-325172</t>
  </si>
  <si>
    <t>SI 69539, CR 36938</t>
  </si>
  <si>
    <t>SYL-25-0484</t>
  </si>
  <si>
    <t>SYL-25-0485</t>
  </si>
  <si>
    <t>SYL-25-0486</t>
  </si>
  <si>
    <t>SYL-25-0487</t>
  </si>
  <si>
    <t>SYL-25-0488</t>
  </si>
  <si>
    <t>SYL-25-0489</t>
  </si>
  <si>
    <t>4300222</t>
  </si>
  <si>
    <t>SYL25-0196</t>
  </si>
  <si>
    <t xml:space="preserve">2 Epson tmu220IIA, 2 Epson tmu220IID lan </t>
  </si>
  <si>
    <t>4300224</t>
  </si>
  <si>
    <t>4300225</t>
  </si>
  <si>
    <t>4300226</t>
  </si>
  <si>
    <t>4300227</t>
  </si>
  <si>
    <t>4300228</t>
  </si>
  <si>
    <t>4300229</t>
  </si>
  <si>
    <t>SYL25-0197</t>
  </si>
  <si>
    <t>3 Eos H7 i5 8gb only</t>
  </si>
  <si>
    <t>SYL25-0198</t>
  </si>
  <si>
    <t>SI 2110, CR 1272</t>
  </si>
  <si>
    <t>SI 2060 CR 1269</t>
  </si>
  <si>
    <t>SI 2077, CR  1271</t>
  </si>
  <si>
    <t>SI 2111    CR 1270</t>
  </si>
  <si>
    <t>SI 117, CR 027</t>
  </si>
  <si>
    <t>4 Switchhub 8port</t>
  </si>
  <si>
    <t>SYL25-0200</t>
  </si>
  <si>
    <t>SYL-25-0490</t>
  </si>
  <si>
    <t>SYL-25-0491</t>
  </si>
  <si>
    <t>SYL-25-0492</t>
  </si>
  <si>
    <t>SYL-25-0493</t>
  </si>
  <si>
    <t>SYL-25-0494</t>
  </si>
  <si>
    <t>SYL-25-0495</t>
  </si>
  <si>
    <t>SYL-25-0496</t>
  </si>
  <si>
    <t>SYL-25-0497</t>
  </si>
  <si>
    <t>SYL-25-0498</t>
  </si>
  <si>
    <t>SYL-25-0499</t>
  </si>
  <si>
    <t>SYL-25-0500</t>
  </si>
  <si>
    <t>SYL25-0201</t>
  </si>
  <si>
    <t>3 2D Zebra 2208 Barcode Scanner</t>
  </si>
  <si>
    <t>4300230</t>
  </si>
  <si>
    <t>4300231</t>
  </si>
  <si>
    <t>4300232</t>
  </si>
  <si>
    <t>4300234</t>
  </si>
  <si>
    <t>BDO-325173</t>
  </si>
  <si>
    <t>Programming Fee- Video for Ayala</t>
  </si>
  <si>
    <t xml:space="preserve">Jason Viray Pineda </t>
  </si>
  <si>
    <t>4300233</t>
  </si>
  <si>
    <t>BDO-325174</t>
  </si>
  <si>
    <t>Company loan</t>
  </si>
  <si>
    <t>BDO-325175</t>
  </si>
  <si>
    <t xml:space="preserve">Christmas Corporate give aways -full payment </t>
  </si>
  <si>
    <t>SYL25-0204</t>
  </si>
  <si>
    <t>Epson Tm-t82x usb printer</t>
  </si>
  <si>
    <t>4300235</t>
  </si>
  <si>
    <t>SYL25-0199</t>
  </si>
  <si>
    <t>SI 2961, CR 2641</t>
  </si>
  <si>
    <t>4300236</t>
  </si>
  <si>
    <t>Hardware Sticker</t>
  </si>
  <si>
    <t>SYL-25-0501</t>
  </si>
  <si>
    <t>SYL-25-0502</t>
  </si>
  <si>
    <t>SYL-25-0503</t>
  </si>
  <si>
    <t>4300239</t>
  </si>
  <si>
    <t>4300240</t>
  </si>
  <si>
    <t>BDO-325176</t>
  </si>
  <si>
    <t>BDO-325177</t>
  </si>
  <si>
    <t>Christmas Expenses Budget</t>
  </si>
  <si>
    <t>SI 11350, CR 06331</t>
  </si>
  <si>
    <t>SI 11336, CR 06333</t>
  </si>
  <si>
    <t>SI 11384, CR 10177</t>
  </si>
  <si>
    <t>SI 11327, CR 06334</t>
  </si>
  <si>
    <t>SI 000494, CR 000507</t>
  </si>
  <si>
    <t>SYL-25-0504</t>
  </si>
  <si>
    <t>SYL-25-0505</t>
  </si>
  <si>
    <t>SYL-25-0506</t>
  </si>
  <si>
    <t>SYL-25-0507</t>
  </si>
  <si>
    <t>SI 000539, SI 000543, CR 000508</t>
  </si>
  <si>
    <t>SYL25-0212</t>
  </si>
  <si>
    <t>Kaspersky anti virus, keyboard and mouse, acer lcd monitor, adata ssd , simorchip 512gb sata, teamgroup 256gb</t>
  </si>
  <si>
    <t>SYL-25-0508</t>
  </si>
  <si>
    <t>4300237</t>
  </si>
  <si>
    <t xml:space="preserve">Loa Processing </t>
  </si>
  <si>
    <t>4300238</t>
  </si>
  <si>
    <t>4300241</t>
  </si>
  <si>
    <t>4300243</t>
  </si>
  <si>
    <t>10 Apc ups, B- Usb</t>
  </si>
  <si>
    <t>SYL25-0213</t>
  </si>
  <si>
    <t>SI 11435, CR 06149</t>
  </si>
  <si>
    <t>SI 69795, CR 36894</t>
  </si>
  <si>
    <t>SYL25-0214</t>
  </si>
  <si>
    <t>2Box journal paper 2 ply, 1 box journal paper 3ply</t>
  </si>
  <si>
    <t>BDO-325178</t>
  </si>
  <si>
    <t>SYL-25-0509</t>
  </si>
  <si>
    <t>SYL-25-0510</t>
  </si>
  <si>
    <t>SYL-25-0511</t>
  </si>
  <si>
    <t>SYL-25-0512</t>
  </si>
  <si>
    <t>SYL-25-0513</t>
  </si>
  <si>
    <t>SYL-25-0514</t>
  </si>
  <si>
    <t>SYL-25-0515</t>
  </si>
  <si>
    <t>4300246</t>
  </si>
  <si>
    <t>4300247</t>
  </si>
  <si>
    <t>4300248</t>
  </si>
  <si>
    <t>4300249</t>
  </si>
  <si>
    <t>BDO-325179</t>
  </si>
  <si>
    <t>4300242</t>
  </si>
  <si>
    <t>10 Cash Drawer</t>
  </si>
  <si>
    <t>SYL25-0211</t>
  </si>
  <si>
    <t>4300245</t>
  </si>
  <si>
    <t>4300244</t>
  </si>
  <si>
    <t>October 2025 billing</t>
  </si>
  <si>
    <t xml:space="preserve">Oct 2025 Billing </t>
  </si>
  <si>
    <t>SYL-25-0516</t>
  </si>
  <si>
    <t>SYL-25-0517</t>
  </si>
  <si>
    <t>SYL-25-0518</t>
  </si>
  <si>
    <t>SYL-25-0519</t>
  </si>
  <si>
    <t>4300250</t>
  </si>
  <si>
    <t>Oct 10 to Nov 09 Billing (Mai)</t>
  </si>
  <si>
    <t>Globe Telecom, inc</t>
  </si>
  <si>
    <t>Oct 10 to Nov 09 Billing (Ofc)</t>
  </si>
  <si>
    <t>BDO-325180</t>
  </si>
  <si>
    <t>3 Thinkcentre M70's Gen 5 12U80012PC</t>
  </si>
  <si>
    <t>SYL25-0216</t>
  </si>
  <si>
    <t>SYL-25-0520</t>
  </si>
  <si>
    <t>4300251</t>
  </si>
  <si>
    <t>Airbnb Share</t>
  </si>
  <si>
    <t xml:space="preserve">Aquarius pos Solutions Inc </t>
  </si>
  <si>
    <t>SI 6264, CR 5847</t>
  </si>
  <si>
    <t>SI 6249- SI 6263 CR 5848</t>
  </si>
  <si>
    <t>SYL-25-0521</t>
  </si>
  <si>
    <t>SYL-25-0522</t>
  </si>
  <si>
    <t>SYL-25-0523</t>
  </si>
  <si>
    <t>SYL-25-0524</t>
  </si>
  <si>
    <t>SYL-25-0525</t>
  </si>
  <si>
    <t>SYL-25-0526</t>
  </si>
  <si>
    <t>4300252</t>
  </si>
  <si>
    <t>4300253</t>
  </si>
  <si>
    <t>4300254</t>
  </si>
  <si>
    <t>4300255</t>
  </si>
  <si>
    <t xml:space="preserve">Davao Allowance </t>
  </si>
  <si>
    <t>Nov 11, 2025 bill date</t>
  </si>
  <si>
    <t>Nov 17, 2025 billing</t>
  </si>
  <si>
    <t>BDO-325181</t>
  </si>
  <si>
    <t>SI 000555, CR 000529</t>
  </si>
  <si>
    <t>SYL-25-0527</t>
  </si>
  <si>
    <t>SYL-25-0528</t>
  </si>
  <si>
    <t>SYL-25-0529</t>
  </si>
  <si>
    <t>SYL-25-0530</t>
  </si>
  <si>
    <t>SYL-25-0531</t>
  </si>
  <si>
    <t>SYL-25-0532</t>
  </si>
  <si>
    <t>SYL-25-0533</t>
  </si>
  <si>
    <t>SYL-25-0534</t>
  </si>
  <si>
    <t>4300258</t>
  </si>
  <si>
    <t>4300259</t>
  </si>
  <si>
    <t>5 Pcs Windows 11 pro</t>
  </si>
  <si>
    <t>4300260</t>
  </si>
  <si>
    <t>BDO-325182</t>
  </si>
  <si>
    <t>4300261</t>
  </si>
  <si>
    <t>SI 38299, CR 12095</t>
  </si>
  <si>
    <t>SI 38188, CR 12094</t>
  </si>
  <si>
    <t>SI 38228, CR 12093</t>
  </si>
  <si>
    <t>BDO-325183</t>
  </si>
  <si>
    <t>SYL-25-0535</t>
  </si>
  <si>
    <t>SYL-25-0536</t>
  </si>
  <si>
    <t>SYL-25-0537</t>
  </si>
  <si>
    <t>SYL-25-0538</t>
  </si>
  <si>
    <t>SYL-25-0539</t>
  </si>
  <si>
    <t>Syluxent  Inc</t>
  </si>
  <si>
    <t>4300262</t>
  </si>
  <si>
    <t>4300263</t>
  </si>
  <si>
    <t>SYL25-0219</t>
  </si>
  <si>
    <t xml:space="preserve">5 Customer display, 5 Zebra 2D Scanner </t>
  </si>
  <si>
    <t>BDO-266729</t>
  </si>
  <si>
    <t>Fund Transfer to CBC (Loan )</t>
  </si>
  <si>
    <t>4300264</t>
  </si>
  <si>
    <t>4300265</t>
  </si>
  <si>
    <t>4300266</t>
  </si>
  <si>
    <t>4300267</t>
  </si>
  <si>
    <t>Full Christmas party Share</t>
  </si>
  <si>
    <t>Sun life of Canada (Philippines) Inc</t>
  </si>
  <si>
    <t>SYL-25-0540</t>
  </si>
  <si>
    <t>SYL-25-0541</t>
  </si>
  <si>
    <t>SYL-25-0542</t>
  </si>
  <si>
    <t>Fund Transfer to CBC</t>
  </si>
  <si>
    <t>BDO-325184</t>
  </si>
  <si>
    <t>SI  6300- 6311, 6313-6315, CR 5723</t>
  </si>
  <si>
    <t>Fund Transfer to BDO</t>
  </si>
  <si>
    <t>4300268</t>
  </si>
  <si>
    <t>BDO-266730</t>
  </si>
  <si>
    <t>Deposited December 01</t>
  </si>
  <si>
    <t>SI 000477, CR 000443</t>
  </si>
  <si>
    <t>SI 11160, CR 06279</t>
  </si>
  <si>
    <t>SYL-25-0543</t>
  </si>
  <si>
    <t>4300269</t>
  </si>
  <si>
    <t xml:space="preserve">10 Epson Tmu220d Usb printer </t>
  </si>
  <si>
    <t>PC063</t>
  </si>
  <si>
    <t>SI 2108, CR 1291</t>
  </si>
  <si>
    <t>SI 000571, CR 000571</t>
  </si>
  <si>
    <t>SYL25-0218</t>
  </si>
  <si>
    <t>Sunlife Group Insurance 2024- renewal</t>
  </si>
  <si>
    <t>SYL-25-0544</t>
  </si>
  <si>
    <t>BDO-325185</t>
  </si>
  <si>
    <t>4300257</t>
  </si>
  <si>
    <t>SYL-25-0545</t>
  </si>
  <si>
    <t>SYL-25-0546</t>
  </si>
  <si>
    <t>4300270</t>
  </si>
  <si>
    <t>4300271</t>
  </si>
  <si>
    <t>Dec 17, 2025 billing</t>
  </si>
  <si>
    <t>SYL-25-0547</t>
  </si>
  <si>
    <t>SYL-25-0548</t>
  </si>
  <si>
    <t>SYL-25-0549</t>
  </si>
  <si>
    <t>SYL-25-0550</t>
  </si>
  <si>
    <t>SYL-25-0551</t>
  </si>
  <si>
    <t>SYL-25-0552</t>
  </si>
  <si>
    <t>SYL-25-0553</t>
  </si>
  <si>
    <t>SYL-25-0554</t>
  </si>
  <si>
    <t>SYL-25-0555</t>
  </si>
  <si>
    <t>SYL-25-0556</t>
  </si>
  <si>
    <t>SYL-25-0557</t>
  </si>
  <si>
    <t>SYL-25-0558</t>
  </si>
  <si>
    <t>SYL-25-0559</t>
  </si>
  <si>
    <t>SYL-25-0560</t>
  </si>
  <si>
    <t>SYL-25-0561</t>
  </si>
  <si>
    <t>4300272</t>
  </si>
  <si>
    <t>4300273</t>
  </si>
  <si>
    <t>4300274</t>
  </si>
  <si>
    <t>4300275</t>
  </si>
  <si>
    <t>4300276</t>
  </si>
  <si>
    <t>4300277</t>
  </si>
  <si>
    <t>June to Sept 2025 Book keeping Fee</t>
  </si>
  <si>
    <t xml:space="preserve">Nov 2025 Billing </t>
  </si>
  <si>
    <t xml:space="preserve">Sunfish HRA Consulting, Inc </t>
  </si>
  <si>
    <t xml:space="preserve">Refferal Fee </t>
  </si>
  <si>
    <t>SYL25-0222</t>
  </si>
  <si>
    <t xml:space="preserve">2 Imin Swan 1 </t>
  </si>
  <si>
    <t>SYL25-0225</t>
  </si>
  <si>
    <t>1 Godex Barcode Printer</t>
  </si>
  <si>
    <t>4300278</t>
  </si>
  <si>
    <t>4300279</t>
  </si>
  <si>
    <t>SI 11641, CR 06653</t>
  </si>
  <si>
    <t>BDO-325186</t>
  </si>
  <si>
    <t>4300280</t>
  </si>
  <si>
    <t>4300281</t>
  </si>
  <si>
    <t>4300282</t>
  </si>
  <si>
    <t>4300283</t>
  </si>
  <si>
    <t>4300284</t>
  </si>
  <si>
    <t>4300285</t>
  </si>
  <si>
    <t>Programmer fee</t>
  </si>
  <si>
    <t>Nov 10 to Dec 09 Billing (Mai)</t>
  </si>
  <si>
    <t>Nov 10 to Dec 09 Billing (Ofc)</t>
  </si>
  <si>
    <t>November 2025 billing</t>
  </si>
  <si>
    <t xml:space="preserve">VOID CHECK </t>
  </si>
  <si>
    <t>SI 38439, CR 12191</t>
  </si>
  <si>
    <t>SYL-25-0562</t>
  </si>
  <si>
    <t>SYL-25-0563</t>
  </si>
  <si>
    <t>SYL-25-0564</t>
  </si>
  <si>
    <t>SYL-25-0565</t>
  </si>
  <si>
    <t>SYL-25-0566</t>
  </si>
  <si>
    <t>SYL-25-0567</t>
  </si>
  <si>
    <t>4300286</t>
  </si>
  <si>
    <t>4300287</t>
  </si>
  <si>
    <t>4300288</t>
  </si>
  <si>
    <t>4300289</t>
  </si>
  <si>
    <t>4300290</t>
  </si>
  <si>
    <t>4300291</t>
  </si>
  <si>
    <t>SYL25-0195</t>
  </si>
  <si>
    <t>SYL25-0226</t>
  </si>
  <si>
    <t>Poseidon PSD86 2D handsfree Scanner</t>
  </si>
  <si>
    <t>SYL25-0227</t>
  </si>
  <si>
    <t xml:space="preserve">5 Adata SSD 512gb sata, 2 micro sd card 32gb </t>
  </si>
  <si>
    <t>SYL25-0228</t>
  </si>
  <si>
    <t>2 Epson Tm-t82x lan printer</t>
  </si>
  <si>
    <t>Svl 0132, AR: 0138</t>
  </si>
  <si>
    <t>Svl 0118, AR: 0127</t>
  </si>
  <si>
    <t>Dec 11, 2025 bill date</t>
  </si>
  <si>
    <t>SYL-25-0568</t>
  </si>
  <si>
    <t>SYL-25-0569</t>
  </si>
  <si>
    <t>SYL-25-0570</t>
  </si>
  <si>
    <t>4300292</t>
  </si>
  <si>
    <t>4300293</t>
  </si>
  <si>
    <t>4300294</t>
  </si>
  <si>
    <t>1 Box journal paper 2 ply</t>
  </si>
  <si>
    <t>SYL25-0230</t>
  </si>
  <si>
    <t>SYL25-0229</t>
  </si>
  <si>
    <t>3 Falcon 2 and 3 Falcon case</t>
  </si>
  <si>
    <t xml:space="preserve">Syluxent Christmas Party </t>
  </si>
  <si>
    <t>PC066</t>
  </si>
  <si>
    <t>PC067</t>
  </si>
  <si>
    <t>SYL-25-0571</t>
  </si>
  <si>
    <t>4300295</t>
  </si>
  <si>
    <t>Additional payment for christmas party host</t>
  </si>
  <si>
    <t>SYL-25-0572</t>
  </si>
  <si>
    <t>4300297</t>
  </si>
  <si>
    <t>SYL-25-0573</t>
  </si>
  <si>
    <t>4300298</t>
  </si>
  <si>
    <t>15 Postech touchscreen monitor</t>
  </si>
  <si>
    <t>SYL25-0231</t>
  </si>
  <si>
    <t>Deposited December 26</t>
  </si>
  <si>
    <t>Deposited December 23</t>
  </si>
  <si>
    <t>SYL-25-0574</t>
  </si>
  <si>
    <t>4300299</t>
  </si>
  <si>
    <t xml:space="preserve">Sunlife Insurance </t>
  </si>
  <si>
    <t>SYL-25-0575</t>
  </si>
  <si>
    <t>SYL-25-0576</t>
  </si>
  <si>
    <t>4300300</t>
  </si>
  <si>
    <t>4300301</t>
  </si>
  <si>
    <t>SYL-25-0577</t>
  </si>
  <si>
    <t>BDO-266731</t>
  </si>
  <si>
    <t>For the Year ended December 31, 2026</t>
  </si>
  <si>
    <t>SYL26-0001</t>
  </si>
  <si>
    <t>SYL26-0002</t>
  </si>
  <si>
    <t>SYL26-0003</t>
  </si>
  <si>
    <t>SYL26-0004</t>
  </si>
  <si>
    <t>SYL26-0005</t>
  </si>
  <si>
    <t>SYL26-0006</t>
  </si>
  <si>
    <t>SYL26-0007</t>
  </si>
  <si>
    <t>SYL26-0008</t>
  </si>
  <si>
    <t>SYL26-0009</t>
  </si>
  <si>
    <t>4300302</t>
  </si>
  <si>
    <t>4300303</t>
  </si>
  <si>
    <t>Support Service incentive 4th Qtr 2025</t>
  </si>
  <si>
    <t>4300304</t>
  </si>
  <si>
    <t>Dec 2025 Billing</t>
  </si>
  <si>
    <t>Smart Communication, Inc</t>
  </si>
  <si>
    <t>4300305</t>
  </si>
  <si>
    <t>4300306</t>
  </si>
  <si>
    <t>2 T82X Lan printer, 3 Epson Tmu220IIB Lan Printer, 10 Apc Ups</t>
  </si>
  <si>
    <t>4300307</t>
  </si>
  <si>
    <t>5 Beelink EQ112-D4 Mini Pc</t>
  </si>
  <si>
    <t>Dreampos Solutions Inc</t>
  </si>
  <si>
    <t>BDO-325187</t>
  </si>
  <si>
    <t>5 Adata SSD, 7 Desktop i5 , 10 Windows 11 pro, 10 keyboard and mouse</t>
  </si>
  <si>
    <t>BDO-325188</t>
  </si>
  <si>
    <t>BDO-325189</t>
  </si>
  <si>
    <t>009-334-230-000</t>
  </si>
  <si>
    <t>Fund Transfer to BDO 3 (13th Month Fund)</t>
  </si>
  <si>
    <t>SYL26-0010</t>
  </si>
  <si>
    <t>SYL26-0011</t>
  </si>
  <si>
    <t>SYL26-0012</t>
  </si>
  <si>
    <t>SYL26-0013</t>
  </si>
  <si>
    <t>SYL26-0014</t>
  </si>
  <si>
    <t>SYL26-0015</t>
  </si>
  <si>
    <t>SYL26-0016</t>
  </si>
  <si>
    <t>SYL26-0017</t>
  </si>
  <si>
    <t>4300308</t>
  </si>
  <si>
    <t>4300309</t>
  </si>
  <si>
    <t>4300310</t>
  </si>
  <si>
    <t>4300311</t>
  </si>
  <si>
    <t>4300312</t>
  </si>
  <si>
    <t>4300313</t>
  </si>
  <si>
    <t>4300314</t>
  </si>
  <si>
    <t>4300315</t>
  </si>
  <si>
    <t>7 Postech Touchscreen Monitor</t>
  </si>
  <si>
    <t>10 Cash Drawer, 5 Mini Cash Drawer</t>
  </si>
  <si>
    <t>8GB ram ddr4</t>
  </si>
  <si>
    <t>Jan 17, 2026 billing</t>
  </si>
  <si>
    <t>SYL26-0018</t>
  </si>
  <si>
    <t>SYL26-0019</t>
  </si>
  <si>
    <t>SYL26-0020</t>
  </si>
  <si>
    <t>SYL26-0021</t>
  </si>
  <si>
    <t>SYL26-0022</t>
  </si>
  <si>
    <t>SYL26-0023</t>
  </si>
  <si>
    <t>SYL26-0024</t>
  </si>
  <si>
    <t>SYL26-0025</t>
  </si>
  <si>
    <t>SYL26-0026</t>
  </si>
  <si>
    <t>4300316</t>
  </si>
  <si>
    <t>4300317</t>
  </si>
  <si>
    <t>4300318</t>
  </si>
  <si>
    <t>4300319</t>
  </si>
  <si>
    <t>4300320</t>
  </si>
  <si>
    <t>4300321</t>
  </si>
  <si>
    <t>4300322</t>
  </si>
  <si>
    <t>4300323</t>
  </si>
  <si>
    <t>4300324</t>
  </si>
  <si>
    <t xml:space="preserve">Jan 10 2026 Billing </t>
  </si>
  <si>
    <t>Sales Software Dec 2025</t>
  </si>
  <si>
    <t>6 Box Journal paper, 4 Thermal paper</t>
  </si>
  <si>
    <t>Epson Tmu22IID Lan Printer</t>
  </si>
  <si>
    <t>Dec 10 to Jan 09 Billing (Mai)</t>
  </si>
  <si>
    <t>Dec 10 to Jan 09 Billing (Ofc)</t>
  </si>
  <si>
    <t>SYL26-0027</t>
  </si>
  <si>
    <t>4300325</t>
  </si>
  <si>
    <t>Renewal/fire Safety / Notary</t>
  </si>
  <si>
    <t>4300326</t>
  </si>
  <si>
    <t>SYL26-0028</t>
  </si>
  <si>
    <t>SYL26-0029</t>
  </si>
  <si>
    <t>Downpayment Audit Services 2025</t>
  </si>
  <si>
    <t>BDO-325190</t>
  </si>
  <si>
    <t>SI 3079, CR 2772</t>
  </si>
  <si>
    <t>SI 000678, CR 000655</t>
  </si>
  <si>
    <t>SI 11986, CR 06764</t>
  </si>
  <si>
    <t>SI 11872,  CR 06763</t>
  </si>
  <si>
    <t>SI 11791, CR 06762</t>
  </si>
  <si>
    <t>SI 11800, CR 06761</t>
  </si>
  <si>
    <t>SI 12022, CR 06765</t>
  </si>
  <si>
    <t>SI 70947, CR 37762</t>
  </si>
  <si>
    <t>SI 38633, CR 12291</t>
  </si>
  <si>
    <t>SI 38594, CR 12290</t>
  </si>
  <si>
    <t>SI 38767, CR 12289</t>
  </si>
  <si>
    <t>SYL26-0030</t>
  </si>
  <si>
    <t>SYL26-0031</t>
  </si>
  <si>
    <t>4300327</t>
  </si>
  <si>
    <t>4300328</t>
  </si>
  <si>
    <t>SYL26-0032</t>
  </si>
  <si>
    <t>4300329</t>
  </si>
  <si>
    <t>10 Eos Mini pc i5- Downpayment</t>
  </si>
  <si>
    <t>Shipping Fee for PO SYL26-0009</t>
  </si>
  <si>
    <t>SYL26-0033</t>
  </si>
  <si>
    <t>SYL26-0034</t>
  </si>
  <si>
    <t>4300331</t>
  </si>
  <si>
    <t>4300332</t>
  </si>
  <si>
    <t>4 Epson Tmu220IID lan Printer</t>
  </si>
  <si>
    <t>ARHTI-2026-0102</t>
  </si>
  <si>
    <t>CR: 1309</t>
  </si>
  <si>
    <t>SI 2172 CR 1308</t>
  </si>
  <si>
    <t>SI 2182, CR 1307</t>
  </si>
  <si>
    <t>SI 2198, CR 1306</t>
  </si>
  <si>
    <t>SYL26-0035</t>
  </si>
  <si>
    <t>SYL26-0036</t>
  </si>
  <si>
    <t>SYL26-0037</t>
  </si>
  <si>
    <t>SYL26-0038</t>
  </si>
  <si>
    <t>SYL26-0039</t>
  </si>
  <si>
    <t>4300335</t>
  </si>
  <si>
    <t>4300336</t>
  </si>
  <si>
    <t xml:space="preserve">BPI Checkbook Payment </t>
  </si>
  <si>
    <t>4300337</t>
  </si>
  <si>
    <t>HPRT TP80K Thermal Usb printer</t>
  </si>
  <si>
    <t>Zylica Technologies Inc.</t>
  </si>
  <si>
    <t>4300338</t>
  </si>
  <si>
    <t>10 Windows 11 pro, 5 Switch Hub 8 port , 2 8gb DDR3 1600MHZ</t>
  </si>
  <si>
    <t>4300339</t>
  </si>
  <si>
    <t>4 Mini Cash Drawer</t>
  </si>
  <si>
    <t>SYL26-0040</t>
  </si>
  <si>
    <t>SYL26-0041</t>
  </si>
  <si>
    <t>SYL26-0042</t>
  </si>
  <si>
    <t>4300340</t>
  </si>
  <si>
    <t>5 Epson Tmu220d Usb printer</t>
  </si>
  <si>
    <t>4300341</t>
  </si>
  <si>
    <t>SYL25-0099</t>
  </si>
  <si>
    <t>SYL26-0043</t>
  </si>
  <si>
    <t>SYL26-0044</t>
  </si>
  <si>
    <t>SYL26-0045</t>
  </si>
  <si>
    <t>4300342</t>
  </si>
  <si>
    <t>4300343</t>
  </si>
  <si>
    <t xml:space="preserve">Fund Transfer to BPI </t>
  </si>
  <si>
    <t>BDO-325191</t>
  </si>
  <si>
    <t>BDO-325192</t>
  </si>
  <si>
    <t>SI 12115, CR 06676</t>
  </si>
  <si>
    <t>SI 12114 CR 06677</t>
  </si>
  <si>
    <t>SI 3458, CR 3404</t>
  </si>
  <si>
    <t>Svl 0145, CR 0140</t>
  </si>
  <si>
    <t>SYL26-0046</t>
  </si>
  <si>
    <t>SYL26-0047</t>
  </si>
  <si>
    <t>BDO-325193</t>
  </si>
  <si>
    <t>BDO-266732</t>
  </si>
  <si>
    <t>SI 000734, CR 000720</t>
  </si>
  <si>
    <t>Si 12071, CR 06835</t>
  </si>
  <si>
    <t>SI 6336- SI 6339, CR 5869</t>
  </si>
  <si>
    <t>SI 6360 - SI 6366, CR 5885</t>
  </si>
  <si>
    <t>AR: 2784</t>
  </si>
  <si>
    <t>AR: 2779</t>
  </si>
  <si>
    <t>SYL26-0048</t>
  </si>
  <si>
    <t>4300344</t>
  </si>
  <si>
    <t>10 Eos Mini pc i5- Fullpayment</t>
  </si>
  <si>
    <t>Business Permit - 1st Quarter 2025</t>
  </si>
  <si>
    <t>Business Permit - 4th Quarter 2025</t>
  </si>
  <si>
    <t>Business Permit - 1st Quarter 2026</t>
  </si>
  <si>
    <t>SI 0673, CR 0908</t>
  </si>
  <si>
    <t>SYL26-0049</t>
  </si>
  <si>
    <t>4300345</t>
  </si>
  <si>
    <t>SYL26-0050</t>
  </si>
  <si>
    <t>SYL26-0051</t>
  </si>
  <si>
    <t>4300346</t>
  </si>
  <si>
    <t>4300347</t>
  </si>
  <si>
    <t>Office Supply</t>
  </si>
  <si>
    <t xml:space="preserve">J&amp;J Consumer Goods Trading </t>
  </si>
  <si>
    <t>3 Birch barcode Scanner</t>
  </si>
  <si>
    <t>Kassa Technologies Inc.</t>
  </si>
  <si>
    <t>SYL26-0052</t>
  </si>
  <si>
    <t>BDO-325195</t>
  </si>
  <si>
    <t xml:space="preserve">Refund payment </t>
  </si>
  <si>
    <t>Top J.B Trading Corp.</t>
  </si>
  <si>
    <t>SYL26-0053</t>
  </si>
  <si>
    <t>BDO-325196</t>
  </si>
  <si>
    <t>SYL26-0054</t>
  </si>
  <si>
    <t>SYL26-0055</t>
  </si>
  <si>
    <t>BDO-325197</t>
  </si>
  <si>
    <t>BDO Insurance 2026</t>
  </si>
  <si>
    <t>BDO Life Assurance Company Inc.</t>
  </si>
  <si>
    <t>BDO-325198</t>
  </si>
  <si>
    <t>Rebecca Guitierrez</t>
  </si>
  <si>
    <t>SYL26-0056</t>
  </si>
  <si>
    <t>BDO-266733</t>
  </si>
  <si>
    <t>SI 245, CR 103</t>
  </si>
  <si>
    <t>SI 22958, CR 15187</t>
  </si>
  <si>
    <t>SYL26-0057</t>
  </si>
  <si>
    <t>SYL26-0058</t>
  </si>
  <si>
    <t>SYL26-0059</t>
  </si>
  <si>
    <t>SYL26-0060</t>
  </si>
  <si>
    <t>4300349</t>
  </si>
  <si>
    <t>4300350</t>
  </si>
  <si>
    <t>BDO-325199</t>
  </si>
  <si>
    <t>Feb 17, 2026 billing</t>
  </si>
  <si>
    <t>Car Insurance 2026</t>
  </si>
  <si>
    <t>BDO-325201</t>
  </si>
  <si>
    <t>BDO1R</t>
  </si>
  <si>
    <t>4348201</t>
  </si>
  <si>
    <t>4348202</t>
  </si>
  <si>
    <t>SYL26-0061</t>
  </si>
  <si>
    <t>SYL26-0062</t>
  </si>
  <si>
    <t>SYL26-0063</t>
  </si>
  <si>
    <t>SYL26-0064</t>
  </si>
  <si>
    <t>SYL26-0065</t>
  </si>
  <si>
    <t>SYL26-0066</t>
  </si>
  <si>
    <t>SYL26-0067</t>
  </si>
  <si>
    <t>4348203</t>
  </si>
  <si>
    <t>4348204</t>
  </si>
  <si>
    <t>4348205</t>
  </si>
  <si>
    <t>4348206</t>
  </si>
  <si>
    <t>4348207</t>
  </si>
  <si>
    <t xml:space="preserve">Jan 2026 Billing </t>
  </si>
  <si>
    <t>Smart Communication, Inc.</t>
  </si>
  <si>
    <t>Jan 10 to Feb 09 Billing (Mai)</t>
  </si>
  <si>
    <t>Jan 10 to Feb 09 Billing (Ofc)</t>
  </si>
  <si>
    <t xml:space="preserve">Feb 10 2026 Billing </t>
  </si>
  <si>
    <t>SYL26-0068</t>
  </si>
  <si>
    <t>SYL26-0069</t>
  </si>
  <si>
    <t>SYL26-0070</t>
  </si>
  <si>
    <t>SYL26-0071</t>
  </si>
  <si>
    <t>SYL26-0072</t>
  </si>
  <si>
    <t>SYL26-0073</t>
  </si>
  <si>
    <t>4348208</t>
  </si>
  <si>
    <t>4348210</t>
  </si>
  <si>
    <t>4348211</t>
  </si>
  <si>
    <t>4348212</t>
  </si>
  <si>
    <t>4348213</t>
  </si>
  <si>
    <t xml:space="preserve">Jimac Incorporated </t>
  </si>
  <si>
    <t>Imin D2 Power Adaptor</t>
  </si>
  <si>
    <t>3 Poseidon PSD86 2D Handsfree Scanner</t>
  </si>
  <si>
    <t>BDO-325202</t>
  </si>
  <si>
    <t>SI 0698, CR: 0148</t>
  </si>
  <si>
    <t>SYL26-0074</t>
  </si>
  <si>
    <t>BDO-266734</t>
  </si>
  <si>
    <t>SI 70558, CR 37636</t>
  </si>
  <si>
    <t>SI 000640, CR 000631</t>
  </si>
  <si>
    <t>SI 3064, CR 2758</t>
  </si>
  <si>
    <t>SYL26-0075</t>
  </si>
  <si>
    <t>4348214</t>
  </si>
  <si>
    <t xml:space="preserve">Payloro Commission Sept 2025- Jan 2026 </t>
  </si>
  <si>
    <t>Svl 0155, CR 0157</t>
  </si>
  <si>
    <t>SYL26-0076</t>
  </si>
  <si>
    <t>SYL26-0077</t>
  </si>
  <si>
    <t>SYL26-0078</t>
  </si>
  <si>
    <t>SYL26-0079</t>
  </si>
  <si>
    <t>4348215</t>
  </si>
  <si>
    <t>4348216</t>
  </si>
  <si>
    <t>4348217</t>
  </si>
  <si>
    <t>4348218</t>
  </si>
  <si>
    <t>SYL26-0080</t>
  </si>
  <si>
    <t>4348219</t>
  </si>
  <si>
    <t xml:space="preserve">Car Maintenance </t>
  </si>
  <si>
    <t>Teamviewer License 2026</t>
  </si>
  <si>
    <t>SI 0705, CR 0093</t>
  </si>
  <si>
    <t>SYL26-0081</t>
  </si>
  <si>
    <t>SYL26-0082</t>
  </si>
  <si>
    <t>BPI-6000333751</t>
  </si>
  <si>
    <t>4348220</t>
  </si>
  <si>
    <t>Godex EZ120 Barcode Printer</t>
  </si>
  <si>
    <t>Deposited February 25</t>
  </si>
  <si>
    <t>SYL26-0083</t>
  </si>
  <si>
    <t>4348221</t>
  </si>
  <si>
    <t>Programming Fee- Molave</t>
  </si>
  <si>
    <t>SYL26-0084</t>
  </si>
  <si>
    <t>SYL26-0085</t>
  </si>
  <si>
    <t>4348222</t>
  </si>
  <si>
    <t>4348223</t>
  </si>
  <si>
    <t>SYL26-0086</t>
  </si>
  <si>
    <t>BDO-325203</t>
  </si>
  <si>
    <t>SYL26-0087</t>
  </si>
  <si>
    <t>SYL26-0088</t>
  </si>
  <si>
    <t>SYL26-0089</t>
  </si>
  <si>
    <t>SYL26-0090</t>
  </si>
  <si>
    <t>SYL26-0091</t>
  </si>
  <si>
    <t>4348224</t>
  </si>
  <si>
    <t xml:space="preserve">5 Desktop cpu i5 , 5 nvme.2 </t>
  </si>
  <si>
    <t>4348225</t>
  </si>
  <si>
    <t xml:space="preserve">3 Journal paper 2 ply , 5 Thermal paper , Journal paper 1 ply , 50 thermal pos paper </t>
  </si>
  <si>
    <t>4348226</t>
  </si>
  <si>
    <t>4348227</t>
  </si>
  <si>
    <t xml:space="preserve">Medical reimbursement </t>
  </si>
  <si>
    <t>Raymark Joseph  Fabilie</t>
  </si>
  <si>
    <t>BDO- 266735</t>
  </si>
  <si>
    <t xml:space="preserve">Hazhel Aguilar </t>
  </si>
  <si>
    <t>SI 6386- SI 6391 CR : 5915</t>
  </si>
  <si>
    <t>PO SYL26-0010, PO SYL26-0011, PO SYL26-0017, PO SYL26-0018, PO SYL26-0019, PO SYL26-0020</t>
  </si>
  <si>
    <t>SI 000869, CR 000823</t>
  </si>
  <si>
    <t>SYL26-0092</t>
  </si>
  <si>
    <t>4348228</t>
  </si>
  <si>
    <t>BIR Accreditation budget</t>
  </si>
  <si>
    <t>SI 2232 CR 1330</t>
  </si>
  <si>
    <t>SI 71726, CR 37913</t>
  </si>
  <si>
    <t>SI 38889 CR 12451</t>
  </si>
  <si>
    <t>SI 38995 CR 12400</t>
  </si>
  <si>
    <t>BDO-325205</t>
  </si>
  <si>
    <t>BDO-325206</t>
  </si>
  <si>
    <t>Tech it easy Inc.</t>
  </si>
  <si>
    <t xml:space="preserve">Refill - Fire Extinguisher </t>
  </si>
  <si>
    <t>Emdcc fire protection product trading</t>
  </si>
  <si>
    <t>5 Beelink i5 PC</t>
  </si>
  <si>
    <t>SYL26-0093</t>
  </si>
  <si>
    <t>SYL26-0094</t>
  </si>
  <si>
    <t>SI 00697, CR  00595</t>
  </si>
  <si>
    <t>SYL26-0095</t>
  </si>
  <si>
    <t>SYL26-0096</t>
  </si>
  <si>
    <t>SYL26-0097</t>
  </si>
  <si>
    <t>SYL26-0098</t>
  </si>
  <si>
    <t>SYL26-0099</t>
  </si>
  <si>
    <t>4348229</t>
  </si>
  <si>
    <t>4348230</t>
  </si>
  <si>
    <t>4348231</t>
  </si>
  <si>
    <t>4348232</t>
  </si>
  <si>
    <t>4348233</t>
  </si>
  <si>
    <t>10 Postech Touchscreen monitor</t>
  </si>
  <si>
    <t xml:space="preserve">First Adamantine </t>
  </si>
  <si>
    <t>Epson tmu220IID Lan printer</t>
  </si>
  <si>
    <t>SI 12442</t>
  </si>
  <si>
    <t>Exhibit share -PFA 2026</t>
  </si>
  <si>
    <t>Mar 17, 2026 billing</t>
  </si>
  <si>
    <t>SYL26-0100</t>
  </si>
  <si>
    <t>SYL26-0101</t>
  </si>
  <si>
    <t>SYL26-0102</t>
  </si>
  <si>
    <t>4348234</t>
  </si>
  <si>
    <t>4348235</t>
  </si>
  <si>
    <t>4348236</t>
  </si>
  <si>
    <t>SI 23393, CR 23393</t>
  </si>
  <si>
    <t xml:space="preserve">Feb 2026 billing </t>
  </si>
  <si>
    <t>Bookkeeping Fee - Oct to Dec 2025</t>
  </si>
  <si>
    <t>SYL26-0103</t>
  </si>
  <si>
    <t>SYL26-0104</t>
  </si>
  <si>
    <t>4348237</t>
  </si>
  <si>
    <t>BDO- 266736</t>
  </si>
  <si>
    <t>SYL26-0105</t>
  </si>
  <si>
    <t>BDO-325207</t>
  </si>
  <si>
    <t>Fund tranfer to Cbc</t>
  </si>
  <si>
    <t>SI 39235, CR 12476</t>
  </si>
  <si>
    <t>SI 3170, CR 2852</t>
  </si>
  <si>
    <t>SYL26-0106</t>
  </si>
  <si>
    <t>SYL26-0107</t>
  </si>
  <si>
    <t>4348238</t>
  </si>
  <si>
    <t>4348239</t>
  </si>
  <si>
    <t>Deposited March 11</t>
  </si>
  <si>
    <t>SYL26-0108</t>
  </si>
  <si>
    <t>BDO-325208</t>
  </si>
  <si>
    <t>Svl 0169, CR 0170</t>
  </si>
  <si>
    <t>SYL26-0109</t>
  </si>
  <si>
    <t>SYL26-0110</t>
  </si>
  <si>
    <t>SYL26-0111</t>
  </si>
  <si>
    <t>SYL26-0112</t>
  </si>
  <si>
    <t>SYL26-0113</t>
  </si>
  <si>
    <t>SYL26-0114</t>
  </si>
  <si>
    <t>SYL26-0115</t>
  </si>
  <si>
    <t>SYL26-0116</t>
  </si>
  <si>
    <t>4348240</t>
  </si>
  <si>
    <t>4348241</t>
  </si>
  <si>
    <t>4348242</t>
  </si>
  <si>
    <t>4348243</t>
  </si>
  <si>
    <t>4348244</t>
  </si>
  <si>
    <t>4348245</t>
  </si>
  <si>
    <t>4348246</t>
  </si>
  <si>
    <t>4348247</t>
  </si>
  <si>
    <t xml:space="preserve">March 10 Billing </t>
  </si>
  <si>
    <t xml:space="preserve">Medical Reimbursement </t>
  </si>
  <si>
    <t>Referral Fee - Alvin Verdillo</t>
  </si>
  <si>
    <t xml:space="preserve">Feb 1 to Feb 28, 2026 Billing </t>
  </si>
  <si>
    <t xml:space="preserve">Smart Communications, Inc </t>
  </si>
  <si>
    <t>001-901-673-00000</t>
  </si>
  <si>
    <t>Feb 10 to March 9, 2026 Billing (ofc)</t>
  </si>
  <si>
    <t>Feb 10 to March 9, 2026 Billing (Mai)</t>
  </si>
  <si>
    <t xml:space="preserve">Epson tm-t82x usb printer , 10 Apc ups </t>
  </si>
  <si>
    <t>SI 12493</t>
  </si>
  <si>
    <t xml:space="preserve">Epson tmu-220IIA usb printer </t>
  </si>
  <si>
    <t>SYL26-0117</t>
  </si>
  <si>
    <t>SYL26-0118</t>
  </si>
  <si>
    <t>SYL26-0119</t>
  </si>
  <si>
    <t>4348248</t>
  </si>
  <si>
    <t>4348249</t>
  </si>
  <si>
    <t>4348250</t>
  </si>
  <si>
    <t xml:space="preserve">EZ120 Godex printed head </t>
  </si>
  <si>
    <t>Imin swan 2 desktop pos (4gb+64gb +android 13 w/ 2nd display ) dual display</t>
  </si>
  <si>
    <t>Eos power adaptor</t>
  </si>
  <si>
    <t>SYL26-0120</t>
  </si>
  <si>
    <t>SYL26-0121</t>
  </si>
  <si>
    <t>SYL26-0122</t>
  </si>
  <si>
    <t>SYL26-0123</t>
  </si>
  <si>
    <t>SYL26-0124</t>
  </si>
  <si>
    <t>SYL26-0125</t>
  </si>
  <si>
    <t>4348251</t>
  </si>
  <si>
    <t>4348252</t>
  </si>
  <si>
    <t>BDO-325209</t>
  </si>
  <si>
    <t xml:space="preserve">China hotel payment </t>
  </si>
  <si>
    <t>BDO-325210</t>
  </si>
  <si>
    <t>4348253</t>
  </si>
  <si>
    <t>Deposited March 23</t>
  </si>
  <si>
    <t>SYL26-0126</t>
  </si>
  <si>
    <t>SYL26-0127</t>
  </si>
  <si>
    <t>SYL26-0128</t>
  </si>
  <si>
    <t>SYL26-0129</t>
  </si>
  <si>
    <t>SI 0737, CR 1008</t>
  </si>
  <si>
    <t>4348254</t>
  </si>
  <si>
    <t>Renaissance travel &amp; tours, Inc.</t>
  </si>
  <si>
    <t>China Airfare</t>
  </si>
  <si>
    <t>4348255</t>
  </si>
  <si>
    <t>4348256</t>
  </si>
  <si>
    <t>4348257</t>
  </si>
  <si>
    <t>4348258</t>
  </si>
  <si>
    <t>Globe Billing -Feb</t>
  </si>
  <si>
    <t>Globe Billing -Jan</t>
  </si>
  <si>
    <t>Globe Billing -March</t>
  </si>
  <si>
    <t>3 Micro Sd Card</t>
  </si>
  <si>
    <t>SYL26-0130</t>
  </si>
  <si>
    <t>SYL26-0131</t>
  </si>
  <si>
    <t>SYL26-0132</t>
  </si>
  <si>
    <t>SYL26-0133</t>
  </si>
  <si>
    <t>SYL26-0134</t>
  </si>
  <si>
    <t>4348259</t>
  </si>
  <si>
    <t>5 Poseidon PSD86 Scanner</t>
  </si>
  <si>
    <t>4348260</t>
  </si>
  <si>
    <t>4348261</t>
  </si>
  <si>
    <t>4348262</t>
  </si>
  <si>
    <t>4348263</t>
  </si>
  <si>
    <t>EPSON TM-T82XII USB PRINTER</t>
  </si>
  <si>
    <t>SYL26-0135</t>
  </si>
  <si>
    <t>SYL26-0136</t>
  </si>
  <si>
    <t>4348264</t>
  </si>
  <si>
    <t>Thermal head for TM-T82X</t>
  </si>
  <si>
    <t>BDO-325211</t>
  </si>
  <si>
    <t>Fund Trasnfer to CBC</t>
  </si>
  <si>
    <t>SI 12620, CR 07080</t>
  </si>
  <si>
    <t>SI 12442, CR 07079</t>
  </si>
  <si>
    <t>SI 12493, CR 07078</t>
  </si>
  <si>
    <t>SI 12504, CR 07077</t>
  </si>
  <si>
    <t>SI 12558, CR 07076</t>
  </si>
  <si>
    <t>SI 000936, CR 000904</t>
  </si>
  <si>
    <t>SYL26-0137</t>
  </si>
  <si>
    <t>SYL26-0138</t>
  </si>
  <si>
    <t>SYL26-0139</t>
  </si>
  <si>
    <t>SYL26-0140</t>
  </si>
  <si>
    <t>SYL26-0141</t>
  </si>
  <si>
    <t>SYL26-0142</t>
  </si>
  <si>
    <t>BPI-6000333752</t>
  </si>
  <si>
    <t>Fund Transfer to cbc - Charlies Rest. Payment</t>
  </si>
  <si>
    <t>BPI-6000333753</t>
  </si>
  <si>
    <t>Fund Transfer to cbc - Artisan Megamall payment</t>
  </si>
  <si>
    <t>BPI-6000333754</t>
  </si>
  <si>
    <t>Fund Transfer to cbc</t>
  </si>
  <si>
    <t>BDO-325213</t>
  </si>
  <si>
    <t>4348265</t>
  </si>
  <si>
    <t>4348266</t>
  </si>
  <si>
    <t>4348267</t>
  </si>
  <si>
    <t>4348268</t>
  </si>
  <si>
    <t>4348269</t>
  </si>
  <si>
    <t>SYL26-0143</t>
  </si>
  <si>
    <t>SYL26-0144</t>
  </si>
  <si>
    <t>SYL26-0145</t>
  </si>
  <si>
    <t>SYL26-0146</t>
  </si>
  <si>
    <t>4348270</t>
  </si>
  <si>
    <t xml:space="preserve">2 Desktop ryzen 8gb , 512gb nvme.2 , 2 Desktop ryzen 16gb , 1tb nvme.2 , 5 acer monitor, 5 windows 11 pro, 1 micro sd card </t>
  </si>
  <si>
    <t>3 swan gen 2 (4gb +64gb)</t>
  </si>
  <si>
    <t>SYL26-0147</t>
  </si>
  <si>
    <t>SYL26-0148</t>
  </si>
  <si>
    <t>SYL26-0149</t>
  </si>
  <si>
    <t>4348272</t>
  </si>
  <si>
    <t xml:space="preserve">2 Epson tm- T82XII Lan printer, 4 Epson Tmu220IIB Usb printer </t>
  </si>
  <si>
    <t>4348273</t>
  </si>
  <si>
    <t>2 Vmax dual display psd970-1</t>
  </si>
  <si>
    <t>4348274</t>
  </si>
  <si>
    <t>4348275</t>
  </si>
  <si>
    <t>4348276</t>
  </si>
  <si>
    <t>4348277</t>
  </si>
  <si>
    <t>SYL26-0150</t>
  </si>
  <si>
    <t>SYL26-0151</t>
  </si>
  <si>
    <t>SYL26-0152</t>
  </si>
  <si>
    <t>Apr 17, 2026 billing</t>
  </si>
  <si>
    <t>Palawan budget</t>
  </si>
  <si>
    <t xml:space="preserve">Achie's airfare ticket </t>
  </si>
  <si>
    <t>SYL26-0153</t>
  </si>
  <si>
    <t>BDO- 266738</t>
  </si>
  <si>
    <t>Travel Allowance</t>
  </si>
  <si>
    <t>SYL26-0154</t>
  </si>
  <si>
    <t>BDO-325214</t>
  </si>
  <si>
    <t>SYL26-0155</t>
  </si>
  <si>
    <t>SYL26-0156</t>
  </si>
  <si>
    <t>4348278</t>
  </si>
  <si>
    <t>2 Epson tmu220IIB usb printer</t>
  </si>
  <si>
    <t>4348279</t>
  </si>
  <si>
    <t>Epson tmu220IIB usb printer</t>
  </si>
  <si>
    <t>Business Permit - 2nd  Quarter 2026</t>
  </si>
  <si>
    <t>SYL26-0157</t>
  </si>
  <si>
    <t>BDO-325215</t>
  </si>
  <si>
    <t>SI 000962, CR 000941</t>
  </si>
  <si>
    <t>SI 277, CR 134</t>
  </si>
  <si>
    <t>4348280</t>
  </si>
  <si>
    <t>4348281</t>
  </si>
  <si>
    <t>SYL26-0158</t>
  </si>
  <si>
    <t>SYL26-0159</t>
  </si>
  <si>
    <t>BDO-325216</t>
  </si>
  <si>
    <t>SYL26-0160</t>
  </si>
  <si>
    <t>SYL26-0161</t>
  </si>
  <si>
    <t>SYL26-0162</t>
  </si>
  <si>
    <t>SYL26-0163</t>
  </si>
  <si>
    <t>SYL26-0164</t>
  </si>
  <si>
    <t>SYL26-0165</t>
  </si>
  <si>
    <t>SYL26-0166</t>
  </si>
  <si>
    <t>SYL26-0167</t>
  </si>
  <si>
    <t>SYL26-0168</t>
  </si>
  <si>
    <t>SYL26-0169</t>
  </si>
  <si>
    <t>SYL26-0170</t>
  </si>
  <si>
    <t>SYL26-0171</t>
  </si>
  <si>
    <t>4348282</t>
  </si>
  <si>
    <t>4348283</t>
  </si>
  <si>
    <t>April 11 Billing</t>
  </si>
  <si>
    <t>000-101-528-00000</t>
  </si>
  <si>
    <t>4348284</t>
  </si>
  <si>
    <t>March 2026 Billing</t>
  </si>
  <si>
    <t>Smarch communications inc</t>
  </si>
  <si>
    <t>4348285</t>
  </si>
  <si>
    <t>4348286</t>
  </si>
  <si>
    <t>4348287</t>
  </si>
  <si>
    <t>Sunfish HRA Consulting Inc.</t>
  </si>
  <si>
    <t>Membership Renewal 2026</t>
  </si>
  <si>
    <t>CRIF Philippines Inc.</t>
  </si>
  <si>
    <t>March 10 to April 09 Billing  (Mai)</t>
  </si>
  <si>
    <t>Globe Telecom, Inc.</t>
  </si>
  <si>
    <t>4348288</t>
  </si>
  <si>
    <t>March 10 to April 09 Billing  (Ofc)</t>
  </si>
  <si>
    <t>BDO-325217</t>
  </si>
  <si>
    <t>4348289</t>
  </si>
  <si>
    <t>4348290</t>
  </si>
  <si>
    <t>4348291</t>
  </si>
  <si>
    <t>4348292</t>
  </si>
  <si>
    <t>SYL26-0172</t>
  </si>
  <si>
    <t>SYL26-0173</t>
  </si>
  <si>
    <t>SYL26-0174</t>
  </si>
  <si>
    <t xml:space="preserve">10 Epson Tmu220d usb printer </t>
  </si>
  <si>
    <t>SYL25-099</t>
  </si>
  <si>
    <t>10 Kaspersky anti virus, 10 Keyboard and mouse , 3 whalecom 512gb sata</t>
  </si>
  <si>
    <t>SI 001007</t>
  </si>
  <si>
    <t>BDO- 266739</t>
  </si>
  <si>
    <t>Opening account for BPI 2</t>
  </si>
  <si>
    <t>BDO-325218</t>
  </si>
  <si>
    <t>SI 12799, CR 07242</t>
  </si>
  <si>
    <t>SI 12794, CR 07243</t>
  </si>
  <si>
    <t>SI 12673, CR 07241</t>
  </si>
  <si>
    <t>SI 12663, CR 07240</t>
  </si>
  <si>
    <t>SI 12594, CR 07239</t>
  </si>
  <si>
    <t>SI 39330, CR 12565</t>
  </si>
  <si>
    <t>SI 39236, CR 12566</t>
  </si>
  <si>
    <t>SI 39320, CR 12567</t>
  </si>
  <si>
    <t>Svl 0178, CR 0175</t>
  </si>
  <si>
    <t>SI 2389, CR 1357</t>
  </si>
  <si>
    <t>SYL26-0175</t>
  </si>
  <si>
    <t>SYL26-0176</t>
  </si>
  <si>
    <t>SYL26-0177</t>
  </si>
  <si>
    <t>SYL26-0178</t>
  </si>
  <si>
    <t>SYL26-0179</t>
  </si>
  <si>
    <t>SYL26-0180</t>
  </si>
  <si>
    <t>4348293</t>
  </si>
  <si>
    <t>4348294</t>
  </si>
  <si>
    <t>4348295</t>
  </si>
  <si>
    <t>SI 12830</t>
  </si>
  <si>
    <t xml:space="preserve">2 Epson tmu220IID lan printer </t>
  </si>
  <si>
    <t>4348297</t>
  </si>
  <si>
    <t>Globe Billing - April</t>
  </si>
  <si>
    <t>BDO-325219</t>
  </si>
  <si>
    <t>4348298</t>
  </si>
  <si>
    <t>SYL26-0181</t>
  </si>
  <si>
    <t>SYL26-0182</t>
  </si>
  <si>
    <t>4348299</t>
  </si>
  <si>
    <t>Sales incentives</t>
  </si>
  <si>
    <t>4348300</t>
  </si>
  <si>
    <t>DDR4 ram 8GB</t>
  </si>
  <si>
    <t>SYL26-0183</t>
  </si>
  <si>
    <t>4348301</t>
  </si>
  <si>
    <t>SYL26-0184</t>
  </si>
  <si>
    <t>4348302</t>
  </si>
  <si>
    <t>SYL26-0185</t>
  </si>
  <si>
    <t>4348303</t>
  </si>
  <si>
    <t>Hue palawan Allowance</t>
  </si>
  <si>
    <t>SYL26-0186</t>
  </si>
  <si>
    <t>4348304</t>
  </si>
  <si>
    <t>Membership renewal 2026</t>
  </si>
  <si>
    <t>CRIF Philippines</t>
  </si>
  <si>
    <t>SYL26-0187</t>
  </si>
  <si>
    <t>SYL26-0188</t>
  </si>
  <si>
    <t>4348305</t>
  </si>
  <si>
    <t>4348306</t>
  </si>
  <si>
    <t xml:space="preserve">Kim Karvinen Luces </t>
  </si>
  <si>
    <t>Franchise Asia Exhibit 2026</t>
  </si>
  <si>
    <t>SYL26-0189</t>
  </si>
  <si>
    <t>SYL26-0190</t>
  </si>
  <si>
    <t>SYL26-0191</t>
  </si>
  <si>
    <t>BDO-325220</t>
  </si>
  <si>
    <t>BDO-325221</t>
  </si>
  <si>
    <t>SI 001066</t>
  </si>
  <si>
    <t xml:space="preserve">Hi10 X2 Chuwi tablet </t>
  </si>
  <si>
    <t>SI 6403, Si 6104, SI 6405, SI 6406 CR: 5980</t>
  </si>
  <si>
    <t>SI 6425, SI 6426, SI 6427, SI 6428</t>
  </si>
  <si>
    <t>APRIL -PO</t>
  </si>
  <si>
    <t>4348307</t>
  </si>
  <si>
    <t>BS: 04873</t>
  </si>
  <si>
    <t>SYL26-0192</t>
  </si>
  <si>
    <t>SYL26-0193</t>
  </si>
  <si>
    <t>SYL26-0194</t>
  </si>
  <si>
    <t>SYL26-0195</t>
  </si>
  <si>
    <t>SYL26-0196</t>
  </si>
  <si>
    <t>4348308</t>
  </si>
  <si>
    <t>4348309</t>
  </si>
  <si>
    <t>4348310</t>
  </si>
  <si>
    <t>4348311</t>
  </si>
  <si>
    <t>4348312</t>
  </si>
  <si>
    <t>May 17, 2026 billing</t>
  </si>
  <si>
    <t>April 2026 Billing</t>
  </si>
  <si>
    <t>SYL26-0197</t>
  </si>
  <si>
    <t>SYL26-0198</t>
  </si>
  <si>
    <t>SYL26-0199</t>
  </si>
  <si>
    <t>4348313</t>
  </si>
  <si>
    <t>4348314</t>
  </si>
  <si>
    <t>4348315</t>
  </si>
  <si>
    <t>Software Sales -April</t>
  </si>
  <si>
    <t>Sales Software- Jan</t>
  </si>
  <si>
    <t>Software Sales- Feb</t>
  </si>
  <si>
    <t>Software sales -March</t>
  </si>
  <si>
    <t>Smart Communications Inc.</t>
  </si>
  <si>
    <t>SYL26-0200</t>
  </si>
  <si>
    <t>SYL26-0201</t>
  </si>
  <si>
    <t>SYL26-0202</t>
  </si>
  <si>
    <t>SYL26-0203</t>
  </si>
  <si>
    <t>4348316</t>
  </si>
  <si>
    <t>4348317</t>
  </si>
  <si>
    <t>4348318</t>
  </si>
  <si>
    <t xml:space="preserve">Airfare to Davao </t>
  </si>
  <si>
    <t>April 10 to May 09 Billing  (Mai)</t>
  </si>
  <si>
    <t>April 10 to May 09 Billing  (Ofc)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</si>
</sst>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[$-409]d\-mmm;@"/>
    <numFmt numFmtId="166" formatCode="#,##0.00;[Red]#,##0.00"/>
    <numFmt numFmtId="167" formatCode="_(* #,##0.000_);_(* \(#,##0.000\);_(* &quot;-&quot;??_);_(@_)"/>
  </numFmts>
  <fonts count="2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9"/>
      <color rgb="FFFF000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EE0000"/>
      <name val="Calibri Light"/>
      <family val="2"/>
      <scheme val="major"/>
    </font>
    <font>
      <sz val="10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ck">
        <color rgb="FFFF0000"/>
      </left>
      <right/>
      <top style="medium">
        <color auto="1"/>
      </top>
      <bottom style="double">
        <color auto="1"/>
      </bottom>
      <diagonal/>
    </border>
    <border>
      <left/>
      <right style="thick">
        <color rgb="FFFF0000"/>
      </right>
      <top style="medium">
        <color auto="1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/>
  </cellStyleXfs>
  <cellXfs count="192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/>
    <xf numFmtId="0" fontId="1" fillId="0" borderId="0" xfId="0" applyFont="1"/>
    <xf numFmtId="0" fontId="2" fillId="0" borderId="0" xfId="0" applyFont="1"/>
    <xf numFmtId="43" fontId="0" fillId="0" borderId="4" xfId="0" applyNumberFormat="1" applyBorder="1"/>
    <xf numFmtId="0" fontId="3" fillId="2" borderId="5" xfId="0" applyFont="1" applyFill="1" applyBorder="1"/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5" fillId="6" borderId="0" xfId="0" applyNumberFormat="1" applyFont="1" applyFill="1" applyAlignment="1">
      <alignment horizontal="center" vertical="center" wrapText="1"/>
    </xf>
    <xf numFmtId="43" fontId="5" fillId="8" borderId="0" xfId="0" applyNumberFormat="1" applyFont="1" applyFill="1" applyAlignment="1">
      <alignment horizontal="center" vertical="center" wrapText="1"/>
    </xf>
    <xf numFmtId="43" fontId="5" fillId="0" borderId="0" xfId="0" applyNumberFormat="1" applyFont="1" applyAlignment="1">
      <alignment horizontal="center" vertical="center"/>
    </xf>
    <xf numFmtId="43" fontId="4" fillId="0" borderId="4" xfId="0" applyNumberFormat="1" applyFont="1" applyBorder="1"/>
    <xf numFmtId="0" fontId="5" fillId="3" borderId="7" xfId="0" applyFont="1" applyFill="1" applyBorder="1" applyAlignment="1">
      <alignment horizontal="center" vertical="center" wrapText="1"/>
    </xf>
    <xf numFmtId="0" fontId="4" fillId="0" borderId="0" xfId="0" quotePrefix="1" applyFont="1"/>
    <xf numFmtId="43" fontId="4" fillId="0" borderId="0" xfId="1" applyFont="1"/>
    <xf numFmtId="0" fontId="4" fillId="9" borderId="0" xfId="0" quotePrefix="1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43" fontId="4" fillId="9" borderId="4" xfId="0" applyNumberFormat="1" applyFont="1" applyFill="1" applyBorder="1"/>
    <xf numFmtId="43" fontId="4" fillId="9" borderId="0" xfId="0" applyNumberFormat="1" applyFont="1" applyFill="1"/>
    <xf numFmtId="0" fontId="7" fillId="0" borderId="0" xfId="0" applyFont="1" applyAlignment="1">
      <alignment horizontal="left"/>
    </xf>
    <xf numFmtId="0" fontId="10" fillId="0" borderId="0" xfId="2" applyFont="1" applyAlignment="1">
      <alignment horizontal="left"/>
    </xf>
    <xf numFmtId="17" fontId="5" fillId="9" borderId="0" xfId="0" quotePrefix="1" applyNumberFormat="1" applyFont="1" applyFill="1" applyAlignment="1">
      <alignment horizontal="center"/>
    </xf>
    <xf numFmtId="0" fontId="4" fillId="0" borderId="8" xfId="0" applyFont="1" applyBorder="1"/>
    <xf numFmtId="43" fontId="4" fillId="0" borderId="0" xfId="0" quotePrefix="1" applyNumberFormat="1" applyFont="1"/>
    <xf numFmtId="164" fontId="4" fillId="0" borderId="0" xfId="0" applyNumberFormat="1" applyFont="1" applyAlignment="1">
      <alignment horizontal="center"/>
    </xf>
    <xf numFmtId="0" fontId="6" fillId="2" borderId="5" xfId="0" applyFont="1" applyFill="1" applyBorder="1" applyAlignment="1">
      <alignment horizontal="center"/>
    </xf>
    <xf numFmtId="43" fontId="0" fillId="0" borderId="0" xfId="1" applyFont="1"/>
    <xf numFmtId="43" fontId="5" fillId="8" borderId="0" xfId="1" applyFont="1" applyFill="1" applyAlignment="1">
      <alignment horizontal="center" vertical="center"/>
    </xf>
    <xf numFmtId="43" fontId="4" fillId="9" borderId="0" xfId="1" applyFont="1" applyFill="1" applyBorder="1"/>
    <xf numFmtId="43" fontId="4" fillId="0" borderId="0" xfId="1" applyFont="1" applyFill="1" applyBorder="1"/>
    <xf numFmtId="43" fontId="4" fillId="0" borderId="0" xfId="1" applyFont="1" applyFill="1"/>
    <xf numFmtId="43" fontId="4" fillId="9" borderId="0" xfId="1" applyFont="1" applyFill="1"/>
    <xf numFmtId="43" fontId="5" fillId="6" borderId="0" xfId="1" applyFont="1" applyFill="1" applyAlignment="1">
      <alignment horizontal="center" vertical="center"/>
    </xf>
    <xf numFmtId="43" fontId="6" fillId="2" borderId="6" xfId="0" applyNumberFormat="1" applyFont="1" applyFill="1" applyBorder="1"/>
    <xf numFmtId="43" fontId="6" fillId="2" borderId="5" xfId="0" applyNumberFormat="1" applyFont="1" applyFill="1" applyBorder="1"/>
    <xf numFmtId="0" fontId="0" fillId="9" borderId="0" xfId="0" applyFill="1"/>
    <xf numFmtId="16" fontId="4" fillId="0" borderId="0" xfId="0" applyNumberFormat="1" applyFont="1"/>
    <xf numFmtId="0" fontId="11" fillId="0" borderId="0" xfId="0" applyFont="1"/>
    <xf numFmtId="0" fontId="4" fillId="0" borderId="0" xfId="0" applyFont="1" applyAlignment="1">
      <alignment horizontal="left"/>
    </xf>
    <xf numFmtId="17" fontId="5" fillId="0" borderId="0" xfId="0" quotePrefix="1" applyNumberFormat="1" applyFont="1" applyAlignment="1">
      <alignment horizontal="center"/>
    </xf>
    <xf numFmtId="49" fontId="10" fillId="0" borderId="0" xfId="2" applyNumberFormat="1" applyFont="1" applyAlignment="1">
      <alignment horizontal="left"/>
    </xf>
    <xf numFmtId="0" fontId="11" fillId="0" borderId="0" xfId="0" applyFont="1" applyAlignment="1">
      <alignment horizontal="center"/>
    </xf>
    <xf numFmtId="43" fontId="0" fillId="0" borderId="0" xfId="1" applyFont="1" applyFill="1"/>
    <xf numFmtId="16" fontId="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center"/>
    </xf>
    <xf numFmtId="0" fontId="4" fillId="2" borderId="0" xfId="0" applyFont="1" applyFill="1"/>
    <xf numFmtId="15" fontId="4" fillId="0" borderId="0" xfId="0" applyNumberFormat="1" applyFont="1"/>
    <xf numFmtId="0" fontId="7" fillId="2" borderId="0" xfId="0" applyFont="1" applyFill="1"/>
    <xf numFmtId="43" fontId="4" fillId="2" borderId="0" xfId="0" applyNumberFormat="1" applyFont="1" applyFill="1"/>
    <xf numFmtId="16" fontId="11" fillId="0" borderId="0" xfId="0" applyNumberFormat="1" applyFont="1" applyAlignment="1">
      <alignment horizont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16" fontId="12" fillId="0" borderId="0" xfId="0" applyNumberFormat="1" applyFont="1" applyAlignment="1">
      <alignment horizontal="center"/>
    </xf>
    <xf numFmtId="43" fontId="7" fillId="0" borderId="0" xfId="0" applyNumberFormat="1" applyFont="1"/>
    <xf numFmtId="0" fontId="7" fillId="0" borderId="0" xfId="0" applyFont="1"/>
    <xf numFmtId="43" fontId="4" fillId="0" borderId="0" xfId="0" applyNumberFormat="1" applyFont="1" applyAlignment="1">
      <alignment horizontal="left"/>
    </xf>
    <xf numFmtId="17" fontId="4" fillId="0" borderId="0" xfId="0" applyNumberFormat="1" applyFont="1"/>
    <xf numFmtId="43" fontId="6" fillId="2" borderId="9" xfId="0" applyNumberFormat="1" applyFont="1" applyFill="1" applyBorder="1"/>
    <xf numFmtId="0" fontId="3" fillId="2" borderId="9" xfId="0" applyFont="1" applyFill="1" applyBorder="1"/>
    <xf numFmtId="164" fontId="6" fillId="2" borderId="9" xfId="0" applyNumberFormat="1" applyFont="1" applyFill="1" applyBorder="1"/>
    <xf numFmtId="0" fontId="6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13" fillId="0" borderId="0" xfId="0" applyFont="1"/>
    <xf numFmtId="165" fontId="0" fillId="0" borderId="0" xfId="0" applyNumberFormat="1"/>
    <xf numFmtId="165" fontId="4" fillId="0" borderId="0" xfId="0" applyNumberFormat="1" applyFont="1"/>
    <xf numFmtId="165" fontId="5" fillId="3" borderId="0" xfId="0" applyNumberFormat="1" applyFont="1" applyFill="1" applyAlignment="1">
      <alignment horizontal="center" vertical="center" wrapText="1"/>
    </xf>
    <xf numFmtId="165" fontId="4" fillId="9" borderId="0" xfId="0" applyNumberFormat="1" applyFont="1" applyFill="1"/>
    <xf numFmtId="165" fontId="4" fillId="0" borderId="0" xfId="0" applyNumberFormat="1" applyFont="1" applyAlignment="1">
      <alignment horizontal="center"/>
    </xf>
    <xf numFmtId="165" fontId="6" fillId="2" borderId="9" xfId="0" applyNumberFormat="1" applyFont="1" applyFill="1" applyBorder="1"/>
    <xf numFmtId="165" fontId="6" fillId="2" borderId="5" xfId="0" applyNumberFormat="1" applyFont="1" applyFill="1" applyBorder="1"/>
    <xf numFmtId="165" fontId="0" fillId="0" borderId="0" xfId="0" applyNumberFormat="1" applyAlignment="1">
      <alignment horizontal="center"/>
    </xf>
    <xf numFmtId="165" fontId="4" fillId="9" borderId="0" xfId="0" applyNumberFormat="1" applyFont="1" applyFill="1" applyAlignment="1">
      <alignment horizontal="center"/>
    </xf>
    <xf numFmtId="165" fontId="12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6" fillId="2" borderId="9" xfId="0" applyNumberFormat="1" applyFont="1" applyFill="1" applyBorder="1" applyAlignment="1">
      <alignment horizontal="center"/>
    </xf>
    <xf numFmtId="165" fontId="6" fillId="2" borderId="5" xfId="0" applyNumberFormat="1" applyFont="1" applyFill="1" applyBorder="1" applyAlignment="1">
      <alignment horizontal="center"/>
    </xf>
    <xf numFmtId="0" fontId="14" fillId="0" borderId="0" xfId="0" applyFont="1"/>
    <xf numFmtId="0" fontId="4" fillId="10" borderId="0" xfId="0" applyFont="1" applyFill="1"/>
    <xf numFmtId="43" fontId="4" fillId="10" borderId="0" xfId="0" applyNumberFormat="1" applyFont="1" applyFill="1"/>
    <xf numFmtId="165" fontId="4" fillId="11" borderId="0" xfId="0" applyNumberFormat="1" applyFont="1" applyFill="1"/>
    <xf numFmtId="0" fontId="11" fillId="9" borderId="0" xfId="0" applyFont="1" applyFill="1" applyAlignment="1">
      <alignment horizontal="center"/>
    </xf>
    <xf numFmtId="0" fontId="10" fillId="9" borderId="0" xfId="2" applyFont="1" applyFill="1" applyAlignment="1">
      <alignment horizontal="left"/>
    </xf>
    <xf numFmtId="165" fontId="4" fillId="2" borderId="0" xfId="0" applyNumberFormat="1" applyFont="1" applyFill="1"/>
    <xf numFmtId="43" fontId="12" fillId="0" borderId="0" xfId="1" applyFont="1" applyFill="1" applyAlignment="1">
      <alignment horizontal="right"/>
    </xf>
    <xf numFmtId="14" fontId="4" fillId="0" borderId="0" xfId="0" applyNumberFormat="1" applyFont="1" applyAlignment="1">
      <alignment horizontal="center"/>
    </xf>
    <xf numFmtId="16" fontId="4" fillId="9" borderId="0" xfId="0" applyNumberFormat="1" applyFont="1" applyFill="1" applyAlignment="1">
      <alignment horizontal="center"/>
    </xf>
    <xf numFmtId="15" fontId="4" fillId="2" borderId="0" xfId="0" applyNumberFormat="1" applyFont="1" applyFill="1"/>
    <xf numFmtId="0" fontId="6" fillId="2" borderId="9" xfId="0" applyFont="1" applyFill="1" applyBorder="1"/>
    <xf numFmtId="43" fontId="5" fillId="0" borderId="0" xfId="1" applyFont="1" applyAlignment="1">
      <alignment horizontal="center" vertical="center"/>
    </xf>
    <xf numFmtId="43" fontId="0" fillId="9" borderId="0" xfId="1" applyFont="1" applyFill="1"/>
    <xf numFmtId="0" fontId="14" fillId="9" borderId="0" xfId="0" applyFont="1" applyFill="1"/>
    <xf numFmtId="43" fontId="4" fillId="2" borderId="0" xfId="0" applyNumberFormat="1" applyFont="1" applyFill="1" applyAlignment="1">
      <alignment horizontal="left"/>
    </xf>
    <xf numFmtId="166" fontId="4" fillId="0" borderId="0" xfId="0" applyNumberFormat="1" applyFont="1"/>
    <xf numFmtId="0" fontId="16" fillId="0" borderId="0" xfId="0" applyFont="1"/>
    <xf numFmtId="0" fontId="4" fillId="0" borderId="0" xfId="0" applyFont="1" applyAlignment="1">
      <alignment wrapText="1"/>
    </xf>
    <xf numFmtId="43" fontId="8" fillId="0" borderId="0" xfId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4" fillId="12" borderId="0" xfId="0" applyFont="1" applyFill="1" applyAlignment="1">
      <alignment horizontal="center"/>
    </xf>
    <xf numFmtId="165" fontId="4" fillId="12" borderId="0" xfId="0" applyNumberFormat="1" applyFont="1" applyFill="1"/>
    <xf numFmtId="165" fontId="4" fillId="12" borderId="0" xfId="0" applyNumberFormat="1" applyFont="1" applyFill="1" applyAlignment="1">
      <alignment horizontal="center"/>
    </xf>
    <xf numFmtId="0" fontId="4" fillId="12" borderId="0" xfId="0" applyFont="1" applyFill="1"/>
    <xf numFmtId="43" fontId="4" fillId="12" borderId="0" xfId="0" applyNumberFormat="1" applyFont="1" applyFill="1"/>
    <xf numFmtId="43" fontId="4" fillId="12" borderId="0" xfId="1" applyFont="1" applyFill="1"/>
    <xf numFmtId="17" fontId="5" fillId="12" borderId="0" xfId="0" quotePrefix="1" applyNumberFormat="1" applyFont="1" applyFill="1" applyAlignment="1">
      <alignment horizont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65" fontId="5" fillId="3" borderId="14" xfId="0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43" fontId="5" fillId="6" borderId="13" xfId="0" applyNumberFormat="1" applyFont="1" applyFill="1" applyBorder="1" applyAlignment="1">
      <alignment horizontal="center" vertical="center" wrapText="1"/>
    </xf>
    <xf numFmtId="43" fontId="5" fillId="6" borderId="14" xfId="0" applyNumberFormat="1" applyFont="1" applyFill="1" applyBorder="1" applyAlignment="1">
      <alignment horizontal="center" vertical="center" wrapText="1"/>
    </xf>
    <xf numFmtId="43" fontId="4" fillId="0" borderId="16" xfId="0" applyNumberFormat="1" applyFont="1" applyBorder="1"/>
    <xf numFmtId="0" fontId="4" fillId="0" borderId="17" xfId="0" applyFont="1" applyBorder="1"/>
    <xf numFmtId="43" fontId="4" fillId="0" borderId="18" xfId="1" applyFont="1" applyBorder="1"/>
    <xf numFmtId="43" fontId="5" fillId="0" borderId="19" xfId="0" applyNumberFormat="1" applyFont="1" applyBorder="1" applyAlignment="1">
      <alignment horizontal="center" vertical="center"/>
    </xf>
    <xf numFmtId="43" fontId="5" fillId="0" borderId="20" xfId="0" applyNumberFormat="1" applyFont="1" applyBorder="1" applyAlignment="1">
      <alignment horizontal="center" vertical="center"/>
    </xf>
    <xf numFmtId="43" fontId="5" fillId="0" borderId="21" xfId="1" applyFont="1" applyBorder="1" applyAlignment="1">
      <alignment horizontal="center" vertical="center"/>
    </xf>
    <xf numFmtId="0" fontId="17" fillId="0" borderId="0" xfId="0" applyFont="1"/>
    <xf numFmtId="43" fontId="17" fillId="0" borderId="0" xfId="0" applyNumberFormat="1" applyFont="1"/>
    <xf numFmtId="165" fontId="17" fillId="0" borderId="0" xfId="0" applyNumberFormat="1" applyFont="1"/>
    <xf numFmtId="0" fontId="17" fillId="0" borderId="0" xfId="0" applyFont="1" applyAlignment="1">
      <alignment horizontal="center"/>
    </xf>
    <xf numFmtId="16" fontId="17" fillId="0" borderId="0" xfId="0" applyNumberFormat="1" applyFont="1"/>
    <xf numFmtId="43" fontId="18" fillId="0" borderId="0" xfId="0" applyNumberFormat="1" applyFont="1"/>
    <xf numFmtId="43" fontId="5" fillId="6" borderId="14" xfId="1" applyFont="1" applyFill="1" applyBorder="1" applyAlignment="1">
      <alignment horizontal="center" vertical="center"/>
    </xf>
    <xf numFmtId="43" fontId="4" fillId="12" borderId="0" xfId="1" applyFont="1" applyFill="1" applyBorder="1"/>
    <xf numFmtId="0" fontId="19" fillId="0" borderId="0" xfId="0" applyFont="1" applyAlignment="1">
      <alignment horizontal="center"/>
    </xf>
    <xf numFmtId="43" fontId="20" fillId="6" borderId="14" xfId="0" applyNumberFormat="1" applyFont="1" applyFill="1" applyBorder="1" applyAlignment="1">
      <alignment horizontal="center" vertical="center" wrapText="1"/>
    </xf>
    <xf numFmtId="43" fontId="17" fillId="12" borderId="0" xfId="0" applyNumberFormat="1" applyFont="1" applyFill="1"/>
    <xf numFmtId="43" fontId="17" fillId="0" borderId="0" xfId="1" applyFont="1"/>
    <xf numFmtId="43" fontId="20" fillId="5" borderId="11" xfId="0" applyNumberFormat="1" applyFont="1" applyFill="1" applyBorder="1" applyAlignment="1">
      <alignment horizontal="center"/>
    </xf>
    <xf numFmtId="43" fontId="20" fillId="8" borderId="15" xfId="1" applyFont="1" applyFill="1" applyBorder="1" applyAlignment="1">
      <alignment horizontal="center" vertical="center"/>
    </xf>
    <xf numFmtId="43" fontId="17" fillId="12" borderId="0" xfId="1" applyFont="1" applyFill="1" applyBorder="1"/>
    <xf numFmtId="0" fontId="17" fillId="13" borderId="0" xfId="0" applyFont="1" applyFill="1"/>
    <xf numFmtId="16" fontId="17" fillId="13" borderId="0" xfId="0" applyNumberFormat="1" applyFont="1" applyFill="1"/>
    <xf numFmtId="0" fontId="17" fillId="13" borderId="0" xfId="0" applyFont="1" applyFill="1" applyAlignment="1">
      <alignment horizontal="center"/>
    </xf>
    <xf numFmtId="43" fontId="17" fillId="13" borderId="0" xfId="0" applyNumberFormat="1" applyFont="1" applyFill="1"/>
    <xf numFmtId="0" fontId="0" fillId="13" borderId="0" xfId="0" applyFill="1"/>
    <xf numFmtId="43" fontId="0" fillId="13" borderId="0" xfId="0" applyNumberFormat="1" applyFill="1"/>
    <xf numFmtId="43" fontId="4" fillId="13" borderId="0" xfId="0" applyNumberFormat="1" applyFont="1" applyFill="1"/>
    <xf numFmtId="17" fontId="21" fillId="13" borderId="0" xfId="0" applyNumberFormat="1" applyFont="1" applyFill="1"/>
    <xf numFmtId="0" fontId="18" fillId="0" borderId="0" xfId="0" applyFont="1"/>
    <xf numFmtId="0" fontId="7" fillId="0" borderId="0" xfId="0" applyFont="1" applyAlignment="1">
      <alignment horizontal="center"/>
    </xf>
    <xf numFmtId="0" fontId="22" fillId="0" borderId="0" xfId="0" applyFont="1"/>
    <xf numFmtId="43" fontId="19" fillId="0" borderId="0" xfId="0" applyNumberFormat="1" applyFont="1" applyAlignment="1">
      <alignment horizontal="center"/>
    </xf>
    <xf numFmtId="17" fontId="21" fillId="0" borderId="0" xfId="0" applyNumberFormat="1" applyFont="1"/>
    <xf numFmtId="0" fontId="17" fillId="0" borderId="0" xfId="0" applyFont="1" applyAlignment="1">
      <alignment horizontal="left"/>
    </xf>
    <xf numFmtId="16" fontId="7" fillId="0" borderId="0" xfId="0" applyNumberFormat="1" applyFont="1"/>
    <xf numFmtId="16" fontId="0" fillId="0" borderId="0" xfId="0" applyNumberFormat="1"/>
    <xf numFmtId="43" fontId="17" fillId="0" borderId="0" xfId="0" applyNumberFormat="1" applyFont="1" applyAlignment="1">
      <alignment horizontal="center"/>
    </xf>
    <xf numFmtId="0" fontId="17" fillId="0" borderId="0" xfId="0" quotePrefix="1" applyFont="1"/>
    <xf numFmtId="0" fontId="17" fillId="0" borderId="0" xfId="0" quotePrefix="1" applyFont="1" applyAlignment="1">
      <alignment horizontal="center"/>
    </xf>
    <xf numFmtId="13" fontId="17" fillId="0" borderId="0" xfId="0" applyNumberFormat="1" applyFont="1"/>
    <xf numFmtId="43" fontId="20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/>
    </xf>
    <xf numFmtId="16" fontId="23" fillId="0" borderId="0" xfId="0" applyNumberFormat="1" applyFont="1"/>
    <xf numFmtId="43" fontId="23" fillId="0" borderId="0" xfId="0" applyNumberFormat="1" applyFont="1"/>
    <xf numFmtId="43" fontId="23" fillId="0" borderId="0" xfId="0" applyNumberFormat="1" applyFont="1" applyAlignment="1">
      <alignment horizontal="center"/>
    </xf>
    <xf numFmtId="0" fontId="23" fillId="0" borderId="0" xfId="0" quotePrefix="1" applyFont="1"/>
    <xf numFmtId="0" fontId="23" fillId="0" borderId="0" xfId="0" quotePrefix="1" applyFont="1" applyAlignment="1">
      <alignment horizontal="center"/>
    </xf>
    <xf numFmtId="165" fontId="23" fillId="0" borderId="0" xfId="0" applyNumberFormat="1" applyFont="1"/>
    <xf numFmtId="0" fontId="19" fillId="0" borderId="0" xfId="0" quotePrefix="1" applyFont="1"/>
    <xf numFmtId="0" fontId="19" fillId="0" borderId="0" xfId="0" quotePrefix="1" applyFont="1" applyAlignment="1">
      <alignment horizontal="center"/>
    </xf>
    <xf numFmtId="16" fontId="19" fillId="0" borderId="0" xfId="0" applyNumberFormat="1" applyFont="1"/>
    <xf numFmtId="43" fontId="19" fillId="0" borderId="0" xfId="0" applyNumberFormat="1" applyFont="1"/>
    <xf numFmtId="16" fontId="24" fillId="0" borderId="0" xfId="0" applyNumberFormat="1" applyFont="1"/>
    <xf numFmtId="16" fontId="24" fillId="0" borderId="0" xfId="0" applyNumberFormat="1" applyFont="1" applyAlignment="1">
      <alignment horizontal="right"/>
    </xf>
    <xf numFmtId="17" fontId="19" fillId="13" borderId="0" xfId="0" applyNumberFormat="1" applyFont="1" applyFill="1"/>
    <xf numFmtId="167" fontId="17" fillId="0" borderId="0" xfId="0" applyNumberFormat="1" applyFont="1"/>
    <xf numFmtId="43" fontId="17" fillId="0" borderId="0" xfId="1" applyFont="1" applyFill="1" applyBorder="1"/>
    <xf numFmtId="0" fontId="0" fillId="12" borderId="0" xfId="0" applyFill="1"/>
    <xf numFmtId="16" fontId="17" fillId="12" borderId="0" xfId="0" applyNumberFormat="1" applyFont="1" applyFill="1"/>
    <xf numFmtId="43" fontId="17" fillId="12" borderId="0" xfId="0" applyNumberFormat="1" applyFont="1" applyFill="1" applyAlignment="1">
      <alignment horizontal="center"/>
    </xf>
    <xf numFmtId="12" fontId="17" fillId="0" borderId="0" xfId="0" applyNumberFormat="1" applyFont="1"/>
    <xf numFmtId="0" fontId="19" fillId="0" borderId="0" xfId="0" applyFont="1"/>
    <xf numFmtId="0" fontId="6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43" fontId="5" fillId="4" borderId="1" xfId="0" applyNumberFormat="1" applyFont="1" applyFill="1" applyBorder="1" applyAlignment="1">
      <alignment horizontal="center"/>
    </xf>
    <xf numFmtId="43" fontId="5" fillId="4" borderId="2" xfId="0" applyNumberFormat="1" applyFont="1" applyFill="1" applyBorder="1" applyAlignment="1">
      <alignment horizontal="center"/>
    </xf>
    <xf numFmtId="43" fontId="5" fillId="5" borderId="2" xfId="0" applyNumberFormat="1" applyFont="1" applyFill="1" applyBorder="1" applyAlignment="1">
      <alignment horizontal="center"/>
    </xf>
    <xf numFmtId="43" fontId="5" fillId="5" borderId="3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43" fontId="5" fillId="4" borderId="10" xfId="0" applyNumberFormat="1" applyFont="1" applyFill="1" applyBorder="1" applyAlignment="1">
      <alignment horizontal="center"/>
    </xf>
    <xf numFmtId="43" fontId="5" fillId="4" borderId="11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TableStyleLigh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81"/>
  <sheetViews>
    <sheetView workbookViewId="0">
      <pane xSplit="11" ySplit="8" topLeftCell="R9" activePane="bottomRight" state="frozen"/>
      <selection pane="topRight" activeCell="L1" sqref="L1"/>
      <selection pane="bottomLeft" activeCell="A9" sqref="A9"/>
      <selection pane="bottomRight" activeCell="R8" sqref="R8"/>
    </sheetView>
  </sheetViews>
  <sheetFormatPr defaultRowHeight="15" x14ac:dyDescent="0.25"/>
  <cols>
    <col min="1" max="1" width="9.42578125" customWidth="1"/>
    <col min="2" max="2" width="10.85546875" style="9" customWidth="1"/>
    <col min="3" max="3" width="9.28515625" style="69" bestFit="1" customWidth="1"/>
    <col min="4" max="4" width="6.28515625" style="69" customWidth="1"/>
    <col min="5" max="5" width="7.5703125" style="76" bestFit="1" customWidth="1"/>
    <col min="6" max="6" width="17.85546875" style="1" customWidth="1"/>
    <col min="7" max="7" width="10.140625" style="9" customWidth="1"/>
    <col min="8" max="8" width="7.85546875" style="1" customWidth="1"/>
    <col min="9" max="9" width="47" style="5" bestFit="1" customWidth="1"/>
    <col min="10" max="10" width="14.28515625" style="2" customWidth="1"/>
    <col min="11" max="11" width="16.7109375" style="2" customWidth="1"/>
    <col min="12" max="12" width="19.5703125" style="2" customWidth="1"/>
    <col min="13" max="13" width="20.5703125" style="2" customWidth="1"/>
    <col min="14" max="14" width="16.42578125" style="2" customWidth="1"/>
    <col min="15" max="15" width="11.5703125" style="2" customWidth="1"/>
    <col min="16" max="16" width="20.140625" style="2" customWidth="1"/>
    <col min="17" max="17" width="18.140625" style="2" customWidth="1"/>
    <col min="18" max="18" width="15" style="2" customWidth="1"/>
    <col min="19" max="19" width="18" style="2" customWidth="1"/>
    <col min="20" max="20" width="18.28515625" style="5" customWidth="1"/>
    <col min="21" max="22" width="12" style="2" customWidth="1"/>
    <col min="23" max="23" width="15.28515625" style="2" customWidth="1"/>
    <col min="24" max="24" width="11.42578125" bestFit="1" customWidth="1"/>
    <col min="25" max="25" width="10.42578125" bestFit="1" customWidth="1"/>
    <col min="26" max="26" width="13" customWidth="1"/>
    <col min="27" max="27" width="15.42578125" style="30" customWidth="1"/>
    <col min="28" max="28" width="3.7109375" customWidth="1"/>
    <col min="29" max="29" width="13" style="30" customWidth="1"/>
    <col min="30" max="30" width="12.5703125" style="7" customWidth="1"/>
    <col min="31" max="31" width="20.140625" style="7" bestFit="1" customWidth="1"/>
    <col min="32" max="32" width="9.140625" style="30"/>
  </cols>
  <sheetData>
    <row r="1" spans="1:32" ht="26.25" x14ac:dyDescent="0.4">
      <c r="A1" s="3" t="s">
        <v>57</v>
      </c>
      <c r="I1"/>
      <c r="J1"/>
      <c r="K1"/>
      <c r="T1" s="2"/>
      <c r="X1" s="2"/>
      <c r="Y1" s="2"/>
      <c r="Z1" s="2"/>
      <c r="AB1" s="2"/>
      <c r="AD1" s="10"/>
    </row>
    <row r="2" spans="1:32" x14ac:dyDescent="0.25">
      <c r="A2" t="s">
        <v>9</v>
      </c>
      <c r="I2"/>
      <c r="J2"/>
      <c r="K2"/>
      <c r="T2" s="2"/>
      <c r="X2" s="2"/>
      <c r="Y2" s="2"/>
      <c r="Z2" s="2"/>
      <c r="AB2" s="2"/>
      <c r="AD2" s="10"/>
    </row>
    <row r="3" spans="1:32" x14ac:dyDescent="0.25">
      <c r="A3" s="4" t="s">
        <v>154</v>
      </c>
      <c r="I3"/>
      <c r="J3"/>
      <c r="K3"/>
      <c r="T3" s="2"/>
      <c r="X3" s="2"/>
      <c r="Y3" s="2"/>
      <c r="Z3" s="2"/>
      <c r="AB3" s="2"/>
      <c r="AD3" s="10"/>
    </row>
    <row r="4" spans="1:32" x14ac:dyDescent="0.25">
      <c r="I4"/>
      <c r="J4"/>
      <c r="K4"/>
      <c r="T4" s="2"/>
      <c r="X4" s="2"/>
      <c r="Y4" s="2"/>
      <c r="Z4" s="2"/>
      <c r="AB4" s="2"/>
      <c r="AD4" s="10"/>
    </row>
    <row r="5" spans="1:32" x14ac:dyDescent="0.25">
      <c r="A5" s="7"/>
      <c r="C5" s="70"/>
      <c r="D5" s="70"/>
      <c r="E5" s="73"/>
      <c r="F5" s="9"/>
      <c r="H5" s="9"/>
      <c r="I5" s="7"/>
      <c r="J5" s="7"/>
      <c r="K5" s="7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7"/>
      <c r="AB5" s="10"/>
      <c r="AC5" s="17"/>
      <c r="AD5" s="10"/>
    </row>
    <row r="6" spans="1:32" ht="15.75" thickBot="1" x14ac:dyDescent="0.3">
      <c r="A6" s="7"/>
      <c r="C6" s="70"/>
      <c r="D6" s="70"/>
      <c r="E6" s="73"/>
      <c r="F6" s="9"/>
      <c r="H6" s="9"/>
      <c r="I6" s="7"/>
      <c r="J6" s="7"/>
      <c r="K6" s="7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7"/>
      <c r="AB6" s="10"/>
      <c r="AC6" s="17"/>
      <c r="AD6" s="10"/>
    </row>
    <row r="7" spans="1:32" ht="15.75" thickBot="1" x14ac:dyDescent="0.3">
      <c r="A7" s="180" t="s">
        <v>11</v>
      </c>
      <c r="B7" s="181"/>
      <c r="C7" s="181"/>
      <c r="D7" s="181"/>
      <c r="E7" s="181"/>
      <c r="F7" s="181"/>
      <c r="G7" s="181"/>
      <c r="H7" s="181"/>
      <c r="I7" s="181"/>
      <c r="J7" s="181"/>
      <c r="K7" s="182"/>
      <c r="L7" s="183" t="s">
        <v>7</v>
      </c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5"/>
      <c r="AC7" s="186"/>
      <c r="AD7" s="10"/>
    </row>
    <row r="8" spans="1:32" ht="36" x14ac:dyDescent="0.25">
      <c r="A8" s="8" t="s">
        <v>10</v>
      </c>
      <c r="B8" s="8" t="s">
        <v>5</v>
      </c>
      <c r="C8" s="71" t="s">
        <v>6</v>
      </c>
      <c r="D8" s="71" t="s">
        <v>15</v>
      </c>
      <c r="E8" s="71" t="s">
        <v>2</v>
      </c>
      <c r="F8" s="8" t="s">
        <v>14</v>
      </c>
      <c r="G8" s="8" t="s">
        <v>27</v>
      </c>
      <c r="H8" s="8" t="s">
        <v>28</v>
      </c>
      <c r="I8" s="8" t="s">
        <v>0</v>
      </c>
      <c r="J8" s="8" t="s">
        <v>12</v>
      </c>
      <c r="K8" s="15" t="s">
        <v>1</v>
      </c>
      <c r="L8" s="11" t="s">
        <v>3</v>
      </c>
      <c r="M8" s="11" t="s">
        <v>16</v>
      </c>
      <c r="N8" s="11" t="s">
        <v>21</v>
      </c>
      <c r="O8" s="11" t="s">
        <v>17</v>
      </c>
      <c r="P8" s="11" t="s">
        <v>42</v>
      </c>
      <c r="Q8" s="11" t="s">
        <v>23</v>
      </c>
      <c r="R8" s="11" t="s">
        <v>18</v>
      </c>
      <c r="S8" s="11" t="s">
        <v>209</v>
      </c>
      <c r="T8" s="11" t="s">
        <v>19</v>
      </c>
      <c r="U8" s="11" t="s">
        <v>20</v>
      </c>
      <c r="V8" s="11" t="s">
        <v>81</v>
      </c>
      <c r="W8" s="11" t="s">
        <v>22</v>
      </c>
      <c r="X8" s="11" t="s">
        <v>24</v>
      </c>
      <c r="Y8" s="11" t="s">
        <v>25</v>
      </c>
      <c r="Z8" s="11" t="s">
        <v>41</v>
      </c>
      <c r="AA8" s="36" t="s">
        <v>26</v>
      </c>
      <c r="AB8" s="12"/>
      <c r="AC8" s="31" t="s">
        <v>4</v>
      </c>
      <c r="AD8" s="13" t="s">
        <v>13</v>
      </c>
      <c r="AE8" s="13" t="s">
        <v>134</v>
      </c>
      <c r="AF8" s="94" t="s">
        <v>1096</v>
      </c>
    </row>
    <row r="9" spans="1:32" x14ac:dyDescent="0.25">
      <c r="A9" s="18"/>
      <c r="B9" s="19"/>
      <c r="C9" s="72"/>
      <c r="D9" s="72"/>
      <c r="E9" s="77"/>
      <c r="F9" s="19"/>
      <c r="G9" s="19"/>
      <c r="H9" s="19"/>
      <c r="I9" s="20"/>
      <c r="J9" s="20"/>
      <c r="K9" s="2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32"/>
      <c r="AB9" s="22"/>
      <c r="AC9" s="32"/>
      <c r="AD9" s="22"/>
    </row>
    <row r="10" spans="1:32" x14ac:dyDescent="0.25">
      <c r="A10" s="25">
        <v>44197</v>
      </c>
      <c r="B10" s="19"/>
      <c r="C10" s="72"/>
      <c r="D10" s="72"/>
      <c r="E10" s="77"/>
      <c r="F10" s="19"/>
      <c r="G10" s="19"/>
      <c r="H10" s="19"/>
      <c r="I10" s="20"/>
      <c r="J10" s="20"/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32"/>
      <c r="AB10" s="22"/>
      <c r="AC10" s="32"/>
      <c r="AD10" s="22"/>
    </row>
    <row r="11" spans="1:32" x14ac:dyDescent="0.25">
      <c r="A11" s="7"/>
      <c r="C11" s="70"/>
      <c r="D11" s="70"/>
      <c r="E11" s="73"/>
      <c r="F11" s="9"/>
      <c r="H11" s="9"/>
      <c r="I11" s="7" t="s">
        <v>155</v>
      </c>
      <c r="J11" s="83" t="s">
        <v>132</v>
      </c>
      <c r="K11" s="26"/>
      <c r="L11" s="10"/>
      <c r="M11" s="10"/>
      <c r="N11" s="10"/>
      <c r="O11" s="10"/>
      <c r="P11" s="10"/>
      <c r="Q11" s="10">
        <v>18345.66</v>
      </c>
      <c r="R11" s="10"/>
      <c r="S11" s="10"/>
      <c r="T11" s="10"/>
      <c r="U11" s="10"/>
      <c r="V11" s="10"/>
      <c r="W11" s="10"/>
      <c r="X11" s="10"/>
      <c r="Y11" s="10"/>
      <c r="Z11" s="10"/>
      <c r="AA11" s="33"/>
      <c r="AB11" s="10"/>
      <c r="AC11" s="33">
        <v>18345.66</v>
      </c>
      <c r="AD11" s="10">
        <f t="shared" ref="AD11:AD44" si="0">SUM(AB11:AC11)-SUM(L11:AA11)</f>
        <v>0</v>
      </c>
      <c r="AE11" s="82" t="s">
        <v>133</v>
      </c>
    </row>
    <row r="12" spans="1:32" x14ac:dyDescent="0.25">
      <c r="A12" s="7" t="s">
        <v>156</v>
      </c>
      <c r="B12" s="9" t="s">
        <v>157</v>
      </c>
      <c r="C12" s="70">
        <v>44202</v>
      </c>
      <c r="D12" s="70">
        <v>44202</v>
      </c>
      <c r="E12" s="73"/>
      <c r="F12" s="9"/>
      <c r="H12" s="9"/>
      <c r="I12" s="7" t="s">
        <v>150</v>
      </c>
      <c r="J12" s="83" t="s">
        <v>39</v>
      </c>
      <c r="K12" s="26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150000</v>
      </c>
      <c r="X12" s="10"/>
      <c r="Y12" s="10"/>
      <c r="Z12" s="10"/>
      <c r="AA12" s="33"/>
      <c r="AB12" s="10"/>
      <c r="AC12" s="33">
        <v>150000</v>
      </c>
      <c r="AD12" s="10">
        <f t="shared" si="0"/>
        <v>0</v>
      </c>
      <c r="AF12" s="46"/>
    </row>
    <row r="13" spans="1:32" x14ac:dyDescent="0.25">
      <c r="A13" s="7" t="s">
        <v>158</v>
      </c>
      <c r="B13" s="9" t="s">
        <v>164</v>
      </c>
      <c r="C13" s="70">
        <v>44203</v>
      </c>
      <c r="D13" s="70">
        <v>44203</v>
      </c>
      <c r="E13" s="73"/>
      <c r="F13" s="45"/>
      <c r="H13" s="9"/>
      <c r="I13" s="7" t="s">
        <v>55</v>
      </c>
      <c r="J13" s="83" t="s">
        <v>54</v>
      </c>
      <c r="K13" s="7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400000</v>
      </c>
      <c r="AA13" s="33"/>
      <c r="AB13" s="10"/>
      <c r="AC13" s="33">
        <v>400000</v>
      </c>
      <c r="AD13" s="10">
        <f t="shared" si="0"/>
        <v>0</v>
      </c>
      <c r="AE13" s="68"/>
      <c r="AF13" s="46"/>
    </row>
    <row r="14" spans="1:32" x14ac:dyDescent="0.25">
      <c r="A14" s="7" t="s">
        <v>159</v>
      </c>
      <c r="B14" s="9" t="s">
        <v>165</v>
      </c>
      <c r="C14" s="70">
        <v>44203</v>
      </c>
      <c r="D14" s="70">
        <v>44203</v>
      </c>
      <c r="E14" s="73">
        <v>44204</v>
      </c>
      <c r="F14" s="9" t="s">
        <v>166</v>
      </c>
      <c r="H14" s="9"/>
      <c r="I14" s="7" t="s">
        <v>93</v>
      </c>
      <c r="J14" s="83" t="s">
        <v>79</v>
      </c>
      <c r="K14" s="26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>
        <v>20667</v>
      </c>
      <c r="W14" s="10"/>
      <c r="X14" s="10"/>
      <c r="Y14" s="10"/>
      <c r="Z14" s="10"/>
      <c r="AA14" s="33"/>
      <c r="AB14" s="10"/>
      <c r="AC14" s="33">
        <v>20667</v>
      </c>
      <c r="AD14" s="10">
        <f t="shared" si="0"/>
        <v>0</v>
      </c>
      <c r="AF14" s="46"/>
    </row>
    <row r="15" spans="1:32" x14ac:dyDescent="0.25">
      <c r="A15" s="7" t="s">
        <v>160</v>
      </c>
      <c r="B15" s="9">
        <v>3873782</v>
      </c>
      <c r="C15" s="70">
        <v>44207</v>
      </c>
      <c r="D15" s="70">
        <v>44207</v>
      </c>
      <c r="E15" s="73"/>
      <c r="F15" s="9"/>
      <c r="H15" s="9" t="s">
        <v>62</v>
      </c>
      <c r="I15" s="7" t="s">
        <v>114</v>
      </c>
      <c r="J15" s="83" t="s">
        <v>65</v>
      </c>
      <c r="K15" s="7"/>
      <c r="L15" s="10"/>
      <c r="M15" s="10"/>
      <c r="N15" s="10"/>
      <c r="O15" s="10"/>
      <c r="P15" s="10"/>
      <c r="Q15" s="10"/>
      <c r="R15" s="10"/>
      <c r="S15" s="10"/>
      <c r="T15" s="10">
        <v>12372.25</v>
      </c>
      <c r="U15" s="10"/>
      <c r="V15" s="10"/>
      <c r="W15" s="10"/>
      <c r="X15" s="10"/>
      <c r="Y15" s="10"/>
      <c r="Z15" s="10"/>
      <c r="AA15" s="33"/>
      <c r="AB15" s="10"/>
      <c r="AC15" s="33">
        <v>12372.25</v>
      </c>
      <c r="AD15" s="10">
        <f t="shared" si="0"/>
        <v>0</v>
      </c>
      <c r="AF15" s="46"/>
    </row>
    <row r="16" spans="1:32" x14ac:dyDescent="0.25">
      <c r="A16" s="7" t="s">
        <v>161</v>
      </c>
      <c r="B16" s="9">
        <v>3873783</v>
      </c>
      <c r="C16" s="70">
        <v>44207</v>
      </c>
      <c r="D16" s="70">
        <v>44207</v>
      </c>
      <c r="E16" s="73"/>
      <c r="F16" s="9"/>
      <c r="H16" s="9"/>
      <c r="I16" s="7" t="s">
        <v>167</v>
      </c>
      <c r="J16" s="83" t="s">
        <v>18</v>
      </c>
      <c r="K16" s="7"/>
      <c r="L16" s="10">
        <v>151.09</v>
      </c>
      <c r="M16" s="10"/>
      <c r="N16" s="10"/>
      <c r="O16" s="10"/>
      <c r="P16" s="10"/>
      <c r="Q16" s="10"/>
      <c r="R16" s="10">
        <v>1259.06</v>
      </c>
      <c r="S16" s="10"/>
      <c r="T16" s="14"/>
      <c r="U16" s="10"/>
      <c r="V16" s="10"/>
      <c r="W16" s="10"/>
      <c r="X16" s="7"/>
      <c r="Y16" s="7"/>
      <c r="Z16" s="7"/>
      <c r="AA16" s="34"/>
      <c r="AB16" s="7"/>
      <c r="AC16" s="34">
        <v>1410.15</v>
      </c>
      <c r="AD16" s="10">
        <f t="shared" si="0"/>
        <v>0</v>
      </c>
      <c r="AF16" s="46"/>
    </row>
    <row r="17" spans="1:32" x14ac:dyDescent="0.25">
      <c r="A17" s="7" t="s">
        <v>162</v>
      </c>
      <c r="B17" s="9">
        <v>3873784</v>
      </c>
      <c r="C17" s="70">
        <v>44207</v>
      </c>
      <c r="D17" s="70">
        <v>44207</v>
      </c>
      <c r="E17" s="73"/>
      <c r="F17" s="9"/>
      <c r="H17" s="9"/>
      <c r="I17" s="7" t="s">
        <v>167</v>
      </c>
      <c r="J17" s="83" t="s">
        <v>18</v>
      </c>
      <c r="K17" s="26"/>
      <c r="L17" s="10">
        <v>871.09</v>
      </c>
      <c r="M17" s="10"/>
      <c r="N17" s="10"/>
      <c r="O17" s="10"/>
      <c r="P17" s="10"/>
      <c r="Q17" s="10"/>
      <c r="R17" s="10">
        <v>7259.06</v>
      </c>
      <c r="S17" s="10"/>
      <c r="T17" s="14"/>
      <c r="U17" s="10"/>
      <c r="V17" s="10"/>
      <c r="W17" s="10"/>
      <c r="X17" s="7"/>
      <c r="Y17" s="7"/>
      <c r="Z17" s="7"/>
      <c r="AA17" s="34"/>
      <c r="AB17" s="7"/>
      <c r="AC17" s="34">
        <v>8130.15</v>
      </c>
      <c r="AD17" s="10">
        <f t="shared" si="0"/>
        <v>0</v>
      </c>
      <c r="AF17" s="46"/>
    </row>
    <row r="18" spans="1:32" x14ac:dyDescent="0.25">
      <c r="A18" s="7" t="s">
        <v>163</v>
      </c>
      <c r="B18" s="9">
        <v>3873785</v>
      </c>
      <c r="C18" s="70">
        <v>44207</v>
      </c>
      <c r="D18" s="70">
        <v>44207</v>
      </c>
      <c r="E18" s="73"/>
      <c r="F18" s="9"/>
      <c r="H18" s="9"/>
      <c r="I18" s="7" t="s">
        <v>178</v>
      </c>
      <c r="J18" s="84" t="s">
        <v>43</v>
      </c>
      <c r="K18" s="10"/>
      <c r="L18" s="10">
        <v>107.04</v>
      </c>
      <c r="M18" s="10"/>
      <c r="N18" s="10"/>
      <c r="O18" s="10"/>
      <c r="P18" s="10"/>
      <c r="Q18" s="10"/>
      <c r="R18" s="10"/>
      <c r="S18" s="10">
        <v>891.96</v>
      </c>
      <c r="T18" s="10"/>
      <c r="U18" s="10"/>
      <c r="V18" s="10"/>
      <c r="W18" s="10"/>
      <c r="X18" s="10"/>
      <c r="Y18" s="10"/>
      <c r="Z18" s="10"/>
      <c r="AA18" s="33"/>
      <c r="AB18" s="10"/>
      <c r="AC18" s="10">
        <v>999</v>
      </c>
      <c r="AD18" s="10">
        <f t="shared" si="0"/>
        <v>0</v>
      </c>
      <c r="AF18" s="46"/>
    </row>
    <row r="19" spans="1:32" x14ac:dyDescent="0.25">
      <c r="A19" s="7" t="s">
        <v>168</v>
      </c>
      <c r="B19" s="9">
        <v>3873786</v>
      </c>
      <c r="C19" s="70">
        <v>44207</v>
      </c>
      <c r="D19" s="70">
        <v>44207</v>
      </c>
      <c r="E19" s="73"/>
      <c r="F19" s="9"/>
      <c r="H19" s="9"/>
      <c r="I19" s="7" t="s">
        <v>178</v>
      </c>
      <c r="J19" s="84" t="s">
        <v>43</v>
      </c>
      <c r="K19" s="10"/>
      <c r="L19" s="10">
        <v>158.07</v>
      </c>
      <c r="M19" s="10"/>
      <c r="N19" s="10"/>
      <c r="O19" s="10"/>
      <c r="P19" s="10"/>
      <c r="Q19" s="10"/>
      <c r="R19" s="10"/>
      <c r="S19" s="10">
        <v>1317.21</v>
      </c>
      <c r="T19" s="10"/>
      <c r="U19" s="10"/>
      <c r="V19" s="10"/>
      <c r="W19" s="10"/>
      <c r="X19" s="10"/>
      <c r="Y19" s="10"/>
      <c r="Z19" s="10"/>
      <c r="AA19" s="33"/>
      <c r="AB19" s="10"/>
      <c r="AC19" s="10">
        <v>1475.28</v>
      </c>
      <c r="AD19" s="10">
        <f t="shared" si="0"/>
        <v>0</v>
      </c>
      <c r="AF19" s="46"/>
    </row>
    <row r="20" spans="1:32" x14ac:dyDescent="0.25">
      <c r="A20" s="7" t="s">
        <v>169</v>
      </c>
      <c r="B20" s="9" t="s">
        <v>179</v>
      </c>
      <c r="C20" s="70">
        <v>44207</v>
      </c>
      <c r="D20" s="70">
        <v>44207</v>
      </c>
      <c r="E20" s="73"/>
      <c r="F20" s="9"/>
      <c r="H20" s="9"/>
      <c r="I20" s="7" t="s">
        <v>64</v>
      </c>
      <c r="J20" s="83" t="s">
        <v>34</v>
      </c>
      <c r="K20" s="7"/>
      <c r="L20" s="10"/>
      <c r="M20" s="10"/>
      <c r="N20" s="10"/>
      <c r="O20" s="10"/>
      <c r="P20" s="10">
        <v>50000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33"/>
      <c r="AB20" s="10"/>
      <c r="AC20" s="33">
        <v>50000</v>
      </c>
      <c r="AD20" s="10">
        <f t="shared" si="0"/>
        <v>0</v>
      </c>
      <c r="AF20" s="46"/>
    </row>
    <row r="21" spans="1:32" x14ac:dyDescent="0.25">
      <c r="A21" s="7" t="s">
        <v>170</v>
      </c>
      <c r="B21" s="9">
        <v>3873787</v>
      </c>
      <c r="C21" s="70">
        <v>44208</v>
      </c>
      <c r="D21" s="70">
        <v>44208</v>
      </c>
      <c r="E21" s="73"/>
      <c r="F21" s="9"/>
      <c r="H21" s="9"/>
      <c r="I21" s="7" t="s">
        <v>180</v>
      </c>
      <c r="J21" s="83" t="s">
        <v>140</v>
      </c>
      <c r="K21" s="7"/>
      <c r="L21" s="10"/>
      <c r="M21" s="10"/>
      <c r="N21" s="10"/>
      <c r="O21" s="10"/>
      <c r="P21" s="10"/>
      <c r="Q21" s="10">
        <v>33920</v>
      </c>
      <c r="R21" s="10"/>
      <c r="S21" s="10"/>
      <c r="T21" s="10"/>
      <c r="U21" s="10"/>
      <c r="V21" s="10"/>
      <c r="W21" s="10"/>
      <c r="X21" s="10"/>
      <c r="Y21" s="10"/>
      <c r="Z21" s="10"/>
      <c r="AA21" s="33"/>
      <c r="AB21" s="10"/>
      <c r="AC21" s="33">
        <v>33920</v>
      </c>
      <c r="AD21" s="10">
        <f t="shared" si="0"/>
        <v>0</v>
      </c>
      <c r="AF21" s="46"/>
    </row>
    <row r="22" spans="1:32" x14ac:dyDescent="0.25">
      <c r="A22" s="7" t="s">
        <v>171</v>
      </c>
      <c r="B22" s="9">
        <v>3873788</v>
      </c>
      <c r="C22" s="70">
        <v>44208</v>
      </c>
      <c r="D22" s="70">
        <v>44208</v>
      </c>
      <c r="E22" s="73"/>
      <c r="F22" s="9"/>
      <c r="H22" s="9"/>
      <c r="I22" s="7" t="s">
        <v>181</v>
      </c>
      <c r="J22" s="83" t="s">
        <v>140</v>
      </c>
      <c r="K22" s="7"/>
      <c r="L22" s="10"/>
      <c r="M22" s="10"/>
      <c r="N22" s="10"/>
      <c r="O22" s="10"/>
      <c r="P22" s="10"/>
      <c r="Q22" s="10">
        <v>9561.69</v>
      </c>
      <c r="R22" s="10"/>
      <c r="S22" s="10"/>
      <c r="T22" s="10"/>
      <c r="U22" s="10"/>
      <c r="V22" s="10"/>
      <c r="W22" s="10"/>
      <c r="X22" s="10"/>
      <c r="Y22" s="10"/>
      <c r="Z22" s="10"/>
      <c r="AA22" s="33"/>
      <c r="AB22" s="10"/>
      <c r="AC22" s="33">
        <v>9561.69</v>
      </c>
      <c r="AD22" s="10">
        <f t="shared" si="0"/>
        <v>0</v>
      </c>
      <c r="AF22" s="46"/>
    </row>
    <row r="23" spans="1:32" x14ac:dyDescent="0.25">
      <c r="A23" s="7" t="s">
        <v>172</v>
      </c>
      <c r="B23" s="9">
        <v>3873789</v>
      </c>
      <c r="C23" s="70">
        <v>44209</v>
      </c>
      <c r="D23" s="70">
        <v>44209</v>
      </c>
      <c r="E23" s="73"/>
      <c r="F23" s="9"/>
      <c r="H23" s="9"/>
      <c r="I23" s="7" t="s">
        <v>182</v>
      </c>
      <c r="J23" s="83" t="s">
        <v>44</v>
      </c>
      <c r="K23" s="24"/>
      <c r="L23" s="10">
        <v>440.84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>
        <v>3673.67</v>
      </c>
      <c r="Y23" s="10"/>
      <c r="Z23" s="10"/>
      <c r="AA23" s="33"/>
      <c r="AB23" s="10"/>
      <c r="AC23" s="33">
        <v>4114.51</v>
      </c>
      <c r="AD23" s="10">
        <f t="shared" si="0"/>
        <v>0</v>
      </c>
      <c r="AF23" s="46"/>
    </row>
    <row r="24" spans="1:32" x14ac:dyDescent="0.25">
      <c r="A24" s="7" t="s">
        <v>173</v>
      </c>
      <c r="B24" s="9">
        <v>3873790</v>
      </c>
      <c r="C24" s="70">
        <v>44209</v>
      </c>
      <c r="D24" s="70">
        <v>44209</v>
      </c>
      <c r="E24" s="73"/>
      <c r="F24" s="9"/>
      <c r="H24" s="9" t="s">
        <v>86</v>
      </c>
      <c r="I24" s="7" t="s">
        <v>58</v>
      </c>
      <c r="J24" s="83" t="s">
        <v>39</v>
      </c>
      <c r="K24" s="7"/>
      <c r="L24" s="10"/>
      <c r="M24" s="10"/>
      <c r="N24" s="10"/>
      <c r="O24" s="10"/>
      <c r="P24" s="10"/>
      <c r="Q24" s="10"/>
      <c r="R24" s="10"/>
      <c r="S24" s="10"/>
      <c r="T24" s="10">
        <v>9071</v>
      </c>
      <c r="U24" s="10"/>
      <c r="V24" s="10"/>
      <c r="W24" s="10"/>
      <c r="X24" s="10"/>
      <c r="Y24" s="10"/>
      <c r="Z24" s="10"/>
      <c r="AA24" s="33"/>
      <c r="AB24" s="10"/>
      <c r="AC24" s="33">
        <v>9071</v>
      </c>
      <c r="AD24" s="10">
        <f t="shared" si="0"/>
        <v>0</v>
      </c>
      <c r="AF24" s="46"/>
    </row>
    <row r="25" spans="1:32" x14ac:dyDescent="0.25">
      <c r="A25" s="7" t="s">
        <v>174</v>
      </c>
      <c r="B25" s="9">
        <v>3873791</v>
      </c>
      <c r="C25" s="70">
        <v>44222</v>
      </c>
      <c r="D25" s="70">
        <v>44209</v>
      </c>
      <c r="E25" s="73">
        <v>44216</v>
      </c>
      <c r="F25" s="9" t="s">
        <v>225</v>
      </c>
      <c r="G25" s="9" t="s">
        <v>156</v>
      </c>
      <c r="H25" s="9"/>
      <c r="I25" s="7" t="s">
        <v>183</v>
      </c>
      <c r="J25" s="83" t="s">
        <v>83</v>
      </c>
      <c r="K25" s="7" t="s">
        <v>116</v>
      </c>
      <c r="L25" s="10">
        <v>7500</v>
      </c>
      <c r="M25" s="10">
        <v>62500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33"/>
      <c r="AB25" s="10"/>
      <c r="AC25" s="33">
        <v>70000</v>
      </c>
      <c r="AD25" s="10">
        <f t="shared" si="0"/>
        <v>0</v>
      </c>
      <c r="AF25" s="46"/>
    </row>
    <row r="26" spans="1:32" x14ac:dyDescent="0.25">
      <c r="A26" s="7" t="s">
        <v>175</v>
      </c>
      <c r="B26" s="9">
        <v>3873792</v>
      </c>
      <c r="C26" s="70">
        <v>44241</v>
      </c>
      <c r="D26" s="70">
        <v>44211</v>
      </c>
      <c r="E26" s="73">
        <v>44211</v>
      </c>
      <c r="F26" s="9" t="s">
        <v>184</v>
      </c>
      <c r="G26" s="9" t="s">
        <v>158</v>
      </c>
      <c r="H26" s="9"/>
      <c r="I26" s="10" t="s">
        <v>119</v>
      </c>
      <c r="J26" s="84" t="s">
        <v>37</v>
      </c>
      <c r="K26" s="10" t="s">
        <v>38</v>
      </c>
      <c r="L26" s="10">
        <v>7023.21</v>
      </c>
      <c r="M26" s="10">
        <v>58526.79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33"/>
      <c r="AB26" s="10"/>
      <c r="AC26" s="33">
        <v>65550</v>
      </c>
      <c r="AD26" s="10">
        <f t="shared" si="0"/>
        <v>0</v>
      </c>
      <c r="AF26" s="46"/>
    </row>
    <row r="27" spans="1:32" x14ac:dyDescent="0.25">
      <c r="A27" s="7" t="s">
        <v>176</v>
      </c>
      <c r="B27" s="9">
        <v>3873793</v>
      </c>
      <c r="C27" s="70">
        <v>44241</v>
      </c>
      <c r="D27" s="70">
        <v>44211</v>
      </c>
      <c r="E27" s="73">
        <v>44235</v>
      </c>
      <c r="F27" s="9" t="s">
        <v>241</v>
      </c>
      <c r="G27" s="9" t="s">
        <v>159</v>
      </c>
      <c r="H27" s="9"/>
      <c r="I27" s="7" t="s">
        <v>185</v>
      </c>
      <c r="J27" s="83" t="s">
        <v>60</v>
      </c>
      <c r="K27" s="7" t="s">
        <v>61</v>
      </c>
      <c r="L27" s="10">
        <v>910.72</v>
      </c>
      <c r="M27" s="10">
        <v>7589.28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33"/>
      <c r="AB27" s="10"/>
      <c r="AC27" s="33">
        <v>8500</v>
      </c>
      <c r="AD27" s="10">
        <f t="shared" si="0"/>
        <v>0</v>
      </c>
      <c r="AF27" s="46"/>
    </row>
    <row r="28" spans="1:32" x14ac:dyDescent="0.25">
      <c r="A28" s="7" t="s">
        <v>177</v>
      </c>
      <c r="B28" s="9">
        <v>3873794</v>
      </c>
      <c r="C28" s="70">
        <v>44211</v>
      </c>
      <c r="D28" s="70">
        <v>44211</v>
      </c>
      <c r="E28" s="73">
        <v>44216</v>
      </c>
      <c r="F28" s="9" t="s">
        <v>224</v>
      </c>
      <c r="H28" s="9"/>
      <c r="I28" s="7" t="s">
        <v>186</v>
      </c>
      <c r="J28" s="83" t="s">
        <v>187</v>
      </c>
      <c r="K28" s="7"/>
      <c r="L28" s="10">
        <v>768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33">
        <v>6400</v>
      </c>
      <c r="AB28" s="10"/>
      <c r="AC28" s="33">
        <v>7168</v>
      </c>
      <c r="AD28" s="10">
        <f t="shared" si="0"/>
        <v>0</v>
      </c>
      <c r="AF28" s="46"/>
    </row>
    <row r="29" spans="1:32" x14ac:dyDescent="0.25">
      <c r="A29" s="7" t="s">
        <v>188</v>
      </c>
      <c r="B29" s="9">
        <v>3873795</v>
      </c>
      <c r="C29" s="70">
        <v>44214</v>
      </c>
      <c r="D29" s="70">
        <v>44214</v>
      </c>
      <c r="E29" s="73"/>
      <c r="F29" s="9"/>
      <c r="H29" s="9" t="s">
        <v>87</v>
      </c>
      <c r="I29" s="7" t="s">
        <v>58</v>
      </c>
      <c r="J29" s="83" t="s">
        <v>65</v>
      </c>
      <c r="K29" s="7"/>
      <c r="L29" s="10"/>
      <c r="M29" s="10"/>
      <c r="N29" s="10"/>
      <c r="O29" s="10"/>
      <c r="P29" s="10"/>
      <c r="Q29" s="10"/>
      <c r="R29" s="10"/>
      <c r="S29" s="10"/>
      <c r="T29" s="10">
        <v>10681</v>
      </c>
      <c r="U29" s="10"/>
      <c r="V29" s="10"/>
      <c r="W29" s="10"/>
      <c r="X29" s="10"/>
      <c r="Y29" s="10"/>
      <c r="Z29" s="10"/>
      <c r="AA29" s="33"/>
      <c r="AB29" s="10"/>
      <c r="AC29" s="33">
        <v>10681</v>
      </c>
      <c r="AD29" s="10">
        <f t="shared" si="0"/>
        <v>0</v>
      </c>
      <c r="AF29" s="46"/>
    </row>
    <row r="30" spans="1:32" x14ac:dyDescent="0.25">
      <c r="A30" s="7" t="s">
        <v>189</v>
      </c>
      <c r="B30" s="9">
        <v>3873797</v>
      </c>
      <c r="C30" s="70">
        <v>44214</v>
      </c>
      <c r="D30" s="70">
        <v>44214</v>
      </c>
      <c r="E30" s="73"/>
      <c r="F30" s="9"/>
      <c r="H30" s="9"/>
      <c r="I30" s="7" t="s">
        <v>199</v>
      </c>
      <c r="J30" s="83" t="s">
        <v>46</v>
      </c>
      <c r="K30" s="7"/>
      <c r="L30" s="10">
        <v>107.04</v>
      </c>
      <c r="M30" s="10"/>
      <c r="N30" s="10"/>
      <c r="O30" s="10"/>
      <c r="P30" s="10"/>
      <c r="Q30" s="10"/>
      <c r="R30" s="10"/>
      <c r="S30" s="10">
        <v>891.96</v>
      </c>
      <c r="T30" s="10"/>
      <c r="U30" s="10"/>
      <c r="V30" s="10"/>
      <c r="W30" s="10"/>
      <c r="X30" s="10"/>
      <c r="Y30" s="10"/>
      <c r="Z30" s="10"/>
      <c r="AA30" s="33"/>
      <c r="AB30" s="10"/>
      <c r="AC30" s="33">
        <v>999</v>
      </c>
      <c r="AD30" s="10">
        <f t="shared" si="0"/>
        <v>0</v>
      </c>
      <c r="AF30" s="46"/>
    </row>
    <row r="31" spans="1:32" x14ac:dyDescent="0.25">
      <c r="A31" s="7" t="s">
        <v>190</v>
      </c>
      <c r="B31" s="9">
        <v>3873798</v>
      </c>
      <c r="C31" s="70">
        <v>44214</v>
      </c>
      <c r="D31" s="70">
        <v>44214</v>
      </c>
      <c r="E31" s="73"/>
      <c r="F31" s="9"/>
      <c r="H31" s="9"/>
      <c r="I31" s="7" t="s">
        <v>200</v>
      </c>
      <c r="J31" s="83" t="s">
        <v>46</v>
      </c>
      <c r="K31" s="7"/>
      <c r="L31" s="10">
        <v>107.04</v>
      </c>
      <c r="M31" s="10"/>
      <c r="N31" s="10"/>
      <c r="O31" s="10"/>
      <c r="P31" s="10"/>
      <c r="Q31" s="10"/>
      <c r="R31" s="10"/>
      <c r="S31" s="10">
        <v>891.96</v>
      </c>
      <c r="T31" s="10"/>
      <c r="U31" s="10"/>
      <c r="V31" s="10"/>
      <c r="W31" s="10"/>
      <c r="X31" s="10"/>
      <c r="Y31" s="10"/>
      <c r="Z31" s="10"/>
      <c r="AA31" s="33"/>
      <c r="AB31" s="10"/>
      <c r="AC31" s="33">
        <v>999</v>
      </c>
      <c r="AD31" s="10">
        <f t="shared" si="0"/>
        <v>0</v>
      </c>
      <c r="AF31" s="46"/>
    </row>
    <row r="32" spans="1:32" x14ac:dyDescent="0.25">
      <c r="A32" s="7" t="s">
        <v>191</v>
      </c>
      <c r="B32" s="9">
        <v>3873799</v>
      </c>
      <c r="C32" s="70">
        <v>44214</v>
      </c>
      <c r="D32" s="70">
        <v>44214</v>
      </c>
      <c r="E32" s="73"/>
      <c r="F32" s="9"/>
      <c r="H32" s="9"/>
      <c r="I32" s="7" t="s">
        <v>200</v>
      </c>
      <c r="J32" s="83" t="s">
        <v>46</v>
      </c>
      <c r="K32" s="7"/>
      <c r="L32" s="10">
        <v>165.86</v>
      </c>
      <c r="M32" s="10"/>
      <c r="N32" s="10"/>
      <c r="O32" s="10"/>
      <c r="P32" s="10"/>
      <c r="Q32" s="10"/>
      <c r="R32" s="10"/>
      <c r="S32" s="10">
        <v>1382.14</v>
      </c>
      <c r="T32" s="10"/>
      <c r="U32" s="10"/>
      <c r="V32" s="10"/>
      <c r="W32" s="10"/>
      <c r="X32" s="10"/>
      <c r="Y32" s="10"/>
      <c r="Z32" s="10"/>
      <c r="AA32" s="33"/>
      <c r="AB32" s="10"/>
      <c r="AC32" s="33">
        <v>1548</v>
      </c>
      <c r="AD32" s="10">
        <f t="shared" si="0"/>
        <v>0</v>
      </c>
      <c r="AF32" s="46"/>
    </row>
    <row r="33" spans="1:32" x14ac:dyDescent="0.25">
      <c r="A33" s="7" t="s">
        <v>192</v>
      </c>
      <c r="B33" s="9" t="s">
        <v>201</v>
      </c>
      <c r="C33" s="70">
        <v>44214</v>
      </c>
      <c r="D33" s="70">
        <v>44214</v>
      </c>
      <c r="E33" s="73"/>
      <c r="F33" s="9"/>
      <c r="H33" s="9"/>
      <c r="I33" s="7" t="s">
        <v>202</v>
      </c>
      <c r="J33" s="83" t="s">
        <v>65</v>
      </c>
      <c r="K33" s="7"/>
      <c r="L33" s="10"/>
      <c r="M33" s="10"/>
      <c r="N33" s="10"/>
      <c r="O33" s="10"/>
      <c r="P33" s="10"/>
      <c r="Q33" s="10">
        <v>13549.33</v>
      </c>
      <c r="R33" s="10"/>
      <c r="S33" s="10"/>
      <c r="T33" s="10"/>
      <c r="U33" s="10"/>
      <c r="V33" s="10"/>
      <c r="W33" s="10"/>
      <c r="X33" s="10"/>
      <c r="Y33" s="10"/>
      <c r="Z33" s="10"/>
      <c r="AA33" s="33"/>
      <c r="AB33" s="10"/>
      <c r="AC33" s="33">
        <v>13549.33</v>
      </c>
      <c r="AD33" s="10">
        <f t="shared" si="0"/>
        <v>0</v>
      </c>
      <c r="AF33" s="46"/>
    </row>
    <row r="34" spans="1:32" x14ac:dyDescent="0.25">
      <c r="A34" s="7" t="s">
        <v>193</v>
      </c>
      <c r="B34" s="9" t="s">
        <v>203</v>
      </c>
      <c r="C34" s="70">
        <v>44216</v>
      </c>
      <c r="D34" s="70">
        <v>44216</v>
      </c>
      <c r="E34" s="73"/>
      <c r="F34" s="9"/>
      <c r="H34" s="9" t="s">
        <v>85</v>
      </c>
      <c r="I34" s="7" t="s">
        <v>135</v>
      </c>
      <c r="J34" s="83" t="s">
        <v>39</v>
      </c>
      <c r="K34" s="24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33">
        <v>9186.43</v>
      </c>
      <c r="AB34" s="10"/>
      <c r="AC34" s="33">
        <v>10000</v>
      </c>
      <c r="AD34" s="10">
        <f t="shared" si="0"/>
        <v>813.56999999999971</v>
      </c>
      <c r="AE34" s="82" t="s">
        <v>226</v>
      </c>
      <c r="AF34" s="46"/>
    </row>
    <row r="35" spans="1:32" x14ac:dyDescent="0.25">
      <c r="A35" s="7" t="s">
        <v>194</v>
      </c>
      <c r="B35" s="9" t="s">
        <v>204</v>
      </c>
      <c r="C35" s="70">
        <v>44216</v>
      </c>
      <c r="D35" s="70">
        <v>44216</v>
      </c>
      <c r="E35" s="73"/>
      <c r="F35" s="9"/>
      <c r="H35" s="9"/>
      <c r="I35" s="7" t="s">
        <v>206</v>
      </c>
      <c r="J35" s="83" t="s">
        <v>39</v>
      </c>
      <c r="K35" s="24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77232.55</v>
      </c>
      <c r="X35" s="10"/>
      <c r="Y35" s="10"/>
      <c r="Z35" s="10"/>
      <c r="AA35" s="33"/>
      <c r="AB35" s="10"/>
      <c r="AC35" s="33">
        <v>77232.55</v>
      </c>
      <c r="AD35" s="10">
        <f t="shared" si="0"/>
        <v>0</v>
      </c>
      <c r="AF35" s="46"/>
    </row>
    <row r="36" spans="1:32" x14ac:dyDescent="0.25">
      <c r="A36" s="7" t="s">
        <v>195</v>
      </c>
      <c r="B36" s="9" t="s">
        <v>205</v>
      </c>
      <c r="C36" s="70">
        <v>44216</v>
      </c>
      <c r="D36" s="70">
        <v>44216</v>
      </c>
      <c r="E36" s="73"/>
      <c r="F36" s="28"/>
      <c r="H36" s="9"/>
      <c r="I36" s="7" t="s">
        <v>55</v>
      </c>
      <c r="J36" s="83" t="s">
        <v>54</v>
      </c>
      <c r="K36" s="7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>
        <v>200000</v>
      </c>
      <c r="AA36" s="33"/>
      <c r="AB36" s="10"/>
      <c r="AC36" s="33">
        <v>200000</v>
      </c>
      <c r="AD36" s="10">
        <f t="shared" si="0"/>
        <v>0</v>
      </c>
      <c r="AF36" s="46"/>
    </row>
    <row r="37" spans="1:32" x14ac:dyDescent="0.25">
      <c r="A37" s="7" t="s">
        <v>196</v>
      </c>
      <c r="B37" s="9">
        <v>3873800</v>
      </c>
      <c r="C37" s="70">
        <v>44216</v>
      </c>
      <c r="D37" s="70">
        <v>44216</v>
      </c>
      <c r="E37" s="73"/>
      <c r="F37" s="9"/>
      <c r="H37" s="9"/>
      <c r="I37" s="7" t="s">
        <v>207</v>
      </c>
      <c r="J37" s="83" t="s">
        <v>46</v>
      </c>
      <c r="K37" s="7"/>
      <c r="L37" s="10">
        <v>995.61</v>
      </c>
      <c r="M37" s="10"/>
      <c r="N37" s="10"/>
      <c r="O37" s="10"/>
      <c r="P37" s="10"/>
      <c r="Q37" s="10"/>
      <c r="R37" s="10"/>
      <c r="S37" s="10">
        <v>8296.74</v>
      </c>
      <c r="T37" s="10"/>
      <c r="U37" s="10"/>
      <c r="V37" s="10"/>
      <c r="W37" s="10"/>
      <c r="X37" s="10"/>
      <c r="Y37" s="10"/>
      <c r="Z37" s="10"/>
      <c r="AA37" s="33"/>
      <c r="AB37" s="10"/>
      <c r="AC37" s="33">
        <v>9292.35</v>
      </c>
      <c r="AD37" s="10">
        <f t="shared" si="0"/>
        <v>0</v>
      </c>
      <c r="AF37" s="46"/>
    </row>
    <row r="38" spans="1:32" x14ac:dyDescent="0.25">
      <c r="A38" s="7" t="s">
        <v>197</v>
      </c>
      <c r="B38" s="9">
        <v>3873801</v>
      </c>
      <c r="C38" s="70">
        <v>44216</v>
      </c>
      <c r="D38" s="70">
        <v>44216</v>
      </c>
      <c r="E38" s="73"/>
      <c r="F38" s="9"/>
      <c r="H38" s="9"/>
      <c r="I38" s="7" t="s">
        <v>208</v>
      </c>
      <c r="J38" s="84" t="s">
        <v>43</v>
      </c>
      <c r="K38" s="7"/>
      <c r="L38" s="10">
        <v>252.14</v>
      </c>
      <c r="M38" s="10"/>
      <c r="N38" s="10"/>
      <c r="O38" s="10"/>
      <c r="P38" s="10"/>
      <c r="Q38" s="10"/>
      <c r="R38" s="10"/>
      <c r="S38" s="10">
        <v>2101.1799999999998</v>
      </c>
      <c r="T38" s="10"/>
      <c r="U38" s="10"/>
      <c r="V38" s="10"/>
      <c r="W38" s="10"/>
      <c r="X38" s="10"/>
      <c r="Y38" s="10"/>
      <c r="Z38" s="10"/>
      <c r="AA38" s="33"/>
      <c r="AB38" s="10"/>
      <c r="AC38" s="33">
        <v>2353.3200000000002</v>
      </c>
      <c r="AD38" s="10">
        <f t="shared" si="0"/>
        <v>0</v>
      </c>
      <c r="AF38" s="46"/>
    </row>
    <row r="39" spans="1:32" x14ac:dyDescent="0.25">
      <c r="A39" s="7" t="s">
        <v>198</v>
      </c>
      <c r="B39" s="9">
        <v>3873802</v>
      </c>
      <c r="C39" s="70">
        <v>44216</v>
      </c>
      <c r="D39" s="70">
        <v>44216</v>
      </c>
      <c r="E39" s="73"/>
      <c r="F39" s="9"/>
      <c r="H39" s="9"/>
      <c r="I39" s="7" t="s">
        <v>223</v>
      </c>
      <c r="J39" s="83" t="s">
        <v>45</v>
      </c>
      <c r="K39" s="42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33">
        <v>6000</v>
      </c>
      <c r="AB39" s="10"/>
      <c r="AC39" s="33">
        <v>6000</v>
      </c>
      <c r="AD39" s="10">
        <f t="shared" si="0"/>
        <v>0</v>
      </c>
      <c r="AF39" s="46"/>
    </row>
    <row r="40" spans="1:32" x14ac:dyDescent="0.25">
      <c r="A40" s="7" t="s">
        <v>210</v>
      </c>
      <c r="B40" s="9">
        <v>3873803</v>
      </c>
      <c r="C40" s="70">
        <v>44218</v>
      </c>
      <c r="D40" s="70">
        <v>44218</v>
      </c>
      <c r="E40" s="73"/>
      <c r="F40" s="9"/>
      <c r="H40" s="9"/>
      <c r="I40" s="7" t="s">
        <v>221</v>
      </c>
      <c r="J40" s="83" t="s">
        <v>222</v>
      </c>
      <c r="K40" s="7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33">
        <v>3928.58</v>
      </c>
      <c r="AB40" s="10"/>
      <c r="AC40" s="33">
        <v>3928.58</v>
      </c>
      <c r="AD40" s="10">
        <f t="shared" si="0"/>
        <v>0</v>
      </c>
      <c r="AF40" s="46"/>
    </row>
    <row r="41" spans="1:32" x14ac:dyDescent="0.25">
      <c r="A41" s="7" t="s">
        <v>211</v>
      </c>
      <c r="B41" s="9">
        <v>3873804</v>
      </c>
      <c r="C41" s="70">
        <v>44235</v>
      </c>
      <c r="D41" s="70">
        <v>44218</v>
      </c>
      <c r="E41" s="73">
        <v>44245</v>
      </c>
      <c r="F41" s="9" t="s">
        <v>311</v>
      </c>
      <c r="G41" s="9" t="s">
        <v>160</v>
      </c>
      <c r="H41" s="9"/>
      <c r="I41" s="7" t="s">
        <v>183</v>
      </c>
      <c r="J41" s="83" t="s">
        <v>83</v>
      </c>
      <c r="K41" s="7" t="s">
        <v>116</v>
      </c>
      <c r="L41" s="10">
        <v>7500</v>
      </c>
      <c r="M41" s="10">
        <v>62500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33"/>
      <c r="AB41" s="10"/>
      <c r="AC41" s="33">
        <v>70000</v>
      </c>
      <c r="AD41" s="10">
        <f t="shared" si="0"/>
        <v>0</v>
      </c>
      <c r="AF41" s="46"/>
    </row>
    <row r="42" spans="1:32" x14ac:dyDescent="0.25">
      <c r="A42" s="7" t="s">
        <v>212</v>
      </c>
      <c r="B42" s="9">
        <v>3873805</v>
      </c>
      <c r="C42" s="70">
        <v>44218</v>
      </c>
      <c r="D42" s="70">
        <v>44218</v>
      </c>
      <c r="E42" s="73"/>
      <c r="F42" s="48"/>
      <c r="H42" s="9"/>
      <c r="I42" s="7" t="s">
        <v>199</v>
      </c>
      <c r="J42" s="83" t="s">
        <v>46</v>
      </c>
      <c r="K42" s="7"/>
      <c r="L42" s="10">
        <v>300.95999999999998</v>
      </c>
      <c r="M42" s="10"/>
      <c r="N42" s="10"/>
      <c r="O42" s="10"/>
      <c r="P42" s="10"/>
      <c r="Q42" s="10"/>
      <c r="R42" s="10"/>
      <c r="S42" s="10">
        <v>2508.04</v>
      </c>
      <c r="T42" s="10"/>
      <c r="U42" s="10"/>
      <c r="V42" s="10"/>
      <c r="W42" s="10"/>
      <c r="X42" s="10"/>
      <c r="Y42" s="10"/>
      <c r="Z42" s="10"/>
      <c r="AA42" s="33"/>
      <c r="AB42" s="10"/>
      <c r="AC42" s="33">
        <v>2809</v>
      </c>
      <c r="AD42" s="10">
        <f t="shared" si="0"/>
        <v>0</v>
      </c>
      <c r="AF42" s="46"/>
    </row>
    <row r="43" spans="1:32" x14ac:dyDescent="0.25">
      <c r="A43" s="7" t="s">
        <v>213</v>
      </c>
      <c r="B43" s="9" t="s">
        <v>227</v>
      </c>
      <c r="C43" s="70">
        <v>44221</v>
      </c>
      <c r="D43" s="70">
        <v>44221</v>
      </c>
      <c r="E43" s="73"/>
      <c r="F43" s="45"/>
      <c r="H43" s="9"/>
      <c r="I43" s="7" t="s">
        <v>228</v>
      </c>
      <c r="J43" s="83" t="s">
        <v>65</v>
      </c>
      <c r="K43" s="26"/>
      <c r="L43" s="10"/>
      <c r="M43" s="10"/>
      <c r="N43" s="10"/>
      <c r="O43" s="10"/>
      <c r="P43" s="10"/>
      <c r="Q43" s="10">
        <v>66300.649999999994</v>
      </c>
      <c r="R43" s="10"/>
      <c r="S43" s="10"/>
      <c r="T43" s="10"/>
      <c r="U43" s="10"/>
      <c r="V43" s="10"/>
      <c r="W43" s="10"/>
      <c r="X43" s="10"/>
      <c r="Y43" s="10"/>
      <c r="Z43" s="10"/>
      <c r="AA43" s="33"/>
      <c r="AB43" s="10"/>
      <c r="AC43" s="33">
        <v>66300.649999999994</v>
      </c>
      <c r="AD43" s="10">
        <f t="shared" si="0"/>
        <v>0</v>
      </c>
      <c r="AF43" s="46"/>
    </row>
    <row r="44" spans="1:32" x14ac:dyDescent="0.25">
      <c r="A44" s="7" t="s">
        <v>214</v>
      </c>
      <c r="B44" s="9" t="s">
        <v>229</v>
      </c>
      <c r="C44" s="70">
        <v>44221</v>
      </c>
      <c r="D44" s="70">
        <v>44221</v>
      </c>
      <c r="E44" s="73"/>
      <c r="F44" s="9"/>
      <c r="H44" s="9"/>
      <c r="I44" s="7" t="s">
        <v>64</v>
      </c>
      <c r="J44" s="83" t="s">
        <v>33</v>
      </c>
      <c r="K44" s="10"/>
      <c r="L44" s="10"/>
      <c r="M44" s="10"/>
      <c r="N44" s="10"/>
      <c r="O44" s="10"/>
      <c r="P44" s="10">
        <v>40000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33"/>
      <c r="AB44" s="10"/>
      <c r="AC44" s="33">
        <v>40000</v>
      </c>
      <c r="AD44" s="10">
        <f t="shared" si="0"/>
        <v>0</v>
      </c>
      <c r="AF44" s="46"/>
    </row>
    <row r="45" spans="1:32" s="39" customFormat="1" x14ac:dyDescent="0.25">
      <c r="A45" s="20"/>
      <c r="B45" s="19"/>
      <c r="C45" s="72"/>
      <c r="D45" s="72"/>
      <c r="E45" s="77"/>
      <c r="F45" s="19"/>
      <c r="G45" s="19"/>
      <c r="H45" s="19"/>
      <c r="I45" s="20"/>
      <c r="J45" s="20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32"/>
      <c r="AB45" s="22"/>
      <c r="AC45" s="32"/>
      <c r="AD45" s="22"/>
      <c r="AE45" s="20"/>
      <c r="AF45" s="95"/>
    </row>
    <row r="46" spans="1:32" s="39" customFormat="1" x14ac:dyDescent="0.25">
      <c r="A46" s="25">
        <v>44228</v>
      </c>
      <c r="B46" s="19"/>
      <c r="C46" s="72"/>
      <c r="D46" s="72"/>
      <c r="E46" s="77"/>
      <c r="F46" s="19"/>
      <c r="G46" s="19"/>
      <c r="H46" s="19"/>
      <c r="I46" s="20"/>
      <c r="J46" s="20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32"/>
      <c r="AB46" s="22"/>
      <c r="AC46" s="32"/>
      <c r="AD46" s="22"/>
      <c r="AE46" s="20"/>
      <c r="AF46" s="95"/>
    </row>
    <row r="47" spans="1:32" x14ac:dyDescent="0.25">
      <c r="A47" s="7" t="s">
        <v>215</v>
      </c>
      <c r="B47" s="9">
        <v>3873806</v>
      </c>
      <c r="C47" s="70">
        <v>44228</v>
      </c>
      <c r="D47" s="70">
        <v>44228</v>
      </c>
      <c r="E47" s="73"/>
      <c r="F47" s="9"/>
      <c r="H47" s="9" t="s">
        <v>88</v>
      </c>
      <c r="I47" s="7" t="s">
        <v>114</v>
      </c>
      <c r="J47" s="51" t="s">
        <v>65</v>
      </c>
      <c r="K47" s="7"/>
      <c r="L47" s="10"/>
      <c r="M47" s="10"/>
      <c r="N47" s="10"/>
      <c r="O47" s="10"/>
      <c r="P47" s="10"/>
      <c r="Q47" s="10"/>
      <c r="R47" s="10"/>
      <c r="S47" s="10"/>
      <c r="T47" s="10">
        <v>8946.75</v>
      </c>
      <c r="U47" s="10"/>
      <c r="V47" s="10"/>
      <c r="W47" s="10"/>
      <c r="X47" s="10"/>
      <c r="Y47" s="10"/>
      <c r="Z47" s="10"/>
      <c r="AA47" s="33"/>
      <c r="AB47" s="10"/>
      <c r="AC47" s="33">
        <v>8946.75</v>
      </c>
      <c r="AD47" s="10">
        <f t="shared" ref="AD47:AD74" si="1">SUM(AB47:AC47)-SUM(L47:AA47)</f>
        <v>0</v>
      </c>
      <c r="AF47" s="46"/>
    </row>
    <row r="48" spans="1:32" x14ac:dyDescent="0.25">
      <c r="A48" s="7" t="s">
        <v>216</v>
      </c>
      <c r="B48" s="9">
        <v>3873807</v>
      </c>
      <c r="C48" s="70">
        <v>44228</v>
      </c>
      <c r="D48" s="70">
        <v>44228</v>
      </c>
      <c r="E48" s="73"/>
      <c r="F48" s="9"/>
      <c r="H48" s="9" t="s">
        <v>89</v>
      </c>
      <c r="I48" s="7" t="s">
        <v>58</v>
      </c>
      <c r="J48" s="51" t="s">
        <v>39</v>
      </c>
      <c r="K48" s="7"/>
      <c r="L48" s="10"/>
      <c r="M48" s="10"/>
      <c r="N48" s="10"/>
      <c r="O48" s="10"/>
      <c r="P48" s="10"/>
      <c r="Q48" s="10"/>
      <c r="R48" s="10"/>
      <c r="S48" s="10"/>
      <c r="T48" s="10">
        <v>6094</v>
      </c>
      <c r="U48" s="10"/>
      <c r="V48" s="10"/>
      <c r="W48" s="10"/>
      <c r="X48" s="10"/>
      <c r="Y48" s="10"/>
      <c r="Z48" s="10"/>
      <c r="AA48" s="33"/>
      <c r="AB48" s="10"/>
      <c r="AC48" s="33">
        <v>6094</v>
      </c>
      <c r="AD48" s="10">
        <f t="shared" si="1"/>
        <v>0</v>
      </c>
      <c r="AF48" s="46"/>
    </row>
    <row r="49" spans="1:32" x14ac:dyDescent="0.25">
      <c r="A49" s="7" t="s">
        <v>217</v>
      </c>
      <c r="B49" s="9" t="s">
        <v>230</v>
      </c>
      <c r="C49" s="70">
        <v>44228</v>
      </c>
      <c r="D49" s="70">
        <v>44228</v>
      </c>
      <c r="E49" s="73"/>
      <c r="F49" s="9"/>
      <c r="H49" s="9"/>
      <c r="I49" s="7" t="s">
        <v>93</v>
      </c>
      <c r="J49" s="51" t="s">
        <v>79</v>
      </c>
      <c r="K49" s="7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>
        <v>20667</v>
      </c>
      <c r="W49" s="10"/>
      <c r="X49" s="10"/>
      <c r="Y49" s="10"/>
      <c r="Z49" s="10"/>
      <c r="AA49" s="33"/>
      <c r="AB49" s="10"/>
      <c r="AC49" s="33">
        <v>20667</v>
      </c>
      <c r="AD49" s="10">
        <f t="shared" si="1"/>
        <v>0</v>
      </c>
      <c r="AF49" s="46"/>
    </row>
    <row r="50" spans="1:32" x14ac:dyDescent="0.25">
      <c r="A50" s="7" t="s">
        <v>218</v>
      </c>
      <c r="B50" s="9" t="s">
        <v>231</v>
      </c>
      <c r="C50" s="70">
        <v>44228</v>
      </c>
      <c r="D50" s="70">
        <v>44228</v>
      </c>
      <c r="E50" s="73"/>
      <c r="F50" s="9"/>
      <c r="H50" s="9"/>
      <c r="I50" s="7" t="s">
        <v>145</v>
      </c>
      <c r="J50" s="54" t="s">
        <v>39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>
        <v>150000</v>
      </c>
      <c r="X50" s="10"/>
      <c r="Y50" s="10"/>
      <c r="Z50" s="10"/>
      <c r="AA50" s="33"/>
      <c r="AB50" s="10"/>
      <c r="AC50" s="33">
        <v>150000</v>
      </c>
      <c r="AD50" s="10">
        <f t="shared" si="1"/>
        <v>0</v>
      </c>
      <c r="AF50" s="46"/>
    </row>
    <row r="51" spans="1:32" x14ac:dyDescent="0.25">
      <c r="A51" s="7" t="s">
        <v>219</v>
      </c>
      <c r="B51" s="9" t="s">
        <v>232</v>
      </c>
      <c r="C51" s="70">
        <v>44228</v>
      </c>
      <c r="D51" s="70">
        <v>44228</v>
      </c>
      <c r="E51" s="73">
        <v>44230</v>
      </c>
      <c r="F51" s="9" t="s">
        <v>233</v>
      </c>
      <c r="G51" s="9" t="s">
        <v>161</v>
      </c>
      <c r="H51" s="9"/>
      <c r="I51" s="7" t="s">
        <v>131</v>
      </c>
      <c r="J51" s="51" t="s">
        <v>141</v>
      </c>
      <c r="K51" s="7"/>
      <c r="L51" s="14">
        <v>6814.29</v>
      </c>
      <c r="M51" s="34">
        <v>56785.71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33"/>
      <c r="AB51" s="10"/>
      <c r="AC51" s="33">
        <v>63600</v>
      </c>
      <c r="AD51" s="10">
        <f t="shared" si="1"/>
        <v>0</v>
      </c>
      <c r="AF51" s="46"/>
    </row>
    <row r="52" spans="1:32" x14ac:dyDescent="0.25">
      <c r="A52" s="7" t="s">
        <v>220</v>
      </c>
      <c r="B52" s="9" t="s">
        <v>239</v>
      </c>
      <c r="C52" s="70">
        <v>44230</v>
      </c>
      <c r="D52" s="70">
        <v>44230</v>
      </c>
      <c r="E52" s="73"/>
      <c r="F52" s="9"/>
      <c r="H52" s="9"/>
      <c r="I52" s="7" t="s">
        <v>113</v>
      </c>
      <c r="J52" s="51" t="s">
        <v>94</v>
      </c>
      <c r="K52" s="24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33">
        <v>30000.01</v>
      </c>
      <c r="AB52" s="10"/>
      <c r="AC52" s="33">
        <v>30000.01</v>
      </c>
      <c r="AD52" s="10">
        <f t="shared" si="1"/>
        <v>0</v>
      </c>
      <c r="AF52" s="46"/>
    </row>
    <row r="53" spans="1:32" x14ac:dyDescent="0.25">
      <c r="A53" s="7" t="s">
        <v>234</v>
      </c>
      <c r="B53" s="9">
        <v>3873808</v>
      </c>
      <c r="C53" s="70">
        <v>44230</v>
      </c>
      <c r="D53" s="70">
        <v>44230</v>
      </c>
      <c r="E53" s="73"/>
      <c r="F53" s="9"/>
      <c r="H53" s="9"/>
      <c r="I53" s="7" t="s">
        <v>240</v>
      </c>
      <c r="J53" s="51" t="s">
        <v>18</v>
      </c>
      <c r="K53" s="7"/>
      <c r="L53" s="10">
        <v>151.09</v>
      </c>
      <c r="M53" s="10"/>
      <c r="N53" s="10"/>
      <c r="O53" s="10"/>
      <c r="P53" s="10"/>
      <c r="Q53" s="10"/>
      <c r="R53" s="10">
        <v>1259.06</v>
      </c>
      <c r="S53" s="10"/>
      <c r="T53" s="10"/>
      <c r="U53" s="10"/>
      <c r="V53" s="10"/>
      <c r="W53" s="10"/>
      <c r="X53" s="10"/>
      <c r="Y53" s="10"/>
      <c r="Z53" s="10"/>
      <c r="AA53" s="33"/>
      <c r="AB53" s="10"/>
      <c r="AC53" s="33">
        <v>1410.15</v>
      </c>
      <c r="AD53" s="10">
        <f t="shared" si="1"/>
        <v>0</v>
      </c>
      <c r="AF53" s="46"/>
    </row>
    <row r="54" spans="1:32" x14ac:dyDescent="0.25">
      <c r="A54" s="7" t="s">
        <v>235</v>
      </c>
      <c r="B54" s="9">
        <v>3873809</v>
      </c>
      <c r="C54" s="70">
        <v>44230</v>
      </c>
      <c r="D54" s="70">
        <v>44230</v>
      </c>
      <c r="E54" s="73"/>
      <c r="F54" s="9"/>
      <c r="H54" s="9"/>
      <c r="I54" s="7" t="s">
        <v>240</v>
      </c>
      <c r="J54" s="51" t="s">
        <v>18</v>
      </c>
      <c r="K54" s="26"/>
      <c r="L54" s="10">
        <v>871.09</v>
      </c>
      <c r="M54" s="10"/>
      <c r="N54" s="10"/>
      <c r="O54" s="10"/>
      <c r="P54" s="10"/>
      <c r="Q54" s="10"/>
      <c r="R54" s="10">
        <v>7259.06</v>
      </c>
      <c r="S54" s="10"/>
      <c r="T54" s="10"/>
      <c r="U54" s="10"/>
      <c r="V54" s="10"/>
      <c r="W54" s="10"/>
      <c r="X54" s="10"/>
      <c r="Y54" s="10"/>
      <c r="Z54" s="10"/>
      <c r="AA54" s="33"/>
      <c r="AB54" s="10"/>
      <c r="AC54" s="33">
        <v>8130.15</v>
      </c>
      <c r="AD54" s="10">
        <f t="shared" si="1"/>
        <v>0</v>
      </c>
      <c r="AF54" s="46"/>
    </row>
    <row r="55" spans="1:32" x14ac:dyDescent="0.25">
      <c r="A55" s="7" t="s">
        <v>236</v>
      </c>
      <c r="B55" s="9">
        <v>3873810</v>
      </c>
      <c r="C55" s="70">
        <v>44235</v>
      </c>
      <c r="D55" s="70">
        <v>44235</v>
      </c>
      <c r="E55" s="73" t="s">
        <v>48</v>
      </c>
      <c r="F55" s="9" t="s">
        <v>48</v>
      </c>
      <c r="G55" s="9" t="s">
        <v>48</v>
      </c>
      <c r="H55" s="9"/>
      <c r="I55" s="42" t="s">
        <v>48</v>
      </c>
      <c r="J55" s="51" t="s">
        <v>254</v>
      </c>
      <c r="K55" s="24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33"/>
      <c r="AB55" s="10"/>
      <c r="AC55" s="33"/>
      <c r="AD55" s="10">
        <f t="shared" si="1"/>
        <v>0</v>
      </c>
      <c r="AF55" s="46"/>
    </row>
    <row r="56" spans="1:32" x14ac:dyDescent="0.25">
      <c r="A56" s="7" t="s">
        <v>237</v>
      </c>
      <c r="B56" s="9">
        <v>3873811</v>
      </c>
      <c r="C56" s="70">
        <v>44235</v>
      </c>
      <c r="D56" s="70">
        <v>44235</v>
      </c>
      <c r="E56" s="73">
        <v>44238</v>
      </c>
      <c r="F56" s="9" t="s">
        <v>266</v>
      </c>
      <c r="H56" s="9"/>
      <c r="I56" s="42" t="s">
        <v>253</v>
      </c>
      <c r="J56" s="54" t="s">
        <v>255</v>
      </c>
      <c r="K56" s="7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>
        <v>7366.07</v>
      </c>
      <c r="AB56" s="10"/>
      <c r="AC56" s="33">
        <v>7366.07</v>
      </c>
      <c r="AD56" s="10">
        <f t="shared" si="1"/>
        <v>0</v>
      </c>
      <c r="AF56" s="46"/>
    </row>
    <row r="57" spans="1:32" x14ac:dyDescent="0.25">
      <c r="A57" s="7" t="s">
        <v>238</v>
      </c>
      <c r="B57" s="9">
        <v>3873812</v>
      </c>
      <c r="C57" s="70">
        <v>44263</v>
      </c>
      <c r="D57" s="70">
        <v>44235</v>
      </c>
      <c r="E57" s="78">
        <v>44253</v>
      </c>
      <c r="F57" s="57" t="s">
        <v>328</v>
      </c>
      <c r="G57" s="9" t="s">
        <v>168</v>
      </c>
      <c r="H57" s="50"/>
      <c r="I57" s="7" t="s">
        <v>256</v>
      </c>
      <c r="J57" s="51" t="s">
        <v>60</v>
      </c>
      <c r="K57" s="7" t="s">
        <v>61</v>
      </c>
      <c r="L57" s="10">
        <v>503.57</v>
      </c>
      <c r="M57" s="10">
        <v>4196.43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33"/>
      <c r="AB57" s="10"/>
      <c r="AC57" s="33">
        <v>4700</v>
      </c>
      <c r="AD57" s="10">
        <f t="shared" si="1"/>
        <v>0</v>
      </c>
      <c r="AF57" s="46"/>
    </row>
    <row r="58" spans="1:32" x14ac:dyDescent="0.25">
      <c r="A58" s="7" t="s">
        <v>242</v>
      </c>
      <c r="B58" s="9">
        <v>3873813</v>
      </c>
      <c r="C58" s="70">
        <v>44259</v>
      </c>
      <c r="D58" s="70">
        <v>44235</v>
      </c>
      <c r="E58" s="47">
        <v>44245</v>
      </c>
      <c r="F58" s="9" t="s">
        <v>310</v>
      </c>
      <c r="G58" s="9" t="s">
        <v>162</v>
      </c>
      <c r="H58" s="9"/>
      <c r="I58" s="10" t="s">
        <v>257</v>
      </c>
      <c r="J58" s="51" t="s">
        <v>83</v>
      </c>
      <c r="K58" s="7" t="s">
        <v>116</v>
      </c>
      <c r="L58" s="10">
        <v>3888</v>
      </c>
      <c r="M58" s="10">
        <v>32400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33"/>
      <c r="AB58" s="10"/>
      <c r="AC58" s="33">
        <v>36288</v>
      </c>
      <c r="AD58" s="10">
        <f t="shared" si="1"/>
        <v>0</v>
      </c>
      <c r="AF58" s="46"/>
    </row>
    <row r="59" spans="1:32" x14ac:dyDescent="0.25">
      <c r="A59" s="7" t="s">
        <v>243</v>
      </c>
      <c r="B59" s="9">
        <v>3873814</v>
      </c>
      <c r="C59" s="70">
        <v>44263</v>
      </c>
      <c r="D59" s="70">
        <v>44235</v>
      </c>
      <c r="E59" s="73">
        <v>44235</v>
      </c>
      <c r="F59" s="9" t="s">
        <v>269</v>
      </c>
      <c r="G59" s="9" t="s">
        <v>163</v>
      </c>
      <c r="H59" s="9"/>
      <c r="I59" s="7" t="s">
        <v>258</v>
      </c>
      <c r="J59" s="51" t="s">
        <v>84</v>
      </c>
      <c r="K59" s="7" t="s">
        <v>36</v>
      </c>
      <c r="L59" s="10">
        <v>1976.79</v>
      </c>
      <c r="M59" s="10">
        <v>16473.21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33"/>
      <c r="AB59" s="10"/>
      <c r="AC59" s="33">
        <v>18450</v>
      </c>
      <c r="AD59" s="10">
        <f t="shared" si="1"/>
        <v>0</v>
      </c>
      <c r="AF59" s="46"/>
    </row>
    <row r="60" spans="1:32" x14ac:dyDescent="0.25">
      <c r="A60" s="7" t="s">
        <v>244</v>
      </c>
      <c r="B60" s="9">
        <v>3873815</v>
      </c>
      <c r="C60" s="70">
        <v>44235</v>
      </c>
      <c r="D60" s="70">
        <v>44235</v>
      </c>
      <c r="E60" s="73"/>
      <c r="F60" s="9"/>
      <c r="H60" s="9"/>
      <c r="I60" s="7" t="s">
        <v>48</v>
      </c>
      <c r="J60" s="51" t="s">
        <v>140</v>
      </c>
      <c r="K60" s="7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33"/>
      <c r="AB60" s="10"/>
      <c r="AC60" s="33"/>
      <c r="AD60" s="10">
        <f t="shared" si="1"/>
        <v>0</v>
      </c>
      <c r="AF60" s="46"/>
    </row>
    <row r="61" spans="1:32" x14ac:dyDescent="0.25">
      <c r="A61" s="7" t="s">
        <v>245</v>
      </c>
      <c r="B61" s="9">
        <v>3873816</v>
      </c>
      <c r="C61" s="70">
        <v>44235</v>
      </c>
      <c r="D61" s="70">
        <v>44235</v>
      </c>
      <c r="E61" s="73"/>
      <c r="F61" s="9"/>
      <c r="H61" s="9"/>
      <c r="I61" s="7" t="s">
        <v>260</v>
      </c>
      <c r="J61" s="51" t="s">
        <v>140</v>
      </c>
      <c r="K61" s="24"/>
      <c r="L61" s="10"/>
      <c r="M61" s="10"/>
      <c r="N61" s="10"/>
      <c r="O61" s="10"/>
      <c r="P61" s="10"/>
      <c r="Q61" s="10">
        <v>38697.339999999997</v>
      </c>
      <c r="R61" s="10"/>
      <c r="S61" s="10"/>
      <c r="T61" s="10"/>
      <c r="U61" s="10"/>
      <c r="V61" s="10"/>
      <c r="W61" s="10"/>
      <c r="X61" s="10"/>
      <c r="Y61" s="10"/>
      <c r="Z61" s="10"/>
      <c r="AA61" s="33"/>
      <c r="AB61" s="10"/>
      <c r="AC61" s="33">
        <v>38697.339999999997</v>
      </c>
      <c r="AD61" s="10">
        <f t="shared" si="1"/>
        <v>0</v>
      </c>
      <c r="AE61" s="82"/>
      <c r="AF61" s="46"/>
    </row>
    <row r="62" spans="1:32" x14ac:dyDescent="0.25">
      <c r="A62" s="7" t="s">
        <v>246</v>
      </c>
      <c r="B62" s="9">
        <v>3873817</v>
      </c>
      <c r="C62" s="70">
        <v>44235</v>
      </c>
      <c r="D62" s="70">
        <v>44235</v>
      </c>
      <c r="E62" s="73"/>
      <c r="F62" s="9"/>
      <c r="H62" s="9"/>
      <c r="I62" s="7" t="s">
        <v>261</v>
      </c>
      <c r="J62" s="54" t="s">
        <v>43</v>
      </c>
      <c r="K62" s="7"/>
      <c r="L62" s="10">
        <v>107.04</v>
      </c>
      <c r="M62" s="10"/>
      <c r="N62" s="10"/>
      <c r="O62" s="10"/>
      <c r="P62" s="10"/>
      <c r="Q62" s="10"/>
      <c r="R62" s="10"/>
      <c r="S62" s="10">
        <v>891.96</v>
      </c>
      <c r="T62" s="10"/>
      <c r="U62" s="10"/>
      <c r="V62" s="10"/>
      <c r="W62" s="10"/>
      <c r="X62" s="10"/>
      <c r="Y62" s="10"/>
      <c r="Z62" s="10"/>
      <c r="AA62" s="33"/>
      <c r="AB62" s="10"/>
      <c r="AC62" s="33">
        <v>999</v>
      </c>
      <c r="AD62" s="10">
        <f t="shared" si="1"/>
        <v>0</v>
      </c>
      <c r="AF62" s="46"/>
    </row>
    <row r="63" spans="1:32" x14ac:dyDescent="0.25">
      <c r="A63" s="7" t="s">
        <v>247</v>
      </c>
      <c r="B63" s="9">
        <v>3873818</v>
      </c>
      <c r="C63" s="70">
        <v>44235</v>
      </c>
      <c r="D63" s="70">
        <v>44235</v>
      </c>
      <c r="E63" s="73"/>
      <c r="F63" s="9"/>
      <c r="H63" s="9"/>
      <c r="I63" s="7" t="s">
        <v>261</v>
      </c>
      <c r="J63" s="54" t="s">
        <v>43</v>
      </c>
      <c r="K63" s="10"/>
      <c r="L63" s="10">
        <v>148.61000000000001</v>
      </c>
      <c r="M63" s="10"/>
      <c r="N63" s="10"/>
      <c r="O63" s="10"/>
      <c r="P63" s="10"/>
      <c r="Q63" s="10"/>
      <c r="R63" s="10"/>
      <c r="S63" s="10">
        <v>1238.3800000000001</v>
      </c>
      <c r="T63" s="10"/>
      <c r="U63" s="10"/>
      <c r="V63" s="10"/>
      <c r="W63" s="10"/>
      <c r="X63" s="10"/>
      <c r="Y63" s="10"/>
      <c r="Z63" s="10"/>
      <c r="AA63" s="33"/>
      <c r="AB63" s="10"/>
      <c r="AC63" s="33">
        <v>1386.99</v>
      </c>
      <c r="AD63" s="10">
        <f t="shared" si="1"/>
        <v>0</v>
      </c>
      <c r="AF63" s="46"/>
    </row>
    <row r="64" spans="1:32" x14ac:dyDescent="0.25">
      <c r="A64" s="7" t="s">
        <v>248</v>
      </c>
      <c r="B64" s="9" t="s">
        <v>262</v>
      </c>
      <c r="C64" s="70">
        <v>44237</v>
      </c>
      <c r="D64" s="70">
        <v>44237</v>
      </c>
      <c r="E64" s="73"/>
      <c r="F64" s="9"/>
      <c r="H64" s="9"/>
      <c r="I64" s="7" t="s">
        <v>263</v>
      </c>
      <c r="J64" s="51" t="s">
        <v>264</v>
      </c>
      <c r="K64" s="7"/>
      <c r="L64" s="10"/>
      <c r="M64" s="10"/>
      <c r="N64" s="10"/>
      <c r="O64" s="10"/>
      <c r="P64" s="10"/>
      <c r="Q64" s="10">
        <v>12724.23</v>
      </c>
      <c r="R64" s="10"/>
      <c r="S64" s="10"/>
      <c r="T64" s="10"/>
      <c r="U64" s="10"/>
      <c r="V64" s="10"/>
      <c r="W64" s="10"/>
      <c r="X64" s="10"/>
      <c r="Y64" s="10"/>
      <c r="Z64" s="10"/>
      <c r="AA64" s="33"/>
      <c r="AB64" s="10"/>
      <c r="AC64" s="33">
        <v>12724.23</v>
      </c>
      <c r="AD64" s="10">
        <f t="shared" si="1"/>
        <v>0</v>
      </c>
      <c r="AF64" s="46"/>
    </row>
    <row r="65" spans="1:32" x14ac:dyDescent="0.25">
      <c r="A65" s="7" t="s">
        <v>249</v>
      </c>
      <c r="B65" s="9" t="s">
        <v>267</v>
      </c>
      <c r="C65" s="70">
        <v>44237</v>
      </c>
      <c r="D65" s="70">
        <v>44237</v>
      </c>
      <c r="E65" s="73"/>
      <c r="F65" s="9"/>
      <c r="H65" s="9"/>
      <c r="I65" s="7" t="s">
        <v>55</v>
      </c>
      <c r="J65" s="51" t="s">
        <v>80</v>
      </c>
      <c r="K65" s="24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>
        <v>250000</v>
      </c>
      <c r="AA65" s="33"/>
      <c r="AB65" s="10"/>
      <c r="AC65" s="33">
        <v>250000</v>
      </c>
      <c r="AD65" s="10">
        <f t="shared" si="1"/>
        <v>0</v>
      </c>
      <c r="AF65" s="46"/>
    </row>
    <row r="66" spans="1:32" x14ac:dyDescent="0.25">
      <c r="A66" s="7" t="s">
        <v>250</v>
      </c>
      <c r="B66" s="9">
        <v>3873819</v>
      </c>
      <c r="C66" s="70">
        <v>44237</v>
      </c>
      <c r="D66" s="70">
        <v>44237</v>
      </c>
      <c r="H66" s="9" t="s">
        <v>90</v>
      </c>
      <c r="I66" s="10" t="s">
        <v>114</v>
      </c>
      <c r="J66" s="54" t="s">
        <v>65</v>
      </c>
      <c r="T66" s="14">
        <v>10202.9</v>
      </c>
      <c r="AC66" s="17">
        <v>10202.9</v>
      </c>
      <c r="AD66" s="10">
        <f t="shared" si="1"/>
        <v>0</v>
      </c>
    </row>
    <row r="67" spans="1:32" x14ac:dyDescent="0.25">
      <c r="A67" s="7" t="s">
        <v>251</v>
      </c>
      <c r="B67" s="9">
        <v>3873820</v>
      </c>
      <c r="C67" s="70">
        <v>44237</v>
      </c>
      <c r="D67" s="70">
        <v>44237</v>
      </c>
      <c r="E67" s="73"/>
      <c r="F67" s="9"/>
      <c r="H67" s="9" t="s">
        <v>91</v>
      </c>
      <c r="I67" s="7" t="s">
        <v>58</v>
      </c>
      <c r="J67" s="51" t="s">
        <v>39</v>
      </c>
      <c r="K67" s="24"/>
      <c r="L67" s="10"/>
      <c r="M67" s="10"/>
      <c r="N67" s="10"/>
      <c r="O67" s="10"/>
      <c r="P67" s="10"/>
      <c r="Q67" s="10"/>
      <c r="R67" s="10"/>
      <c r="S67" s="10"/>
      <c r="T67" s="10">
        <v>7045</v>
      </c>
      <c r="U67" s="10"/>
      <c r="V67" s="10"/>
      <c r="W67" s="10"/>
      <c r="X67" s="10"/>
      <c r="Y67" s="10"/>
      <c r="Z67" s="10"/>
      <c r="AA67" s="33"/>
      <c r="AB67" s="10"/>
      <c r="AC67" s="33">
        <v>7045</v>
      </c>
      <c r="AD67" s="10">
        <f t="shared" si="1"/>
        <v>0</v>
      </c>
      <c r="AF67" s="46"/>
    </row>
    <row r="68" spans="1:32" x14ac:dyDescent="0.25">
      <c r="A68" s="7" t="s">
        <v>252</v>
      </c>
      <c r="B68" s="9">
        <v>3873821</v>
      </c>
      <c r="C68" s="70">
        <v>44237</v>
      </c>
      <c r="D68" s="70">
        <v>44237</v>
      </c>
      <c r="E68" s="73">
        <v>44245</v>
      </c>
      <c r="F68" s="9" t="s">
        <v>312</v>
      </c>
      <c r="H68" s="9"/>
      <c r="I68" s="7" t="s">
        <v>268</v>
      </c>
      <c r="J68" s="51" t="s">
        <v>187</v>
      </c>
      <c r="K68" s="7"/>
      <c r="L68" s="10">
        <v>552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33">
        <v>4600</v>
      </c>
      <c r="AB68" s="10"/>
      <c r="AC68" s="33">
        <v>5152</v>
      </c>
      <c r="AD68" s="10">
        <f t="shared" si="1"/>
        <v>0</v>
      </c>
      <c r="AF68" s="46"/>
    </row>
    <row r="69" spans="1:32" x14ac:dyDescent="0.25">
      <c r="A69" s="7" t="s">
        <v>270</v>
      </c>
      <c r="B69" s="9">
        <v>3873823</v>
      </c>
      <c r="C69" s="70">
        <v>44238</v>
      </c>
      <c r="D69" s="70">
        <v>44238</v>
      </c>
      <c r="E69" s="73"/>
      <c r="F69" s="9"/>
      <c r="H69" s="9"/>
      <c r="I69" s="7" t="s">
        <v>259</v>
      </c>
      <c r="J69" s="51" t="s">
        <v>140</v>
      </c>
      <c r="K69" s="7"/>
      <c r="L69" s="10"/>
      <c r="M69" s="10"/>
      <c r="N69" s="10"/>
      <c r="O69" s="10"/>
      <c r="P69" s="10"/>
      <c r="Q69" s="10">
        <v>38190</v>
      </c>
      <c r="R69" s="10"/>
      <c r="S69" s="10"/>
      <c r="T69" s="10"/>
      <c r="U69" s="10"/>
      <c r="V69" s="10"/>
      <c r="W69" s="10"/>
      <c r="X69" s="10"/>
      <c r="Y69" s="10"/>
      <c r="Z69" s="10"/>
      <c r="AA69" s="33"/>
      <c r="AB69" s="10"/>
      <c r="AC69" s="33">
        <v>38190</v>
      </c>
      <c r="AD69" s="10">
        <f t="shared" si="1"/>
        <v>0</v>
      </c>
      <c r="AF69" s="46"/>
    </row>
    <row r="70" spans="1:32" x14ac:dyDescent="0.25">
      <c r="A70" s="7" t="s">
        <v>271</v>
      </c>
      <c r="B70" s="9">
        <v>3873824</v>
      </c>
      <c r="C70" s="70">
        <v>44243</v>
      </c>
      <c r="D70" s="70">
        <v>44243</v>
      </c>
      <c r="E70" s="73"/>
      <c r="F70" s="9"/>
      <c r="H70" s="9"/>
      <c r="I70" s="7" t="s">
        <v>304</v>
      </c>
      <c r="J70" s="51" t="s">
        <v>46</v>
      </c>
      <c r="K70" s="7"/>
      <c r="L70" s="10">
        <v>107.04</v>
      </c>
      <c r="M70" s="10"/>
      <c r="N70" s="10"/>
      <c r="O70" s="10"/>
      <c r="P70" s="10"/>
      <c r="Q70" s="10"/>
      <c r="R70" s="10"/>
      <c r="S70" s="10">
        <v>891.96</v>
      </c>
      <c r="T70" s="10"/>
      <c r="U70" s="10"/>
      <c r="V70" s="10"/>
      <c r="W70" s="10"/>
      <c r="X70" s="10"/>
      <c r="Y70" s="10"/>
      <c r="Z70" s="10"/>
      <c r="AA70" s="33"/>
      <c r="AB70" s="10"/>
      <c r="AC70" s="33">
        <v>999</v>
      </c>
      <c r="AD70" s="10">
        <f t="shared" si="1"/>
        <v>0</v>
      </c>
      <c r="AF70" s="46"/>
    </row>
    <row r="71" spans="1:32" x14ac:dyDescent="0.25">
      <c r="A71" s="7" t="s">
        <v>272</v>
      </c>
      <c r="B71" s="9">
        <v>3873825</v>
      </c>
      <c r="C71" s="70">
        <v>44243</v>
      </c>
      <c r="D71" s="70">
        <v>44243</v>
      </c>
      <c r="E71" s="73"/>
      <c r="F71" s="9"/>
      <c r="H71" s="9"/>
      <c r="I71" s="7" t="s">
        <v>305</v>
      </c>
      <c r="J71" s="51" t="s">
        <v>44</v>
      </c>
      <c r="K71" s="7"/>
      <c r="L71" s="10">
        <v>607.77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>
        <v>5064.71</v>
      </c>
      <c r="Y71" s="10"/>
      <c r="Z71" s="10"/>
      <c r="AA71" s="33"/>
      <c r="AB71" s="10"/>
      <c r="AC71" s="33">
        <v>5672.48</v>
      </c>
      <c r="AD71" s="10">
        <f t="shared" si="1"/>
        <v>0</v>
      </c>
      <c r="AF71" s="46"/>
    </row>
    <row r="72" spans="1:32" x14ac:dyDescent="0.25">
      <c r="A72" s="7" t="s">
        <v>273</v>
      </c>
      <c r="B72" s="9">
        <v>3873826</v>
      </c>
      <c r="C72" s="70">
        <v>44266</v>
      </c>
      <c r="D72" s="70">
        <v>44246</v>
      </c>
      <c r="E72" s="73">
        <v>44259</v>
      </c>
      <c r="F72" s="9" t="s">
        <v>329</v>
      </c>
      <c r="G72" s="9" t="s">
        <v>169</v>
      </c>
      <c r="H72" s="9"/>
      <c r="I72" s="7" t="s">
        <v>183</v>
      </c>
      <c r="J72" s="51" t="s">
        <v>83</v>
      </c>
      <c r="K72" s="7" t="s">
        <v>116</v>
      </c>
      <c r="L72" s="10">
        <v>7500</v>
      </c>
      <c r="M72" s="10">
        <v>62500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33"/>
      <c r="AB72" s="10"/>
      <c r="AC72" s="33">
        <v>70000</v>
      </c>
      <c r="AD72" s="10">
        <f t="shared" si="1"/>
        <v>0</v>
      </c>
      <c r="AF72" s="46"/>
    </row>
    <row r="73" spans="1:32" x14ac:dyDescent="0.25">
      <c r="A73" s="7" t="s">
        <v>274</v>
      </c>
      <c r="B73" s="9">
        <v>3873827</v>
      </c>
      <c r="C73" s="70">
        <v>44290</v>
      </c>
      <c r="D73" s="70">
        <v>44246</v>
      </c>
      <c r="E73" s="73">
        <v>44309</v>
      </c>
      <c r="F73" s="9" t="s">
        <v>463</v>
      </c>
      <c r="G73" s="9" t="s">
        <v>172</v>
      </c>
      <c r="H73" s="9"/>
      <c r="I73" s="7" t="s">
        <v>309</v>
      </c>
      <c r="J73" s="51" t="s">
        <v>31</v>
      </c>
      <c r="K73" s="24" t="s">
        <v>32</v>
      </c>
      <c r="L73" s="10">
        <v>2732.14</v>
      </c>
      <c r="M73" s="10">
        <v>22767.86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33"/>
      <c r="AB73" s="10"/>
      <c r="AC73" s="33">
        <v>25500</v>
      </c>
      <c r="AD73" s="10">
        <f t="shared" si="1"/>
        <v>0</v>
      </c>
      <c r="AF73" s="46"/>
    </row>
    <row r="74" spans="1:32" x14ac:dyDescent="0.25">
      <c r="A74" s="7" t="s">
        <v>275</v>
      </c>
      <c r="B74" s="9">
        <v>3873828</v>
      </c>
      <c r="C74" s="70">
        <v>44246</v>
      </c>
      <c r="D74" s="70">
        <v>44246</v>
      </c>
      <c r="E74" s="73"/>
      <c r="F74" s="9"/>
      <c r="H74" s="9"/>
      <c r="I74" s="7" t="s">
        <v>308</v>
      </c>
      <c r="J74" s="51" t="s">
        <v>66</v>
      </c>
      <c r="K74" s="7"/>
      <c r="L74" s="10">
        <v>3375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33">
        <v>28125</v>
      </c>
      <c r="AB74" s="10"/>
      <c r="AC74" s="33">
        <v>31500</v>
      </c>
      <c r="AD74" s="10">
        <f t="shared" si="1"/>
        <v>0</v>
      </c>
      <c r="AF74" s="46"/>
    </row>
    <row r="75" spans="1:32" x14ac:dyDescent="0.25">
      <c r="A75" s="7" t="s">
        <v>276</v>
      </c>
      <c r="B75" s="9">
        <v>3873829</v>
      </c>
      <c r="C75" s="70">
        <v>44246</v>
      </c>
      <c r="D75" s="70">
        <v>44246</v>
      </c>
      <c r="E75" s="73"/>
      <c r="F75" s="9" t="s">
        <v>307</v>
      </c>
      <c r="H75" s="9"/>
      <c r="I75" s="7" t="s">
        <v>306</v>
      </c>
      <c r="J75" s="51" t="s">
        <v>39</v>
      </c>
      <c r="K75" s="7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33">
        <v>46382</v>
      </c>
      <c r="AB75" s="10"/>
      <c r="AC75" s="33">
        <v>46382</v>
      </c>
      <c r="AD75" s="10">
        <f t="shared" ref="AD75:AD141" si="2">SUM(AB75:AC75)-SUM(L75:AA75)</f>
        <v>0</v>
      </c>
      <c r="AF75" s="46"/>
    </row>
    <row r="76" spans="1:32" x14ac:dyDescent="0.25">
      <c r="A76" s="7" t="s">
        <v>277</v>
      </c>
      <c r="B76" s="9">
        <v>3873830</v>
      </c>
      <c r="C76" s="70">
        <v>44246</v>
      </c>
      <c r="D76" s="70">
        <v>44246</v>
      </c>
      <c r="E76" s="73">
        <v>44249</v>
      </c>
      <c r="F76" s="28" t="s">
        <v>295</v>
      </c>
      <c r="G76" s="9" t="s">
        <v>175</v>
      </c>
      <c r="H76" s="9"/>
      <c r="I76" s="7" t="s">
        <v>296</v>
      </c>
      <c r="J76" s="51" t="s">
        <v>297</v>
      </c>
      <c r="K76" s="7" t="s">
        <v>298</v>
      </c>
      <c r="L76" s="10">
        <v>6053.57</v>
      </c>
      <c r="M76" s="10">
        <v>50446.43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33"/>
      <c r="AB76" s="10"/>
      <c r="AC76" s="33">
        <v>56500</v>
      </c>
      <c r="AD76" s="10">
        <f t="shared" si="2"/>
        <v>0</v>
      </c>
      <c r="AF76" s="46"/>
    </row>
    <row r="77" spans="1:32" x14ac:dyDescent="0.25">
      <c r="A77" s="7" t="s">
        <v>278</v>
      </c>
      <c r="B77" s="9" t="s">
        <v>302</v>
      </c>
      <c r="C77" s="70">
        <v>44246</v>
      </c>
      <c r="D77" s="70">
        <v>44246</v>
      </c>
      <c r="E77" s="73"/>
      <c r="F77" s="9"/>
      <c r="H77" s="9"/>
      <c r="I77" s="7" t="s">
        <v>303</v>
      </c>
      <c r="J77" s="51" t="s">
        <v>39</v>
      </c>
      <c r="K77" s="7"/>
      <c r="L77" s="10"/>
      <c r="M77" s="10"/>
      <c r="N77" s="10"/>
      <c r="O77" s="10"/>
      <c r="P77" s="10"/>
      <c r="Q77" s="10">
        <v>13484.1</v>
      </c>
      <c r="R77" s="10"/>
      <c r="S77" s="10"/>
      <c r="T77" s="10"/>
      <c r="U77" s="10"/>
      <c r="V77" s="10"/>
      <c r="W77" s="10"/>
      <c r="X77" s="10"/>
      <c r="Y77" s="10"/>
      <c r="Z77" s="10"/>
      <c r="AA77" s="33"/>
      <c r="AB77" s="10"/>
      <c r="AC77" s="33">
        <v>13484.1</v>
      </c>
      <c r="AD77" s="10">
        <f t="shared" si="2"/>
        <v>0</v>
      </c>
      <c r="AF77" s="46"/>
    </row>
    <row r="78" spans="1:32" x14ac:dyDescent="0.25">
      <c r="A78" s="7" t="s">
        <v>279</v>
      </c>
      <c r="B78" s="9" t="s">
        <v>301</v>
      </c>
      <c r="C78" s="70">
        <v>44246</v>
      </c>
      <c r="D78" s="70">
        <v>44246</v>
      </c>
      <c r="E78" s="73"/>
      <c r="F78" s="9"/>
      <c r="H78" s="9"/>
      <c r="I78" s="7" t="s">
        <v>55</v>
      </c>
      <c r="J78" s="51" t="s">
        <v>80</v>
      </c>
      <c r="K78" s="7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>
        <v>360000</v>
      </c>
      <c r="AA78" s="33"/>
      <c r="AB78" s="10"/>
      <c r="AC78" s="33">
        <v>360000</v>
      </c>
      <c r="AD78" s="10">
        <f t="shared" si="2"/>
        <v>0</v>
      </c>
      <c r="AF78" s="46"/>
    </row>
    <row r="79" spans="1:32" x14ac:dyDescent="0.25">
      <c r="A79" s="7" t="s">
        <v>280</v>
      </c>
      <c r="B79" s="9">
        <v>3873831</v>
      </c>
      <c r="C79" s="70">
        <v>44246</v>
      </c>
      <c r="D79" s="70">
        <v>44246</v>
      </c>
      <c r="E79" s="73"/>
      <c r="F79" s="9"/>
      <c r="H79" s="9"/>
      <c r="I79" s="7" t="s">
        <v>300</v>
      </c>
      <c r="J79" s="51" t="s">
        <v>46</v>
      </c>
      <c r="K79" s="7"/>
      <c r="L79" s="10">
        <v>107.04</v>
      </c>
      <c r="M79" s="10"/>
      <c r="N79" s="10"/>
      <c r="O79" s="10"/>
      <c r="P79" s="10"/>
      <c r="Q79" s="10"/>
      <c r="R79" s="10"/>
      <c r="S79" s="10">
        <v>891.96</v>
      </c>
      <c r="T79" s="10"/>
      <c r="U79" s="10"/>
      <c r="V79" s="10"/>
      <c r="W79" s="10"/>
      <c r="X79" s="10"/>
      <c r="Y79" s="10"/>
      <c r="Z79" s="10"/>
      <c r="AA79" s="33"/>
      <c r="AB79" s="10"/>
      <c r="AC79" s="33">
        <v>999</v>
      </c>
      <c r="AD79" s="10">
        <f t="shared" si="2"/>
        <v>0</v>
      </c>
      <c r="AF79" s="46"/>
    </row>
    <row r="80" spans="1:32" x14ac:dyDescent="0.25">
      <c r="A80" s="7" t="s">
        <v>281</v>
      </c>
      <c r="B80" s="9">
        <v>3873832</v>
      </c>
      <c r="C80" s="70">
        <v>44246</v>
      </c>
      <c r="D80" s="70">
        <v>44246</v>
      </c>
      <c r="E80" s="73"/>
      <c r="F80" s="9"/>
      <c r="H80" s="9"/>
      <c r="I80" s="7" t="s">
        <v>300</v>
      </c>
      <c r="J80" s="51" t="s">
        <v>46</v>
      </c>
      <c r="K80" s="7"/>
      <c r="L80" s="10">
        <v>107.04</v>
      </c>
      <c r="M80" s="10"/>
      <c r="N80" s="10"/>
      <c r="O80" s="10"/>
      <c r="P80" s="10"/>
      <c r="Q80" s="10"/>
      <c r="R80" s="10"/>
      <c r="S80" s="10">
        <v>891.96</v>
      </c>
      <c r="T80" s="10"/>
      <c r="U80" s="10"/>
      <c r="V80" s="10"/>
      <c r="W80" s="10"/>
      <c r="X80" s="10"/>
      <c r="Y80" s="10"/>
      <c r="Z80" s="10"/>
      <c r="AA80" s="33"/>
      <c r="AB80" s="10"/>
      <c r="AC80" s="33">
        <v>999</v>
      </c>
      <c r="AD80" s="10">
        <f t="shared" si="2"/>
        <v>0</v>
      </c>
      <c r="AF80" s="46"/>
    </row>
    <row r="81" spans="1:32" x14ac:dyDescent="0.25">
      <c r="A81" s="7" t="s">
        <v>282</v>
      </c>
      <c r="B81" s="9">
        <v>3873833</v>
      </c>
      <c r="C81" s="70">
        <v>44246</v>
      </c>
      <c r="D81" s="70">
        <v>44246</v>
      </c>
      <c r="E81" s="73"/>
      <c r="F81" s="9"/>
      <c r="H81" s="9"/>
      <c r="I81" s="7" t="s">
        <v>299</v>
      </c>
      <c r="J81" s="51" t="s">
        <v>46</v>
      </c>
      <c r="K81" s="7"/>
      <c r="L81" s="10">
        <v>636.94000000000005</v>
      </c>
      <c r="M81" s="10"/>
      <c r="N81" s="10"/>
      <c r="O81" s="10"/>
      <c r="P81" s="10"/>
      <c r="Q81" s="10"/>
      <c r="R81" s="10"/>
      <c r="S81" s="10">
        <v>5307.79</v>
      </c>
      <c r="T81" s="10"/>
      <c r="U81" s="10"/>
      <c r="V81" s="10"/>
      <c r="W81" s="10"/>
      <c r="X81" s="10"/>
      <c r="Y81" s="10"/>
      <c r="Z81" s="10"/>
      <c r="AA81" s="33"/>
      <c r="AB81" s="10"/>
      <c r="AC81" s="33">
        <v>5944.73</v>
      </c>
      <c r="AD81" s="10">
        <f t="shared" si="2"/>
        <v>0</v>
      </c>
      <c r="AF81" s="46"/>
    </row>
    <row r="82" spans="1:32" x14ac:dyDescent="0.25">
      <c r="A82" s="7" t="s">
        <v>283</v>
      </c>
      <c r="B82" s="9">
        <v>3873834</v>
      </c>
      <c r="C82" s="70">
        <v>44246</v>
      </c>
      <c r="D82" s="70">
        <v>44246</v>
      </c>
      <c r="E82" s="78"/>
      <c r="F82" s="57"/>
      <c r="H82" s="50"/>
      <c r="I82" s="7" t="s">
        <v>304</v>
      </c>
      <c r="J82" s="51" t="s">
        <v>46</v>
      </c>
      <c r="K82" s="26"/>
      <c r="L82" s="10">
        <v>299.89</v>
      </c>
      <c r="M82" s="10"/>
      <c r="N82" s="10"/>
      <c r="O82" s="10"/>
      <c r="P82" s="10"/>
      <c r="Q82" s="10"/>
      <c r="R82" s="10"/>
      <c r="S82" s="10">
        <v>2499.11</v>
      </c>
      <c r="T82" s="10"/>
      <c r="U82" s="10"/>
      <c r="V82" s="10"/>
      <c r="W82" s="10"/>
      <c r="X82" s="10"/>
      <c r="Y82" s="10"/>
      <c r="Z82" s="10"/>
      <c r="AA82" s="33"/>
      <c r="AB82" s="10"/>
      <c r="AC82" s="33">
        <v>2799</v>
      </c>
      <c r="AD82" s="10">
        <f t="shared" si="2"/>
        <v>0</v>
      </c>
      <c r="AF82" s="46"/>
    </row>
    <row r="83" spans="1:32" x14ac:dyDescent="0.25">
      <c r="A83" s="7" t="s">
        <v>284</v>
      </c>
      <c r="B83" s="9">
        <v>3873835</v>
      </c>
      <c r="C83" s="70">
        <v>44249</v>
      </c>
      <c r="D83" s="70">
        <v>44249</v>
      </c>
      <c r="E83" s="73"/>
      <c r="F83" s="9"/>
      <c r="H83" s="9"/>
      <c r="I83" s="7" t="s">
        <v>294</v>
      </c>
      <c r="J83" s="54" t="s">
        <v>43</v>
      </c>
      <c r="K83" s="10"/>
      <c r="L83" s="10">
        <v>222.28</v>
      </c>
      <c r="M83" s="10"/>
      <c r="N83" s="10"/>
      <c r="O83" s="10"/>
      <c r="P83" s="10"/>
      <c r="Q83" s="10"/>
      <c r="R83" s="10"/>
      <c r="S83" s="10">
        <v>1852.37</v>
      </c>
      <c r="T83" s="10"/>
      <c r="U83" s="10"/>
      <c r="V83" s="10"/>
      <c r="W83" s="10"/>
      <c r="X83" s="10"/>
      <c r="Y83" s="10"/>
      <c r="Z83" s="10"/>
      <c r="AA83" s="33"/>
      <c r="AB83" s="10"/>
      <c r="AC83" s="33">
        <v>2074.65</v>
      </c>
      <c r="AD83" s="10">
        <f t="shared" si="2"/>
        <v>0</v>
      </c>
      <c r="AF83" s="46"/>
    </row>
    <row r="84" spans="1:32" x14ac:dyDescent="0.25">
      <c r="A84" s="7" t="s">
        <v>285</v>
      </c>
      <c r="B84" s="9">
        <v>3873837</v>
      </c>
      <c r="C84" s="70">
        <v>44278</v>
      </c>
      <c r="D84" s="70">
        <v>44250</v>
      </c>
      <c r="E84" s="73">
        <v>44271</v>
      </c>
      <c r="F84" s="9" t="s">
        <v>355</v>
      </c>
      <c r="G84" s="9" t="s">
        <v>170</v>
      </c>
      <c r="H84" s="9"/>
      <c r="I84" s="7" t="s">
        <v>313</v>
      </c>
      <c r="J84" s="51" t="s">
        <v>83</v>
      </c>
      <c r="K84" s="7" t="s">
        <v>116</v>
      </c>
      <c r="L84" s="10">
        <v>24000</v>
      </c>
      <c r="M84" s="10">
        <v>200000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33"/>
      <c r="AB84" s="10"/>
      <c r="AC84" s="33">
        <v>224000</v>
      </c>
      <c r="AD84" s="10">
        <f t="shared" si="2"/>
        <v>0</v>
      </c>
      <c r="AF84" s="46"/>
    </row>
    <row r="85" spans="1:32" x14ac:dyDescent="0.25">
      <c r="A85" s="7" t="s">
        <v>286</v>
      </c>
      <c r="B85" s="9">
        <v>3873838</v>
      </c>
      <c r="C85" s="70">
        <v>44294</v>
      </c>
      <c r="D85" s="70">
        <v>44250</v>
      </c>
      <c r="E85" s="73">
        <v>44309</v>
      </c>
      <c r="F85" s="9" t="s">
        <v>464</v>
      </c>
      <c r="G85" s="9" t="s">
        <v>173</v>
      </c>
      <c r="H85" s="9"/>
      <c r="I85" s="7" t="s">
        <v>314</v>
      </c>
      <c r="J85" s="51" t="s">
        <v>31</v>
      </c>
      <c r="K85" s="24" t="s">
        <v>32</v>
      </c>
      <c r="L85" s="10">
        <v>8035.71</v>
      </c>
      <c r="M85" s="10">
        <v>66964.289999999994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33"/>
      <c r="AB85" s="10"/>
      <c r="AC85" s="33">
        <v>75000</v>
      </c>
      <c r="AD85" s="10">
        <f t="shared" si="2"/>
        <v>0</v>
      </c>
      <c r="AF85" s="46"/>
    </row>
    <row r="86" spans="1:32" x14ac:dyDescent="0.25">
      <c r="A86" s="7" t="s">
        <v>287</v>
      </c>
      <c r="B86" s="9">
        <v>3873839</v>
      </c>
      <c r="C86" s="70">
        <v>44278</v>
      </c>
      <c r="D86" s="70">
        <v>44250</v>
      </c>
      <c r="E86" s="73">
        <v>44271</v>
      </c>
      <c r="F86" s="9" t="s">
        <v>356</v>
      </c>
      <c r="G86" s="9" t="s">
        <v>174</v>
      </c>
      <c r="H86" s="9"/>
      <c r="I86" s="7" t="s">
        <v>142</v>
      </c>
      <c r="J86" s="51" t="s">
        <v>83</v>
      </c>
      <c r="K86" s="7" t="s">
        <v>116</v>
      </c>
      <c r="L86" s="10">
        <v>1440</v>
      </c>
      <c r="M86" s="10">
        <v>12000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33"/>
      <c r="AB86" s="10"/>
      <c r="AC86" s="33">
        <v>13440</v>
      </c>
      <c r="AD86" s="10">
        <f t="shared" si="2"/>
        <v>0</v>
      </c>
      <c r="AF86" s="46"/>
    </row>
    <row r="87" spans="1:32" s="39" customFormat="1" x14ac:dyDescent="0.25">
      <c r="A87" s="20"/>
      <c r="B87" s="19"/>
      <c r="C87" s="72"/>
      <c r="D87" s="72"/>
      <c r="E87" s="77"/>
      <c r="F87" s="19"/>
      <c r="G87" s="19"/>
      <c r="H87" s="19"/>
      <c r="I87" s="20"/>
      <c r="J87" s="20"/>
      <c r="K87" s="20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32"/>
      <c r="AB87" s="22"/>
      <c r="AC87" s="32"/>
      <c r="AD87" s="22"/>
      <c r="AE87" s="20"/>
      <c r="AF87" s="95"/>
    </row>
    <row r="88" spans="1:32" s="39" customFormat="1" x14ac:dyDescent="0.25">
      <c r="A88" s="25">
        <v>44256</v>
      </c>
      <c r="B88" s="19"/>
      <c r="C88" s="72"/>
      <c r="D88" s="72"/>
      <c r="E88" s="77"/>
      <c r="F88" s="19"/>
      <c r="G88" s="19"/>
      <c r="H88" s="19"/>
      <c r="I88" s="20"/>
      <c r="J88" s="20"/>
      <c r="K88" s="20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32"/>
      <c r="AB88" s="22"/>
      <c r="AC88" s="32"/>
      <c r="AD88" s="22"/>
      <c r="AE88" s="20"/>
      <c r="AF88" s="95"/>
    </row>
    <row r="89" spans="1:32" x14ac:dyDescent="0.25">
      <c r="A89" s="7"/>
      <c r="C89" s="70"/>
      <c r="D89" s="70"/>
      <c r="E89" s="73"/>
      <c r="F89" s="9"/>
      <c r="H89" s="9"/>
      <c r="I89" s="7" t="s">
        <v>655</v>
      </c>
      <c r="J89" s="51" t="s">
        <v>132</v>
      </c>
      <c r="K89" s="26"/>
      <c r="L89" s="10"/>
      <c r="M89" s="10"/>
      <c r="N89" s="10"/>
      <c r="O89" s="10"/>
      <c r="P89" s="10"/>
      <c r="Q89" s="10">
        <v>7563.85</v>
      </c>
      <c r="R89" s="10"/>
      <c r="S89" s="10"/>
      <c r="T89" s="10"/>
      <c r="U89" s="10"/>
      <c r="V89" s="10"/>
      <c r="W89" s="10"/>
      <c r="X89" s="10"/>
      <c r="Y89" s="10"/>
      <c r="Z89" s="10"/>
      <c r="AA89" s="33"/>
      <c r="AB89" s="10"/>
      <c r="AC89" s="33">
        <v>7563.85</v>
      </c>
      <c r="AD89" s="10">
        <f>SUM(AB89:AC89)-SUM(L89:AA89)</f>
        <v>0</v>
      </c>
      <c r="AE89" s="82" t="s">
        <v>133</v>
      </c>
    </row>
    <row r="90" spans="1:32" x14ac:dyDescent="0.25">
      <c r="A90" s="7" t="s">
        <v>288</v>
      </c>
      <c r="B90" s="9" t="s">
        <v>324</v>
      </c>
      <c r="C90" s="70">
        <v>44256</v>
      </c>
      <c r="D90" s="70">
        <v>44256</v>
      </c>
      <c r="E90" s="73">
        <v>44256</v>
      </c>
      <c r="F90" s="9" t="s">
        <v>325</v>
      </c>
      <c r="H90" s="9"/>
      <c r="I90" s="7" t="s">
        <v>93</v>
      </c>
      <c r="J90" s="51" t="s">
        <v>79</v>
      </c>
      <c r="K9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>
        <v>20667</v>
      </c>
      <c r="W90" s="10"/>
      <c r="X90" s="10"/>
      <c r="Y90" s="10"/>
      <c r="Z90" s="10"/>
      <c r="AA90" s="34"/>
      <c r="AB90" s="10"/>
      <c r="AC90" s="34">
        <v>20667</v>
      </c>
      <c r="AD90" s="10">
        <f t="shared" si="2"/>
        <v>0</v>
      </c>
      <c r="AF90" s="46"/>
    </row>
    <row r="91" spans="1:32" x14ac:dyDescent="0.25">
      <c r="A91" s="7" t="s">
        <v>289</v>
      </c>
      <c r="B91" s="9" t="s">
        <v>323</v>
      </c>
      <c r="C91" s="70">
        <v>44256</v>
      </c>
      <c r="D91" s="70">
        <v>44256</v>
      </c>
      <c r="E91" s="73"/>
      <c r="F91" s="9"/>
      <c r="H91" s="9"/>
      <c r="I91" s="7" t="s">
        <v>150</v>
      </c>
      <c r="J91" s="51" t="s">
        <v>39</v>
      </c>
      <c r="K91" s="26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>
        <v>150000</v>
      </c>
      <c r="X91" s="10"/>
      <c r="Y91" s="10"/>
      <c r="Z91" s="10"/>
      <c r="AA91" s="34"/>
      <c r="AB91" s="10"/>
      <c r="AC91" s="34">
        <v>150000</v>
      </c>
      <c r="AD91" s="10">
        <f t="shared" si="2"/>
        <v>0</v>
      </c>
      <c r="AF91" s="46"/>
    </row>
    <row r="92" spans="1:32" x14ac:dyDescent="0.25">
      <c r="A92" s="7" t="s">
        <v>290</v>
      </c>
      <c r="B92" s="9">
        <v>3873840</v>
      </c>
      <c r="C92" s="70">
        <v>44256</v>
      </c>
      <c r="D92" s="70">
        <v>44256</v>
      </c>
      <c r="E92" s="73"/>
      <c r="F92" s="9"/>
      <c r="H92" s="9" t="s">
        <v>92</v>
      </c>
      <c r="I92" s="7" t="s">
        <v>114</v>
      </c>
      <c r="J92" s="51" t="s">
        <v>65</v>
      </c>
      <c r="K92" s="26"/>
      <c r="L92" s="10"/>
      <c r="M92" s="10"/>
      <c r="N92" s="10"/>
      <c r="O92" s="10"/>
      <c r="P92" s="10"/>
      <c r="Q92" s="10"/>
      <c r="R92" s="10"/>
      <c r="S92" s="10"/>
      <c r="T92" s="10">
        <v>12875</v>
      </c>
      <c r="U92" s="10"/>
      <c r="V92" s="10"/>
      <c r="W92" s="10"/>
      <c r="X92" s="10"/>
      <c r="Y92" s="10"/>
      <c r="Z92" s="10"/>
      <c r="AA92" s="33"/>
      <c r="AB92" s="10"/>
      <c r="AC92" s="33">
        <v>12875</v>
      </c>
      <c r="AD92" s="10">
        <f t="shared" si="2"/>
        <v>0</v>
      </c>
      <c r="AF92" s="46"/>
    </row>
    <row r="93" spans="1:32" x14ac:dyDescent="0.25">
      <c r="A93" s="7" t="s">
        <v>291</v>
      </c>
      <c r="B93" s="9">
        <v>3873841</v>
      </c>
      <c r="C93" s="70">
        <v>44256</v>
      </c>
      <c r="D93" s="70">
        <v>44256</v>
      </c>
      <c r="E93" s="73"/>
      <c r="F93" s="9"/>
      <c r="H93" s="9" t="s">
        <v>95</v>
      </c>
      <c r="I93" s="7" t="s">
        <v>58</v>
      </c>
      <c r="J93" s="51" t="s">
        <v>39</v>
      </c>
      <c r="K93" s="7"/>
      <c r="L93" s="10"/>
      <c r="M93" s="10"/>
      <c r="N93" s="10"/>
      <c r="O93" s="10"/>
      <c r="P93" s="10"/>
      <c r="Q93" s="10"/>
      <c r="R93" s="10"/>
      <c r="S93" s="10"/>
      <c r="T93" s="10">
        <v>5716</v>
      </c>
      <c r="U93" s="10"/>
      <c r="V93" s="10"/>
      <c r="W93" s="10"/>
      <c r="X93" s="10"/>
      <c r="Y93" s="10"/>
      <c r="Z93" s="10"/>
      <c r="AA93" s="34"/>
      <c r="AB93" s="10"/>
      <c r="AC93" s="33">
        <v>5716</v>
      </c>
      <c r="AD93" s="10">
        <f t="shared" si="2"/>
        <v>0</v>
      </c>
      <c r="AF93" s="46"/>
    </row>
    <row r="94" spans="1:32" x14ac:dyDescent="0.25">
      <c r="A94" s="7" t="s">
        <v>292</v>
      </c>
      <c r="B94" s="9" t="s">
        <v>326</v>
      </c>
      <c r="C94" s="70">
        <v>44256</v>
      </c>
      <c r="D94" s="70">
        <v>44256</v>
      </c>
      <c r="E94" s="73"/>
      <c r="F94" s="9"/>
      <c r="H94" s="9"/>
      <c r="I94" s="7" t="s">
        <v>64</v>
      </c>
      <c r="J94" s="51" t="s">
        <v>327</v>
      </c>
      <c r="K94" s="26"/>
      <c r="L94" s="10"/>
      <c r="M94" s="10"/>
      <c r="N94" s="10"/>
      <c r="O94" s="10"/>
      <c r="P94" s="10">
        <v>15000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7"/>
      <c r="AB94" s="10"/>
      <c r="AC94" s="34">
        <v>15000</v>
      </c>
      <c r="AD94" s="10">
        <f t="shared" si="2"/>
        <v>0</v>
      </c>
      <c r="AF94" s="46"/>
    </row>
    <row r="95" spans="1:32" x14ac:dyDescent="0.25">
      <c r="A95" s="7" t="s">
        <v>293</v>
      </c>
      <c r="B95" s="9">
        <v>3873842</v>
      </c>
      <c r="C95" s="70">
        <v>44257</v>
      </c>
      <c r="D95" s="70">
        <v>44256</v>
      </c>
      <c r="E95" s="73"/>
      <c r="F95" s="9"/>
      <c r="H95" s="9"/>
      <c r="I95" s="7" t="s">
        <v>322</v>
      </c>
      <c r="J95" s="51" t="s">
        <v>65</v>
      </c>
      <c r="K95" s="26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34">
        <v>67900</v>
      </c>
      <c r="AB95" s="10"/>
      <c r="AC95" s="33">
        <v>67900</v>
      </c>
      <c r="AD95" s="10">
        <f t="shared" si="2"/>
        <v>0</v>
      </c>
      <c r="AF95" s="46"/>
    </row>
    <row r="96" spans="1:32" x14ac:dyDescent="0.25">
      <c r="A96" s="7" t="s">
        <v>315</v>
      </c>
      <c r="B96" s="9" t="s">
        <v>330</v>
      </c>
      <c r="C96" s="70">
        <v>44263</v>
      </c>
      <c r="D96" s="70">
        <v>44263</v>
      </c>
      <c r="E96" s="73"/>
      <c r="F96" s="9"/>
      <c r="H96" s="9"/>
      <c r="I96" s="7" t="s">
        <v>331</v>
      </c>
      <c r="J96" s="51" t="s">
        <v>39</v>
      </c>
      <c r="K96" s="26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150000</v>
      </c>
      <c r="X96" s="10"/>
      <c r="Y96" s="10"/>
      <c r="Z96" s="10"/>
      <c r="AA96" s="34"/>
      <c r="AB96" s="10"/>
      <c r="AC96" s="33">
        <v>150000</v>
      </c>
      <c r="AD96" s="10">
        <f t="shared" si="2"/>
        <v>0</v>
      </c>
      <c r="AF96" s="46"/>
    </row>
    <row r="97" spans="1:32" x14ac:dyDescent="0.25">
      <c r="A97" s="7" t="s">
        <v>316</v>
      </c>
      <c r="B97" s="9">
        <v>3873843</v>
      </c>
      <c r="C97" s="70">
        <v>44265</v>
      </c>
      <c r="D97" s="70">
        <v>44265</v>
      </c>
      <c r="E97" s="73"/>
      <c r="F97" s="9"/>
      <c r="H97" s="9"/>
      <c r="I97" s="7" t="s">
        <v>147</v>
      </c>
      <c r="J97" s="51" t="s">
        <v>39</v>
      </c>
      <c r="K97" s="26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34">
        <v>17277.5</v>
      </c>
      <c r="AB97" s="10"/>
      <c r="AC97" s="33">
        <v>17277.5</v>
      </c>
      <c r="AD97" s="10">
        <f t="shared" si="2"/>
        <v>0</v>
      </c>
      <c r="AF97" s="46"/>
    </row>
    <row r="98" spans="1:32" x14ac:dyDescent="0.25">
      <c r="A98" s="7" t="s">
        <v>317</v>
      </c>
      <c r="B98" s="9">
        <v>3873844</v>
      </c>
      <c r="C98" s="70">
        <v>44265</v>
      </c>
      <c r="D98" s="70">
        <v>44265</v>
      </c>
      <c r="E98" s="73"/>
      <c r="F98" s="9"/>
      <c r="H98" s="9"/>
      <c r="I98" s="7" t="s">
        <v>332</v>
      </c>
      <c r="J98" s="51" t="s">
        <v>65</v>
      </c>
      <c r="K98" s="7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34">
        <v>18780</v>
      </c>
      <c r="AB98" s="10"/>
      <c r="AC98" s="33">
        <v>18780</v>
      </c>
      <c r="AD98" s="10">
        <f t="shared" si="2"/>
        <v>0</v>
      </c>
      <c r="AF98" s="46"/>
    </row>
    <row r="99" spans="1:32" x14ac:dyDescent="0.25">
      <c r="A99" s="7" t="s">
        <v>318</v>
      </c>
      <c r="B99" s="9">
        <v>3873845</v>
      </c>
      <c r="C99" s="70">
        <v>44281</v>
      </c>
      <c r="D99" s="70">
        <v>44265</v>
      </c>
      <c r="E99" s="73">
        <v>44306</v>
      </c>
      <c r="F99" s="9" t="s">
        <v>450</v>
      </c>
      <c r="G99" s="9" t="s">
        <v>176</v>
      </c>
      <c r="H99" s="9"/>
      <c r="I99" s="7" t="s">
        <v>120</v>
      </c>
      <c r="J99" s="51" t="s">
        <v>60</v>
      </c>
      <c r="K99" s="7" t="s">
        <v>61</v>
      </c>
      <c r="L99" s="10">
        <v>910.72</v>
      </c>
      <c r="M99" s="10">
        <v>7589.28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34"/>
      <c r="AB99" s="10"/>
      <c r="AC99" s="33">
        <v>8500</v>
      </c>
      <c r="AD99" s="10">
        <f t="shared" si="2"/>
        <v>0</v>
      </c>
      <c r="AF99" s="46"/>
    </row>
    <row r="100" spans="1:32" x14ac:dyDescent="0.25">
      <c r="A100" s="7" t="s">
        <v>319</v>
      </c>
      <c r="B100" s="9">
        <v>3873846</v>
      </c>
      <c r="C100" s="70">
        <v>44290</v>
      </c>
      <c r="D100" s="70">
        <v>44265</v>
      </c>
      <c r="E100" s="73">
        <v>44306</v>
      </c>
      <c r="F100" s="9" t="s">
        <v>449</v>
      </c>
      <c r="G100" s="9" t="s">
        <v>177</v>
      </c>
      <c r="H100" s="9"/>
      <c r="I100" s="7" t="s">
        <v>183</v>
      </c>
      <c r="J100" s="51" t="s">
        <v>83</v>
      </c>
      <c r="K100" s="7" t="s">
        <v>116</v>
      </c>
      <c r="L100" s="10">
        <v>7500</v>
      </c>
      <c r="M100" s="10">
        <v>62500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34"/>
      <c r="AB100" s="10"/>
      <c r="AC100" s="33">
        <v>70000</v>
      </c>
      <c r="AD100" s="10">
        <f t="shared" si="2"/>
        <v>0</v>
      </c>
      <c r="AF100" s="46"/>
    </row>
    <row r="101" spans="1:32" x14ac:dyDescent="0.25">
      <c r="A101" s="7" t="s">
        <v>320</v>
      </c>
      <c r="B101" s="9" t="s">
        <v>338</v>
      </c>
      <c r="C101" s="70">
        <v>44265</v>
      </c>
      <c r="D101" s="70">
        <v>44265</v>
      </c>
      <c r="E101" s="73"/>
      <c r="F101" s="9"/>
      <c r="H101" s="9"/>
      <c r="I101" s="7" t="s">
        <v>55</v>
      </c>
      <c r="J101" s="51" t="s">
        <v>80</v>
      </c>
      <c r="K101" s="7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>
        <v>300000</v>
      </c>
      <c r="AA101" s="34"/>
      <c r="AB101" s="10"/>
      <c r="AC101" s="33">
        <v>300000</v>
      </c>
      <c r="AD101" s="10">
        <f t="shared" si="2"/>
        <v>0</v>
      </c>
      <c r="AF101" s="46"/>
    </row>
    <row r="102" spans="1:32" x14ac:dyDescent="0.25">
      <c r="A102" s="7" t="s">
        <v>321</v>
      </c>
      <c r="B102" s="9">
        <v>3873847</v>
      </c>
      <c r="C102" s="70">
        <v>44308</v>
      </c>
      <c r="D102" s="70">
        <v>44265</v>
      </c>
      <c r="E102" s="73">
        <v>44309</v>
      </c>
      <c r="F102" s="9" t="s">
        <v>462</v>
      </c>
      <c r="G102" s="9" t="s">
        <v>188</v>
      </c>
      <c r="H102" s="9"/>
      <c r="I102" s="7" t="s">
        <v>339</v>
      </c>
      <c r="J102" s="51" t="s">
        <v>31</v>
      </c>
      <c r="K102" s="24" t="s">
        <v>32</v>
      </c>
      <c r="L102" s="14">
        <v>1821.43</v>
      </c>
      <c r="M102" s="10">
        <v>15178.57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34"/>
      <c r="AB102" s="10"/>
      <c r="AC102" s="33">
        <v>17000</v>
      </c>
      <c r="AD102" s="10">
        <f t="shared" si="2"/>
        <v>0</v>
      </c>
      <c r="AF102" s="46"/>
    </row>
    <row r="103" spans="1:32" x14ac:dyDescent="0.25">
      <c r="A103" s="7" t="s">
        <v>333</v>
      </c>
      <c r="B103" s="9">
        <v>3873848</v>
      </c>
      <c r="C103" s="70">
        <v>44265</v>
      </c>
      <c r="D103" s="70">
        <v>44265</v>
      </c>
      <c r="E103" s="73"/>
      <c r="F103" s="9"/>
      <c r="H103" s="9"/>
      <c r="I103" s="7" t="s">
        <v>340</v>
      </c>
      <c r="J103" s="51" t="s">
        <v>18</v>
      </c>
      <c r="K103" s="7"/>
      <c r="L103" s="10">
        <v>151.09</v>
      </c>
      <c r="M103" s="10"/>
      <c r="N103" s="10"/>
      <c r="O103" s="10"/>
      <c r="P103" s="10"/>
      <c r="Q103" s="10"/>
      <c r="R103" s="10">
        <v>1259.06</v>
      </c>
      <c r="S103" s="10"/>
      <c r="T103" s="10"/>
      <c r="U103" s="10"/>
      <c r="V103" s="10"/>
      <c r="W103" s="10"/>
      <c r="X103" s="10"/>
      <c r="Y103" s="10"/>
      <c r="Z103" s="10"/>
      <c r="AA103" s="34"/>
      <c r="AB103" s="10"/>
      <c r="AC103" s="33">
        <v>1410.15</v>
      </c>
      <c r="AD103" s="10">
        <f t="shared" si="2"/>
        <v>0</v>
      </c>
      <c r="AF103" s="46"/>
    </row>
    <row r="104" spans="1:32" x14ac:dyDescent="0.25">
      <c r="A104" s="7" t="s">
        <v>334</v>
      </c>
      <c r="B104" s="9">
        <v>3873849</v>
      </c>
      <c r="C104" s="70">
        <v>44265</v>
      </c>
      <c r="D104" s="70">
        <v>44265</v>
      </c>
      <c r="E104" s="73"/>
      <c r="F104" s="9"/>
      <c r="H104" s="9"/>
      <c r="I104" s="7" t="s">
        <v>340</v>
      </c>
      <c r="J104" s="51" t="s">
        <v>18</v>
      </c>
      <c r="K104" s="26"/>
      <c r="L104" s="10">
        <v>871.09</v>
      </c>
      <c r="M104" s="10"/>
      <c r="N104" s="10"/>
      <c r="O104" s="10"/>
      <c r="P104" s="10"/>
      <c r="Q104" s="10"/>
      <c r="R104" s="10">
        <v>7259.06</v>
      </c>
      <c r="S104" s="10"/>
      <c r="T104" s="10"/>
      <c r="U104" s="10"/>
      <c r="V104" s="10"/>
      <c r="W104" s="10"/>
      <c r="X104" s="10"/>
      <c r="Y104" s="10"/>
      <c r="Z104" s="10"/>
      <c r="AA104" s="34"/>
      <c r="AB104" s="10"/>
      <c r="AC104" s="33">
        <v>8130.15</v>
      </c>
      <c r="AD104" s="10">
        <f t="shared" si="2"/>
        <v>0</v>
      </c>
      <c r="AF104" s="46"/>
    </row>
    <row r="105" spans="1:32" x14ac:dyDescent="0.25">
      <c r="A105" s="7" t="s">
        <v>335</v>
      </c>
      <c r="B105" s="9" t="s">
        <v>341</v>
      </c>
      <c r="C105" s="70">
        <v>44265</v>
      </c>
      <c r="D105" s="70">
        <v>44265</v>
      </c>
      <c r="E105" s="73"/>
      <c r="F105" s="9"/>
      <c r="H105" s="9"/>
      <c r="I105" s="7" t="s">
        <v>342</v>
      </c>
      <c r="J105" s="51" t="s">
        <v>56</v>
      </c>
      <c r="K105" s="7"/>
      <c r="L105" s="14"/>
      <c r="M105" s="10"/>
      <c r="N105" s="10"/>
      <c r="O105" s="10"/>
      <c r="P105" s="10"/>
      <c r="Q105" s="10">
        <v>12816.73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34"/>
      <c r="AB105" s="10"/>
      <c r="AC105" s="33">
        <v>12816.73</v>
      </c>
      <c r="AD105" s="10">
        <f t="shared" si="2"/>
        <v>0</v>
      </c>
      <c r="AF105" s="46"/>
    </row>
    <row r="106" spans="1:32" x14ac:dyDescent="0.25">
      <c r="A106" s="7" t="s">
        <v>336</v>
      </c>
      <c r="B106" s="9">
        <v>3873850</v>
      </c>
      <c r="C106" s="70">
        <v>44265</v>
      </c>
      <c r="D106" s="70">
        <v>44265</v>
      </c>
      <c r="E106" s="73"/>
      <c r="F106" s="9"/>
      <c r="H106" s="9"/>
      <c r="I106" s="7" t="s">
        <v>343</v>
      </c>
      <c r="J106" s="51" t="s">
        <v>43</v>
      </c>
      <c r="K106" s="7"/>
      <c r="L106" s="14">
        <v>148.61000000000001</v>
      </c>
      <c r="M106" s="10"/>
      <c r="N106" s="10"/>
      <c r="O106" s="10"/>
      <c r="P106" s="10"/>
      <c r="Q106" s="10"/>
      <c r="R106" s="10"/>
      <c r="S106" s="10">
        <v>1238.3800000000001</v>
      </c>
      <c r="T106" s="10"/>
      <c r="U106" s="10"/>
      <c r="V106" s="10"/>
      <c r="W106" s="10"/>
      <c r="X106" s="10"/>
      <c r="Y106" s="10"/>
      <c r="Z106" s="10"/>
      <c r="AA106" s="34"/>
      <c r="AB106" s="10"/>
      <c r="AC106" s="33">
        <v>1386.99</v>
      </c>
      <c r="AD106" s="10">
        <f t="shared" si="2"/>
        <v>0</v>
      </c>
      <c r="AF106" s="46"/>
    </row>
    <row r="107" spans="1:32" x14ac:dyDescent="0.25">
      <c r="A107" s="7" t="s">
        <v>337</v>
      </c>
      <c r="B107" s="9">
        <v>3873851</v>
      </c>
      <c r="C107" s="70">
        <v>44265</v>
      </c>
      <c r="D107" s="70">
        <v>44265</v>
      </c>
      <c r="E107" s="73"/>
      <c r="F107" s="9"/>
      <c r="H107" s="9"/>
      <c r="I107" s="7" t="s">
        <v>343</v>
      </c>
      <c r="J107" s="51" t="s">
        <v>43</v>
      </c>
      <c r="K107" s="7"/>
      <c r="L107" s="14">
        <v>107.04</v>
      </c>
      <c r="M107" s="10"/>
      <c r="N107" s="10"/>
      <c r="O107" s="10"/>
      <c r="P107" s="10"/>
      <c r="Q107" s="10"/>
      <c r="R107" s="10"/>
      <c r="S107" s="10">
        <v>891.96</v>
      </c>
      <c r="T107" s="10"/>
      <c r="U107" s="10"/>
      <c r="V107" s="10"/>
      <c r="W107" s="10"/>
      <c r="X107" s="10"/>
      <c r="Y107" s="10"/>
      <c r="Z107" s="10"/>
      <c r="AA107" s="34"/>
      <c r="AB107" s="10"/>
      <c r="AC107" s="33">
        <v>999</v>
      </c>
      <c r="AD107" s="10">
        <f t="shared" si="2"/>
        <v>0</v>
      </c>
      <c r="AF107" s="46"/>
    </row>
    <row r="108" spans="1:32" x14ac:dyDescent="0.25">
      <c r="A108" s="7" t="s">
        <v>344</v>
      </c>
      <c r="B108" s="9">
        <v>3873853</v>
      </c>
      <c r="C108" s="70">
        <v>44267</v>
      </c>
      <c r="D108" s="70">
        <v>44267</v>
      </c>
      <c r="E108" s="73">
        <v>44271</v>
      </c>
      <c r="F108" s="9" t="s">
        <v>358</v>
      </c>
      <c r="H108" s="9"/>
      <c r="I108" s="7" t="s">
        <v>351</v>
      </c>
      <c r="J108" s="51" t="s">
        <v>83</v>
      </c>
      <c r="K108" s="7" t="s">
        <v>116</v>
      </c>
      <c r="L108" s="14"/>
      <c r="M108" s="10">
        <v>6600</v>
      </c>
      <c r="N108" s="10"/>
      <c r="O108" s="10"/>
      <c r="P108" s="10"/>
      <c r="Q108" s="10"/>
      <c r="R108" s="10"/>
      <c r="S108" s="7"/>
      <c r="T108" s="10"/>
      <c r="U108" s="10"/>
      <c r="V108" s="10"/>
      <c r="W108" s="10"/>
      <c r="X108" s="10"/>
      <c r="Y108" s="10"/>
      <c r="Z108" s="10"/>
      <c r="AA108" s="34"/>
      <c r="AB108" s="10"/>
      <c r="AC108" s="33">
        <v>6600</v>
      </c>
      <c r="AD108" s="10">
        <f t="shared" si="2"/>
        <v>0</v>
      </c>
      <c r="AF108" s="46"/>
    </row>
    <row r="109" spans="1:32" x14ac:dyDescent="0.25">
      <c r="A109" s="7" t="s">
        <v>345</v>
      </c>
      <c r="B109" s="9">
        <v>3873854</v>
      </c>
      <c r="C109" s="70">
        <v>44296</v>
      </c>
      <c r="D109" s="70">
        <v>44267</v>
      </c>
      <c r="E109" s="73">
        <v>44306</v>
      </c>
      <c r="F109" s="9" t="s">
        <v>447</v>
      </c>
      <c r="G109" s="9" t="s">
        <v>170</v>
      </c>
      <c r="H109" s="9"/>
      <c r="I109" s="7" t="s">
        <v>313</v>
      </c>
      <c r="J109" s="51" t="s">
        <v>83</v>
      </c>
      <c r="K109" s="7" t="s">
        <v>116</v>
      </c>
      <c r="L109" s="10">
        <v>24000</v>
      </c>
      <c r="M109" s="10">
        <v>200000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34"/>
      <c r="AB109" s="10"/>
      <c r="AC109" s="33">
        <v>224000</v>
      </c>
      <c r="AD109" s="10">
        <f t="shared" si="2"/>
        <v>0</v>
      </c>
      <c r="AF109" s="46"/>
    </row>
    <row r="110" spans="1:32" x14ac:dyDescent="0.25">
      <c r="A110" s="7" t="s">
        <v>346</v>
      </c>
      <c r="B110" s="9">
        <v>3873855</v>
      </c>
      <c r="C110" s="70">
        <v>44267</v>
      </c>
      <c r="D110" s="70">
        <v>44267</v>
      </c>
      <c r="E110" s="73">
        <v>44271</v>
      </c>
      <c r="F110" s="48" t="s">
        <v>357</v>
      </c>
      <c r="G110" s="9" t="s">
        <v>189</v>
      </c>
      <c r="H110" s="9"/>
      <c r="I110" s="7" t="s">
        <v>352</v>
      </c>
      <c r="J110" s="51" t="s">
        <v>83</v>
      </c>
      <c r="K110" s="7" t="s">
        <v>116</v>
      </c>
      <c r="L110" s="14"/>
      <c r="M110" s="10">
        <v>700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34"/>
      <c r="AB110" s="10"/>
      <c r="AC110" s="33">
        <v>700</v>
      </c>
      <c r="AD110" s="10">
        <f t="shared" si="2"/>
        <v>0</v>
      </c>
      <c r="AF110" s="46"/>
    </row>
    <row r="111" spans="1:32" x14ac:dyDescent="0.25">
      <c r="A111" s="7" t="s">
        <v>347</v>
      </c>
      <c r="B111" s="9">
        <v>3873856</v>
      </c>
      <c r="C111" s="70">
        <v>44267</v>
      </c>
      <c r="D111" s="70">
        <v>44267</v>
      </c>
      <c r="E111" s="73">
        <v>44270</v>
      </c>
      <c r="F111" s="9" t="s">
        <v>406</v>
      </c>
      <c r="G111" s="9" t="s">
        <v>190</v>
      </c>
      <c r="H111" s="9"/>
      <c r="I111" s="7" t="s">
        <v>131</v>
      </c>
      <c r="J111" s="51" t="s">
        <v>141</v>
      </c>
      <c r="K111" s="7"/>
      <c r="L111" s="14">
        <v>6814.29</v>
      </c>
      <c r="M111" s="34">
        <v>56785.71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34"/>
      <c r="AB111" s="10"/>
      <c r="AC111" s="33">
        <v>63600</v>
      </c>
      <c r="AD111" s="10">
        <f t="shared" si="2"/>
        <v>0</v>
      </c>
      <c r="AF111" s="46"/>
    </row>
    <row r="112" spans="1:32" x14ac:dyDescent="0.25">
      <c r="A112" s="7" t="s">
        <v>348</v>
      </c>
      <c r="B112" s="9" t="s">
        <v>353</v>
      </c>
      <c r="C112" s="70">
        <v>44267</v>
      </c>
      <c r="D112" s="70">
        <v>44267</v>
      </c>
      <c r="E112" s="73"/>
      <c r="F112" s="9"/>
      <c r="H112" s="9"/>
      <c r="I112" s="7" t="s">
        <v>354</v>
      </c>
      <c r="J112" s="54" t="s">
        <v>126</v>
      </c>
      <c r="K112" s="7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34">
        <v>12500</v>
      </c>
      <c r="AB112" s="10"/>
      <c r="AC112" s="33">
        <v>12500</v>
      </c>
      <c r="AD112" s="10">
        <f t="shared" si="2"/>
        <v>0</v>
      </c>
      <c r="AF112" s="46"/>
    </row>
    <row r="113" spans="1:32" x14ac:dyDescent="0.25">
      <c r="A113" s="7" t="s">
        <v>349</v>
      </c>
      <c r="B113" s="9">
        <v>3873857</v>
      </c>
      <c r="C113" s="70">
        <v>44272</v>
      </c>
      <c r="D113" s="70">
        <v>44272</v>
      </c>
      <c r="E113" s="73"/>
      <c r="F113" s="45"/>
      <c r="H113" s="9"/>
      <c r="I113" s="7" t="s">
        <v>370</v>
      </c>
      <c r="J113" s="51" t="s">
        <v>40</v>
      </c>
      <c r="K113" s="44"/>
      <c r="L113" s="14"/>
      <c r="M113" s="10"/>
      <c r="N113" s="10"/>
      <c r="O113" s="10"/>
      <c r="P113" s="10"/>
      <c r="Q113" s="10">
        <v>39875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34"/>
      <c r="AB113" s="10"/>
      <c r="AC113" s="33">
        <v>39875</v>
      </c>
      <c r="AD113" s="10">
        <f t="shared" si="2"/>
        <v>0</v>
      </c>
      <c r="AF113" s="46"/>
    </row>
    <row r="114" spans="1:32" x14ac:dyDescent="0.25">
      <c r="A114" s="7" t="s">
        <v>350</v>
      </c>
      <c r="B114" s="9">
        <v>3873858</v>
      </c>
      <c r="C114" s="70">
        <v>44272</v>
      </c>
      <c r="D114" s="70">
        <v>44272</v>
      </c>
      <c r="E114" s="73"/>
      <c r="F114" s="9"/>
      <c r="H114" s="9"/>
      <c r="I114" s="7" t="s">
        <v>369</v>
      </c>
      <c r="J114" s="51" t="s">
        <v>40</v>
      </c>
      <c r="K114" s="7"/>
      <c r="L114" s="14"/>
      <c r="M114" s="10"/>
      <c r="N114" s="10"/>
      <c r="O114" s="10"/>
      <c r="P114" s="10"/>
      <c r="Q114" s="10">
        <v>10761.48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34"/>
      <c r="AB114" s="10"/>
      <c r="AC114" s="33">
        <v>10761.48</v>
      </c>
      <c r="AD114" s="10">
        <f t="shared" si="2"/>
        <v>0</v>
      </c>
      <c r="AF114" s="46"/>
    </row>
    <row r="115" spans="1:32" x14ac:dyDescent="0.25">
      <c r="A115" s="7" t="s">
        <v>359</v>
      </c>
      <c r="B115" s="9">
        <v>3873859</v>
      </c>
      <c r="C115" s="70">
        <v>44272</v>
      </c>
      <c r="D115" s="70">
        <v>44272</v>
      </c>
      <c r="E115" s="73"/>
      <c r="F115" s="9"/>
      <c r="H115" s="9"/>
      <c r="I115" s="7" t="s">
        <v>366</v>
      </c>
      <c r="J115" s="51" t="s">
        <v>44</v>
      </c>
      <c r="K115" s="7"/>
      <c r="L115" s="14">
        <v>471.63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>
        <v>3930.24</v>
      </c>
      <c r="Y115" s="10"/>
      <c r="Z115" s="10"/>
      <c r="AA115" s="34"/>
      <c r="AB115" s="10"/>
      <c r="AC115" s="33">
        <v>4401.87</v>
      </c>
      <c r="AD115" s="10">
        <f t="shared" si="2"/>
        <v>0</v>
      </c>
      <c r="AF115" s="46"/>
    </row>
    <row r="116" spans="1:32" x14ac:dyDescent="0.25">
      <c r="A116" s="7" t="s">
        <v>360</v>
      </c>
      <c r="B116" s="9">
        <v>3873860</v>
      </c>
      <c r="C116" s="70">
        <v>44272</v>
      </c>
      <c r="D116" s="70">
        <v>44272</v>
      </c>
      <c r="E116" s="73">
        <v>44273</v>
      </c>
      <c r="F116" s="9" t="s">
        <v>393</v>
      </c>
      <c r="H116" s="9"/>
      <c r="I116" s="7" t="s">
        <v>394</v>
      </c>
      <c r="J116" s="51" t="s">
        <v>112</v>
      </c>
      <c r="K116" s="7"/>
      <c r="L116" s="14">
        <v>1037.1400000000001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34">
        <v>8642.86</v>
      </c>
      <c r="AB116" s="10"/>
      <c r="AC116" s="33">
        <v>9680</v>
      </c>
      <c r="AD116" s="10">
        <f t="shared" si="2"/>
        <v>0</v>
      </c>
      <c r="AF116" s="46"/>
    </row>
    <row r="117" spans="1:32" x14ac:dyDescent="0.25">
      <c r="A117" s="7" t="s">
        <v>361</v>
      </c>
      <c r="B117" s="9">
        <v>3873861</v>
      </c>
      <c r="C117" s="70">
        <v>44272</v>
      </c>
      <c r="D117" s="70">
        <v>44272</v>
      </c>
      <c r="E117" s="73"/>
      <c r="F117" s="9"/>
      <c r="H117" s="9"/>
      <c r="I117" s="7" t="s">
        <v>368</v>
      </c>
      <c r="J117" s="51" t="s">
        <v>46</v>
      </c>
      <c r="K117" s="26"/>
      <c r="L117" s="14">
        <v>374.42</v>
      </c>
      <c r="M117" s="10"/>
      <c r="N117" s="10"/>
      <c r="O117" s="10"/>
      <c r="P117" s="10"/>
      <c r="Q117" s="10"/>
      <c r="R117" s="10"/>
      <c r="S117" s="10">
        <v>3120.15</v>
      </c>
      <c r="T117" s="10"/>
      <c r="U117" s="10"/>
      <c r="V117" s="10"/>
      <c r="W117" s="10"/>
      <c r="X117" s="10"/>
      <c r="Y117" s="10"/>
      <c r="Z117" s="10"/>
      <c r="AA117" s="34"/>
      <c r="AB117" s="10"/>
      <c r="AC117" s="33">
        <v>3494.57</v>
      </c>
      <c r="AD117" s="10">
        <f t="shared" si="2"/>
        <v>0</v>
      </c>
      <c r="AF117" s="46"/>
    </row>
    <row r="118" spans="1:32" x14ac:dyDescent="0.25">
      <c r="A118" s="7" t="s">
        <v>362</v>
      </c>
      <c r="B118" s="9">
        <v>3873862</v>
      </c>
      <c r="C118" s="70">
        <v>44272</v>
      </c>
      <c r="D118" s="70">
        <v>44272</v>
      </c>
      <c r="E118" s="73"/>
      <c r="F118" s="9"/>
      <c r="H118" s="9"/>
      <c r="I118" s="7" t="s">
        <v>367</v>
      </c>
      <c r="J118" s="51" t="s">
        <v>46</v>
      </c>
      <c r="K118" s="7"/>
      <c r="L118" s="10">
        <v>107.04</v>
      </c>
      <c r="M118" s="10"/>
      <c r="N118" s="10"/>
      <c r="O118" s="10"/>
      <c r="P118" s="10"/>
      <c r="Q118" s="10"/>
      <c r="R118" s="10"/>
      <c r="S118" s="10">
        <v>891.96</v>
      </c>
      <c r="T118" s="10"/>
      <c r="U118" s="10"/>
      <c r="V118" s="10"/>
      <c r="W118" s="10"/>
      <c r="X118" s="10"/>
      <c r="Y118" s="10"/>
      <c r="Z118" s="10"/>
      <c r="AA118" s="34"/>
      <c r="AB118" s="10"/>
      <c r="AC118" s="33">
        <v>999</v>
      </c>
      <c r="AD118" s="10">
        <f t="shared" si="2"/>
        <v>0</v>
      </c>
      <c r="AF118" s="46"/>
    </row>
    <row r="119" spans="1:32" x14ac:dyDescent="0.25">
      <c r="A119" s="7" t="s">
        <v>363</v>
      </c>
      <c r="B119" s="9">
        <v>3873863</v>
      </c>
      <c r="C119" s="70">
        <v>44272</v>
      </c>
      <c r="D119" s="70">
        <v>44272</v>
      </c>
      <c r="E119" s="73"/>
      <c r="F119" s="9"/>
      <c r="H119" s="9"/>
      <c r="I119" s="7" t="s">
        <v>367</v>
      </c>
      <c r="J119" s="51" t="s">
        <v>46</v>
      </c>
      <c r="K119" s="26"/>
      <c r="L119" s="10">
        <v>107.04</v>
      </c>
      <c r="M119" s="10"/>
      <c r="N119" s="10"/>
      <c r="O119" s="10"/>
      <c r="P119" s="10"/>
      <c r="Q119" s="10"/>
      <c r="R119" s="10"/>
      <c r="S119" s="10">
        <v>891.96</v>
      </c>
      <c r="T119" s="10"/>
      <c r="U119" s="10"/>
      <c r="V119" s="10"/>
      <c r="W119" s="10"/>
      <c r="X119" s="10"/>
      <c r="Y119" s="10"/>
      <c r="Z119" s="10"/>
      <c r="AA119" s="34"/>
      <c r="AB119" s="10"/>
      <c r="AC119" s="33">
        <v>999</v>
      </c>
      <c r="AD119" s="10">
        <f t="shared" si="2"/>
        <v>0</v>
      </c>
      <c r="AF119" s="46"/>
    </row>
    <row r="120" spans="1:32" x14ac:dyDescent="0.25">
      <c r="A120" s="7" t="s">
        <v>364</v>
      </c>
      <c r="B120" s="9">
        <v>3873864</v>
      </c>
      <c r="C120" s="70">
        <v>44272</v>
      </c>
      <c r="D120" s="70">
        <v>44272</v>
      </c>
      <c r="E120" s="73"/>
      <c r="F120" s="9"/>
      <c r="H120" s="9"/>
      <c r="I120" s="7" t="s">
        <v>367</v>
      </c>
      <c r="J120" s="51" t="s">
        <v>46</v>
      </c>
      <c r="K120" s="7"/>
      <c r="L120" s="10">
        <v>107.04</v>
      </c>
      <c r="M120" s="10"/>
      <c r="N120" s="10"/>
      <c r="O120" s="10"/>
      <c r="P120" s="10"/>
      <c r="Q120" s="10"/>
      <c r="R120" s="10"/>
      <c r="S120" s="10">
        <v>891.96</v>
      </c>
      <c r="T120" s="10"/>
      <c r="U120" s="10"/>
      <c r="V120" s="10"/>
      <c r="W120" s="10"/>
      <c r="X120" s="10"/>
      <c r="Y120" s="10"/>
      <c r="Z120" s="10"/>
      <c r="AA120" s="34"/>
      <c r="AB120" s="10"/>
      <c r="AC120" s="33">
        <v>999</v>
      </c>
      <c r="AD120" s="10">
        <f t="shared" si="2"/>
        <v>0</v>
      </c>
      <c r="AF120" s="46"/>
    </row>
    <row r="121" spans="1:32" x14ac:dyDescent="0.25">
      <c r="A121" s="7" t="s">
        <v>365</v>
      </c>
      <c r="B121" s="9">
        <v>3873865</v>
      </c>
      <c r="C121" s="70">
        <v>44272</v>
      </c>
      <c r="D121" s="70">
        <v>44272</v>
      </c>
      <c r="E121" s="73">
        <v>44281</v>
      </c>
      <c r="F121" s="48" t="s">
        <v>403</v>
      </c>
      <c r="H121" s="9"/>
      <c r="I121" s="7" t="s">
        <v>371</v>
      </c>
      <c r="J121" s="51" t="s">
        <v>372</v>
      </c>
      <c r="K121" s="24"/>
      <c r="L121" s="14">
        <v>1339.29</v>
      </c>
      <c r="M121" s="10">
        <v>11160.71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34"/>
      <c r="AB121" s="10"/>
      <c r="AC121" s="33">
        <v>12500</v>
      </c>
      <c r="AD121" s="10">
        <f t="shared" si="2"/>
        <v>0</v>
      </c>
      <c r="AF121" s="46"/>
    </row>
    <row r="122" spans="1:32" x14ac:dyDescent="0.25">
      <c r="A122" s="7" t="s">
        <v>373</v>
      </c>
      <c r="B122" s="9">
        <v>3873866</v>
      </c>
      <c r="C122" s="70">
        <v>44274</v>
      </c>
      <c r="D122" s="70">
        <v>44274</v>
      </c>
      <c r="E122" s="73">
        <v>44306</v>
      </c>
      <c r="F122" s="9" t="s">
        <v>448</v>
      </c>
      <c r="H122" s="9"/>
      <c r="I122" s="7" t="s">
        <v>392</v>
      </c>
      <c r="J122" s="51" t="s">
        <v>127</v>
      </c>
      <c r="K122" s="26"/>
      <c r="L122" s="10">
        <v>552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33">
        <v>4600</v>
      </c>
      <c r="AB122" s="10"/>
      <c r="AC122" s="33">
        <v>5152</v>
      </c>
      <c r="AD122" s="10">
        <f t="shared" si="2"/>
        <v>0</v>
      </c>
      <c r="AE122" s="82"/>
      <c r="AF122" s="46"/>
    </row>
    <row r="123" spans="1:32" x14ac:dyDescent="0.25">
      <c r="A123" s="7" t="s">
        <v>374</v>
      </c>
      <c r="B123" s="9">
        <v>3873867</v>
      </c>
      <c r="C123" s="70">
        <v>44274</v>
      </c>
      <c r="D123" s="70">
        <v>44274</v>
      </c>
      <c r="E123" s="73"/>
      <c r="F123" s="9"/>
      <c r="H123" s="9"/>
      <c r="I123" s="7" t="s">
        <v>343</v>
      </c>
      <c r="J123" s="51" t="s">
        <v>43</v>
      </c>
      <c r="K123" s="7"/>
      <c r="L123" s="14">
        <v>208.75</v>
      </c>
      <c r="M123" s="10"/>
      <c r="N123" s="10"/>
      <c r="O123" s="10"/>
      <c r="P123" s="10"/>
      <c r="Q123" s="10"/>
      <c r="R123" s="10"/>
      <c r="S123" s="10">
        <v>1739.56</v>
      </c>
      <c r="T123" s="10"/>
      <c r="U123" s="10"/>
      <c r="V123" s="10"/>
      <c r="W123" s="10"/>
      <c r="X123" s="10"/>
      <c r="Y123" s="10"/>
      <c r="Z123" s="10"/>
      <c r="AA123" s="34"/>
      <c r="AB123" s="10"/>
      <c r="AC123" s="33">
        <v>1948.31</v>
      </c>
      <c r="AD123" s="10">
        <f t="shared" si="2"/>
        <v>0</v>
      </c>
      <c r="AF123" s="46"/>
    </row>
    <row r="124" spans="1:32" x14ac:dyDescent="0.25">
      <c r="A124" s="7" t="s">
        <v>375</v>
      </c>
      <c r="B124" s="9">
        <v>3873868</v>
      </c>
      <c r="C124" s="70">
        <v>44274</v>
      </c>
      <c r="D124" s="70">
        <v>44274</v>
      </c>
      <c r="E124" s="73"/>
      <c r="F124" s="9"/>
      <c r="H124" s="9"/>
      <c r="I124" s="7" t="s">
        <v>395</v>
      </c>
      <c r="J124" s="51" t="s">
        <v>46</v>
      </c>
      <c r="K124" s="7"/>
      <c r="L124" s="14">
        <v>1611.35</v>
      </c>
      <c r="M124" s="10"/>
      <c r="N124" s="10"/>
      <c r="O124" s="10"/>
      <c r="P124" s="10"/>
      <c r="Q124" s="10"/>
      <c r="R124" s="10"/>
      <c r="S124" s="10">
        <v>13427.88</v>
      </c>
      <c r="T124" s="10"/>
      <c r="U124" s="10"/>
      <c r="V124" s="10"/>
      <c r="W124" s="10"/>
      <c r="X124" s="10"/>
      <c r="Y124" s="10"/>
      <c r="Z124" s="10"/>
      <c r="AA124" s="34"/>
      <c r="AB124" s="10"/>
      <c r="AC124" s="33">
        <v>15039.23</v>
      </c>
      <c r="AD124" s="10">
        <f t="shared" si="2"/>
        <v>0</v>
      </c>
      <c r="AF124" s="46"/>
    </row>
    <row r="125" spans="1:32" x14ac:dyDescent="0.25">
      <c r="A125" s="7" t="s">
        <v>376</v>
      </c>
      <c r="B125" s="9" t="s">
        <v>389</v>
      </c>
      <c r="C125" s="70">
        <v>44274</v>
      </c>
      <c r="D125" s="70">
        <v>44274</v>
      </c>
      <c r="E125" s="73"/>
      <c r="F125" s="9"/>
      <c r="H125" s="9"/>
      <c r="I125" s="7" t="s">
        <v>390</v>
      </c>
      <c r="J125" s="51" t="s">
        <v>391</v>
      </c>
      <c r="K125" s="7"/>
      <c r="L125" s="10"/>
      <c r="M125" s="10"/>
      <c r="N125" s="10"/>
      <c r="O125" s="10"/>
      <c r="P125" s="10"/>
      <c r="Q125" s="10">
        <v>31875.13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34"/>
      <c r="AB125" s="10"/>
      <c r="AC125" s="33">
        <v>31875.13</v>
      </c>
      <c r="AD125" s="10">
        <f t="shared" si="2"/>
        <v>0</v>
      </c>
      <c r="AF125" s="46"/>
    </row>
    <row r="126" spans="1:32" x14ac:dyDescent="0.25">
      <c r="A126" s="7" t="s">
        <v>377</v>
      </c>
      <c r="B126" s="9">
        <v>3873869</v>
      </c>
      <c r="C126" s="70">
        <v>44277</v>
      </c>
      <c r="D126" s="70">
        <v>44277</v>
      </c>
      <c r="E126" s="73"/>
      <c r="F126" s="9"/>
      <c r="H126" s="9"/>
      <c r="I126" s="7" t="s">
        <v>395</v>
      </c>
      <c r="J126" s="51" t="s">
        <v>46</v>
      </c>
      <c r="K126" s="24"/>
      <c r="L126" s="14">
        <v>162.04</v>
      </c>
      <c r="M126" s="10"/>
      <c r="N126" s="10"/>
      <c r="O126" s="10"/>
      <c r="P126" s="10"/>
      <c r="Q126" s="10"/>
      <c r="R126" s="10"/>
      <c r="S126" s="10">
        <v>1350.35</v>
      </c>
      <c r="T126" s="10"/>
      <c r="U126" s="10"/>
      <c r="V126" s="10"/>
      <c r="W126" s="10"/>
      <c r="X126" s="10"/>
      <c r="Y126" s="10"/>
      <c r="Z126" s="10"/>
      <c r="AA126" s="34"/>
      <c r="AB126" s="10"/>
      <c r="AC126" s="34">
        <v>1512.39</v>
      </c>
      <c r="AD126" s="10">
        <f t="shared" si="2"/>
        <v>0</v>
      </c>
      <c r="AF126" s="46"/>
    </row>
    <row r="127" spans="1:32" x14ac:dyDescent="0.25">
      <c r="A127" s="7" t="s">
        <v>378</v>
      </c>
      <c r="B127" s="9" t="s">
        <v>396</v>
      </c>
      <c r="C127" s="70">
        <v>44277</v>
      </c>
      <c r="D127" s="70">
        <v>44277</v>
      </c>
      <c r="E127" s="73"/>
      <c r="F127" s="48"/>
      <c r="H127" s="9"/>
      <c r="I127" s="7" t="s">
        <v>55</v>
      </c>
      <c r="J127" s="51" t="s">
        <v>80</v>
      </c>
      <c r="K127" s="7"/>
      <c r="L127" s="14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>
        <v>300000</v>
      </c>
      <c r="AA127" s="34"/>
      <c r="AB127" s="10"/>
      <c r="AC127" s="34">
        <v>300000</v>
      </c>
      <c r="AD127" s="10">
        <f t="shared" si="2"/>
        <v>0</v>
      </c>
      <c r="AF127" s="46"/>
    </row>
    <row r="128" spans="1:32" x14ac:dyDescent="0.25">
      <c r="A128" s="7" t="s">
        <v>379</v>
      </c>
      <c r="B128" s="9" t="s">
        <v>397</v>
      </c>
      <c r="C128" s="70">
        <v>44278</v>
      </c>
      <c r="D128" s="70">
        <v>44278</v>
      </c>
      <c r="E128" s="73"/>
      <c r="F128" s="9"/>
      <c r="H128" s="9"/>
      <c r="I128" s="7" t="s">
        <v>64</v>
      </c>
      <c r="J128" s="51" t="s">
        <v>49</v>
      </c>
      <c r="K128" s="24"/>
      <c r="L128" s="14"/>
      <c r="M128" s="10"/>
      <c r="N128" s="10"/>
      <c r="O128" s="10"/>
      <c r="P128" s="10">
        <v>25000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34"/>
      <c r="AB128" s="10"/>
      <c r="AC128" s="34">
        <v>25000</v>
      </c>
      <c r="AD128" s="10">
        <f t="shared" si="2"/>
        <v>0</v>
      </c>
      <c r="AF128" s="46"/>
    </row>
    <row r="129" spans="1:32" x14ac:dyDescent="0.25">
      <c r="A129" s="7" t="s">
        <v>380</v>
      </c>
      <c r="B129" s="9">
        <v>3873870</v>
      </c>
      <c r="C129" s="70">
        <v>44278</v>
      </c>
      <c r="D129" s="70">
        <v>44278</v>
      </c>
      <c r="E129" s="73">
        <v>44281</v>
      </c>
      <c r="F129" s="9" t="s">
        <v>404</v>
      </c>
      <c r="H129" s="9"/>
      <c r="I129" s="7" t="s">
        <v>398</v>
      </c>
      <c r="J129" s="51" t="s">
        <v>399</v>
      </c>
      <c r="K129" s="7" t="s">
        <v>400</v>
      </c>
      <c r="L129" s="14">
        <v>72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34">
        <v>5928</v>
      </c>
      <c r="AB129" s="10"/>
      <c r="AC129" s="34">
        <v>6000</v>
      </c>
      <c r="AD129" s="10">
        <f t="shared" si="2"/>
        <v>0</v>
      </c>
      <c r="AF129" s="46"/>
    </row>
    <row r="130" spans="1:32" x14ac:dyDescent="0.25">
      <c r="A130" s="7" t="s">
        <v>381</v>
      </c>
      <c r="B130" s="9">
        <v>3873871</v>
      </c>
      <c r="C130" s="70">
        <v>44312</v>
      </c>
      <c r="D130" s="70">
        <v>44278</v>
      </c>
      <c r="E130" s="73">
        <v>44281</v>
      </c>
      <c r="F130" s="9" t="s">
        <v>405</v>
      </c>
      <c r="G130" s="9" t="s">
        <v>191</v>
      </c>
      <c r="H130" s="9"/>
      <c r="I130" s="10" t="s">
        <v>401</v>
      </c>
      <c r="J130" s="51" t="s">
        <v>52</v>
      </c>
      <c r="K130" s="7"/>
      <c r="L130" s="10">
        <v>2365.1799999999998</v>
      </c>
      <c r="M130" s="10">
        <v>19709.82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34"/>
      <c r="AB130" s="10"/>
      <c r="AC130" s="34">
        <v>22075</v>
      </c>
      <c r="AD130" s="10">
        <f t="shared" si="2"/>
        <v>0</v>
      </c>
      <c r="AF130" s="46"/>
    </row>
    <row r="131" spans="1:32" x14ac:dyDescent="0.25">
      <c r="A131" s="7" t="s">
        <v>382</v>
      </c>
      <c r="B131" s="9">
        <v>3873872</v>
      </c>
      <c r="C131" s="70">
        <v>44309</v>
      </c>
      <c r="D131" s="70">
        <v>44278</v>
      </c>
      <c r="E131" s="73">
        <v>44309</v>
      </c>
      <c r="F131" s="9" t="s">
        <v>465</v>
      </c>
      <c r="G131" s="9" t="s">
        <v>192</v>
      </c>
      <c r="H131" s="9"/>
      <c r="I131" s="10" t="s">
        <v>119</v>
      </c>
      <c r="J131" s="54" t="s">
        <v>37</v>
      </c>
      <c r="K131" s="10" t="s">
        <v>38</v>
      </c>
      <c r="L131" s="10">
        <v>7023.21</v>
      </c>
      <c r="M131" s="10">
        <v>58526.79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34"/>
      <c r="AB131" s="10"/>
      <c r="AC131" s="34">
        <v>65550</v>
      </c>
      <c r="AD131" s="10">
        <f t="shared" si="2"/>
        <v>0</v>
      </c>
      <c r="AF131" s="46"/>
    </row>
    <row r="132" spans="1:32" x14ac:dyDescent="0.25">
      <c r="A132" s="7" t="s">
        <v>383</v>
      </c>
      <c r="B132" s="9">
        <v>3873873</v>
      </c>
      <c r="C132" s="85">
        <v>44312</v>
      </c>
      <c r="D132" s="70">
        <v>44278</v>
      </c>
      <c r="E132" s="73">
        <v>44280</v>
      </c>
      <c r="F132" s="9" t="s">
        <v>407</v>
      </c>
      <c r="G132" s="9" t="s">
        <v>193</v>
      </c>
      <c r="H132" s="9"/>
      <c r="I132" s="7" t="s">
        <v>402</v>
      </c>
      <c r="J132" s="51" t="s">
        <v>84</v>
      </c>
      <c r="K132" s="7" t="s">
        <v>36</v>
      </c>
      <c r="L132" s="10">
        <v>600</v>
      </c>
      <c r="M132" s="10">
        <v>5000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34"/>
      <c r="AB132" s="10"/>
      <c r="AC132" s="34">
        <v>5600</v>
      </c>
      <c r="AD132" s="10">
        <f t="shared" si="2"/>
        <v>0</v>
      </c>
      <c r="AF132" s="46"/>
    </row>
    <row r="133" spans="1:32" x14ac:dyDescent="0.25">
      <c r="A133" s="7" t="s">
        <v>384</v>
      </c>
      <c r="B133" s="9" t="s">
        <v>441</v>
      </c>
      <c r="C133" s="70">
        <v>44285</v>
      </c>
      <c r="D133" s="70">
        <v>44285</v>
      </c>
      <c r="E133" s="73"/>
      <c r="F133" s="9"/>
      <c r="H133" s="9"/>
      <c r="I133" s="7" t="s">
        <v>64</v>
      </c>
      <c r="J133" s="51" t="s">
        <v>442</v>
      </c>
      <c r="K133" s="24"/>
      <c r="L133" s="14"/>
      <c r="M133" s="10"/>
      <c r="N133" s="10"/>
      <c r="O133" s="10"/>
      <c r="P133" s="10">
        <v>15000</v>
      </c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34"/>
      <c r="AB133" s="10"/>
      <c r="AC133" s="34">
        <v>15000</v>
      </c>
      <c r="AD133" s="10">
        <f t="shared" si="2"/>
        <v>0</v>
      </c>
      <c r="AF133" s="46"/>
    </row>
    <row r="134" spans="1:32" x14ac:dyDescent="0.25">
      <c r="A134" s="7" t="s">
        <v>385</v>
      </c>
      <c r="B134" s="9" t="s">
        <v>440</v>
      </c>
      <c r="C134" s="70">
        <v>44285</v>
      </c>
      <c r="D134" s="70">
        <v>44285</v>
      </c>
      <c r="E134" s="73"/>
      <c r="F134" s="9"/>
      <c r="H134" s="9"/>
      <c r="I134" s="7" t="s">
        <v>64</v>
      </c>
      <c r="J134" s="51" t="s">
        <v>432</v>
      </c>
      <c r="K134" s="7"/>
      <c r="L134" s="10"/>
      <c r="M134" s="10"/>
      <c r="N134" s="10"/>
      <c r="O134" s="10"/>
      <c r="P134" s="10">
        <v>11000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34"/>
      <c r="AB134" s="10"/>
      <c r="AC134" s="34">
        <v>11000</v>
      </c>
      <c r="AD134" s="10">
        <f t="shared" si="2"/>
        <v>0</v>
      </c>
      <c r="AF134" s="46"/>
    </row>
    <row r="135" spans="1:32" s="39" customFormat="1" x14ac:dyDescent="0.25">
      <c r="A135" s="20"/>
      <c r="B135" s="19"/>
      <c r="C135" s="72"/>
      <c r="D135" s="72"/>
      <c r="E135" s="77"/>
      <c r="F135" s="19"/>
      <c r="G135" s="19"/>
      <c r="H135" s="19"/>
      <c r="I135" s="20"/>
      <c r="J135" s="20"/>
      <c r="K135" s="20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35"/>
      <c r="AB135" s="22"/>
      <c r="AC135" s="35"/>
      <c r="AD135" s="22"/>
      <c r="AE135" s="20"/>
      <c r="AF135" s="95"/>
    </row>
    <row r="136" spans="1:32" s="39" customFormat="1" x14ac:dyDescent="0.25">
      <c r="A136" s="25">
        <v>44287</v>
      </c>
      <c r="B136" s="19"/>
      <c r="C136" s="72"/>
      <c r="D136" s="72"/>
      <c r="E136" s="77"/>
      <c r="F136" s="19"/>
      <c r="G136" s="19"/>
      <c r="H136" s="19"/>
      <c r="I136" s="20"/>
      <c r="J136" s="20"/>
      <c r="K136" s="20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35"/>
      <c r="AB136" s="22"/>
      <c r="AC136" s="35"/>
      <c r="AD136" s="22"/>
      <c r="AE136" s="20"/>
      <c r="AF136" s="95"/>
    </row>
    <row r="137" spans="1:32" x14ac:dyDescent="0.25">
      <c r="A137" s="7" t="s">
        <v>386</v>
      </c>
      <c r="B137" s="9" t="s">
        <v>439</v>
      </c>
      <c r="C137" s="70">
        <v>44291</v>
      </c>
      <c r="D137" s="70">
        <v>44291</v>
      </c>
      <c r="E137" s="73"/>
      <c r="F137" s="48"/>
      <c r="H137" s="9"/>
      <c r="I137" s="7" t="s">
        <v>55</v>
      </c>
      <c r="J137" s="51" t="s">
        <v>80</v>
      </c>
      <c r="K137" s="7"/>
      <c r="L137" s="14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>
        <v>450000</v>
      </c>
      <c r="AA137" s="34"/>
      <c r="AB137" s="10"/>
      <c r="AC137" s="34">
        <v>450000</v>
      </c>
      <c r="AD137" s="10">
        <f t="shared" si="2"/>
        <v>0</v>
      </c>
      <c r="AF137" s="46"/>
    </row>
    <row r="138" spans="1:32" x14ac:dyDescent="0.25">
      <c r="A138" s="7" t="s">
        <v>387</v>
      </c>
      <c r="B138" s="9" t="s">
        <v>438</v>
      </c>
      <c r="C138" s="70">
        <v>44291</v>
      </c>
      <c r="D138" s="70">
        <v>44291</v>
      </c>
      <c r="E138" s="73"/>
      <c r="F138" s="9"/>
      <c r="H138" s="9"/>
      <c r="I138" s="7" t="s">
        <v>93</v>
      </c>
      <c r="J138" s="51" t="s">
        <v>79</v>
      </c>
      <c r="K138" s="7"/>
      <c r="L138" s="14"/>
      <c r="M138" s="10"/>
      <c r="N138" s="10"/>
      <c r="O138" s="10"/>
      <c r="P138" s="10"/>
      <c r="Q138" s="10"/>
      <c r="R138" s="10"/>
      <c r="S138" s="10"/>
      <c r="T138" s="10"/>
      <c r="U138" s="10"/>
      <c r="V138" s="10">
        <v>20667</v>
      </c>
      <c r="W138" s="10"/>
      <c r="X138" s="10"/>
      <c r="Y138" s="10"/>
      <c r="Z138" s="10"/>
      <c r="AA138" s="34"/>
      <c r="AB138" s="10"/>
      <c r="AC138" s="34">
        <v>20667</v>
      </c>
      <c r="AD138" s="10">
        <f t="shared" si="2"/>
        <v>0</v>
      </c>
      <c r="AF138" s="46"/>
    </row>
    <row r="139" spans="1:32" x14ac:dyDescent="0.25">
      <c r="A139" s="7" t="s">
        <v>388</v>
      </c>
      <c r="B139" s="9" t="s">
        <v>437</v>
      </c>
      <c r="C139" s="70">
        <v>44293</v>
      </c>
      <c r="D139" s="70">
        <v>44293</v>
      </c>
      <c r="E139" s="73"/>
      <c r="F139" s="9"/>
      <c r="H139" s="9"/>
      <c r="I139" s="7" t="s">
        <v>64</v>
      </c>
      <c r="J139" s="51" t="s">
        <v>432</v>
      </c>
      <c r="K139" s="7"/>
      <c r="L139" s="14"/>
      <c r="M139" s="10"/>
      <c r="N139" s="10"/>
      <c r="O139" s="10"/>
      <c r="P139" s="10">
        <v>32000</v>
      </c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34"/>
      <c r="AB139" s="10"/>
      <c r="AC139" s="34">
        <v>32000</v>
      </c>
      <c r="AD139" s="10">
        <f t="shared" si="2"/>
        <v>0</v>
      </c>
      <c r="AF139" s="46"/>
    </row>
    <row r="140" spans="1:32" x14ac:dyDescent="0.25">
      <c r="A140" s="7" t="s">
        <v>408</v>
      </c>
      <c r="B140" s="9" t="s">
        <v>435</v>
      </c>
      <c r="C140" s="70">
        <v>44298</v>
      </c>
      <c r="D140" s="70">
        <v>44298</v>
      </c>
      <c r="E140" s="73"/>
      <c r="F140" s="9"/>
      <c r="H140" s="9"/>
      <c r="I140" s="7" t="s">
        <v>436</v>
      </c>
      <c r="J140" s="51" t="s">
        <v>39</v>
      </c>
      <c r="K140" s="7"/>
      <c r="L140" s="14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>
        <v>77232.56</v>
      </c>
      <c r="X140" s="10"/>
      <c r="Y140" s="10"/>
      <c r="Z140" s="10"/>
      <c r="AA140" s="34"/>
      <c r="AB140" s="10"/>
      <c r="AC140" s="34">
        <v>77232.56</v>
      </c>
      <c r="AD140" s="10">
        <f t="shared" si="2"/>
        <v>0</v>
      </c>
      <c r="AF140" s="46"/>
    </row>
    <row r="141" spans="1:32" x14ac:dyDescent="0.25">
      <c r="A141" s="7" t="s">
        <v>409</v>
      </c>
      <c r="B141" s="9" t="s">
        <v>433</v>
      </c>
      <c r="C141" s="70">
        <v>44298</v>
      </c>
      <c r="D141" s="70">
        <v>44298</v>
      </c>
      <c r="E141" s="73"/>
      <c r="F141" s="9"/>
      <c r="H141" s="9"/>
      <c r="I141" s="7" t="s">
        <v>434</v>
      </c>
      <c r="J141" s="51" t="s">
        <v>126</v>
      </c>
      <c r="K141" s="7"/>
      <c r="L141" s="14"/>
      <c r="M141" s="10"/>
      <c r="N141" s="10"/>
      <c r="O141" s="10"/>
      <c r="P141" s="10"/>
      <c r="Q141" s="10">
        <v>12724.23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34"/>
      <c r="AB141" s="10"/>
      <c r="AC141" s="34">
        <v>12724.23</v>
      </c>
      <c r="AD141" s="10">
        <f t="shared" si="2"/>
        <v>0</v>
      </c>
      <c r="AF141" s="46"/>
    </row>
    <row r="142" spans="1:32" x14ac:dyDescent="0.25">
      <c r="A142" s="7" t="s">
        <v>410</v>
      </c>
      <c r="B142" s="9" t="s">
        <v>431</v>
      </c>
      <c r="C142" s="70">
        <v>44301</v>
      </c>
      <c r="D142" s="70">
        <v>44301</v>
      </c>
      <c r="E142" s="73"/>
      <c r="F142" s="9"/>
      <c r="H142" s="9"/>
      <c r="I142" s="7" t="s">
        <v>64</v>
      </c>
      <c r="J142" s="51" t="s">
        <v>432</v>
      </c>
      <c r="K142" s="26"/>
      <c r="L142" s="14"/>
      <c r="M142" s="10"/>
      <c r="N142" s="10"/>
      <c r="O142" s="10"/>
      <c r="P142" s="10">
        <v>17000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34"/>
      <c r="AB142" s="10"/>
      <c r="AC142" s="34">
        <v>17000</v>
      </c>
      <c r="AD142" s="10">
        <f t="shared" ref="AD142:AD209" si="3">SUM(AB142:AC142)-SUM(L142:AA142)</f>
        <v>0</v>
      </c>
      <c r="AF142" s="46"/>
    </row>
    <row r="143" spans="1:32" x14ac:dyDescent="0.25">
      <c r="A143" s="7" t="s">
        <v>411</v>
      </c>
      <c r="B143" s="9">
        <v>3873874</v>
      </c>
      <c r="C143" s="70">
        <v>44301</v>
      </c>
      <c r="D143" s="70">
        <v>44301</v>
      </c>
      <c r="E143" s="73"/>
      <c r="F143" s="9"/>
      <c r="H143" s="9"/>
      <c r="I143" s="7" t="s">
        <v>430</v>
      </c>
      <c r="J143" s="51" t="s">
        <v>18</v>
      </c>
      <c r="K143" s="7"/>
      <c r="L143" s="10">
        <v>151.09</v>
      </c>
      <c r="M143" s="10"/>
      <c r="N143" s="10"/>
      <c r="O143" s="10"/>
      <c r="P143" s="10"/>
      <c r="Q143" s="10"/>
      <c r="R143" s="10">
        <v>1259.06</v>
      </c>
      <c r="S143" s="10"/>
      <c r="T143" s="10"/>
      <c r="U143" s="10"/>
      <c r="V143" s="10"/>
      <c r="W143" s="10"/>
      <c r="X143" s="10"/>
      <c r="Y143" s="10"/>
      <c r="Z143" s="10"/>
      <c r="AA143" s="34"/>
      <c r="AB143" s="10"/>
      <c r="AC143" s="34">
        <v>1410.15</v>
      </c>
      <c r="AD143" s="10">
        <f t="shared" si="3"/>
        <v>0</v>
      </c>
      <c r="AF143" s="46"/>
    </row>
    <row r="144" spans="1:32" x14ac:dyDescent="0.25">
      <c r="A144" s="7" t="s">
        <v>412</v>
      </c>
      <c r="B144" s="9">
        <v>3873875</v>
      </c>
      <c r="C144" s="70">
        <v>44301</v>
      </c>
      <c r="D144" s="70">
        <v>44301</v>
      </c>
      <c r="E144" s="73"/>
      <c r="F144" s="9"/>
      <c r="H144" s="9"/>
      <c r="I144" s="7" t="s">
        <v>430</v>
      </c>
      <c r="J144" s="51" t="s">
        <v>18</v>
      </c>
      <c r="K144" s="24"/>
      <c r="L144" s="14">
        <v>807.14</v>
      </c>
      <c r="M144" s="10"/>
      <c r="N144" s="10"/>
      <c r="O144" s="10"/>
      <c r="P144" s="10"/>
      <c r="Q144" s="10"/>
      <c r="R144" s="10">
        <v>6726.19</v>
      </c>
      <c r="S144" s="10"/>
      <c r="T144" s="10"/>
      <c r="U144" s="10"/>
      <c r="V144" s="10"/>
      <c r="W144" s="10"/>
      <c r="X144" s="10"/>
      <c r="Y144" s="10"/>
      <c r="Z144" s="10"/>
      <c r="AA144" s="34"/>
      <c r="AB144" s="10"/>
      <c r="AC144" s="34">
        <v>7533.33</v>
      </c>
      <c r="AD144" s="10">
        <f t="shared" si="3"/>
        <v>0</v>
      </c>
      <c r="AF144" s="46"/>
    </row>
    <row r="145" spans="1:32" x14ac:dyDescent="0.25">
      <c r="A145" s="7" t="s">
        <v>413</v>
      </c>
      <c r="B145" s="9">
        <v>3873876</v>
      </c>
      <c r="C145" s="70">
        <v>44301</v>
      </c>
      <c r="D145" s="70">
        <v>44301</v>
      </c>
      <c r="E145" s="73"/>
      <c r="F145" s="45"/>
      <c r="H145" s="9"/>
      <c r="I145" s="7" t="s">
        <v>429</v>
      </c>
      <c r="J145" s="51" t="s">
        <v>44</v>
      </c>
      <c r="K145" s="24"/>
      <c r="L145" s="14">
        <v>455.4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>
        <v>3795.01</v>
      </c>
      <c r="Y145" s="10"/>
      <c r="Z145" s="10"/>
      <c r="AA145" s="34"/>
      <c r="AB145" s="10"/>
      <c r="AC145" s="34">
        <v>4250.41</v>
      </c>
      <c r="AD145" s="10">
        <f t="shared" si="3"/>
        <v>0</v>
      </c>
      <c r="AF145" s="46"/>
    </row>
    <row r="146" spans="1:32" x14ac:dyDescent="0.25">
      <c r="A146" s="7" t="s">
        <v>414</v>
      </c>
      <c r="B146" s="9">
        <v>3873877</v>
      </c>
      <c r="C146" s="70">
        <v>44301</v>
      </c>
      <c r="D146" s="70">
        <v>44301</v>
      </c>
      <c r="E146" s="73"/>
      <c r="F146" s="9"/>
      <c r="H146" s="9"/>
      <c r="I146" s="7" t="s">
        <v>428</v>
      </c>
      <c r="J146" s="51" t="s">
        <v>43</v>
      </c>
      <c r="K146" s="7"/>
      <c r="L146" s="14">
        <v>148.61000000000001</v>
      </c>
      <c r="M146" s="10"/>
      <c r="N146" s="10"/>
      <c r="O146" s="10"/>
      <c r="P146" s="10"/>
      <c r="Q146" s="10"/>
      <c r="R146" s="10"/>
      <c r="S146" s="10">
        <v>1238.3800000000001</v>
      </c>
      <c r="T146" s="10"/>
      <c r="U146" s="10"/>
      <c r="V146" s="10"/>
      <c r="W146" s="10"/>
      <c r="X146" s="10"/>
      <c r="Y146" s="10"/>
      <c r="Z146" s="10"/>
      <c r="AA146" s="34"/>
      <c r="AB146" s="10"/>
      <c r="AC146" s="34">
        <v>1386.99</v>
      </c>
      <c r="AD146" s="10">
        <f t="shared" si="3"/>
        <v>0</v>
      </c>
      <c r="AF146" s="46"/>
    </row>
    <row r="147" spans="1:32" x14ac:dyDescent="0.25">
      <c r="A147" s="7" t="s">
        <v>415</v>
      </c>
      <c r="B147" s="9">
        <v>3873878</v>
      </c>
      <c r="C147" s="70">
        <v>44301</v>
      </c>
      <c r="D147" s="70">
        <v>44301</v>
      </c>
      <c r="E147" s="73"/>
      <c r="F147" s="45"/>
      <c r="H147" s="9"/>
      <c r="I147" s="7" t="s">
        <v>428</v>
      </c>
      <c r="J147" s="51" t="s">
        <v>43</v>
      </c>
      <c r="K147" s="7"/>
      <c r="L147" s="14">
        <v>107.04</v>
      </c>
      <c r="M147" s="10"/>
      <c r="N147" s="10"/>
      <c r="O147" s="10"/>
      <c r="P147" s="10"/>
      <c r="Q147" s="10"/>
      <c r="R147" s="10"/>
      <c r="S147" s="10">
        <v>891.96</v>
      </c>
      <c r="T147" s="10"/>
      <c r="U147" s="10"/>
      <c r="V147" s="10"/>
      <c r="W147" s="10"/>
      <c r="X147" s="10"/>
      <c r="Y147" s="10"/>
      <c r="Z147" s="10"/>
      <c r="AA147" s="34"/>
      <c r="AB147" s="10"/>
      <c r="AC147" s="34">
        <v>999</v>
      </c>
      <c r="AD147" s="10">
        <f t="shared" si="3"/>
        <v>0</v>
      </c>
      <c r="AF147" s="46"/>
    </row>
    <row r="148" spans="1:32" x14ac:dyDescent="0.25">
      <c r="A148" s="7" t="s">
        <v>416</v>
      </c>
      <c r="B148" s="9">
        <v>3873879</v>
      </c>
      <c r="C148" s="70">
        <v>44301</v>
      </c>
      <c r="D148" s="70">
        <v>44301</v>
      </c>
      <c r="E148" s="73"/>
      <c r="F148" s="9"/>
      <c r="G148" s="7"/>
      <c r="H148" s="9"/>
      <c r="I148" s="7" t="s">
        <v>427</v>
      </c>
      <c r="J148" s="51" t="s">
        <v>46</v>
      </c>
      <c r="K148" s="24"/>
      <c r="L148" s="10">
        <v>107.04</v>
      </c>
      <c r="M148" s="10"/>
      <c r="N148" s="10"/>
      <c r="O148" s="10"/>
      <c r="P148" s="10"/>
      <c r="Q148" s="10"/>
      <c r="R148" s="10"/>
      <c r="S148" s="10">
        <v>891.96</v>
      </c>
      <c r="T148" s="10"/>
      <c r="U148" s="10"/>
      <c r="V148" s="10"/>
      <c r="W148" s="10"/>
      <c r="X148" s="10"/>
      <c r="Y148" s="10"/>
      <c r="Z148" s="10"/>
      <c r="AA148" s="34"/>
      <c r="AB148" s="10"/>
      <c r="AC148" s="34">
        <v>999</v>
      </c>
      <c r="AD148" s="10">
        <f t="shared" si="3"/>
        <v>0</v>
      </c>
      <c r="AF148" s="46"/>
    </row>
    <row r="149" spans="1:32" x14ac:dyDescent="0.25">
      <c r="A149" s="7" t="s">
        <v>417</v>
      </c>
      <c r="B149" s="9">
        <v>3873880</v>
      </c>
      <c r="C149" s="70">
        <v>44301</v>
      </c>
      <c r="D149" s="70">
        <v>44301</v>
      </c>
      <c r="E149" s="73"/>
      <c r="F149" s="9"/>
      <c r="G149" s="7"/>
      <c r="H149" s="9"/>
      <c r="I149" s="7" t="s">
        <v>427</v>
      </c>
      <c r="J149" s="51" t="s">
        <v>46</v>
      </c>
      <c r="K149" s="24"/>
      <c r="L149" s="14">
        <v>192.75</v>
      </c>
      <c r="M149" s="10"/>
      <c r="N149" s="10"/>
      <c r="O149" s="10"/>
      <c r="P149" s="10"/>
      <c r="Q149" s="10"/>
      <c r="R149" s="10"/>
      <c r="S149" s="10">
        <v>1606.25</v>
      </c>
      <c r="T149" s="10"/>
      <c r="U149" s="10"/>
      <c r="V149" s="10"/>
      <c r="W149" s="10"/>
      <c r="X149" s="10"/>
      <c r="Y149" s="10"/>
      <c r="Z149" s="10"/>
      <c r="AA149" s="34"/>
      <c r="AB149" s="10"/>
      <c r="AC149" s="34">
        <v>1799</v>
      </c>
      <c r="AD149" s="10">
        <f t="shared" si="3"/>
        <v>0</v>
      </c>
      <c r="AF149" s="46"/>
    </row>
    <row r="150" spans="1:32" x14ac:dyDescent="0.25">
      <c r="A150" s="7" t="s">
        <v>418</v>
      </c>
      <c r="B150" s="9">
        <v>3873881</v>
      </c>
      <c r="C150" s="70">
        <v>44301</v>
      </c>
      <c r="D150" s="70">
        <v>44301</v>
      </c>
      <c r="E150" s="73"/>
      <c r="F150" s="9"/>
      <c r="G150" s="7"/>
      <c r="H150" s="9"/>
      <c r="I150" s="7" t="s">
        <v>426</v>
      </c>
      <c r="J150" s="51" t="s">
        <v>46</v>
      </c>
      <c r="K150" s="7"/>
      <c r="L150" s="10">
        <v>107.04</v>
      </c>
      <c r="M150" s="10"/>
      <c r="N150" s="10"/>
      <c r="O150" s="10"/>
      <c r="P150" s="10"/>
      <c r="Q150" s="10"/>
      <c r="R150" s="10"/>
      <c r="S150" s="10">
        <v>891.96</v>
      </c>
      <c r="T150" s="10"/>
      <c r="U150" s="10"/>
      <c r="V150" s="10"/>
      <c r="W150" s="10"/>
      <c r="X150" s="10"/>
      <c r="Y150" s="10"/>
      <c r="Z150" s="10"/>
      <c r="AA150" s="34"/>
      <c r="AB150" s="10"/>
      <c r="AC150" s="33">
        <v>999</v>
      </c>
      <c r="AD150" s="10">
        <f t="shared" si="3"/>
        <v>0</v>
      </c>
      <c r="AF150" s="46"/>
    </row>
    <row r="151" spans="1:32" x14ac:dyDescent="0.25">
      <c r="A151" s="7" t="s">
        <v>419</v>
      </c>
      <c r="B151" s="9">
        <v>3873882</v>
      </c>
      <c r="C151" s="70">
        <v>44301</v>
      </c>
      <c r="D151" s="70">
        <v>44301</v>
      </c>
      <c r="E151" s="73"/>
      <c r="F151" s="9"/>
      <c r="G151" s="7"/>
      <c r="H151" s="9"/>
      <c r="I151" s="7" t="s">
        <v>426</v>
      </c>
      <c r="J151" s="51" t="s">
        <v>46</v>
      </c>
      <c r="K151" s="7"/>
      <c r="L151" s="10">
        <v>107.04</v>
      </c>
      <c r="M151" s="10"/>
      <c r="N151" s="10"/>
      <c r="O151" s="10"/>
      <c r="P151" s="10"/>
      <c r="Q151" s="10"/>
      <c r="R151" s="10"/>
      <c r="S151" s="10">
        <v>891.96</v>
      </c>
      <c r="T151" s="10"/>
      <c r="U151" s="10"/>
      <c r="V151" s="10"/>
      <c r="W151" s="10"/>
      <c r="X151" s="10"/>
      <c r="Y151" s="10"/>
      <c r="Z151" s="10"/>
      <c r="AA151" s="34"/>
      <c r="AB151" s="10"/>
      <c r="AC151" s="33">
        <v>999</v>
      </c>
      <c r="AD151" s="10">
        <f t="shared" si="3"/>
        <v>0</v>
      </c>
      <c r="AF151" s="46"/>
    </row>
    <row r="152" spans="1:32" x14ac:dyDescent="0.25">
      <c r="A152" s="7" t="s">
        <v>420</v>
      </c>
      <c r="B152" s="9" t="s">
        <v>443</v>
      </c>
      <c r="C152" s="70">
        <v>44305</v>
      </c>
      <c r="D152" s="70">
        <v>44305</v>
      </c>
      <c r="E152" s="73"/>
      <c r="F152" s="9"/>
      <c r="H152" s="9"/>
      <c r="I152" s="7" t="s">
        <v>55</v>
      </c>
      <c r="J152" s="54" t="s">
        <v>80</v>
      </c>
      <c r="K152" s="10"/>
      <c r="L152" s="14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>
        <v>450000</v>
      </c>
      <c r="AA152" s="34"/>
      <c r="AB152" s="10"/>
      <c r="AC152" s="34">
        <v>450000</v>
      </c>
      <c r="AD152" s="10">
        <f t="shared" si="3"/>
        <v>0</v>
      </c>
      <c r="AF152" s="46"/>
    </row>
    <row r="153" spans="1:32" x14ac:dyDescent="0.25">
      <c r="A153" s="7" t="s">
        <v>421</v>
      </c>
      <c r="B153" s="9">
        <v>3873883</v>
      </c>
      <c r="C153" s="70">
        <v>44305</v>
      </c>
      <c r="D153" s="70">
        <v>44305</v>
      </c>
      <c r="E153" s="73"/>
      <c r="F153" s="9"/>
      <c r="H153" s="9" t="s">
        <v>96</v>
      </c>
      <c r="I153" s="7" t="s">
        <v>114</v>
      </c>
      <c r="J153" s="51" t="s">
        <v>65</v>
      </c>
      <c r="K153" s="7"/>
      <c r="L153" s="14"/>
      <c r="M153" s="10"/>
      <c r="N153" s="10"/>
      <c r="O153" s="10"/>
      <c r="P153" s="27"/>
      <c r="Q153" s="10"/>
      <c r="R153" s="10"/>
      <c r="S153" s="10"/>
      <c r="T153" s="10">
        <v>9033.75</v>
      </c>
      <c r="U153" s="10"/>
      <c r="V153" s="10"/>
      <c r="W153" s="10"/>
      <c r="X153" s="10"/>
      <c r="Y153" s="10"/>
      <c r="Z153" s="10"/>
      <c r="AA153" s="34"/>
      <c r="AB153" s="10"/>
      <c r="AC153" s="34">
        <v>9033.75</v>
      </c>
      <c r="AD153" s="10">
        <f t="shared" si="3"/>
        <v>0</v>
      </c>
      <c r="AF153" s="46"/>
    </row>
    <row r="154" spans="1:32" x14ac:dyDescent="0.25">
      <c r="A154" s="7" t="s">
        <v>422</v>
      </c>
      <c r="B154" s="9">
        <v>3873884</v>
      </c>
      <c r="C154" s="70">
        <v>44305</v>
      </c>
      <c r="D154" s="70">
        <v>44305</v>
      </c>
      <c r="E154"/>
      <c r="F154"/>
      <c r="G154"/>
      <c r="H154"/>
      <c r="I154" s="7" t="s">
        <v>445</v>
      </c>
      <c r="J154" s="51" t="s">
        <v>40</v>
      </c>
      <c r="K154"/>
      <c r="L154"/>
      <c r="M154"/>
      <c r="N154"/>
      <c r="O154"/>
      <c r="P154"/>
      <c r="Q154" s="34">
        <v>37950</v>
      </c>
      <c r="R154"/>
      <c r="S154"/>
      <c r="T154"/>
      <c r="U154"/>
      <c r="V154"/>
      <c r="W154"/>
      <c r="AA154"/>
      <c r="AC154" s="34">
        <v>37950</v>
      </c>
      <c r="AD154" s="10">
        <f t="shared" si="3"/>
        <v>0</v>
      </c>
      <c r="AF154" s="46"/>
    </row>
    <row r="155" spans="1:32" x14ac:dyDescent="0.25">
      <c r="A155" s="7" t="s">
        <v>423</v>
      </c>
      <c r="B155" s="9">
        <v>3873885</v>
      </c>
      <c r="C155" s="70">
        <v>44305</v>
      </c>
      <c r="D155" s="70">
        <v>44305</v>
      </c>
      <c r="E155" s="73"/>
      <c r="F155" s="9"/>
      <c r="H155" s="9"/>
      <c r="I155" s="7" t="s">
        <v>444</v>
      </c>
      <c r="J155" s="51" t="s">
        <v>40</v>
      </c>
      <c r="K155" s="24"/>
      <c r="L155" s="14"/>
      <c r="M155" s="10"/>
      <c r="N155" s="10"/>
      <c r="O155" s="10"/>
      <c r="P155" s="10"/>
      <c r="Q155" s="10">
        <v>12175.75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34"/>
      <c r="AB155" s="10"/>
      <c r="AC155" s="34">
        <v>12175.75</v>
      </c>
      <c r="AD155" s="10">
        <f t="shared" si="3"/>
        <v>0</v>
      </c>
      <c r="AF155" s="46"/>
    </row>
    <row r="156" spans="1:32" x14ac:dyDescent="0.25">
      <c r="A156" s="7" t="s">
        <v>424</v>
      </c>
      <c r="B156" s="9">
        <v>3873886</v>
      </c>
      <c r="C156" s="70">
        <v>44305</v>
      </c>
      <c r="D156" s="70">
        <v>44305</v>
      </c>
      <c r="E156" s="73"/>
      <c r="F156" s="9"/>
      <c r="H156" s="28"/>
      <c r="I156" s="7" t="s">
        <v>446</v>
      </c>
      <c r="J156" s="51" t="s">
        <v>65</v>
      </c>
      <c r="K156" s="7"/>
      <c r="L156" s="14">
        <v>949.3</v>
      </c>
      <c r="M156" s="10"/>
      <c r="N156" s="10"/>
      <c r="O156" s="10"/>
      <c r="P156" s="10"/>
      <c r="Q156" s="10"/>
      <c r="R156" s="10"/>
      <c r="S156" s="10">
        <v>7910.87</v>
      </c>
      <c r="T156" s="10"/>
      <c r="U156" s="10"/>
      <c r="V156" s="10"/>
      <c r="W156" s="10"/>
      <c r="X156" s="10"/>
      <c r="Y156" s="10"/>
      <c r="Z156" s="10"/>
      <c r="AA156" s="34"/>
      <c r="AB156" s="10"/>
      <c r="AC156" s="34">
        <v>8860.17</v>
      </c>
      <c r="AD156" s="10">
        <f t="shared" si="3"/>
        <v>0</v>
      </c>
      <c r="AF156" s="46"/>
    </row>
    <row r="157" spans="1:32" x14ac:dyDescent="0.25">
      <c r="A157" s="7" t="s">
        <v>425</v>
      </c>
      <c r="B157" s="9">
        <v>3873887</v>
      </c>
      <c r="C157" s="70">
        <v>44307</v>
      </c>
      <c r="D157" s="70">
        <v>44307</v>
      </c>
      <c r="E157" s="73">
        <v>44308</v>
      </c>
      <c r="F157" s="9" t="s">
        <v>452</v>
      </c>
      <c r="H157" s="28"/>
      <c r="I157" s="7" t="s">
        <v>451</v>
      </c>
      <c r="J157" s="51" t="s">
        <v>127</v>
      </c>
      <c r="K157" s="7" t="s">
        <v>128</v>
      </c>
      <c r="L157" s="14">
        <v>552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34">
        <v>4600</v>
      </c>
      <c r="AB157" s="10"/>
      <c r="AC157" s="34">
        <v>5152</v>
      </c>
      <c r="AD157" s="10">
        <f t="shared" si="3"/>
        <v>0</v>
      </c>
      <c r="AF157" s="46"/>
    </row>
    <row r="158" spans="1:32" x14ac:dyDescent="0.25">
      <c r="A158" s="7" t="s">
        <v>453</v>
      </c>
      <c r="B158" s="9">
        <v>3873888</v>
      </c>
      <c r="C158" s="70">
        <v>44307</v>
      </c>
      <c r="D158" s="70">
        <v>44307</v>
      </c>
      <c r="E158" s="73"/>
      <c r="F158" s="9"/>
      <c r="H158" s="9"/>
      <c r="I158" s="7" t="s">
        <v>461</v>
      </c>
      <c r="J158" s="51" t="s">
        <v>43</v>
      </c>
      <c r="K158" s="10"/>
      <c r="L158" s="10">
        <v>207.67</v>
      </c>
      <c r="M158" s="10"/>
      <c r="N158" s="10"/>
      <c r="O158" s="10"/>
      <c r="P158" s="10"/>
      <c r="Q158" s="10"/>
      <c r="R158" s="10"/>
      <c r="S158" s="10">
        <v>1730.61</v>
      </c>
      <c r="T158" s="10"/>
      <c r="U158" s="10"/>
      <c r="V158" s="10"/>
      <c r="W158" s="10"/>
      <c r="X158" s="10"/>
      <c r="Y158" s="10"/>
      <c r="Z158" s="10"/>
      <c r="AA158" s="34"/>
      <c r="AB158" s="10"/>
      <c r="AC158" s="34">
        <v>1938.28</v>
      </c>
      <c r="AD158" s="10">
        <f t="shared" si="3"/>
        <v>0</v>
      </c>
      <c r="AF158" s="46"/>
    </row>
    <row r="159" spans="1:32" x14ac:dyDescent="0.25">
      <c r="A159" s="7" t="s">
        <v>454</v>
      </c>
      <c r="B159" s="9">
        <v>3873889</v>
      </c>
      <c r="C159" s="70">
        <v>44307</v>
      </c>
      <c r="D159" s="70">
        <v>44307</v>
      </c>
      <c r="E159" s="73"/>
      <c r="F159" s="9"/>
      <c r="H159" s="9"/>
      <c r="I159" s="7" t="s">
        <v>483</v>
      </c>
      <c r="J159" s="51" t="s">
        <v>83</v>
      </c>
      <c r="K159" s="7" t="s">
        <v>116</v>
      </c>
      <c r="L159" s="14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34">
        <v>1000</v>
      </c>
      <c r="AB159" s="10"/>
      <c r="AC159" s="34">
        <v>1000</v>
      </c>
      <c r="AD159" s="10">
        <f t="shared" si="3"/>
        <v>0</v>
      </c>
      <c r="AF159" s="46"/>
    </row>
    <row r="160" spans="1:32" x14ac:dyDescent="0.25">
      <c r="A160" s="7" t="s">
        <v>455</v>
      </c>
      <c r="B160" s="9" t="s">
        <v>466</v>
      </c>
      <c r="C160" s="70">
        <v>44309</v>
      </c>
      <c r="D160" s="70">
        <v>44309</v>
      </c>
      <c r="E160" s="73"/>
      <c r="F160" s="9"/>
      <c r="H160" s="9"/>
      <c r="I160" s="7" t="s">
        <v>467</v>
      </c>
      <c r="J160" s="51" t="s">
        <v>126</v>
      </c>
      <c r="K160" s="7"/>
      <c r="L160" s="14"/>
      <c r="M160" s="10"/>
      <c r="N160" s="10"/>
      <c r="O160" s="10"/>
      <c r="P160" s="10"/>
      <c r="Q160" s="10">
        <v>19917.29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34"/>
      <c r="AB160" s="10"/>
      <c r="AC160" s="34">
        <v>19917.29</v>
      </c>
      <c r="AD160" s="10">
        <f t="shared" si="3"/>
        <v>0</v>
      </c>
      <c r="AF160" s="46"/>
    </row>
    <row r="161" spans="1:32" x14ac:dyDescent="0.25">
      <c r="A161" s="7" t="s">
        <v>456</v>
      </c>
      <c r="B161" s="9">
        <v>3873890</v>
      </c>
      <c r="C161" s="70">
        <v>44309</v>
      </c>
      <c r="D161" s="70">
        <v>44309</v>
      </c>
      <c r="E161" s="73"/>
      <c r="F161" s="9"/>
      <c r="H161" s="9"/>
      <c r="I161" s="7" t="s">
        <v>468</v>
      </c>
      <c r="J161" s="51" t="s">
        <v>469</v>
      </c>
      <c r="K161" s="7"/>
      <c r="L161" s="14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34">
        <v>3288.46</v>
      </c>
      <c r="AB161" s="10"/>
      <c r="AC161" s="34">
        <v>3288.46</v>
      </c>
      <c r="AD161" s="10">
        <f t="shared" si="3"/>
        <v>0</v>
      </c>
      <c r="AF161" s="46"/>
    </row>
    <row r="162" spans="1:32" s="39" customFormat="1" x14ac:dyDescent="0.25">
      <c r="A162" s="20"/>
      <c r="B162" s="19"/>
      <c r="C162" s="72"/>
      <c r="D162" s="72"/>
      <c r="E162" s="77"/>
      <c r="F162" s="19"/>
      <c r="G162" s="19"/>
      <c r="H162" s="19"/>
      <c r="I162" s="20"/>
      <c r="J162" s="20"/>
      <c r="K162" s="20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35"/>
      <c r="AB162" s="22"/>
      <c r="AC162" s="35"/>
      <c r="AD162" s="22"/>
      <c r="AE162" s="20"/>
      <c r="AF162" s="95"/>
    </row>
    <row r="163" spans="1:32" s="39" customFormat="1" x14ac:dyDescent="0.25">
      <c r="A163" s="25">
        <v>44317</v>
      </c>
      <c r="B163" s="19"/>
      <c r="C163" s="72"/>
      <c r="D163" s="72"/>
      <c r="E163" s="77"/>
      <c r="F163" s="19"/>
      <c r="G163" s="19"/>
      <c r="H163" s="19"/>
      <c r="I163" s="20"/>
      <c r="J163" s="20"/>
      <c r="K163" s="20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35"/>
      <c r="AB163" s="22"/>
      <c r="AC163" s="35"/>
      <c r="AD163" s="22"/>
      <c r="AE163" s="20"/>
      <c r="AF163" s="95"/>
    </row>
    <row r="164" spans="1:32" x14ac:dyDescent="0.25">
      <c r="A164" s="7" t="s">
        <v>457</v>
      </c>
      <c r="B164" s="9">
        <v>3873891</v>
      </c>
      <c r="C164" s="70">
        <v>44338</v>
      </c>
      <c r="D164" s="70">
        <v>44319</v>
      </c>
      <c r="E164" s="73">
        <v>44322</v>
      </c>
      <c r="F164" s="9" t="s">
        <v>485</v>
      </c>
      <c r="G164" s="9" t="s">
        <v>194</v>
      </c>
      <c r="H164" s="9"/>
      <c r="I164" s="7" t="s">
        <v>470</v>
      </c>
      <c r="J164" s="51" t="s">
        <v>83</v>
      </c>
      <c r="K164" s="7" t="s">
        <v>116</v>
      </c>
      <c r="L164" s="14">
        <v>4320</v>
      </c>
      <c r="M164" s="10">
        <v>36000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34"/>
      <c r="AB164" s="10"/>
      <c r="AC164" s="34">
        <v>40320</v>
      </c>
      <c r="AD164" s="10">
        <f t="shared" si="3"/>
        <v>0</v>
      </c>
      <c r="AF164" s="46"/>
    </row>
    <row r="165" spans="1:32" x14ac:dyDescent="0.25">
      <c r="A165" s="7" t="s">
        <v>458</v>
      </c>
      <c r="B165" s="9">
        <v>3873892</v>
      </c>
      <c r="C165" s="70">
        <v>44319</v>
      </c>
      <c r="D165" s="70">
        <v>44319</v>
      </c>
      <c r="E165" s="78">
        <v>44344</v>
      </c>
      <c r="F165" s="48" t="s">
        <v>641</v>
      </c>
      <c r="G165" s="9" t="s">
        <v>210</v>
      </c>
      <c r="H165" s="9"/>
      <c r="I165" s="7" t="s">
        <v>628</v>
      </c>
      <c r="J165" s="51" t="s">
        <v>84</v>
      </c>
      <c r="K165" s="7" t="s">
        <v>36</v>
      </c>
      <c r="L165" s="14">
        <v>278.57</v>
      </c>
      <c r="M165" s="10">
        <v>2321.4299999999998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34"/>
      <c r="AB165" s="10"/>
      <c r="AC165" s="34">
        <v>2600</v>
      </c>
      <c r="AD165" s="10">
        <f t="shared" si="3"/>
        <v>0</v>
      </c>
      <c r="AF165" s="46"/>
    </row>
    <row r="166" spans="1:32" x14ac:dyDescent="0.25">
      <c r="A166" s="7" t="s">
        <v>459</v>
      </c>
      <c r="B166" s="9">
        <v>3873893</v>
      </c>
      <c r="C166" s="70">
        <v>44319</v>
      </c>
      <c r="D166" s="70">
        <v>44319</v>
      </c>
      <c r="E166" s="73">
        <v>44321</v>
      </c>
      <c r="F166" s="9" t="s">
        <v>704</v>
      </c>
      <c r="H166" s="9"/>
      <c r="I166" s="7" t="s">
        <v>63</v>
      </c>
      <c r="J166" s="51" t="s">
        <v>109</v>
      </c>
      <c r="K166" s="7"/>
      <c r="L166" s="14">
        <v>13428.75</v>
      </c>
      <c r="M166" s="10"/>
      <c r="N166" s="10">
        <v>111906.25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34"/>
      <c r="AB166" s="10"/>
      <c r="AC166" s="34">
        <v>125335</v>
      </c>
      <c r="AD166" s="10">
        <f t="shared" si="3"/>
        <v>0</v>
      </c>
      <c r="AF166" s="46"/>
    </row>
    <row r="167" spans="1:32" x14ac:dyDescent="0.25">
      <c r="A167" s="7" t="s">
        <v>460</v>
      </c>
      <c r="B167" s="9" t="s">
        <v>480</v>
      </c>
      <c r="C167" s="70">
        <v>44319</v>
      </c>
      <c r="D167" s="70">
        <v>44319</v>
      </c>
      <c r="E167" s="73">
        <v>44321</v>
      </c>
      <c r="F167" s="9" t="s">
        <v>481</v>
      </c>
      <c r="H167" s="9"/>
      <c r="I167" s="7" t="s">
        <v>93</v>
      </c>
      <c r="J167" s="51" t="s">
        <v>79</v>
      </c>
      <c r="K167" s="24"/>
      <c r="L167" s="14"/>
      <c r="M167" s="10"/>
      <c r="N167" s="10"/>
      <c r="O167" s="10"/>
      <c r="P167" s="10"/>
      <c r="Q167" s="10"/>
      <c r="R167" s="10"/>
      <c r="S167" s="10"/>
      <c r="T167" s="10"/>
      <c r="U167" s="10"/>
      <c r="V167" s="10">
        <v>20667</v>
      </c>
      <c r="W167" s="10"/>
      <c r="X167" s="10"/>
      <c r="Y167" s="10"/>
      <c r="Z167" s="10"/>
      <c r="AA167" s="34"/>
      <c r="AB167" s="10"/>
      <c r="AC167" s="34">
        <v>20667</v>
      </c>
      <c r="AD167" s="10">
        <f t="shared" si="3"/>
        <v>0</v>
      </c>
      <c r="AF167" s="46"/>
    </row>
    <row r="168" spans="1:32" x14ac:dyDescent="0.25">
      <c r="A168" s="7" t="s">
        <v>471</v>
      </c>
      <c r="B168" s="9">
        <v>3873894</v>
      </c>
      <c r="C168" s="70">
        <v>44320</v>
      </c>
      <c r="D168" s="70">
        <v>44320</v>
      </c>
      <c r="E168" s="73">
        <v>44322</v>
      </c>
      <c r="F168" s="9" t="s">
        <v>484</v>
      </c>
      <c r="H168" s="9"/>
      <c r="I168" s="7" t="s">
        <v>482</v>
      </c>
      <c r="J168" s="51" t="s">
        <v>83</v>
      </c>
      <c r="K168" s="7" t="s">
        <v>116</v>
      </c>
      <c r="L168" s="14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34">
        <v>2000</v>
      </c>
      <c r="AB168" s="10"/>
      <c r="AC168" s="34">
        <v>2000</v>
      </c>
      <c r="AD168" s="10">
        <f t="shared" si="3"/>
        <v>0</v>
      </c>
      <c r="AF168" s="46"/>
    </row>
    <row r="169" spans="1:32" x14ac:dyDescent="0.25">
      <c r="A169" s="7" t="s">
        <v>472</v>
      </c>
      <c r="B169" s="9">
        <v>3873895</v>
      </c>
      <c r="C169" s="70">
        <v>44320</v>
      </c>
      <c r="D169" s="70">
        <v>44320</v>
      </c>
      <c r="E169" s="73"/>
      <c r="F169" s="45"/>
      <c r="H169" s="9" t="s">
        <v>137</v>
      </c>
      <c r="I169" s="7" t="s">
        <v>114</v>
      </c>
      <c r="J169" s="51" t="s">
        <v>65</v>
      </c>
      <c r="K169" s="7"/>
      <c r="L169" s="14"/>
      <c r="M169" s="10"/>
      <c r="N169" s="10"/>
      <c r="O169" s="10"/>
      <c r="P169" s="10"/>
      <c r="Q169" s="10"/>
      <c r="R169" s="10"/>
      <c r="S169" s="10"/>
      <c r="T169" s="10">
        <v>6711</v>
      </c>
      <c r="U169" s="10"/>
      <c r="V169" s="10"/>
      <c r="W169" s="10"/>
      <c r="X169" s="10"/>
      <c r="Y169" s="10"/>
      <c r="Z169" s="10"/>
      <c r="AA169" s="34"/>
      <c r="AB169" s="10"/>
      <c r="AC169" s="34">
        <v>6711</v>
      </c>
      <c r="AD169" s="10">
        <f t="shared" si="3"/>
        <v>0</v>
      </c>
      <c r="AF169" s="46"/>
    </row>
    <row r="170" spans="1:32" x14ac:dyDescent="0.25">
      <c r="A170" s="7" t="s">
        <v>473</v>
      </c>
      <c r="B170" s="9">
        <v>3873896</v>
      </c>
      <c r="C170" s="70">
        <v>44323</v>
      </c>
      <c r="D170" s="70">
        <v>44323</v>
      </c>
      <c r="E170" s="73"/>
      <c r="F170" s="9"/>
      <c r="H170" s="9"/>
      <c r="I170" s="7" t="s">
        <v>497</v>
      </c>
      <c r="J170" s="51" t="s">
        <v>43</v>
      </c>
      <c r="K170" s="7"/>
      <c r="L170" s="14">
        <v>148.61000000000001</v>
      </c>
      <c r="M170" s="10"/>
      <c r="N170" s="10"/>
      <c r="O170" s="10"/>
      <c r="P170" s="10"/>
      <c r="Q170" s="10"/>
      <c r="R170" s="10"/>
      <c r="S170" s="10">
        <v>1238.3800000000001</v>
      </c>
      <c r="T170" s="10"/>
      <c r="U170" s="10"/>
      <c r="V170" s="10"/>
      <c r="W170" s="10"/>
      <c r="X170" s="10"/>
      <c r="Y170" s="10"/>
      <c r="Z170" s="10"/>
      <c r="AA170" s="34"/>
      <c r="AB170" s="10"/>
      <c r="AC170" s="34">
        <v>1386.99</v>
      </c>
      <c r="AD170" s="10">
        <f t="shared" si="3"/>
        <v>0</v>
      </c>
      <c r="AF170" s="46"/>
    </row>
    <row r="171" spans="1:32" x14ac:dyDescent="0.25">
      <c r="A171" s="7" t="s">
        <v>474</v>
      </c>
      <c r="B171" s="9">
        <v>3873897</v>
      </c>
      <c r="C171" s="70">
        <v>44323</v>
      </c>
      <c r="D171" s="70">
        <v>44323</v>
      </c>
      <c r="E171" s="73"/>
      <c r="F171" s="9"/>
      <c r="H171" s="9"/>
      <c r="I171" s="7" t="s">
        <v>497</v>
      </c>
      <c r="J171" s="51" t="s">
        <v>43</v>
      </c>
      <c r="K171" s="42"/>
      <c r="L171" s="14"/>
      <c r="M171" s="10">
        <v>107.04</v>
      </c>
      <c r="N171" s="10"/>
      <c r="O171" s="10"/>
      <c r="P171" s="10"/>
      <c r="Q171" s="10"/>
      <c r="R171" s="10"/>
      <c r="S171" s="10">
        <v>891.96</v>
      </c>
      <c r="T171" s="10"/>
      <c r="U171" s="10"/>
      <c r="V171" s="10"/>
      <c r="W171" s="10"/>
      <c r="X171" s="10"/>
      <c r="Y171" s="10"/>
      <c r="Z171" s="10"/>
      <c r="AA171" s="34"/>
      <c r="AB171" s="10"/>
      <c r="AC171" s="34">
        <v>999</v>
      </c>
      <c r="AD171" s="10">
        <f t="shared" si="3"/>
        <v>0</v>
      </c>
      <c r="AF171" s="46"/>
    </row>
    <row r="172" spans="1:32" x14ac:dyDescent="0.25">
      <c r="A172" s="7" t="s">
        <v>475</v>
      </c>
      <c r="B172" s="9">
        <v>3873898</v>
      </c>
      <c r="C172" s="70">
        <v>44323</v>
      </c>
      <c r="D172" s="70">
        <v>44323</v>
      </c>
      <c r="E172" s="73"/>
      <c r="F172" s="9"/>
      <c r="H172" s="9"/>
      <c r="I172" s="7" t="s">
        <v>501</v>
      </c>
      <c r="J172" s="51" t="s">
        <v>18</v>
      </c>
      <c r="K172" s="7"/>
      <c r="L172" s="10">
        <v>151.09</v>
      </c>
      <c r="M172" s="10"/>
      <c r="N172" s="10"/>
      <c r="O172" s="10"/>
      <c r="P172" s="10"/>
      <c r="Q172" s="10"/>
      <c r="R172" s="10">
        <v>1259.06</v>
      </c>
      <c r="S172" s="10"/>
      <c r="T172" s="10"/>
      <c r="U172" s="10"/>
      <c r="V172" s="10"/>
      <c r="W172" s="10"/>
      <c r="X172" s="10"/>
      <c r="Y172" s="10"/>
      <c r="Z172" s="10"/>
      <c r="AA172" s="33"/>
      <c r="AB172" s="10"/>
      <c r="AC172" s="33">
        <v>1410.15</v>
      </c>
      <c r="AD172" s="10">
        <f t="shared" si="3"/>
        <v>0</v>
      </c>
      <c r="AF172" s="46"/>
    </row>
    <row r="173" spans="1:32" x14ac:dyDescent="0.25">
      <c r="A173" s="7" t="s">
        <v>476</v>
      </c>
      <c r="B173" s="9">
        <v>3873902</v>
      </c>
      <c r="C173" s="70">
        <v>44323</v>
      </c>
      <c r="D173" s="70">
        <v>44323</v>
      </c>
      <c r="E173" s="73"/>
      <c r="F173" s="9"/>
      <c r="H173" s="9"/>
      <c r="I173" s="7" t="s">
        <v>501</v>
      </c>
      <c r="J173" s="51" t="s">
        <v>18</v>
      </c>
      <c r="K173" s="7"/>
      <c r="L173" s="14">
        <v>811.09</v>
      </c>
      <c r="M173" s="10"/>
      <c r="N173" s="10"/>
      <c r="O173" s="10"/>
      <c r="P173" s="10"/>
      <c r="Q173" s="10"/>
      <c r="R173" s="10">
        <v>6759.08</v>
      </c>
      <c r="S173" s="10"/>
      <c r="T173" s="10"/>
      <c r="U173" s="10"/>
      <c r="V173" s="10"/>
      <c r="W173" s="10"/>
      <c r="X173" s="10"/>
      <c r="Y173" s="10"/>
      <c r="Z173" s="10"/>
      <c r="AA173" s="33"/>
      <c r="AB173" s="10"/>
      <c r="AC173" s="33">
        <v>7570.17</v>
      </c>
      <c r="AD173" s="10">
        <f t="shared" si="3"/>
        <v>0</v>
      </c>
      <c r="AF173" s="46"/>
    </row>
    <row r="174" spans="1:32" x14ac:dyDescent="0.25">
      <c r="A174" s="7" t="s">
        <v>477</v>
      </c>
      <c r="B174" s="9" t="s">
        <v>495</v>
      </c>
      <c r="C174" s="73">
        <v>44323</v>
      </c>
      <c r="D174" s="70">
        <v>44323</v>
      </c>
      <c r="E174" s="73"/>
      <c r="F174" s="9"/>
      <c r="H174" s="9"/>
      <c r="I174" s="7" t="s">
        <v>496</v>
      </c>
      <c r="J174" s="51" t="s">
        <v>126</v>
      </c>
      <c r="K174" s="7"/>
      <c r="L174" s="14"/>
      <c r="M174" s="10"/>
      <c r="N174" s="10"/>
      <c r="O174" s="10"/>
      <c r="P174" s="10"/>
      <c r="Q174" s="10">
        <v>12724.23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34"/>
      <c r="AB174" s="10"/>
      <c r="AC174" s="34">
        <v>12724.23</v>
      </c>
      <c r="AD174" s="10">
        <f t="shared" si="3"/>
        <v>0</v>
      </c>
      <c r="AF174" s="46"/>
    </row>
    <row r="175" spans="1:32" x14ac:dyDescent="0.25">
      <c r="A175" s="7" t="s">
        <v>478</v>
      </c>
      <c r="B175" s="9" t="s">
        <v>486</v>
      </c>
      <c r="C175" s="73">
        <v>44323</v>
      </c>
      <c r="D175" s="70">
        <v>44323</v>
      </c>
      <c r="E175" s="73"/>
      <c r="F175" s="9"/>
      <c r="H175" s="9"/>
      <c r="I175" s="7" t="s">
        <v>55</v>
      </c>
      <c r="J175" s="51" t="s">
        <v>80</v>
      </c>
      <c r="K175" s="7"/>
      <c r="L175" s="14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>
        <v>200000</v>
      </c>
      <c r="AA175" s="34"/>
      <c r="AB175" s="10"/>
      <c r="AC175" s="34">
        <v>200000</v>
      </c>
      <c r="AD175" s="10">
        <f t="shared" si="3"/>
        <v>0</v>
      </c>
      <c r="AF175" s="46"/>
    </row>
    <row r="176" spans="1:32" x14ac:dyDescent="0.25">
      <c r="A176" s="7" t="s">
        <v>479</v>
      </c>
      <c r="B176" s="9" t="s">
        <v>493</v>
      </c>
      <c r="C176" s="73">
        <v>44323</v>
      </c>
      <c r="D176" s="70">
        <v>44323</v>
      </c>
      <c r="E176" s="73"/>
      <c r="F176" s="9"/>
      <c r="H176" s="9"/>
      <c r="I176" s="7" t="s">
        <v>494</v>
      </c>
      <c r="J176" s="51" t="s">
        <v>39</v>
      </c>
      <c r="K176" s="7"/>
      <c r="L176" s="14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>
        <v>150000</v>
      </c>
      <c r="X176" s="10"/>
      <c r="Y176" s="10"/>
      <c r="Z176" s="10"/>
      <c r="AA176" s="34"/>
      <c r="AB176" s="10"/>
      <c r="AC176" s="34">
        <v>150000</v>
      </c>
      <c r="AD176" s="10">
        <f t="shared" si="3"/>
        <v>0</v>
      </c>
      <c r="AF176" s="46"/>
    </row>
    <row r="177" spans="1:32" x14ac:dyDescent="0.25">
      <c r="A177" s="7" t="s">
        <v>487</v>
      </c>
      <c r="B177" s="9">
        <v>3873900</v>
      </c>
      <c r="C177" s="70">
        <v>44323</v>
      </c>
      <c r="D177" s="70">
        <v>44323</v>
      </c>
      <c r="E177" s="73"/>
      <c r="F177" s="9"/>
      <c r="H177" s="9"/>
      <c r="I177" s="7" t="s">
        <v>498</v>
      </c>
      <c r="J177" s="51" t="s">
        <v>140</v>
      </c>
      <c r="K177" s="7"/>
      <c r="L177" s="14"/>
      <c r="M177" s="10"/>
      <c r="N177" s="10"/>
      <c r="O177" s="10"/>
      <c r="P177" s="10"/>
      <c r="Q177" s="10">
        <v>33320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34"/>
      <c r="AB177" s="10"/>
      <c r="AC177" s="34">
        <v>33320</v>
      </c>
      <c r="AD177" s="10">
        <f t="shared" si="3"/>
        <v>0</v>
      </c>
      <c r="AF177" s="46"/>
    </row>
    <row r="178" spans="1:32" x14ac:dyDescent="0.25">
      <c r="A178" s="7" t="s">
        <v>488</v>
      </c>
      <c r="B178" s="9">
        <v>3873901</v>
      </c>
      <c r="C178" s="73">
        <v>44323</v>
      </c>
      <c r="D178" s="70">
        <v>44323</v>
      </c>
      <c r="E178" s="73"/>
      <c r="F178" s="45"/>
      <c r="H178" s="9"/>
      <c r="I178" s="7" t="s">
        <v>499</v>
      </c>
      <c r="J178" s="51" t="s">
        <v>140</v>
      </c>
      <c r="K178" s="7"/>
      <c r="L178" s="14"/>
      <c r="M178" s="10"/>
      <c r="N178" s="10"/>
      <c r="O178" s="10"/>
      <c r="P178" s="10"/>
      <c r="Q178" s="10">
        <v>10623.04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34"/>
      <c r="AB178" s="10"/>
      <c r="AC178" s="34">
        <v>10623.04</v>
      </c>
      <c r="AD178" s="10">
        <f t="shared" si="3"/>
        <v>0</v>
      </c>
      <c r="AF178" s="46"/>
    </row>
    <row r="179" spans="1:32" x14ac:dyDescent="0.25">
      <c r="A179" s="7" t="s">
        <v>489</v>
      </c>
      <c r="B179" s="9">
        <v>3873903</v>
      </c>
      <c r="C179" s="73">
        <v>44326</v>
      </c>
      <c r="D179" s="70">
        <v>44326</v>
      </c>
      <c r="E179" s="73">
        <v>44330</v>
      </c>
      <c r="F179" s="9" t="s">
        <v>502</v>
      </c>
      <c r="H179" s="9"/>
      <c r="I179" s="7" t="s">
        <v>500</v>
      </c>
      <c r="J179" s="51" t="s">
        <v>83</v>
      </c>
      <c r="K179" s="7" t="s">
        <v>116</v>
      </c>
      <c r="L179" s="14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34">
        <v>2040</v>
      </c>
      <c r="AB179" s="10"/>
      <c r="AC179" s="34">
        <v>2040</v>
      </c>
      <c r="AD179" s="10">
        <f t="shared" si="3"/>
        <v>0</v>
      </c>
      <c r="AF179" s="46"/>
    </row>
    <row r="180" spans="1:32" x14ac:dyDescent="0.25">
      <c r="A180" s="7" t="s">
        <v>490</v>
      </c>
      <c r="B180" s="9">
        <v>3873904</v>
      </c>
      <c r="C180" s="73">
        <v>44327</v>
      </c>
      <c r="D180" s="70">
        <v>44327</v>
      </c>
      <c r="E180" s="73"/>
      <c r="F180" s="9"/>
      <c r="H180" s="9"/>
      <c r="I180" s="7" t="s">
        <v>609</v>
      </c>
      <c r="J180" s="51" t="s">
        <v>66</v>
      </c>
      <c r="K180" s="7"/>
      <c r="L180" s="14">
        <v>3375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34">
        <v>28125</v>
      </c>
      <c r="AB180" s="10"/>
      <c r="AC180" s="34">
        <v>31500</v>
      </c>
      <c r="AD180" s="10">
        <f t="shared" si="3"/>
        <v>0</v>
      </c>
      <c r="AF180" s="46"/>
    </row>
    <row r="181" spans="1:32" x14ac:dyDescent="0.25">
      <c r="A181" s="7" t="s">
        <v>491</v>
      </c>
      <c r="B181" s="9" t="s">
        <v>610</v>
      </c>
      <c r="C181" s="73">
        <v>44327</v>
      </c>
      <c r="D181" s="70">
        <v>44327</v>
      </c>
      <c r="E181" s="73"/>
      <c r="F181" s="9"/>
      <c r="H181" s="9"/>
      <c r="I181" s="7" t="s">
        <v>611</v>
      </c>
      <c r="J181" s="51" t="s">
        <v>66</v>
      </c>
      <c r="K181" s="7"/>
      <c r="L181" s="14"/>
      <c r="M181" s="10"/>
      <c r="N181" s="10"/>
      <c r="O181" s="10"/>
      <c r="P181" s="10"/>
      <c r="Q181" s="10">
        <v>12533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34"/>
      <c r="AB181" s="10"/>
      <c r="AC181" s="34">
        <v>12533</v>
      </c>
      <c r="AD181" s="10">
        <f t="shared" si="3"/>
        <v>0</v>
      </c>
      <c r="AF181" s="46"/>
    </row>
    <row r="182" spans="1:32" x14ac:dyDescent="0.25">
      <c r="A182" s="7" t="s">
        <v>492</v>
      </c>
      <c r="B182" s="9" t="s">
        <v>612</v>
      </c>
      <c r="C182" s="73">
        <v>44327</v>
      </c>
      <c r="D182" s="70">
        <v>44327</v>
      </c>
      <c r="E182" s="73"/>
      <c r="F182" s="9"/>
      <c r="H182" s="9"/>
      <c r="I182" s="7" t="s">
        <v>613</v>
      </c>
      <c r="J182" s="51" t="s">
        <v>126</v>
      </c>
      <c r="K182" s="7"/>
      <c r="L182" s="14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34">
        <v>12500</v>
      </c>
      <c r="AB182" s="10"/>
      <c r="AC182" s="34">
        <v>12500</v>
      </c>
      <c r="AD182" s="10">
        <f t="shared" si="3"/>
        <v>0</v>
      </c>
      <c r="AF182" s="46"/>
    </row>
    <row r="183" spans="1:32" x14ac:dyDescent="0.25">
      <c r="A183" s="7" t="s">
        <v>503</v>
      </c>
      <c r="B183" s="9">
        <v>3873905</v>
      </c>
      <c r="C183" s="73">
        <v>44334</v>
      </c>
      <c r="D183" s="70">
        <v>44334</v>
      </c>
      <c r="E183" s="73"/>
      <c r="F183" s="9"/>
      <c r="H183" s="9"/>
      <c r="I183" s="7" t="s">
        <v>614</v>
      </c>
      <c r="J183" s="51" t="s">
        <v>44</v>
      </c>
      <c r="K183" s="7"/>
      <c r="L183" s="14">
        <v>550.66999999999996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>
        <v>4588.96</v>
      </c>
      <c r="Y183" s="10"/>
      <c r="Z183" s="10"/>
      <c r="AA183" s="34"/>
      <c r="AB183" s="10"/>
      <c r="AC183" s="34">
        <v>5139.63</v>
      </c>
      <c r="AD183" s="10">
        <f t="shared" si="3"/>
        <v>0</v>
      </c>
      <c r="AF183" s="46"/>
    </row>
    <row r="184" spans="1:32" x14ac:dyDescent="0.25">
      <c r="A184" s="7" t="s">
        <v>504</v>
      </c>
      <c r="B184" s="9">
        <v>3873906</v>
      </c>
      <c r="C184" s="73">
        <v>44334</v>
      </c>
      <c r="D184" s="70">
        <v>44334</v>
      </c>
      <c r="E184" s="73">
        <v>44343</v>
      </c>
      <c r="F184" s="48" t="s">
        <v>642</v>
      </c>
      <c r="H184" s="9"/>
      <c r="I184" s="7" t="s">
        <v>626</v>
      </c>
      <c r="J184" s="51" t="s">
        <v>83</v>
      </c>
      <c r="K184" s="7" t="s">
        <v>116</v>
      </c>
      <c r="L184" s="14"/>
      <c r="M184" s="10">
        <v>2700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34"/>
      <c r="AB184" s="10"/>
      <c r="AC184" s="34">
        <v>2700</v>
      </c>
      <c r="AD184" s="10">
        <f t="shared" si="3"/>
        <v>0</v>
      </c>
      <c r="AF184" s="46"/>
    </row>
    <row r="185" spans="1:32" x14ac:dyDescent="0.25">
      <c r="A185" s="7" t="s">
        <v>505</v>
      </c>
      <c r="B185" s="9">
        <v>3873907</v>
      </c>
      <c r="C185" s="73">
        <v>44334</v>
      </c>
      <c r="D185" s="70">
        <v>44334</v>
      </c>
      <c r="E185" s="73">
        <v>44361</v>
      </c>
      <c r="F185" s="9" t="s">
        <v>665</v>
      </c>
      <c r="G185" s="9" t="s">
        <v>196</v>
      </c>
      <c r="H185" s="9"/>
      <c r="I185" s="7" t="s">
        <v>615</v>
      </c>
      <c r="J185" s="51" t="s">
        <v>83</v>
      </c>
      <c r="K185" s="7" t="s">
        <v>116</v>
      </c>
      <c r="L185" s="14">
        <v>2580</v>
      </c>
      <c r="M185" s="10">
        <v>21500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34"/>
      <c r="AB185" s="10"/>
      <c r="AC185" s="34">
        <v>24080</v>
      </c>
      <c r="AD185" s="10">
        <f t="shared" si="3"/>
        <v>0</v>
      </c>
      <c r="AF185" s="46"/>
    </row>
    <row r="186" spans="1:32" x14ac:dyDescent="0.25">
      <c r="A186" s="7" t="s">
        <v>506</v>
      </c>
      <c r="B186" s="9" t="s">
        <v>616</v>
      </c>
      <c r="C186" s="73">
        <v>44334</v>
      </c>
      <c r="D186" s="70">
        <v>44334</v>
      </c>
      <c r="E186" s="73"/>
      <c r="F186" s="9"/>
      <c r="H186" s="9"/>
      <c r="I186" s="7" t="s">
        <v>55</v>
      </c>
      <c r="J186" s="51" t="s">
        <v>80</v>
      </c>
      <c r="K186" s="7"/>
      <c r="L186" s="14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>
        <v>17865.46</v>
      </c>
      <c r="AA186" s="34"/>
      <c r="AB186" s="10"/>
      <c r="AC186" s="34">
        <v>17865.46</v>
      </c>
      <c r="AD186" s="10">
        <f t="shared" si="3"/>
        <v>0</v>
      </c>
      <c r="AF186" s="46"/>
    </row>
    <row r="187" spans="1:32" x14ac:dyDescent="0.25">
      <c r="A187" s="7" t="s">
        <v>507</v>
      </c>
      <c r="B187" s="9" t="s">
        <v>624</v>
      </c>
      <c r="C187" s="73">
        <v>44336</v>
      </c>
      <c r="D187" s="70">
        <v>44334</v>
      </c>
      <c r="E187" s="73">
        <v>44337</v>
      </c>
      <c r="F187" s="9" t="s">
        <v>631</v>
      </c>
      <c r="G187" s="9" t="s">
        <v>197</v>
      </c>
      <c r="H187" s="9"/>
      <c r="I187" s="7" t="s">
        <v>625</v>
      </c>
      <c r="J187" s="51" t="s">
        <v>136</v>
      </c>
      <c r="K187" s="44"/>
      <c r="L187" s="14">
        <v>7007.14</v>
      </c>
      <c r="M187" s="10">
        <v>58392.86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34"/>
      <c r="AB187" s="10"/>
      <c r="AC187" s="34">
        <v>65400</v>
      </c>
      <c r="AD187" s="10">
        <f t="shared" si="3"/>
        <v>0</v>
      </c>
      <c r="AF187" s="46"/>
    </row>
    <row r="188" spans="1:32" x14ac:dyDescent="0.25">
      <c r="A188" s="7" t="s">
        <v>508</v>
      </c>
      <c r="B188" s="9" t="s">
        <v>617</v>
      </c>
      <c r="C188" s="73">
        <v>44334</v>
      </c>
      <c r="D188" s="70">
        <v>44334</v>
      </c>
      <c r="E188" s="73"/>
      <c r="F188" s="9"/>
      <c r="H188" s="9"/>
      <c r="I188" s="7" t="s">
        <v>55</v>
      </c>
      <c r="J188" s="51" t="s">
        <v>54</v>
      </c>
      <c r="K188" s="7"/>
      <c r="L188" s="14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>
        <v>130000</v>
      </c>
      <c r="AA188" s="34"/>
      <c r="AB188" s="10"/>
      <c r="AC188" s="34">
        <v>130000</v>
      </c>
      <c r="AD188" s="10">
        <f t="shared" si="3"/>
        <v>0</v>
      </c>
      <c r="AF188" s="46"/>
    </row>
    <row r="189" spans="1:32" x14ac:dyDescent="0.25">
      <c r="A189" s="7" t="s">
        <v>509</v>
      </c>
      <c r="B189" s="9">
        <v>3873908</v>
      </c>
      <c r="C189" s="73">
        <v>44334</v>
      </c>
      <c r="D189" s="70">
        <v>44334</v>
      </c>
      <c r="E189" s="73"/>
      <c r="F189" s="9"/>
      <c r="H189" s="9"/>
      <c r="I189" s="7" t="s">
        <v>618</v>
      </c>
      <c r="J189" s="51" t="s">
        <v>46</v>
      </c>
      <c r="K189" s="26"/>
      <c r="L189" s="14">
        <v>192.75</v>
      </c>
      <c r="M189" s="10"/>
      <c r="N189" s="10"/>
      <c r="O189" s="10"/>
      <c r="P189" s="10"/>
      <c r="Q189" s="10"/>
      <c r="R189" s="10"/>
      <c r="S189" s="10">
        <v>1606.25</v>
      </c>
      <c r="T189" s="10"/>
      <c r="U189" s="10"/>
      <c r="V189" s="10"/>
      <c r="W189" s="10"/>
      <c r="X189" s="10"/>
      <c r="Y189" s="10"/>
      <c r="Z189" s="10"/>
      <c r="AA189" s="34"/>
      <c r="AB189" s="10"/>
      <c r="AC189" s="34">
        <v>1799</v>
      </c>
      <c r="AD189" s="10">
        <f t="shared" si="3"/>
        <v>0</v>
      </c>
      <c r="AF189" s="46"/>
    </row>
    <row r="190" spans="1:32" x14ac:dyDescent="0.25">
      <c r="A190" s="7" t="s">
        <v>510</v>
      </c>
      <c r="B190" s="9">
        <v>3873909</v>
      </c>
      <c r="C190" s="73">
        <v>44334</v>
      </c>
      <c r="D190" s="70">
        <v>44334</v>
      </c>
      <c r="E190" s="73"/>
      <c r="F190" s="9"/>
      <c r="H190" s="9"/>
      <c r="I190" s="7" t="s">
        <v>614</v>
      </c>
      <c r="J190" s="51" t="s">
        <v>46</v>
      </c>
      <c r="K190" s="7"/>
      <c r="L190" s="10">
        <v>107.04</v>
      </c>
      <c r="M190" s="10"/>
      <c r="N190" s="10"/>
      <c r="O190" s="10"/>
      <c r="P190" s="10"/>
      <c r="Q190" s="10"/>
      <c r="R190" s="10"/>
      <c r="S190" s="10">
        <v>891.96</v>
      </c>
      <c r="T190" s="10"/>
      <c r="U190" s="10"/>
      <c r="V190" s="10"/>
      <c r="W190" s="10"/>
      <c r="X190" s="10"/>
      <c r="Y190" s="10"/>
      <c r="Z190" s="10"/>
      <c r="AA190" s="34"/>
      <c r="AB190" s="10"/>
      <c r="AC190" s="34">
        <v>999</v>
      </c>
      <c r="AD190" s="10">
        <f t="shared" si="3"/>
        <v>0</v>
      </c>
      <c r="AF190" s="46"/>
    </row>
    <row r="191" spans="1:32" x14ac:dyDescent="0.25">
      <c r="A191" s="7" t="s">
        <v>511</v>
      </c>
      <c r="B191" s="9">
        <v>3873910</v>
      </c>
      <c r="C191" s="73">
        <v>44334</v>
      </c>
      <c r="D191" s="70">
        <v>44334</v>
      </c>
      <c r="E191" s="73"/>
      <c r="F191" s="9"/>
      <c r="H191" s="9"/>
      <c r="I191" s="7" t="s">
        <v>618</v>
      </c>
      <c r="J191" s="51" t="s">
        <v>46</v>
      </c>
      <c r="K191" s="7"/>
      <c r="L191" s="10">
        <v>107.04</v>
      </c>
      <c r="M191" s="10"/>
      <c r="N191" s="10"/>
      <c r="O191" s="10"/>
      <c r="P191" s="10"/>
      <c r="Q191" s="10"/>
      <c r="R191" s="10"/>
      <c r="S191" s="10">
        <v>891.96</v>
      </c>
      <c r="T191" s="10"/>
      <c r="U191" s="10"/>
      <c r="V191" s="10"/>
      <c r="W191" s="10"/>
      <c r="X191" s="10"/>
      <c r="Y191" s="10"/>
      <c r="Z191" s="10"/>
      <c r="AA191" s="34"/>
      <c r="AB191" s="10"/>
      <c r="AC191" s="34">
        <v>999</v>
      </c>
      <c r="AD191" s="10">
        <f t="shared" si="3"/>
        <v>0</v>
      </c>
      <c r="AF191" s="46"/>
    </row>
    <row r="192" spans="1:32" x14ac:dyDescent="0.25">
      <c r="A192" s="7" t="s">
        <v>512</v>
      </c>
      <c r="B192" s="9">
        <v>3873911</v>
      </c>
      <c r="C192" s="73">
        <v>44334</v>
      </c>
      <c r="D192" s="70">
        <v>44334</v>
      </c>
      <c r="E192" s="73"/>
      <c r="F192" s="9"/>
      <c r="H192" s="9"/>
      <c r="I192" s="7" t="s">
        <v>614</v>
      </c>
      <c r="J192" s="51" t="s">
        <v>46</v>
      </c>
      <c r="K192" s="7"/>
      <c r="L192" s="10">
        <v>107.04</v>
      </c>
      <c r="M192" s="10"/>
      <c r="N192" s="10"/>
      <c r="O192" s="10"/>
      <c r="P192" s="10"/>
      <c r="Q192" s="10"/>
      <c r="R192" s="10"/>
      <c r="S192" s="10">
        <v>891.96</v>
      </c>
      <c r="T192" s="10"/>
      <c r="U192" s="10"/>
      <c r="V192" s="10"/>
      <c r="W192" s="10"/>
      <c r="X192" s="10"/>
      <c r="Y192" s="10"/>
      <c r="Z192" s="10"/>
      <c r="AA192" s="34"/>
      <c r="AB192" s="10"/>
      <c r="AC192" s="34">
        <v>999</v>
      </c>
      <c r="AD192" s="10">
        <f t="shared" si="3"/>
        <v>0</v>
      </c>
      <c r="AF192" s="46"/>
    </row>
    <row r="193" spans="1:32" x14ac:dyDescent="0.25">
      <c r="A193" s="7" t="s">
        <v>513</v>
      </c>
      <c r="B193" s="9">
        <v>3873912</v>
      </c>
      <c r="C193" s="73">
        <v>44334</v>
      </c>
      <c r="D193" s="70">
        <v>44334</v>
      </c>
      <c r="E193" s="73"/>
      <c r="F193" s="45"/>
      <c r="H193" s="9"/>
      <c r="I193" s="7" t="s">
        <v>619</v>
      </c>
      <c r="J193" s="51" t="s">
        <v>43</v>
      </c>
      <c r="K193" s="24"/>
      <c r="L193" s="14">
        <v>205.86</v>
      </c>
      <c r="M193" s="10"/>
      <c r="N193" s="10"/>
      <c r="O193" s="10"/>
      <c r="P193" s="10"/>
      <c r="Q193" s="10"/>
      <c r="R193" s="10"/>
      <c r="S193" s="10">
        <v>1715.48</v>
      </c>
      <c r="T193" s="10"/>
      <c r="U193" s="10"/>
      <c r="V193" s="10"/>
      <c r="W193" s="10"/>
      <c r="X193" s="10"/>
      <c r="Y193" s="10"/>
      <c r="Z193" s="10"/>
      <c r="AA193" s="34"/>
      <c r="AB193" s="10"/>
      <c r="AC193" s="34">
        <v>1921.34</v>
      </c>
      <c r="AD193" s="10">
        <f t="shared" si="3"/>
        <v>0</v>
      </c>
      <c r="AF193" s="46"/>
    </row>
    <row r="194" spans="1:32" x14ac:dyDescent="0.25">
      <c r="A194" s="7" t="s">
        <v>514</v>
      </c>
      <c r="B194" s="9">
        <v>3873913</v>
      </c>
      <c r="C194" s="73">
        <v>44334</v>
      </c>
      <c r="D194" s="70">
        <v>44334</v>
      </c>
      <c r="E194" s="73"/>
      <c r="F194" s="9"/>
      <c r="H194" s="9"/>
      <c r="I194" s="7" t="s">
        <v>620</v>
      </c>
      <c r="J194" s="51" t="s">
        <v>46</v>
      </c>
      <c r="K194" s="7"/>
      <c r="L194" s="14">
        <v>1113.93</v>
      </c>
      <c r="M194" s="10"/>
      <c r="N194" s="10"/>
      <c r="O194" s="10"/>
      <c r="P194" s="10"/>
      <c r="Q194" s="10"/>
      <c r="R194" s="10"/>
      <c r="S194" s="10">
        <v>9282.7099999999991</v>
      </c>
      <c r="T194" s="10"/>
      <c r="U194" s="10"/>
      <c r="V194" s="10"/>
      <c r="W194" s="10"/>
      <c r="X194" s="10"/>
      <c r="Y194" s="10"/>
      <c r="Z194" s="10"/>
      <c r="AA194" s="34"/>
      <c r="AB194" s="10"/>
      <c r="AC194" s="34">
        <v>10396.64</v>
      </c>
      <c r="AD194" s="10">
        <f t="shared" si="3"/>
        <v>0</v>
      </c>
      <c r="AF194" s="46"/>
    </row>
    <row r="195" spans="1:32" x14ac:dyDescent="0.25">
      <c r="A195" s="7" t="s">
        <v>515</v>
      </c>
      <c r="B195" s="9">
        <v>3873914</v>
      </c>
      <c r="C195" s="73">
        <v>44334</v>
      </c>
      <c r="D195" s="70">
        <v>44334</v>
      </c>
      <c r="E195" s="73">
        <v>44342</v>
      </c>
      <c r="F195" s="48" t="s">
        <v>639</v>
      </c>
      <c r="H195" s="9"/>
      <c r="I195" s="7" t="s">
        <v>621</v>
      </c>
      <c r="J195" s="51" t="s">
        <v>127</v>
      </c>
      <c r="K195" s="7" t="s">
        <v>128</v>
      </c>
      <c r="L195" s="14">
        <v>540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34">
        <v>4500</v>
      </c>
      <c r="AB195" s="10"/>
      <c r="AC195" s="34">
        <v>5040</v>
      </c>
      <c r="AD195" s="10">
        <f t="shared" si="3"/>
        <v>0</v>
      </c>
      <c r="AF195" s="46"/>
    </row>
    <row r="196" spans="1:32" x14ac:dyDescent="0.25">
      <c r="A196" s="7" t="s">
        <v>516</v>
      </c>
      <c r="B196" s="9" t="s">
        <v>622</v>
      </c>
      <c r="C196" s="73">
        <v>44334</v>
      </c>
      <c r="D196" s="70">
        <v>44334</v>
      </c>
      <c r="E196" s="73"/>
      <c r="F196" s="9"/>
      <c r="H196" s="9"/>
      <c r="I196" s="7" t="s">
        <v>623</v>
      </c>
      <c r="J196" s="51" t="s">
        <v>66</v>
      </c>
      <c r="K196" s="26"/>
      <c r="L196" s="14"/>
      <c r="M196" s="10"/>
      <c r="N196" s="10"/>
      <c r="O196" s="10"/>
      <c r="P196" s="10"/>
      <c r="Q196" s="10">
        <v>29776.95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34"/>
      <c r="AB196" s="10"/>
      <c r="AC196" s="34">
        <v>29776.95</v>
      </c>
      <c r="AD196" s="10">
        <f t="shared" si="3"/>
        <v>0</v>
      </c>
      <c r="AF196" s="46"/>
    </row>
    <row r="197" spans="1:32" x14ac:dyDescent="0.25">
      <c r="A197" s="7" t="s">
        <v>517</v>
      </c>
      <c r="B197" s="9">
        <v>3873915</v>
      </c>
      <c r="C197" s="73">
        <v>44372</v>
      </c>
      <c r="D197" s="70">
        <v>44340</v>
      </c>
      <c r="E197" s="73">
        <v>44344</v>
      </c>
      <c r="F197" s="9" t="s">
        <v>640</v>
      </c>
      <c r="H197" s="9"/>
      <c r="I197" s="7" t="s">
        <v>119</v>
      </c>
      <c r="J197" s="54" t="s">
        <v>37</v>
      </c>
      <c r="K197" s="10" t="s">
        <v>38</v>
      </c>
      <c r="L197" s="10">
        <v>7023.21</v>
      </c>
      <c r="M197" s="10">
        <v>58526.79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34"/>
      <c r="AB197" s="10"/>
      <c r="AC197" s="34">
        <v>65550</v>
      </c>
      <c r="AD197" s="10">
        <f t="shared" si="3"/>
        <v>0</v>
      </c>
      <c r="AF197" s="46"/>
    </row>
    <row r="198" spans="1:32" x14ac:dyDescent="0.25">
      <c r="A198" s="7" t="s">
        <v>518</v>
      </c>
      <c r="B198" s="9">
        <v>3873916</v>
      </c>
      <c r="C198" s="73">
        <v>44373</v>
      </c>
      <c r="D198" s="70">
        <v>44340</v>
      </c>
      <c r="E198" s="73">
        <v>44344</v>
      </c>
      <c r="F198" s="9" t="s">
        <v>641</v>
      </c>
      <c r="G198" s="9" t="s">
        <v>210</v>
      </c>
      <c r="H198" s="9"/>
      <c r="I198" s="7" t="s">
        <v>628</v>
      </c>
      <c r="J198" s="51" t="s">
        <v>84</v>
      </c>
      <c r="K198" s="7" t="s">
        <v>36</v>
      </c>
      <c r="L198" s="14">
        <v>2121.4299999999998</v>
      </c>
      <c r="M198" s="10">
        <v>17678.57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34"/>
      <c r="AB198" s="10"/>
      <c r="AC198" s="34">
        <v>19800</v>
      </c>
      <c r="AD198" s="10">
        <f t="shared" si="3"/>
        <v>0</v>
      </c>
      <c r="AF198" s="46"/>
    </row>
    <row r="199" spans="1:32" x14ac:dyDescent="0.25">
      <c r="A199" s="7" t="s">
        <v>519</v>
      </c>
      <c r="B199" s="9">
        <v>3873917</v>
      </c>
      <c r="C199" s="73">
        <v>44371</v>
      </c>
      <c r="D199" s="70">
        <v>44340</v>
      </c>
      <c r="E199" s="73">
        <v>44341</v>
      </c>
      <c r="F199" s="9" t="s">
        <v>630</v>
      </c>
      <c r="G199" s="9" t="s">
        <v>211</v>
      </c>
      <c r="H199" s="9"/>
      <c r="I199" s="7" t="s">
        <v>629</v>
      </c>
      <c r="J199" s="51" t="s">
        <v>31</v>
      </c>
      <c r="K199" s="24" t="s">
        <v>32</v>
      </c>
      <c r="L199" s="14">
        <v>4017.86</v>
      </c>
      <c r="M199" s="10">
        <v>33482.14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34"/>
      <c r="AB199" s="10"/>
      <c r="AC199" s="34">
        <v>37500</v>
      </c>
      <c r="AD199" s="10">
        <f t="shared" si="3"/>
        <v>0</v>
      </c>
      <c r="AF199" s="46"/>
    </row>
    <row r="200" spans="1:32" x14ac:dyDescent="0.25">
      <c r="A200" s="7" t="s">
        <v>520</v>
      </c>
      <c r="B200" s="9" t="s">
        <v>627</v>
      </c>
      <c r="C200" s="73">
        <v>44348</v>
      </c>
      <c r="D200" s="70">
        <v>44340</v>
      </c>
      <c r="E200" s="73">
        <v>44348</v>
      </c>
      <c r="F200" s="9" t="s">
        <v>638</v>
      </c>
      <c r="H200" s="9"/>
      <c r="I200" s="7" t="s">
        <v>93</v>
      </c>
      <c r="J200" s="51" t="s">
        <v>79</v>
      </c>
      <c r="K200" s="7"/>
      <c r="L200" s="14"/>
      <c r="M200" s="10"/>
      <c r="N200" s="10"/>
      <c r="O200" s="10"/>
      <c r="P200" s="10"/>
      <c r="Q200" s="10"/>
      <c r="R200" s="10"/>
      <c r="S200" s="10"/>
      <c r="T200" s="10"/>
      <c r="U200" s="10"/>
      <c r="V200" s="10">
        <v>20667</v>
      </c>
      <c r="W200" s="10"/>
      <c r="X200" s="10"/>
      <c r="Y200" s="10"/>
      <c r="Z200" s="10"/>
      <c r="AA200" s="34"/>
      <c r="AB200" s="10"/>
      <c r="AC200" s="34">
        <v>20667</v>
      </c>
      <c r="AD200" s="10">
        <f t="shared" si="3"/>
        <v>0</v>
      </c>
      <c r="AF200" s="46"/>
    </row>
    <row r="201" spans="1:32" x14ac:dyDescent="0.25">
      <c r="A201" s="7" t="s">
        <v>521</v>
      </c>
      <c r="B201" s="47" t="s">
        <v>632</v>
      </c>
      <c r="C201" s="73">
        <v>44342</v>
      </c>
      <c r="D201" s="70">
        <v>44342</v>
      </c>
      <c r="E201" s="73"/>
      <c r="F201" s="9"/>
      <c r="H201" s="9" t="s">
        <v>97</v>
      </c>
      <c r="I201" s="7" t="s">
        <v>633</v>
      </c>
      <c r="J201" s="51" t="s">
        <v>39</v>
      </c>
      <c r="K201" s="7"/>
      <c r="L201" s="14">
        <v>2517.21</v>
      </c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34">
        <v>20976.74</v>
      </c>
      <c r="AB201" s="10"/>
      <c r="AC201" s="34">
        <v>50000</v>
      </c>
      <c r="AD201" s="10">
        <f t="shared" si="3"/>
        <v>26506.05</v>
      </c>
      <c r="AE201" s="82" t="s">
        <v>698</v>
      </c>
      <c r="AF201" s="46"/>
    </row>
    <row r="202" spans="1:32" x14ac:dyDescent="0.25">
      <c r="A202" s="7" t="s">
        <v>522</v>
      </c>
      <c r="B202" s="9" t="s">
        <v>634</v>
      </c>
      <c r="C202" s="73">
        <v>44342</v>
      </c>
      <c r="D202" s="70">
        <v>44342</v>
      </c>
      <c r="E202" s="73"/>
      <c r="F202" s="9"/>
      <c r="H202" s="9"/>
      <c r="I202" s="7" t="s">
        <v>635</v>
      </c>
      <c r="J202" s="51" t="s">
        <v>35</v>
      </c>
      <c r="K202" s="7"/>
      <c r="L202" s="14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34">
        <v>10000</v>
      </c>
      <c r="AB202" s="10"/>
      <c r="AC202" s="34">
        <v>10000</v>
      </c>
      <c r="AD202" s="10">
        <f t="shared" si="3"/>
        <v>0</v>
      </c>
      <c r="AF202" s="46"/>
    </row>
    <row r="203" spans="1:32" x14ac:dyDescent="0.25">
      <c r="A203" s="7" t="s">
        <v>523</v>
      </c>
      <c r="B203" s="9" t="s">
        <v>636</v>
      </c>
      <c r="C203" s="73">
        <v>44342</v>
      </c>
      <c r="D203" s="70">
        <v>44342</v>
      </c>
      <c r="E203" s="73"/>
      <c r="F203" s="45"/>
      <c r="H203" s="9"/>
      <c r="I203" s="7" t="s">
        <v>494</v>
      </c>
      <c r="J203" s="51" t="s">
        <v>39</v>
      </c>
      <c r="K203" s="24"/>
      <c r="L203" s="14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>
        <v>50000</v>
      </c>
      <c r="X203" s="10"/>
      <c r="Y203" s="10"/>
      <c r="Z203" s="10"/>
      <c r="AA203" s="34"/>
      <c r="AB203" s="10"/>
      <c r="AC203" s="34">
        <v>50000</v>
      </c>
      <c r="AD203" s="10">
        <f t="shared" si="3"/>
        <v>0</v>
      </c>
      <c r="AF203" s="46"/>
    </row>
    <row r="204" spans="1:32" s="39" customFormat="1" x14ac:dyDescent="0.25">
      <c r="A204" s="20"/>
      <c r="B204" s="19"/>
      <c r="C204" s="77"/>
      <c r="D204" s="72"/>
      <c r="E204" s="77"/>
      <c r="F204" s="86"/>
      <c r="G204" s="19"/>
      <c r="H204" s="19"/>
      <c r="I204" s="20"/>
      <c r="J204" s="20"/>
      <c r="K204" s="87"/>
      <c r="L204" s="21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35"/>
      <c r="AB204" s="22"/>
      <c r="AC204" s="35"/>
      <c r="AD204" s="22"/>
      <c r="AE204" s="20"/>
      <c r="AF204" s="95"/>
    </row>
    <row r="205" spans="1:32" s="39" customFormat="1" x14ac:dyDescent="0.25">
      <c r="A205" s="25">
        <v>44348</v>
      </c>
      <c r="B205" s="19"/>
      <c r="C205" s="77"/>
      <c r="D205" s="72"/>
      <c r="E205" s="77"/>
      <c r="F205" s="86"/>
      <c r="G205" s="19"/>
      <c r="H205" s="19"/>
      <c r="I205" s="20"/>
      <c r="J205" s="20"/>
      <c r="K205" s="87"/>
      <c r="L205" s="21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35"/>
      <c r="AB205" s="22"/>
      <c r="AC205" s="35"/>
      <c r="AD205" s="22"/>
      <c r="AE205" s="20"/>
      <c r="AF205" s="95"/>
    </row>
    <row r="206" spans="1:32" x14ac:dyDescent="0.25">
      <c r="A206" s="7" t="s">
        <v>524</v>
      </c>
      <c r="B206" s="9">
        <v>3873918</v>
      </c>
      <c r="C206" s="70">
        <v>44348</v>
      </c>
      <c r="D206" s="70">
        <v>44348</v>
      </c>
      <c r="E206" s="73"/>
      <c r="F206" s="9"/>
      <c r="H206" s="9" t="s">
        <v>138</v>
      </c>
      <c r="I206" s="7" t="s">
        <v>114</v>
      </c>
      <c r="J206" s="51" t="s">
        <v>65</v>
      </c>
      <c r="K206" s="7"/>
      <c r="L206" s="14"/>
      <c r="M206" s="10"/>
      <c r="N206" s="10"/>
      <c r="O206" s="10"/>
      <c r="P206" s="10"/>
      <c r="Q206" s="10"/>
      <c r="R206" s="10"/>
      <c r="S206" s="10"/>
      <c r="T206" s="10">
        <v>12642</v>
      </c>
      <c r="U206" s="10"/>
      <c r="V206" s="10"/>
      <c r="W206" s="10"/>
      <c r="X206" s="10"/>
      <c r="Y206" s="10"/>
      <c r="Z206" s="10"/>
      <c r="AA206" s="34"/>
      <c r="AB206" s="10"/>
      <c r="AC206" s="34">
        <v>12642</v>
      </c>
      <c r="AD206" s="10">
        <f t="shared" si="3"/>
        <v>0</v>
      </c>
      <c r="AF206" s="46"/>
    </row>
    <row r="207" spans="1:32" x14ac:dyDescent="0.25">
      <c r="A207" s="7" t="s">
        <v>525</v>
      </c>
      <c r="B207" s="9">
        <v>3873919</v>
      </c>
      <c r="C207" s="70">
        <v>44348</v>
      </c>
      <c r="D207" s="70">
        <v>44348</v>
      </c>
      <c r="E207" s="73"/>
      <c r="F207" s="9"/>
      <c r="H207" s="9"/>
      <c r="I207" s="7" t="s">
        <v>637</v>
      </c>
      <c r="J207" s="51" t="s">
        <v>18</v>
      </c>
      <c r="K207" s="7"/>
      <c r="L207" s="10">
        <v>151.09</v>
      </c>
      <c r="M207" s="10"/>
      <c r="N207" s="10"/>
      <c r="O207" s="10"/>
      <c r="P207" s="10"/>
      <c r="Q207" s="10"/>
      <c r="R207" s="10">
        <v>1259.06</v>
      </c>
      <c r="S207" s="10"/>
      <c r="T207" s="10"/>
      <c r="U207" s="10"/>
      <c r="V207" s="10"/>
      <c r="W207" s="10"/>
      <c r="X207" s="10"/>
      <c r="Y207" s="10"/>
      <c r="Z207" s="10"/>
      <c r="AA207" s="33"/>
      <c r="AB207" s="10"/>
      <c r="AC207" s="34">
        <v>1410.15</v>
      </c>
      <c r="AD207" s="10">
        <f t="shared" si="3"/>
        <v>0</v>
      </c>
      <c r="AF207" s="46"/>
    </row>
    <row r="208" spans="1:32" x14ac:dyDescent="0.25">
      <c r="A208" s="7" t="s">
        <v>526</v>
      </c>
      <c r="B208" s="9">
        <v>3873920</v>
      </c>
      <c r="C208" s="70">
        <v>44348</v>
      </c>
      <c r="D208" s="70">
        <v>44348</v>
      </c>
      <c r="E208" s="73"/>
      <c r="F208" s="9"/>
      <c r="H208" s="9"/>
      <c r="I208" s="7" t="s">
        <v>637</v>
      </c>
      <c r="J208" s="51" t="s">
        <v>18</v>
      </c>
      <c r="K208" s="7"/>
      <c r="L208" s="14">
        <v>811.09</v>
      </c>
      <c r="M208" s="10"/>
      <c r="N208" s="10"/>
      <c r="O208" s="10"/>
      <c r="P208" s="10"/>
      <c r="Q208" s="10"/>
      <c r="R208" s="10">
        <v>6759.04</v>
      </c>
      <c r="S208" s="10"/>
      <c r="T208" s="10"/>
      <c r="U208" s="10"/>
      <c r="V208" s="10"/>
      <c r="W208" s="10"/>
      <c r="X208" s="10"/>
      <c r="Y208" s="10"/>
      <c r="Z208" s="10"/>
      <c r="AA208" s="33"/>
      <c r="AB208" s="10"/>
      <c r="AC208" s="34">
        <v>7570.13</v>
      </c>
      <c r="AD208" s="10">
        <f t="shared" si="3"/>
        <v>0</v>
      </c>
      <c r="AF208" s="46"/>
    </row>
    <row r="209" spans="1:32" x14ac:dyDescent="0.25">
      <c r="A209" s="7" t="s">
        <v>527</v>
      </c>
      <c r="B209" s="9" t="s">
        <v>643</v>
      </c>
      <c r="C209" s="70">
        <v>44348</v>
      </c>
      <c r="D209" s="70">
        <v>44348</v>
      </c>
      <c r="E209" s="73">
        <v>44350</v>
      </c>
      <c r="F209" s="9" t="s">
        <v>645</v>
      </c>
      <c r="G209" s="9" t="s">
        <v>213</v>
      </c>
      <c r="H209" s="9"/>
      <c r="I209" s="7" t="s">
        <v>131</v>
      </c>
      <c r="J209" s="51" t="s">
        <v>141</v>
      </c>
      <c r="K209" s="7"/>
      <c r="L209" s="14">
        <v>6814.29</v>
      </c>
      <c r="M209" s="34">
        <v>56785.71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34"/>
      <c r="AB209" s="10"/>
      <c r="AC209" s="34">
        <v>63600</v>
      </c>
      <c r="AD209" s="10">
        <f t="shared" si="3"/>
        <v>0</v>
      </c>
      <c r="AF209" s="46"/>
    </row>
    <row r="210" spans="1:32" x14ac:dyDescent="0.25">
      <c r="A210" s="7" t="s">
        <v>528</v>
      </c>
      <c r="B210" s="9" t="s">
        <v>644</v>
      </c>
      <c r="C210" s="70">
        <v>44348</v>
      </c>
      <c r="D210" s="70">
        <v>44348</v>
      </c>
      <c r="E210" s="73"/>
      <c r="F210" s="48"/>
      <c r="H210" s="9"/>
      <c r="I210" s="7" t="s">
        <v>82</v>
      </c>
      <c r="J210" s="51" t="s">
        <v>54</v>
      </c>
      <c r="K210" s="7"/>
      <c r="L210" s="14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>
        <v>250000</v>
      </c>
      <c r="AA210" s="34"/>
      <c r="AB210" s="10"/>
      <c r="AC210" s="34">
        <v>250000</v>
      </c>
      <c r="AD210" s="10">
        <f t="shared" ref="AD210:AD275" si="4">SUM(AB210:AC210)-SUM(L210:AA210)</f>
        <v>0</v>
      </c>
      <c r="AF210" s="46"/>
    </row>
    <row r="211" spans="1:32" x14ac:dyDescent="0.25">
      <c r="A211" s="7" t="s">
        <v>529</v>
      </c>
      <c r="B211" s="9">
        <v>3873921</v>
      </c>
      <c r="C211" s="70">
        <v>44354</v>
      </c>
      <c r="D211" s="70">
        <v>44354</v>
      </c>
      <c r="E211" s="73">
        <v>44238</v>
      </c>
      <c r="F211" s="9" t="s">
        <v>265</v>
      </c>
      <c r="H211" s="9"/>
      <c r="I211" s="7" t="s">
        <v>253</v>
      </c>
      <c r="J211" s="51" t="s">
        <v>254</v>
      </c>
      <c r="K211" s="7"/>
      <c r="L211" s="14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34">
        <v>10803.58</v>
      </c>
      <c r="AB211" s="10"/>
      <c r="AC211" s="34">
        <v>10803.58</v>
      </c>
      <c r="AD211" s="10">
        <f t="shared" si="4"/>
        <v>0</v>
      </c>
      <c r="AF211" s="46"/>
    </row>
    <row r="212" spans="1:32" x14ac:dyDescent="0.25">
      <c r="A212" s="7" t="s">
        <v>530</v>
      </c>
      <c r="B212" s="9">
        <v>3873922</v>
      </c>
      <c r="C212" s="70">
        <v>44354</v>
      </c>
      <c r="D212" s="70">
        <v>44354</v>
      </c>
      <c r="E212" s="73"/>
      <c r="F212" s="9"/>
      <c r="H212" s="9"/>
      <c r="I212" s="7" t="s">
        <v>50</v>
      </c>
      <c r="J212" s="51" t="s">
        <v>39</v>
      </c>
      <c r="K212" s="7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34">
        <v>17277.5</v>
      </c>
      <c r="AB212" s="10"/>
      <c r="AC212" s="34">
        <v>17277.5</v>
      </c>
      <c r="AD212" s="10">
        <f t="shared" si="4"/>
        <v>0</v>
      </c>
      <c r="AF212" s="46"/>
    </row>
    <row r="213" spans="1:32" x14ac:dyDescent="0.25">
      <c r="A213" s="7" t="s">
        <v>531</v>
      </c>
      <c r="B213" s="9">
        <v>3873923</v>
      </c>
      <c r="C213" s="70">
        <v>44388</v>
      </c>
      <c r="D213" s="70">
        <v>44354</v>
      </c>
      <c r="E213" s="78">
        <v>44357</v>
      </c>
      <c r="F213" s="48" t="s">
        <v>646</v>
      </c>
      <c r="G213" s="48" t="s">
        <v>215</v>
      </c>
      <c r="H213" s="45"/>
      <c r="I213" s="7" t="s">
        <v>649</v>
      </c>
      <c r="J213" s="51" t="s">
        <v>84</v>
      </c>
      <c r="K213" s="7" t="s">
        <v>36</v>
      </c>
      <c r="L213" s="14">
        <v>3562.5</v>
      </c>
      <c r="M213" s="10">
        <v>29687.5</v>
      </c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34"/>
      <c r="AB213" s="10"/>
      <c r="AC213" s="34">
        <v>33250</v>
      </c>
      <c r="AD213" s="10">
        <f t="shared" si="4"/>
        <v>0</v>
      </c>
      <c r="AF213" s="46"/>
    </row>
    <row r="214" spans="1:32" x14ac:dyDescent="0.25">
      <c r="A214" s="7" t="s">
        <v>532</v>
      </c>
      <c r="B214" s="9">
        <v>3873924</v>
      </c>
      <c r="C214" s="70">
        <v>44388</v>
      </c>
      <c r="D214" s="70">
        <v>44354</v>
      </c>
      <c r="E214" s="73">
        <v>44357</v>
      </c>
      <c r="F214" s="48" t="s">
        <v>647</v>
      </c>
      <c r="G214" s="48" t="s">
        <v>216</v>
      </c>
      <c r="H214" s="9"/>
      <c r="I214" s="7" t="s">
        <v>648</v>
      </c>
      <c r="J214" s="51" t="s">
        <v>84</v>
      </c>
      <c r="K214" s="7" t="s">
        <v>36</v>
      </c>
      <c r="L214" s="14">
        <v>1071.43</v>
      </c>
      <c r="M214" s="10">
        <v>8928.57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34"/>
      <c r="AB214" s="10"/>
      <c r="AC214" s="34">
        <v>10000</v>
      </c>
      <c r="AD214" s="10">
        <f t="shared" si="4"/>
        <v>0</v>
      </c>
      <c r="AF214" s="46"/>
    </row>
    <row r="215" spans="1:32" x14ac:dyDescent="0.25">
      <c r="A215" s="7" t="s">
        <v>533</v>
      </c>
      <c r="B215" s="9">
        <v>3873925</v>
      </c>
      <c r="C215" s="70">
        <v>44401</v>
      </c>
      <c r="D215" s="70">
        <v>44354</v>
      </c>
      <c r="E215" s="73">
        <v>44371</v>
      </c>
      <c r="F215" s="9" t="s">
        <v>681</v>
      </c>
      <c r="G215" s="48" t="s">
        <v>217</v>
      </c>
      <c r="H215" s="9"/>
      <c r="I215" s="7" t="s">
        <v>654</v>
      </c>
      <c r="J215" s="51" t="s">
        <v>31</v>
      </c>
      <c r="K215" s="24" t="s">
        <v>32</v>
      </c>
      <c r="L215" s="14">
        <v>8571.43</v>
      </c>
      <c r="M215" s="10">
        <v>71428.570000000007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34"/>
      <c r="AB215" s="10"/>
      <c r="AC215" s="34">
        <v>80000</v>
      </c>
      <c r="AD215" s="10">
        <f t="shared" si="4"/>
        <v>0</v>
      </c>
      <c r="AF215" s="46"/>
    </row>
    <row r="216" spans="1:32" x14ac:dyDescent="0.25">
      <c r="A216" s="7" t="s">
        <v>534</v>
      </c>
      <c r="B216" s="9">
        <v>3873926</v>
      </c>
      <c r="C216" s="70">
        <v>44354</v>
      </c>
      <c r="D216" s="70">
        <v>44354</v>
      </c>
      <c r="E216" s="73"/>
      <c r="F216" s="9"/>
      <c r="H216" s="9"/>
      <c r="I216" s="7" t="s">
        <v>650</v>
      </c>
      <c r="J216" s="51" t="s">
        <v>43</v>
      </c>
      <c r="K216" s="7"/>
      <c r="L216" s="14">
        <v>148.61000000000001</v>
      </c>
      <c r="M216" s="10"/>
      <c r="N216" s="10"/>
      <c r="O216" s="10"/>
      <c r="P216" s="10"/>
      <c r="Q216" s="10"/>
      <c r="R216" s="10"/>
      <c r="S216" s="10">
        <v>1238.3800000000001</v>
      </c>
      <c r="T216" s="10"/>
      <c r="U216" s="10"/>
      <c r="V216" s="10"/>
      <c r="W216" s="10"/>
      <c r="X216" s="10"/>
      <c r="Y216" s="10"/>
      <c r="Z216" s="10"/>
      <c r="AA216" s="34"/>
      <c r="AB216" s="10"/>
      <c r="AC216" s="34">
        <v>1386.99</v>
      </c>
      <c r="AD216" s="10">
        <f t="shared" si="4"/>
        <v>0</v>
      </c>
      <c r="AF216" s="46"/>
    </row>
    <row r="217" spans="1:32" x14ac:dyDescent="0.25">
      <c r="A217" s="7" t="s">
        <v>535</v>
      </c>
      <c r="B217" s="9">
        <v>3873927</v>
      </c>
      <c r="C217" s="70">
        <v>44354</v>
      </c>
      <c r="D217" s="70">
        <v>44354</v>
      </c>
      <c r="E217" s="73"/>
      <c r="F217" s="9"/>
      <c r="H217" s="9"/>
      <c r="I217" s="7" t="s">
        <v>650</v>
      </c>
      <c r="J217" s="51" t="s">
        <v>43</v>
      </c>
      <c r="K217" s="26"/>
      <c r="L217" s="14">
        <v>107.04</v>
      </c>
      <c r="M217" s="10"/>
      <c r="N217" s="10"/>
      <c r="O217" s="10"/>
      <c r="P217" s="10"/>
      <c r="Q217" s="10"/>
      <c r="R217" s="10"/>
      <c r="S217" s="10">
        <v>891.96</v>
      </c>
      <c r="T217" s="10"/>
      <c r="U217" s="10"/>
      <c r="V217" s="10"/>
      <c r="W217" s="10"/>
      <c r="X217" s="10"/>
      <c r="Y217" s="10"/>
      <c r="Z217" s="10"/>
      <c r="AA217" s="34"/>
      <c r="AB217" s="10"/>
      <c r="AC217" s="34">
        <v>999</v>
      </c>
      <c r="AD217" s="10">
        <f t="shared" si="4"/>
        <v>0</v>
      </c>
      <c r="AF217" s="46"/>
    </row>
    <row r="218" spans="1:32" x14ac:dyDescent="0.25">
      <c r="A218" s="7" t="s">
        <v>536</v>
      </c>
      <c r="B218" s="9" t="s">
        <v>652</v>
      </c>
      <c r="C218" s="70">
        <v>44357</v>
      </c>
      <c r="D218" s="70">
        <v>44357</v>
      </c>
      <c r="E218" s="73"/>
      <c r="F218" s="9"/>
      <c r="H218" s="9"/>
      <c r="I218" s="7" t="s">
        <v>653</v>
      </c>
      <c r="J218" s="51" t="s">
        <v>66</v>
      </c>
      <c r="K218" s="24"/>
      <c r="L218" s="14"/>
      <c r="M218" s="10"/>
      <c r="N218" s="10"/>
      <c r="O218" s="10"/>
      <c r="P218" s="10"/>
      <c r="Q218" s="10">
        <v>12724.23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34"/>
      <c r="AB218" s="10"/>
      <c r="AC218" s="34">
        <v>12724.23</v>
      </c>
      <c r="AD218" s="10">
        <f t="shared" si="4"/>
        <v>0</v>
      </c>
      <c r="AF218" s="46"/>
    </row>
    <row r="219" spans="1:32" x14ac:dyDescent="0.25">
      <c r="A219" s="7" t="s">
        <v>537</v>
      </c>
      <c r="B219" s="9">
        <v>3873928</v>
      </c>
      <c r="C219" s="70">
        <v>44357</v>
      </c>
      <c r="D219" s="70">
        <v>44357</v>
      </c>
      <c r="E219" s="73"/>
      <c r="F219" s="9"/>
      <c r="H219" s="9" t="s">
        <v>98</v>
      </c>
      <c r="I219" s="7" t="s">
        <v>651</v>
      </c>
      <c r="J219" s="51" t="s">
        <v>65</v>
      </c>
      <c r="K219" s="24"/>
      <c r="L219" s="14"/>
      <c r="M219" s="10"/>
      <c r="N219" s="10"/>
      <c r="O219" s="10"/>
      <c r="P219" s="10"/>
      <c r="Q219" s="10"/>
      <c r="R219" s="10"/>
      <c r="S219" s="10"/>
      <c r="T219" s="10">
        <v>8124</v>
      </c>
      <c r="U219" s="10"/>
      <c r="V219" s="10"/>
      <c r="W219" s="10"/>
      <c r="X219" s="10"/>
      <c r="Y219" s="10"/>
      <c r="Z219" s="10"/>
      <c r="AA219" s="34"/>
      <c r="AB219" s="10"/>
      <c r="AC219" s="34">
        <v>8124</v>
      </c>
      <c r="AD219" s="10">
        <f t="shared" si="4"/>
        <v>0</v>
      </c>
      <c r="AF219" s="46"/>
    </row>
    <row r="220" spans="1:32" x14ac:dyDescent="0.25">
      <c r="A220" s="7" t="s">
        <v>538</v>
      </c>
      <c r="B220" s="9">
        <v>3873929</v>
      </c>
      <c r="C220" s="70">
        <v>44358</v>
      </c>
      <c r="D220" s="70">
        <v>44358</v>
      </c>
      <c r="E220" s="73"/>
      <c r="F220" s="9"/>
      <c r="H220" s="9"/>
      <c r="I220" s="7" t="s">
        <v>656</v>
      </c>
      <c r="J220" s="51" t="s">
        <v>140</v>
      </c>
      <c r="K220" s="7"/>
      <c r="L220" s="14"/>
      <c r="M220" s="10"/>
      <c r="N220" s="10"/>
      <c r="O220" s="10"/>
      <c r="P220" s="10"/>
      <c r="Q220" s="10">
        <v>34890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34"/>
      <c r="AB220" s="10"/>
      <c r="AC220" s="34">
        <v>34890</v>
      </c>
      <c r="AD220" s="10">
        <f t="shared" si="4"/>
        <v>0</v>
      </c>
      <c r="AF220" s="46"/>
    </row>
    <row r="221" spans="1:32" x14ac:dyDescent="0.25">
      <c r="A221" s="7" t="s">
        <v>539</v>
      </c>
      <c r="B221" s="9">
        <v>3873930</v>
      </c>
      <c r="C221" s="70">
        <v>44358</v>
      </c>
      <c r="D221" s="70">
        <v>44358</v>
      </c>
      <c r="E221" s="73"/>
      <c r="F221" s="9"/>
      <c r="H221" s="9"/>
      <c r="I221" s="7" t="s">
        <v>657</v>
      </c>
      <c r="J221" s="51" t="s">
        <v>140</v>
      </c>
      <c r="K221" s="7"/>
      <c r="L221" s="14"/>
      <c r="M221" s="10"/>
      <c r="N221" s="10"/>
      <c r="O221" s="10"/>
      <c r="P221" s="10"/>
      <c r="Q221" s="10">
        <v>10623.04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34"/>
      <c r="AB221" s="10"/>
      <c r="AC221" s="34">
        <v>10623.04</v>
      </c>
      <c r="AD221" s="10">
        <f t="shared" si="4"/>
        <v>0</v>
      </c>
      <c r="AF221" s="46"/>
    </row>
    <row r="222" spans="1:32" x14ac:dyDescent="0.25">
      <c r="A222" s="7" t="s">
        <v>540</v>
      </c>
      <c r="B222" s="9">
        <v>3873931</v>
      </c>
      <c r="C222" s="70">
        <v>44361</v>
      </c>
      <c r="D222" s="70">
        <v>44358</v>
      </c>
      <c r="E222" s="73">
        <v>44365</v>
      </c>
      <c r="F222" s="9" t="s">
        <v>667</v>
      </c>
      <c r="G222" s="9" t="s">
        <v>214</v>
      </c>
      <c r="H222" s="9"/>
      <c r="I222" s="7" t="s">
        <v>658</v>
      </c>
      <c r="J222" s="51" t="s">
        <v>83</v>
      </c>
      <c r="K222" s="7" t="s">
        <v>116</v>
      </c>
      <c r="L222" s="14">
        <v>324</v>
      </c>
      <c r="M222" s="10">
        <v>2700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34"/>
      <c r="AB222" s="10"/>
      <c r="AC222" s="34">
        <v>3024</v>
      </c>
      <c r="AD222" s="10">
        <f t="shared" si="4"/>
        <v>0</v>
      </c>
      <c r="AF222" s="46"/>
    </row>
    <row r="223" spans="1:32" x14ac:dyDescent="0.25">
      <c r="A223" s="7" t="s">
        <v>541</v>
      </c>
      <c r="B223" s="9">
        <v>3873932</v>
      </c>
      <c r="C223" s="70">
        <v>44361</v>
      </c>
      <c r="D223" s="70">
        <v>44358</v>
      </c>
      <c r="E223" s="73">
        <v>44363</v>
      </c>
      <c r="F223" s="9" t="s">
        <v>724</v>
      </c>
      <c r="H223" s="9"/>
      <c r="I223" s="7" t="s">
        <v>63</v>
      </c>
      <c r="J223" s="51" t="s">
        <v>109</v>
      </c>
      <c r="K223" s="7"/>
      <c r="L223" s="14">
        <v>15450</v>
      </c>
      <c r="M223" s="10"/>
      <c r="N223" s="10">
        <v>128750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34"/>
      <c r="AB223" s="10"/>
      <c r="AC223" s="34">
        <v>144200</v>
      </c>
      <c r="AD223" s="10">
        <f t="shared" si="4"/>
        <v>0</v>
      </c>
      <c r="AF223" s="46"/>
    </row>
    <row r="224" spans="1:32" x14ac:dyDescent="0.25">
      <c r="A224" s="7" t="s">
        <v>542</v>
      </c>
      <c r="B224" s="9">
        <v>3873933</v>
      </c>
      <c r="C224" s="70">
        <v>44362</v>
      </c>
      <c r="D224" s="70">
        <v>44362</v>
      </c>
      <c r="E224" s="73">
        <v>44365</v>
      </c>
      <c r="F224" s="9" t="s">
        <v>674</v>
      </c>
      <c r="H224" s="9"/>
      <c r="I224" s="7" t="s">
        <v>659</v>
      </c>
      <c r="J224" s="53" t="s">
        <v>127</v>
      </c>
      <c r="K224" s="42"/>
      <c r="L224" s="14">
        <v>528</v>
      </c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34">
        <v>4400</v>
      </c>
      <c r="AB224" s="10"/>
      <c r="AC224" s="34">
        <v>4928</v>
      </c>
      <c r="AD224" s="10">
        <f t="shared" si="4"/>
        <v>0</v>
      </c>
      <c r="AF224" s="46"/>
    </row>
    <row r="225" spans="1:32" x14ac:dyDescent="0.25">
      <c r="A225" s="7" t="s">
        <v>543</v>
      </c>
      <c r="B225" s="9">
        <v>3873934</v>
      </c>
      <c r="C225" s="70">
        <v>44362</v>
      </c>
      <c r="D225" s="70">
        <v>44362</v>
      </c>
      <c r="E225" s="73"/>
      <c r="F225" s="45"/>
      <c r="H225" s="9"/>
      <c r="I225" s="7" t="s">
        <v>660</v>
      </c>
      <c r="J225" s="51" t="s">
        <v>44</v>
      </c>
      <c r="K225" s="7"/>
      <c r="L225" s="14">
        <v>539.04999999999995</v>
      </c>
      <c r="M225" s="34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>
        <v>4492.04</v>
      </c>
      <c r="Y225" s="10"/>
      <c r="Z225" s="10"/>
      <c r="AA225" s="34"/>
      <c r="AB225" s="10"/>
      <c r="AC225" s="34">
        <v>5031.09</v>
      </c>
      <c r="AD225" s="10">
        <f t="shared" si="4"/>
        <v>0</v>
      </c>
      <c r="AF225" s="46"/>
    </row>
    <row r="226" spans="1:32" x14ac:dyDescent="0.25">
      <c r="A226" s="7" t="s">
        <v>544</v>
      </c>
      <c r="B226" s="9">
        <v>3873935</v>
      </c>
      <c r="C226" s="70">
        <v>44362</v>
      </c>
      <c r="D226" s="70">
        <v>44362</v>
      </c>
      <c r="E226" s="73"/>
      <c r="F226" s="9"/>
      <c r="H226" s="9" t="s">
        <v>99</v>
      </c>
      <c r="I226" s="7" t="s">
        <v>114</v>
      </c>
      <c r="J226" s="51" t="s">
        <v>65</v>
      </c>
      <c r="K226" s="7"/>
      <c r="L226" s="14"/>
      <c r="M226" s="34"/>
      <c r="N226" s="10"/>
      <c r="O226" s="10"/>
      <c r="P226" s="10"/>
      <c r="Q226" s="10"/>
      <c r="R226" s="10"/>
      <c r="S226" s="10"/>
      <c r="T226" s="10">
        <v>10670.83</v>
      </c>
      <c r="U226" s="10"/>
      <c r="V226" s="10"/>
      <c r="W226" s="10"/>
      <c r="X226" s="10"/>
      <c r="Y226" s="10"/>
      <c r="Z226" s="10"/>
      <c r="AA226" s="34"/>
      <c r="AB226" s="10"/>
      <c r="AC226" s="34">
        <v>10670.83</v>
      </c>
      <c r="AD226" s="10">
        <f t="shared" si="4"/>
        <v>0</v>
      </c>
      <c r="AF226" s="46"/>
    </row>
    <row r="227" spans="1:32" x14ac:dyDescent="0.25">
      <c r="A227" s="7" t="s">
        <v>545</v>
      </c>
      <c r="B227" s="9">
        <v>3873936</v>
      </c>
      <c r="C227" s="70">
        <v>44362</v>
      </c>
      <c r="D227" s="70">
        <v>44362</v>
      </c>
      <c r="E227" s="73">
        <v>44365</v>
      </c>
      <c r="F227" s="9" t="s">
        <v>666</v>
      </c>
      <c r="H227" s="9"/>
      <c r="I227" s="7" t="s">
        <v>661</v>
      </c>
      <c r="J227" s="51" t="s">
        <v>65</v>
      </c>
      <c r="K227" s="7"/>
      <c r="L227" s="14">
        <v>857.14</v>
      </c>
      <c r="M227" s="34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34">
        <v>7142.86</v>
      </c>
      <c r="AB227" s="10"/>
      <c r="AC227" s="34">
        <v>8000</v>
      </c>
      <c r="AD227" s="10">
        <f t="shared" si="4"/>
        <v>0</v>
      </c>
      <c r="AF227" s="46"/>
    </row>
    <row r="228" spans="1:32" x14ac:dyDescent="0.25">
      <c r="A228" s="7" t="s">
        <v>546</v>
      </c>
      <c r="B228" s="9">
        <v>3873937</v>
      </c>
      <c r="C228" s="70">
        <v>44372</v>
      </c>
      <c r="D228" s="70">
        <v>44372</v>
      </c>
      <c r="E228" s="73"/>
      <c r="F228" s="9"/>
      <c r="H228" s="9"/>
      <c r="I228" s="7" t="s">
        <v>117</v>
      </c>
      <c r="J228" s="51" t="s">
        <v>30</v>
      </c>
      <c r="K228" s="7"/>
      <c r="L228" s="14"/>
      <c r="M228" s="34">
        <v>60000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34"/>
      <c r="AB228" s="10"/>
      <c r="AC228" s="34">
        <v>60000</v>
      </c>
      <c r="AD228" s="10">
        <f t="shared" si="4"/>
        <v>0</v>
      </c>
      <c r="AF228" s="46"/>
    </row>
    <row r="229" spans="1:32" x14ac:dyDescent="0.25">
      <c r="A229" s="7" t="s">
        <v>547</v>
      </c>
      <c r="B229" s="9" t="s">
        <v>662</v>
      </c>
      <c r="C229" s="70">
        <v>44362</v>
      </c>
      <c r="D229" s="70">
        <v>44362</v>
      </c>
      <c r="E229" s="73"/>
      <c r="F229" s="9"/>
      <c r="H229" s="9"/>
      <c r="I229" s="7" t="s">
        <v>494</v>
      </c>
      <c r="J229" s="51" t="s">
        <v>39</v>
      </c>
      <c r="K229" s="7"/>
      <c r="L229" s="14"/>
      <c r="M229" s="34"/>
      <c r="N229" s="10"/>
      <c r="O229" s="10"/>
      <c r="P229" s="10"/>
      <c r="Q229" s="10"/>
      <c r="R229" s="10"/>
      <c r="S229" s="10"/>
      <c r="T229" s="10"/>
      <c r="U229" s="10"/>
      <c r="V229" s="10"/>
      <c r="W229" s="10">
        <v>110000</v>
      </c>
      <c r="X229" s="10"/>
      <c r="Y229" s="10"/>
      <c r="Z229" s="10"/>
      <c r="AA229" s="34"/>
      <c r="AB229" s="10"/>
      <c r="AC229" s="34">
        <v>110000</v>
      </c>
      <c r="AD229" s="10">
        <f t="shared" si="4"/>
        <v>0</v>
      </c>
      <c r="AF229" s="46"/>
    </row>
    <row r="230" spans="1:32" x14ac:dyDescent="0.25">
      <c r="A230" s="7" t="s">
        <v>548</v>
      </c>
      <c r="B230" s="9" t="s">
        <v>663</v>
      </c>
      <c r="C230" s="70">
        <v>44362</v>
      </c>
      <c r="D230" s="70">
        <v>44362</v>
      </c>
      <c r="E230" s="73"/>
      <c r="F230" s="9"/>
      <c r="H230" s="9"/>
      <c r="I230" s="7" t="s">
        <v>82</v>
      </c>
      <c r="J230" s="51" t="s">
        <v>54</v>
      </c>
      <c r="K230" s="7"/>
      <c r="L230" s="14"/>
      <c r="M230" s="34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>
        <v>350000</v>
      </c>
      <c r="AA230" s="34"/>
      <c r="AB230" s="10"/>
      <c r="AC230" s="34">
        <v>350000</v>
      </c>
      <c r="AD230" s="10">
        <f t="shared" si="4"/>
        <v>0</v>
      </c>
      <c r="AF230" s="46"/>
    </row>
    <row r="231" spans="1:32" x14ac:dyDescent="0.25">
      <c r="A231" s="7" t="s">
        <v>549</v>
      </c>
      <c r="B231" s="9">
        <v>3873938</v>
      </c>
      <c r="C231" s="70">
        <v>44362</v>
      </c>
      <c r="D231" s="70">
        <v>44362</v>
      </c>
      <c r="E231" s="73"/>
      <c r="F231" s="9"/>
      <c r="H231" s="9"/>
      <c r="I231" s="7" t="s">
        <v>664</v>
      </c>
      <c r="J231" s="54" t="s">
        <v>46</v>
      </c>
      <c r="K231" s="10"/>
      <c r="L231" s="10">
        <v>107.04</v>
      </c>
      <c r="M231" s="10"/>
      <c r="N231" s="10"/>
      <c r="O231" s="10"/>
      <c r="P231" s="10"/>
      <c r="Q231" s="10"/>
      <c r="R231" s="10"/>
      <c r="S231" s="10">
        <v>891.96</v>
      </c>
      <c r="T231" s="10"/>
      <c r="U231" s="10"/>
      <c r="V231" s="10"/>
      <c r="W231" s="10"/>
      <c r="X231" s="10"/>
      <c r="Y231" s="10"/>
      <c r="Z231" s="10"/>
      <c r="AA231" s="34"/>
      <c r="AB231" s="10"/>
      <c r="AC231" s="34">
        <v>999</v>
      </c>
      <c r="AD231" s="10">
        <f t="shared" si="4"/>
        <v>0</v>
      </c>
      <c r="AF231" s="46"/>
    </row>
    <row r="232" spans="1:32" x14ac:dyDescent="0.25">
      <c r="A232" s="7" t="s">
        <v>550</v>
      </c>
      <c r="B232" s="9">
        <v>3873939</v>
      </c>
      <c r="C232" s="70">
        <v>44362</v>
      </c>
      <c r="D232" s="70">
        <v>44362</v>
      </c>
      <c r="E232" s="73"/>
      <c r="F232" s="48"/>
      <c r="H232" s="9"/>
      <c r="I232" s="7" t="s">
        <v>664</v>
      </c>
      <c r="J232" s="54" t="s">
        <v>46</v>
      </c>
      <c r="K232" s="7"/>
      <c r="L232" s="14">
        <v>192.75</v>
      </c>
      <c r="M232" s="34"/>
      <c r="N232" s="10"/>
      <c r="O232" s="10"/>
      <c r="P232" s="10"/>
      <c r="Q232" s="10"/>
      <c r="R232" s="10"/>
      <c r="S232" s="10">
        <v>1606.25</v>
      </c>
      <c r="T232" s="10"/>
      <c r="U232" s="10"/>
      <c r="V232" s="10"/>
      <c r="W232" s="10"/>
      <c r="X232" s="10"/>
      <c r="Y232" s="10"/>
      <c r="Z232" s="10"/>
      <c r="AA232" s="34"/>
      <c r="AB232" s="10"/>
      <c r="AC232" s="34">
        <v>1799</v>
      </c>
      <c r="AD232" s="10">
        <f t="shared" si="4"/>
        <v>0</v>
      </c>
      <c r="AF232" s="46"/>
    </row>
    <row r="233" spans="1:32" x14ac:dyDescent="0.25">
      <c r="A233" s="7" t="s">
        <v>551</v>
      </c>
      <c r="B233" s="9">
        <v>3873940</v>
      </c>
      <c r="C233" s="70">
        <v>44368</v>
      </c>
      <c r="D233" s="70">
        <v>44368</v>
      </c>
      <c r="E233" s="73"/>
      <c r="F233" s="9"/>
      <c r="H233" s="9"/>
      <c r="I233" s="7" t="s">
        <v>660</v>
      </c>
      <c r="J233" s="54" t="s">
        <v>46</v>
      </c>
      <c r="K233" s="10"/>
      <c r="L233" s="10">
        <v>107.04</v>
      </c>
      <c r="M233" s="10"/>
      <c r="N233" s="10"/>
      <c r="O233" s="10"/>
      <c r="P233" s="10"/>
      <c r="Q233" s="10"/>
      <c r="R233" s="10"/>
      <c r="S233" s="10">
        <v>891.96</v>
      </c>
      <c r="T233" s="10"/>
      <c r="U233" s="10"/>
      <c r="V233" s="10"/>
      <c r="W233" s="10"/>
      <c r="X233" s="10"/>
      <c r="Y233" s="10"/>
      <c r="Z233" s="10"/>
      <c r="AA233" s="34"/>
      <c r="AB233" s="10"/>
      <c r="AC233" s="34">
        <v>999</v>
      </c>
      <c r="AD233" s="10">
        <f t="shared" si="4"/>
        <v>0</v>
      </c>
      <c r="AF233" s="46"/>
    </row>
    <row r="234" spans="1:32" x14ac:dyDescent="0.25">
      <c r="A234" s="7" t="s">
        <v>552</v>
      </c>
      <c r="B234" s="9">
        <v>3873941</v>
      </c>
      <c r="C234" s="70">
        <v>44368</v>
      </c>
      <c r="D234" s="70">
        <v>44368</v>
      </c>
      <c r="E234" s="45"/>
      <c r="F234" s="45"/>
      <c r="G234" s="45"/>
      <c r="H234" s="45"/>
      <c r="I234" s="7" t="s">
        <v>660</v>
      </c>
      <c r="J234" s="54" t="s">
        <v>46</v>
      </c>
      <c r="K234" s="10"/>
      <c r="L234" s="10">
        <v>107.04</v>
      </c>
      <c r="M234" s="10"/>
      <c r="N234" s="10"/>
      <c r="O234" s="10"/>
      <c r="P234" s="10"/>
      <c r="Q234" s="10"/>
      <c r="R234" s="10"/>
      <c r="S234" s="10">
        <v>891.96</v>
      </c>
      <c r="T234" s="10"/>
      <c r="U234" s="10"/>
      <c r="V234" s="10"/>
      <c r="W234" s="10"/>
      <c r="X234" s="10"/>
      <c r="Y234" s="10"/>
      <c r="Z234" s="10"/>
      <c r="AA234" s="34"/>
      <c r="AB234" s="10"/>
      <c r="AC234" s="34">
        <v>999</v>
      </c>
      <c r="AD234" s="10">
        <f t="shared" si="4"/>
        <v>0</v>
      </c>
      <c r="AF234" s="46"/>
    </row>
    <row r="235" spans="1:32" x14ac:dyDescent="0.25">
      <c r="A235" s="7" t="s">
        <v>553</v>
      </c>
      <c r="B235" s="9">
        <v>3873942</v>
      </c>
      <c r="C235" s="70">
        <v>44368</v>
      </c>
      <c r="D235" s="70">
        <v>44368</v>
      </c>
      <c r="E235" s="73"/>
      <c r="F235" s="9"/>
      <c r="H235" s="9"/>
      <c r="I235" s="7" t="s">
        <v>668</v>
      </c>
      <c r="J235" s="51" t="s">
        <v>43</v>
      </c>
      <c r="K235" s="7"/>
      <c r="L235" s="14">
        <v>209.66</v>
      </c>
      <c r="M235" s="10"/>
      <c r="N235" s="10"/>
      <c r="O235" s="10"/>
      <c r="P235" s="10"/>
      <c r="Q235" s="10"/>
      <c r="R235" s="10"/>
      <c r="S235" s="10">
        <v>1747.18</v>
      </c>
      <c r="T235" s="10"/>
      <c r="U235" s="10"/>
      <c r="V235" s="10"/>
      <c r="W235" s="10"/>
      <c r="X235" s="10"/>
      <c r="Y235" s="10"/>
      <c r="Z235" s="10"/>
      <c r="AA235" s="34"/>
      <c r="AB235" s="10"/>
      <c r="AC235" s="34">
        <v>1956.84</v>
      </c>
      <c r="AD235" s="10">
        <f t="shared" si="4"/>
        <v>0</v>
      </c>
      <c r="AF235" s="46"/>
    </row>
    <row r="236" spans="1:32" x14ac:dyDescent="0.25">
      <c r="A236" s="7" t="s">
        <v>554</v>
      </c>
      <c r="B236" s="9">
        <v>3873943</v>
      </c>
      <c r="C236" s="70">
        <v>44400</v>
      </c>
      <c r="D236" s="70">
        <v>44368</v>
      </c>
      <c r="E236" s="73">
        <v>44369</v>
      </c>
      <c r="F236" s="9" t="s">
        <v>669</v>
      </c>
      <c r="G236" s="9" t="s">
        <v>219</v>
      </c>
      <c r="H236" s="9"/>
      <c r="I236" s="7" t="s">
        <v>401</v>
      </c>
      <c r="J236" s="51" t="s">
        <v>52</v>
      </c>
      <c r="K236" s="7"/>
      <c r="L236" s="10">
        <v>2365.1799999999998</v>
      </c>
      <c r="M236" s="10">
        <v>19709.82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34"/>
      <c r="AB236" s="10"/>
      <c r="AC236" s="34">
        <v>22075</v>
      </c>
      <c r="AD236" s="10">
        <f t="shared" si="4"/>
        <v>0</v>
      </c>
      <c r="AF236" s="46"/>
    </row>
    <row r="237" spans="1:32" x14ac:dyDescent="0.25">
      <c r="A237" s="7" t="s">
        <v>555</v>
      </c>
      <c r="B237" s="9" t="s">
        <v>670</v>
      </c>
      <c r="C237" s="70">
        <v>44368</v>
      </c>
      <c r="D237" s="70">
        <v>44368</v>
      </c>
      <c r="E237" s="73">
        <v>44377</v>
      </c>
      <c r="F237" s="9" t="s">
        <v>689</v>
      </c>
      <c r="G237" s="9" t="s">
        <v>218</v>
      </c>
      <c r="H237" s="9"/>
      <c r="I237" s="7" t="s">
        <v>671</v>
      </c>
      <c r="J237" s="51" t="s">
        <v>136</v>
      </c>
      <c r="K237" s="26"/>
      <c r="L237" s="14">
        <v>2335.71</v>
      </c>
      <c r="M237" s="10">
        <v>19464.29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34"/>
      <c r="AB237" s="10"/>
      <c r="AC237" s="34">
        <v>21800</v>
      </c>
      <c r="AD237" s="10">
        <f t="shared" si="4"/>
        <v>0</v>
      </c>
      <c r="AF237" s="46"/>
    </row>
    <row r="238" spans="1:32" x14ac:dyDescent="0.25">
      <c r="A238" s="7" t="s">
        <v>556</v>
      </c>
      <c r="B238" s="9" t="s">
        <v>675</v>
      </c>
      <c r="C238" s="70">
        <v>44368</v>
      </c>
      <c r="D238" s="70">
        <v>44368</v>
      </c>
      <c r="E238" s="73"/>
      <c r="F238" s="9"/>
      <c r="H238" s="9"/>
      <c r="I238" s="7" t="s">
        <v>676</v>
      </c>
      <c r="J238" s="53" t="s">
        <v>66</v>
      </c>
      <c r="K238" s="7"/>
      <c r="L238" s="14"/>
      <c r="M238" s="10"/>
      <c r="N238" s="10"/>
      <c r="O238" s="10"/>
      <c r="P238" s="10"/>
      <c r="Q238" s="10">
        <v>62630.33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34"/>
      <c r="AB238" s="10"/>
      <c r="AC238" s="34">
        <v>62630.33</v>
      </c>
      <c r="AD238" s="10">
        <f t="shared" si="4"/>
        <v>0</v>
      </c>
      <c r="AF238" s="46"/>
    </row>
    <row r="239" spans="1:32" x14ac:dyDescent="0.25">
      <c r="A239" s="7" t="s">
        <v>557</v>
      </c>
      <c r="B239" s="9">
        <v>3873944</v>
      </c>
      <c r="C239" s="70">
        <v>44368</v>
      </c>
      <c r="D239" s="70">
        <v>44368</v>
      </c>
      <c r="E239" s="73"/>
      <c r="F239" s="9"/>
      <c r="H239" s="9"/>
      <c r="I239" s="7" t="s">
        <v>672</v>
      </c>
      <c r="J239" s="51" t="s">
        <v>46</v>
      </c>
      <c r="K239" s="7"/>
      <c r="L239" s="14">
        <v>1092.32</v>
      </c>
      <c r="M239" s="10"/>
      <c r="N239" s="10"/>
      <c r="O239" s="10"/>
      <c r="P239" s="10"/>
      <c r="Q239" s="10"/>
      <c r="R239" s="10"/>
      <c r="S239" s="10">
        <v>9102.65</v>
      </c>
      <c r="T239" s="10"/>
      <c r="U239" s="10"/>
      <c r="V239" s="10"/>
      <c r="W239" s="10"/>
      <c r="X239" s="10"/>
      <c r="Y239" s="10"/>
      <c r="Z239" s="10"/>
      <c r="AA239" s="34"/>
      <c r="AB239" s="10"/>
      <c r="AC239" s="34">
        <v>10194.969999999999</v>
      </c>
      <c r="AD239" s="10">
        <f t="shared" si="4"/>
        <v>0</v>
      </c>
      <c r="AF239" s="46"/>
    </row>
    <row r="240" spans="1:32" x14ac:dyDescent="0.25">
      <c r="A240" s="7" t="s">
        <v>558</v>
      </c>
      <c r="B240" s="9" t="s">
        <v>673</v>
      </c>
      <c r="C240" s="88">
        <v>44368</v>
      </c>
      <c r="D240" s="70">
        <v>44368</v>
      </c>
      <c r="E240" s="73"/>
      <c r="F240" s="9"/>
      <c r="H240" s="9"/>
      <c r="I240" s="7" t="s">
        <v>64</v>
      </c>
      <c r="J240" s="51" t="s">
        <v>432</v>
      </c>
      <c r="K240" s="26"/>
      <c r="L240" s="10"/>
      <c r="M240" s="10"/>
      <c r="N240" s="10"/>
      <c r="O240" s="10"/>
      <c r="P240" s="10">
        <v>21000</v>
      </c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33"/>
      <c r="AB240" s="10"/>
      <c r="AC240" s="33">
        <v>21000</v>
      </c>
      <c r="AD240" s="10">
        <f t="shared" si="4"/>
        <v>0</v>
      </c>
      <c r="AE240" s="82"/>
      <c r="AF240" s="46"/>
    </row>
    <row r="241" spans="1:32" x14ac:dyDescent="0.25">
      <c r="A241" s="7" t="s">
        <v>559</v>
      </c>
      <c r="B241" s="9">
        <v>3873945</v>
      </c>
      <c r="C241" s="70">
        <v>44372</v>
      </c>
      <c r="D241" s="70">
        <v>44372</v>
      </c>
      <c r="E241" s="73">
        <v>44372</v>
      </c>
      <c r="F241" s="9" t="s">
        <v>678</v>
      </c>
      <c r="G241" s="9" t="s">
        <v>220</v>
      </c>
      <c r="H241" s="9"/>
      <c r="I241" s="7" t="s">
        <v>677</v>
      </c>
      <c r="J241" s="51" t="s">
        <v>297</v>
      </c>
      <c r="K241" s="7" t="s">
        <v>298</v>
      </c>
      <c r="L241" s="14">
        <v>7264.29</v>
      </c>
      <c r="M241" s="10">
        <v>60535.71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34"/>
      <c r="AB241" s="10"/>
      <c r="AC241" s="34">
        <v>67800</v>
      </c>
      <c r="AD241" s="10">
        <f t="shared" si="4"/>
        <v>0</v>
      </c>
      <c r="AF241" s="46"/>
    </row>
    <row r="242" spans="1:32" x14ac:dyDescent="0.25">
      <c r="A242" s="7" t="s">
        <v>560</v>
      </c>
      <c r="B242" s="9">
        <v>3873946</v>
      </c>
      <c r="C242" s="70">
        <v>44372</v>
      </c>
      <c r="D242" s="70">
        <v>44372</v>
      </c>
      <c r="E242" s="58">
        <v>44375</v>
      </c>
      <c r="F242" s="48" t="s">
        <v>680</v>
      </c>
      <c r="G242" s="9" t="s">
        <v>234</v>
      </c>
      <c r="H242" s="45"/>
      <c r="I242" s="7" t="s">
        <v>679</v>
      </c>
      <c r="J242" s="51" t="s">
        <v>121</v>
      </c>
      <c r="K242" s="7" t="s">
        <v>122</v>
      </c>
      <c r="L242" s="89">
        <v>5239.29</v>
      </c>
      <c r="M242" s="89">
        <v>43660.71</v>
      </c>
      <c r="N242" s="45"/>
      <c r="O242" s="45"/>
      <c r="P242" s="45"/>
      <c r="Q242" s="45"/>
      <c r="R242" s="10"/>
      <c r="S242" s="10"/>
      <c r="T242" s="10"/>
      <c r="U242" s="10"/>
      <c r="V242" s="10"/>
      <c r="W242" s="10"/>
      <c r="X242" s="10"/>
      <c r="Y242" s="10"/>
      <c r="Z242" s="10"/>
      <c r="AA242" s="34"/>
      <c r="AB242" s="10"/>
      <c r="AC242" s="34">
        <v>48900</v>
      </c>
      <c r="AD242" s="10">
        <f t="shared" si="4"/>
        <v>0</v>
      </c>
      <c r="AF242" s="46"/>
    </row>
    <row r="243" spans="1:32" x14ac:dyDescent="0.25">
      <c r="A243" s="7" t="s">
        <v>561</v>
      </c>
      <c r="B243" s="9">
        <v>3873947</v>
      </c>
      <c r="C243" s="70">
        <v>44376</v>
      </c>
      <c r="D243" s="70">
        <v>44376</v>
      </c>
      <c r="E243" s="73"/>
      <c r="F243" s="9"/>
      <c r="H243" s="9"/>
      <c r="I243" s="7" t="s">
        <v>682</v>
      </c>
      <c r="J243" s="51" t="s">
        <v>34</v>
      </c>
      <c r="K243" s="24"/>
      <c r="L243" s="14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34">
        <v>10000</v>
      </c>
      <c r="AB243" s="10"/>
      <c r="AC243" s="34">
        <v>10000</v>
      </c>
      <c r="AD243" s="10">
        <f t="shared" si="4"/>
        <v>0</v>
      </c>
      <c r="AF243" s="46"/>
    </row>
    <row r="244" spans="1:32" x14ac:dyDescent="0.25">
      <c r="A244" s="7" t="s">
        <v>562</v>
      </c>
      <c r="B244" s="9">
        <v>3873948</v>
      </c>
      <c r="C244" s="70">
        <v>44376</v>
      </c>
      <c r="D244" s="70">
        <v>44376</v>
      </c>
      <c r="E244" s="73"/>
      <c r="F244" s="9"/>
      <c r="H244" s="9" t="s">
        <v>100</v>
      </c>
      <c r="I244" s="7" t="s">
        <v>114</v>
      </c>
      <c r="J244" s="51" t="s">
        <v>65</v>
      </c>
      <c r="K244" s="7"/>
      <c r="L244" s="14"/>
      <c r="M244" s="10"/>
      <c r="N244" s="10"/>
      <c r="O244" s="10"/>
      <c r="P244" s="10"/>
      <c r="Q244" s="10"/>
      <c r="R244" s="10"/>
      <c r="S244" s="10"/>
      <c r="T244" s="10">
        <v>10199</v>
      </c>
      <c r="U244" s="10"/>
      <c r="V244" s="10"/>
      <c r="W244" s="10"/>
      <c r="X244" s="10"/>
      <c r="Y244" s="10"/>
      <c r="Z244" s="10"/>
      <c r="AA244" s="34"/>
      <c r="AB244" s="10"/>
      <c r="AC244" s="34">
        <v>10199</v>
      </c>
      <c r="AD244" s="10">
        <f t="shared" si="4"/>
        <v>0</v>
      </c>
      <c r="AF244" s="46"/>
    </row>
    <row r="245" spans="1:32" x14ac:dyDescent="0.25">
      <c r="A245" s="7" t="s">
        <v>563</v>
      </c>
      <c r="B245" s="9">
        <v>3873949</v>
      </c>
      <c r="C245" s="70">
        <v>44413</v>
      </c>
      <c r="D245" s="70">
        <v>44376</v>
      </c>
      <c r="E245" s="73">
        <v>44382</v>
      </c>
      <c r="F245" s="9" t="s">
        <v>690</v>
      </c>
      <c r="G245" s="9" t="s">
        <v>235</v>
      </c>
      <c r="H245" s="9"/>
      <c r="I245" s="7" t="s">
        <v>401</v>
      </c>
      <c r="J245" s="51" t="s">
        <v>52</v>
      </c>
      <c r="K245" s="7"/>
      <c r="L245" s="10">
        <v>2365.1799999999998</v>
      </c>
      <c r="M245" s="10">
        <v>19709.82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34"/>
      <c r="AB245" s="10"/>
      <c r="AC245" s="34">
        <v>22075</v>
      </c>
      <c r="AD245" s="10">
        <f t="shared" si="4"/>
        <v>0</v>
      </c>
      <c r="AF245" s="46"/>
    </row>
    <row r="246" spans="1:32" x14ac:dyDescent="0.25">
      <c r="A246" s="7" t="s">
        <v>564</v>
      </c>
      <c r="B246" s="9" t="s">
        <v>688</v>
      </c>
      <c r="C246" s="70">
        <v>44376</v>
      </c>
      <c r="D246" s="70">
        <v>44376</v>
      </c>
      <c r="E246" s="73"/>
      <c r="F246" s="9"/>
      <c r="H246" s="9"/>
      <c r="I246" s="7" t="s">
        <v>93</v>
      </c>
      <c r="J246" s="51" t="s">
        <v>79</v>
      </c>
      <c r="K246" s="7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>
        <v>20667</v>
      </c>
      <c r="W246" s="10"/>
      <c r="X246" s="10"/>
      <c r="Y246" s="10"/>
      <c r="Z246" s="10"/>
      <c r="AA246" s="34"/>
      <c r="AB246" s="10"/>
      <c r="AC246" s="34">
        <v>20667</v>
      </c>
      <c r="AD246" s="10">
        <f t="shared" si="4"/>
        <v>0</v>
      </c>
      <c r="AF246" s="46"/>
    </row>
    <row r="247" spans="1:32" s="39" customFormat="1" x14ac:dyDescent="0.25">
      <c r="A247" s="20"/>
      <c r="B247" s="19"/>
      <c r="C247" s="72"/>
      <c r="D247" s="72"/>
      <c r="E247" s="77"/>
      <c r="F247" s="19"/>
      <c r="G247" s="19"/>
      <c r="H247" s="19"/>
      <c r="I247" s="20"/>
      <c r="J247" s="20"/>
      <c r="K247" s="20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35"/>
      <c r="AB247" s="22"/>
      <c r="AC247" s="35"/>
      <c r="AD247" s="22"/>
      <c r="AE247" s="20"/>
      <c r="AF247" s="95"/>
    </row>
    <row r="248" spans="1:32" s="39" customFormat="1" x14ac:dyDescent="0.25">
      <c r="A248" s="25">
        <v>44378</v>
      </c>
      <c r="B248" s="19"/>
      <c r="C248" s="72"/>
      <c r="D248" s="72"/>
      <c r="E248" s="77"/>
      <c r="F248" s="19"/>
      <c r="G248" s="19"/>
      <c r="H248" s="19"/>
      <c r="I248" s="20"/>
      <c r="J248" s="20"/>
      <c r="K248" s="20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35"/>
      <c r="AB248" s="22"/>
      <c r="AC248" s="35"/>
      <c r="AD248" s="22"/>
      <c r="AE248" s="20"/>
      <c r="AF248" s="95"/>
    </row>
    <row r="249" spans="1:32" x14ac:dyDescent="0.25">
      <c r="A249" s="7" t="s">
        <v>565</v>
      </c>
      <c r="B249" s="9" t="s">
        <v>683</v>
      </c>
      <c r="C249" s="70">
        <v>44384</v>
      </c>
      <c r="D249" s="70">
        <v>44382</v>
      </c>
      <c r="E249" s="73">
        <v>44390</v>
      </c>
      <c r="F249" s="9" t="s">
        <v>699</v>
      </c>
      <c r="G249" s="9" t="s">
        <v>236</v>
      </c>
      <c r="H249" s="9"/>
      <c r="I249" s="7" t="s">
        <v>684</v>
      </c>
      <c r="J249" s="51" t="s">
        <v>136</v>
      </c>
      <c r="K249" s="26"/>
      <c r="L249" s="10">
        <v>4671.43</v>
      </c>
      <c r="M249" s="10">
        <v>38928.57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34"/>
      <c r="AB249" s="10"/>
      <c r="AC249" s="34">
        <v>43600</v>
      </c>
      <c r="AD249" s="10">
        <f t="shared" si="4"/>
        <v>0</v>
      </c>
      <c r="AF249" s="46"/>
    </row>
    <row r="250" spans="1:32" x14ac:dyDescent="0.25">
      <c r="A250" s="7" t="s">
        <v>566</v>
      </c>
      <c r="B250" s="9" t="s">
        <v>685</v>
      </c>
      <c r="C250" s="70">
        <v>44382</v>
      </c>
      <c r="D250" s="70">
        <v>44382</v>
      </c>
      <c r="E250" s="73"/>
      <c r="F250" s="9"/>
      <c r="H250" s="9" t="s">
        <v>101</v>
      </c>
      <c r="I250" s="7" t="s">
        <v>135</v>
      </c>
      <c r="J250" s="51" t="s">
        <v>39</v>
      </c>
      <c r="K250" s="7"/>
      <c r="L250" s="14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34">
        <v>18811.240000000002</v>
      </c>
      <c r="AB250" s="10"/>
      <c r="AC250" s="34">
        <v>25000</v>
      </c>
      <c r="AD250" s="10">
        <f t="shared" si="4"/>
        <v>6188.7599999999984</v>
      </c>
      <c r="AE250" s="82" t="s">
        <v>700</v>
      </c>
      <c r="AF250" s="46"/>
    </row>
    <row r="251" spans="1:32" x14ac:dyDescent="0.25">
      <c r="A251" s="7" t="s">
        <v>567</v>
      </c>
      <c r="B251" s="9" t="s">
        <v>686</v>
      </c>
      <c r="C251" s="70">
        <v>44382</v>
      </c>
      <c r="D251" s="70">
        <v>44382</v>
      </c>
      <c r="E251" s="73">
        <v>44388</v>
      </c>
      <c r="F251" s="9" t="s">
        <v>711</v>
      </c>
      <c r="H251" s="9" t="s">
        <v>144</v>
      </c>
      <c r="I251" s="7" t="s">
        <v>712</v>
      </c>
      <c r="J251" s="51" t="s">
        <v>709</v>
      </c>
      <c r="K251" s="7" t="s">
        <v>710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34">
        <v>15750</v>
      </c>
      <c r="AB251" s="10"/>
      <c r="AC251" s="34">
        <v>20000</v>
      </c>
      <c r="AD251" s="10">
        <f t="shared" si="4"/>
        <v>4250</v>
      </c>
      <c r="AE251" s="82" t="s">
        <v>708</v>
      </c>
      <c r="AF251" s="46"/>
    </row>
    <row r="252" spans="1:32" x14ac:dyDescent="0.25">
      <c r="A252" s="7" t="s">
        <v>568</v>
      </c>
      <c r="B252" s="9">
        <v>3873951</v>
      </c>
      <c r="C252" s="70">
        <v>44382</v>
      </c>
      <c r="D252" s="70">
        <v>44382</v>
      </c>
      <c r="E252" s="73"/>
      <c r="F252" s="9"/>
      <c r="H252" s="9"/>
      <c r="I252" s="7" t="s">
        <v>687</v>
      </c>
      <c r="J252" s="51" t="s">
        <v>66</v>
      </c>
      <c r="K252" s="24"/>
      <c r="L252" s="10">
        <v>2250</v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34">
        <v>18750</v>
      </c>
      <c r="AB252" s="10"/>
      <c r="AC252" s="34">
        <v>21000</v>
      </c>
      <c r="AD252" s="10">
        <f t="shared" si="4"/>
        <v>0</v>
      </c>
      <c r="AF252" s="46"/>
    </row>
    <row r="253" spans="1:32" x14ac:dyDescent="0.25">
      <c r="A253" s="7" t="s">
        <v>569</v>
      </c>
      <c r="B253" s="9">
        <v>3873952</v>
      </c>
      <c r="C253" s="70">
        <v>44382</v>
      </c>
      <c r="D253" s="70">
        <v>44382</v>
      </c>
      <c r="E253" s="73"/>
      <c r="F253" s="48"/>
      <c r="H253" s="9"/>
      <c r="I253" s="7" t="s">
        <v>118</v>
      </c>
      <c r="J253" s="51" t="s">
        <v>125</v>
      </c>
      <c r="K253" s="7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34">
        <v>5000</v>
      </c>
      <c r="AB253" s="10"/>
      <c r="AC253" s="34">
        <v>5000</v>
      </c>
      <c r="AD253" s="10">
        <f t="shared" si="4"/>
        <v>0</v>
      </c>
      <c r="AF253" s="46"/>
    </row>
    <row r="254" spans="1:32" x14ac:dyDescent="0.25">
      <c r="A254" s="7" t="s">
        <v>570</v>
      </c>
      <c r="B254" s="9" t="s">
        <v>691</v>
      </c>
      <c r="C254" s="70">
        <v>44384</v>
      </c>
      <c r="D254" s="70">
        <v>44384</v>
      </c>
      <c r="E254" s="73"/>
      <c r="F254" s="9"/>
      <c r="H254" s="9"/>
      <c r="I254" s="7" t="s">
        <v>55</v>
      </c>
      <c r="J254" s="51" t="s">
        <v>54</v>
      </c>
      <c r="K254" s="24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>
        <v>200000</v>
      </c>
      <c r="AA254" s="34"/>
      <c r="AB254" s="10"/>
      <c r="AC254" s="34">
        <v>200000</v>
      </c>
      <c r="AD254" s="10">
        <f t="shared" si="4"/>
        <v>0</v>
      </c>
      <c r="AF254" s="46"/>
    </row>
    <row r="255" spans="1:32" x14ac:dyDescent="0.25">
      <c r="A255" s="7" t="s">
        <v>571</v>
      </c>
      <c r="B255" s="9" t="s">
        <v>692</v>
      </c>
      <c r="C255" s="70">
        <v>44384</v>
      </c>
      <c r="D255" s="70">
        <v>44384</v>
      </c>
      <c r="E255" s="73"/>
      <c r="F255" s="9"/>
      <c r="H255" s="9"/>
      <c r="I255" s="7" t="s">
        <v>693</v>
      </c>
      <c r="J255" s="51" t="s">
        <v>694</v>
      </c>
      <c r="K255" s="23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34">
        <v>19718.59</v>
      </c>
      <c r="AB255" s="10"/>
      <c r="AC255" s="34">
        <v>19718.59</v>
      </c>
      <c r="AD255" s="10">
        <f t="shared" si="4"/>
        <v>0</v>
      </c>
      <c r="AF255" s="46"/>
    </row>
    <row r="256" spans="1:32" x14ac:dyDescent="0.25">
      <c r="A256" s="7" t="s">
        <v>572</v>
      </c>
      <c r="B256" s="9" t="s">
        <v>695</v>
      </c>
      <c r="C256" s="70">
        <v>44389</v>
      </c>
      <c r="D256" s="70">
        <v>44384</v>
      </c>
      <c r="E256" s="73"/>
      <c r="F256" s="9"/>
      <c r="H256" s="9"/>
      <c r="I256" s="7" t="s">
        <v>696</v>
      </c>
      <c r="J256" s="51" t="s">
        <v>39</v>
      </c>
      <c r="K256" s="24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>
        <v>43481.15</v>
      </c>
      <c r="X256" s="10"/>
      <c r="Y256" s="10"/>
      <c r="Z256" s="10"/>
      <c r="AA256" s="34"/>
      <c r="AB256" s="10"/>
      <c r="AC256" s="34">
        <v>43481.15</v>
      </c>
      <c r="AD256" s="10">
        <f t="shared" si="4"/>
        <v>0</v>
      </c>
      <c r="AF256" s="46"/>
    </row>
    <row r="257" spans="1:32" x14ac:dyDescent="0.25">
      <c r="A257" s="7" t="s">
        <v>573</v>
      </c>
      <c r="B257" s="9">
        <v>3873952</v>
      </c>
      <c r="C257" s="70">
        <v>44384</v>
      </c>
      <c r="D257" s="70">
        <v>44384</v>
      </c>
      <c r="E257" s="73"/>
      <c r="F257" s="9"/>
      <c r="H257" s="9"/>
      <c r="I257" s="7" t="s">
        <v>697</v>
      </c>
      <c r="J257" s="51" t="s">
        <v>18</v>
      </c>
      <c r="K257" s="7"/>
      <c r="L257" s="10">
        <v>151.09</v>
      </c>
      <c r="M257" s="10"/>
      <c r="N257" s="10"/>
      <c r="O257" s="10"/>
      <c r="P257" s="10"/>
      <c r="Q257" s="10"/>
      <c r="R257" s="10">
        <v>1259.06</v>
      </c>
      <c r="S257" s="10"/>
      <c r="T257" s="10"/>
      <c r="U257" s="10"/>
      <c r="V257" s="10"/>
      <c r="W257" s="10"/>
      <c r="X257" s="10"/>
      <c r="Y257" s="10"/>
      <c r="Z257" s="10"/>
      <c r="AA257" s="33"/>
      <c r="AB257" s="10"/>
      <c r="AC257" s="34">
        <v>1410.15</v>
      </c>
      <c r="AD257" s="10">
        <f t="shared" si="4"/>
        <v>0</v>
      </c>
      <c r="AF257" s="46"/>
    </row>
    <row r="258" spans="1:32" x14ac:dyDescent="0.25">
      <c r="A258" s="7" t="s">
        <v>574</v>
      </c>
      <c r="B258" s="9">
        <v>3873953</v>
      </c>
      <c r="C258" s="70">
        <v>44384</v>
      </c>
      <c r="D258" s="70">
        <v>44384</v>
      </c>
      <c r="E258" s="73"/>
      <c r="F258" s="9"/>
      <c r="H258" s="9"/>
      <c r="I258" s="7" t="s">
        <v>697</v>
      </c>
      <c r="J258" s="51" t="s">
        <v>18</v>
      </c>
      <c r="K258" s="7"/>
      <c r="L258" s="14">
        <v>811.09</v>
      </c>
      <c r="M258" s="10"/>
      <c r="N258" s="10"/>
      <c r="O258" s="10"/>
      <c r="P258" s="10"/>
      <c r="Q258" s="10"/>
      <c r="R258" s="10">
        <v>6759.06</v>
      </c>
      <c r="S258" s="10"/>
      <c r="T258" s="10"/>
      <c r="U258" s="10"/>
      <c r="V258" s="10"/>
      <c r="W258" s="10"/>
      <c r="X258" s="10"/>
      <c r="Y258" s="10"/>
      <c r="Z258" s="10"/>
      <c r="AA258" s="33"/>
      <c r="AB258" s="10"/>
      <c r="AC258" s="34">
        <v>7570.15</v>
      </c>
      <c r="AD258" s="10">
        <f t="shared" si="4"/>
        <v>0</v>
      </c>
      <c r="AF258" s="46"/>
    </row>
    <row r="259" spans="1:32" x14ac:dyDescent="0.25">
      <c r="A259" s="7" t="s">
        <v>575</v>
      </c>
      <c r="B259" s="9">
        <v>3873954</v>
      </c>
      <c r="C259" s="70">
        <v>44414</v>
      </c>
      <c r="D259" s="70">
        <v>44384</v>
      </c>
      <c r="E259" s="73">
        <v>44410</v>
      </c>
      <c r="F259" s="9" t="s">
        <v>726</v>
      </c>
      <c r="G259" s="9" t="s">
        <v>238</v>
      </c>
      <c r="H259" s="9"/>
      <c r="I259" s="7" t="s">
        <v>183</v>
      </c>
      <c r="J259" s="51" t="s">
        <v>83</v>
      </c>
      <c r="K259" s="7" t="s">
        <v>116</v>
      </c>
      <c r="L259" s="10">
        <v>7500</v>
      </c>
      <c r="M259" s="10">
        <v>62500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34"/>
      <c r="AB259" s="10"/>
      <c r="AC259" s="34">
        <v>70000</v>
      </c>
      <c r="AD259" s="10">
        <f t="shared" si="4"/>
        <v>0</v>
      </c>
      <c r="AF259" s="46"/>
    </row>
    <row r="260" spans="1:32" x14ac:dyDescent="0.25">
      <c r="A260" s="7" t="s">
        <v>576</v>
      </c>
      <c r="B260" s="9">
        <v>3873955</v>
      </c>
      <c r="C260" s="70">
        <v>44389</v>
      </c>
      <c r="D260" s="70">
        <v>44389</v>
      </c>
      <c r="E260" s="73"/>
      <c r="F260" s="9"/>
      <c r="H260" s="9"/>
      <c r="I260" s="7" t="s">
        <v>703</v>
      </c>
      <c r="J260" s="51" t="s">
        <v>43</v>
      </c>
      <c r="K260" s="7"/>
      <c r="L260" s="10">
        <v>107.04</v>
      </c>
      <c r="M260" s="10"/>
      <c r="N260" s="10"/>
      <c r="O260" s="10"/>
      <c r="P260" s="10"/>
      <c r="Q260" s="10"/>
      <c r="R260" s="10"/>
      <c r="S260" s="10">
        <v>891.96</v>
      </c>
      <c r="T260" s="10"/>
      <c r="U260" s="10"/>
      <c r="V260" s="10"/>
      <c r="W260" s="10"/>
      <c r="X260" s="10"/>
      <c r="Y260" s="10"/>
      <c r="Z260" s="10"/>
      <c r="AA260" s="34"/>
      <c r="AB260" s="10"/>
      <c r="AC260" s="34">
        <v>999</v>
      </c>
      <c r="AD260" s="10">
        <f t="shared" si="4"/>
        <v>0</v>
      </c>
      <c r="AF260" s="46"/>
    </row>
    <row r="261" spans="1:32" x14ac:dyDescent="0.25">
      <c r="A261" s="7" t="s">
        <v>577</v>
      </c>
      <c r="B261" s="9">
        <v>3873956</v>
      </c>
      <c r="C261" s="70">
        <v>44389</v>
      </c>
      <c r="D261" s="70">
        <v>44389</v>
      </c>
      <c r="E261" s="73"/>
      <c r="F261" s="9"/>
      <c r="H261" s="9"/>
      <c r="I261" s="7" t="s">
        <v>703</v>
      </c>
      <c r="J261" s="51" t="s">
        <v>43</v>
      </c>
      <c r="K261" s="7"/>
      <c r="L261" s="10">
        <v>148.61000000000001</v>
      </c>
      <c r="M261" s="10"/>
      <c r="N261" s="10"/>
      <c r="O261" s="10"/>
      <c r="P261" s="10"/>
      <c r="Q261" s="10"/>
      <c r="R261" s="10"/>
      <c r="S261" s="10">
        <v>1238.3800000000001</v>
      </c>
      <c r="T261" s="10"/>
      <c r="U261" s="10"/>
      <c r="V261" s="10"/>
      <c r="W261" s="10"/>
      <c r="X261" s="10"/>
      <c r="Y261" s="10"/>
      <c r="Z261" s="10"/>
      <c r="AA261" s="34"/>
      <c r="AB261" s="10"/>
      <c r="AC261" s="34">
        <v>1386.99</v>
      </c>
      <c r="AD261" s="10">
        <f t="shared" si="4"/>
        <v>0</v>
      </c>
      <c r="AF261" s="46"/>
    </row>
    <row r="262" spans="1:32" x14ac:dyDescent="0.25">
      <c r="A262" s="7" t="s">
        <v>578</v>
      </c>
      <c r="B262" s="9">
        <v>3873957</v>
      </c>
      <c r="C262" s="47">
        <v>44389</v>
      </c>
      <c r="D262" s="70">
        <v>44389</v>
      </c>
      <c r="E262" s="73"/>
      <c r="F262" s="9"/>
      <c r="H262" s="9" t="s">
        <v>139</v>
      </c>
      <c r="I262" s="7" t="s">
        <v>58</v>
      </c>
      <c r="J262" s="51" t="s">
        <v>65</v>
      </c>
      <c r="K262" s="7"/>
      <c r="L262" s="10"/>
      <c r="M262" s="10"/>
      <c r="N262" s="10"/>
      <c r="O262" s="10"/>
      <c r="P262" s="10"/>
      <c r="Q262" s="10"/>
      <c r="R262" s="10"/>
      <c r="S262" s="10"/>
      <c r="T262" s="10">
        <v>4218</v>
      </c>
      <c r="U262" s="10"/>
      <c r="V262" s="10"/>
      <c r="W262" s="10"/>
      <c r="X262" s="10"/>
      <c r="Y262" s="10"/>
      <c r="Z262" s="10"/>
      <c r="AA262" s="34"/>
      <c r="AB262" s="10"/>
      <c r="AC262" s="34">
        <v>4218</v>
      </c>
      <c r="AD262" s="10">
        <f t="shared" si="4"/>
        <v>0</v>
      </c>
      <c r="AF262" s="46"/>
    </row>
    <row r="263" spans="1:32" x14ac:dyDescent="0.25">
      <c r="A263" s="7" t="s">
        <v>579</v>
      </c>
      <c r="B263" s="9" t="s">
        <v>707</v>
      </c>
      <c r="C263" s="47">
        <v>44389</v>
      </c>
      <c r="D263" s="70">
        <v>44389</v>
      </c>
      <c r="E263" s="73"/>
      <c r="F263" s="9"/>
      <c r="H263" s="9"/>
      <c r="I263" s="7" t="s">
        <v>702</v>
      </c>
      <c r="J263" s="51" t="s">
        <v>66</v>
      </c>
      <c r="K263" s="26"/>
      <c r="L263" s="10"/>
      <c r="M263" s="10"/>
      <c r="N263" s="10"/>
      <c r="O263" s="10"/>
      <c r="P263" s="10"/>
      <c r="Q263" s="10">
        <v>12724.23</v>
      </c>
      <c r="R263" s="10"/>
      <c r="S263" s="10"/>
      <c r="T263" s="10"/>
      <c r="U263" s="10"/>
      <c r="V263" s="10"/>
      <c r="W263" s="10"/>
      <c r="X263" s="10"/>
      <c r="Y263" s="10"/>
      <c r="Z263" s="10"/>
      <c r="AA263" s="34"/>
      <c r="AB263" s="10"/>
      <c r="AC263" s="34">
        <v>12724.23</v>
      </c>
      <c r="AD263" s="10">
        <f t="shared" si="4"/>
        <v>0</v>
      </c>
      <c r="AF263" s="46"/>
    </row>
    <row r="264" spans="1:32" x14ac:dyDescent="0.25">
      <c r="A264" s="7" t="s">
        <v>580</v>
      </c>
      <c r="B264" s="9">
        <v>3873970</v>
      </c>
      <c r="C264" s="47">
        <v>44423</v>
      </c>
      <c r="D264" s="70">
        <v>44391</v>
      </c>
      <c r="E264" s="73"/>
      <c r="F264" s="9"/>
      <c r="H264" s="9"/>
      <c r="I264" s="7" t="s">
        <v>67</v>
      </c>
      <c r="J264" s="51" t="s">
        <v>4</v>
      </c>
      <c r="K264" s="24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34">
        <v>26875</v>
      </c>
      <c r="AB264" s="10"/>
      <c r="AC264" s="34">
        <v>26875</v>
      </c>
      <c r="AD264" s="10">
        <f t="shared" si="4"/>
        <v>0</v>
      </c>
      <c r="AF264" s="46"/>
    </row>
    <row r="265" spans="1:32" x14ac:dyDescent="0.25">
      <c r="A265" s="7" t="s">
        <v>581</v>
      </c>
      <c r="B265" s="9">
        <v>3873959</v>
      </c>
      <c r="C265" s="47">
        <v>44454</v>
      </c>
      <c r="D265" s="70">
        <v>44391</v>
      </c>
      <c r="E265" s="73"/>
      <c r="F265" s="9"/>
      <c r="H265" s="9"/>
      <c r="I265" s="7" t="s">
        <v>68</v>
      </c>
      <c r="J265" s="51" t="s">
        <v>29</v>
      </c>
      <c r="K265" s="23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34">
        <v>26875</v>
      </c>
      <c r="AB265" s="10"/>
      <c r="AC265" s="34">
        <v>26875</v>
      </c>
      <c r="AD265" s="10">
        <f t="shared" si="4"/>
        <v>0</v>
      </c>
      <c r="AF265" s="46"/>
    </row>
    <row r="266" spans="1:32" x14ac:dyDescent="0.25">
      <c r="A266" s="7" t="s">
        <v>582</v>
      </c>
      <c r="B266" s="9">
        <v>3873960</v>
      </c>
      <c r="C266" s="47">
        <v>44484</v>
      </c>
      <c r="D266" s="47">
        <v>44391</v>
      </c>
      <c r="E266" s="73"/>
      <c r="F266" s="9"/>
      <c r="H266" s="9"/>
      <c r="I266" s="7" t="s">
        <v>69</v>
      </c>
      <c r="J266" s="51" t="s">
        <v>29</v>
      </c>
      <c r="K266" s="24"/>
      <c r="L266" s="14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34">
        <v>26875</v>
      </c>
      <c r="AB266" s="10"/>
      <c r="AC266" s="34">
        <v>26875</v>
      </c>
      <c r="AD266" s="10">
        <f t="shared" si="4"/>
        <v>0</v>
      </c>
      <c r="AF266" s="46"/>
    </row>
    <row r="267" spans="1:32" x14ac:dyDescent="0.25">
      <c r="A267" s="7" t="s">
        <v>583</v>
      </c>
      <c r="B267" s="9">
        <v>3873961</v>
      </c>
      <c r="C267" s="47">
        <v>44515</v>
      </c>
      <c r="D267" s="47">
        <v>44391</v>
      </c>
      <c r="E267" s="73"/>
      <c r="F267" s="9"/>
      <c r="H267" s="9"/>
      <c r="I267" s="7" t="s">
        <v>70</v>
      </c>
      <c r="J267" s="51" t="s">
        <v>29</v>
      </c>
      <c r="K267" s="7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34">
        <v>26875</v>
      </c>
      <c r="AB267" s="10"/>
      <c r="AC267" s="34">
        <v>26875</v>
      </c>
      <c r="AD267" s="10">
        <f t="shared" si="4"/>
        <v>0</v>
      </c>
      <c r="AF267" s="46"/>
    </row>
    <row r="268" spans="1:32" x14ac:dyDescent="0.25">
      <c r="A268" s="7" t="s">
        <v>584</v>
      </c>
      <c r="B268" s="9">
        <v>3873962</v>
      </c>
      <c r="C268" s="47">
        <v>44545</v>
      </c>
      <c r="D268" s="47">
        <v>44391</v>
      </c>
      <c r="E268" s="79"/>
      <c r="F268" s="45"/>
      <c r="H268" s="9"/>
      <c r="I268" s="7" t="s">
        <v>71</v>
      </c>
      <c r="J268" s="51" t="s">
        <v>29</v>
      </c>
      <c r="K268" s="7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34">
        <v>26875</v>
      </c>
      <c r="AB268" s="10"/>
      <c r="AC268" s="34">
        <v>26875</v>
      </c>
      <c r="AD268" s="10">
        <f t="shared" si="4"/>
        <v>0</v>
      </c>
      <c r="AF268" s="46"/>
    </row>
    <row r="269" spans="1:32" x14ac:dyDescent="0.25">
      <c r="A269" s="7" t="s">
        <v>585</v>
      </c>
      <c r="B269" s="9">
        <v>3873963</v>
      </c>
      <c r="C269" s="90">
        <v>44576</v>
      </c>
      <c r="D269" s="47">
        <v>44391</v>
      </c>
      <c r="E269" s="73"/>
      <c r="F269" s="9"/>
      <c r="H269" s="9"/>
      <c r="I269" s="7" t="s">
        <v>72</v>
      </c>
      <c r="J269" s="51" t="s">
        <v>29</v>
      </c>
      <c r="K269" s="7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34">
        <v>26875</v>
      </c>
      <c r="AB269" s="10"/>
      <c r="AC269" s="34">
        <v>26875</v>
      </c>
      <c r="AD269" s="10">
        <f t="shared" si="4"/>
        <v>0</v>
      </c>
      <c r="AF269" s="46"/>
    </row>
    <row r="270" spans="1:32" x14ac:dyDescent="0.25">
      <c r="A270" s="7" t="s">
        <v>586</v>
      </c>
      <c r="B270" s="9">
        <v>3873964</v>
      </c>
      <c r="C270" s="90">
        <v>44607</v>
      </c>
      <c r="D270" s="47">
        <v>44391</v>
      </c>
      <c r="E270" s="73"/>
      <c r="F270" s="9"/>
      <c r="H270" s="9"/>
      <c r="I270" s="7" t="s">
        <v>73</v>
      </c>
      <c r="J270" s="51" t="s">
        <v>29</v>
      </c>
      <c r="K270" s="7"/>
      <c r="L270" s="14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34"/>
      <c r="AA270" s="34">
        <v>26875</v>
      </c>
      <c r="AB270" s="10"/>
      <c r="AC270" s="34">
        <v>26875</v>
      </c>
      <c r="AD270" s="10">
        <f t="shared" si="4"/>
        <v>0</v>
      </c>
      <c r="AF270" s="46"/>
    </row>
    <row r="271" spans="1:32" x14ac:dyDescent="0.25">
      <c r="A271" s="7" t="s">
        <v>587</v>
      </c>
      <c r="B271" s="9">
        <v>3873965</v>
      </c>
      <c r="C271" s="90">
        <v>44635</v>
      </c>
      <c r="D271" s="47">
        <v>44391</v>
      </c>
      <c r="E271" s="79"/>
      <c r="F271" s="45"/>
      <c r="G271" s="45"/>
      <c r="H271" s="9"/>
      <c r="I271" s="7" t="s">
        <v>74</v>
      </c>
      <c r="J271" s="51" t="s">
        <v>29</v>
      </c>
      <c r="K271" s="7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34">
        <v>26875</v>
      </c>
      <c r="AB271" s="10"/>
      <c r="AC271" s="34">
        <v>26875</v>
      </c>
      <c r="AD271" s="10">
        <f t="shared" si="4"/>
        <v>0</v>
      </c>
      <c r="AF271" s="46"/>
    </row>
    <row r="272" spans="1:32" x14ac:dyDescent="0.25">
      <c r="A272" s="7" t="s">
        <v>588</v>
      </c>
      <c r="B272" s="9">
        <v>3873966</v>
      </c>
      <c r="C272" s="90">
        <v>44666</v>
      </c>
      <c r="D272" s="47">
        <v>44391</v>
      </c>
      <c r="E272" s="73"/>
      <c r="F272" s="9"/>
      <c r="H272" s="9"/>
      <c r="I272" s="7" t="s">
        <v>75</v>
      </c>
      <c r="J272" s="51" t="s">
        <v>29</v>
      </c>
      <c r="K272" s="7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34">
        <v>26875</v>
      </c>
      <c r="AB272" s="10"/>
      <c r="AC272" s="34">
        <v>26875</v>
      </c>
      <c r="AD272" s="10">
        <f t="shared" si="4"/>
        <v>0</v>
      </c>
      <c r="AF272" s="46"/>
    </row>
    <row r="273" spans="1:32" x14ac:dyDescent="0.25">
      <c r="A273" s="7" t="s">
        <v>589</v>
      </c>
      <c r="B273" s="9">
        <v>3873967</v>
      </c>
      <c r="C273" s="90">
        <v>44696</v>
      </c>
      <c r="D273" s="47">
        <v>44391</v>
      </c>
      <c r="E273" s="73"/>
      <c r="F273" s="9"/>
      <c r="H273" s="9"/>
      <c r="I273" s="7" t="s">
        <v>76</v>
      </c>
      <c r="J273" s="51" t="s">
        <v>29</v>
      </c>
      <c r="K273" s="26"/>
      <c r="L273" s="14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34">
        <v>26875</v>
      </c>
      <c r="AB273" s="10"/>
      <c r="AC273" s="34">
        <v>26875</v>
      </c>
      <c r="AD273" s="10">
        <f t="shared" si="4"/>
        <v>0</v>
      </c>
      <c r="AF273" s="46"/>
    </row>
    <row r="274" spans="1:32" x14ac:dyDescent="0.25">
      <c r="A274" s="7" t="s">
        <v>590</v>
      </c>
      <c r="B274" s="9">
        <v>3873968</v>
      </c>
      <c r="C274" s="90">
        <v>44727</v>
      </c>
      <c r="D274" s="47">
        <v>44391</v>
      </c>
      <c r="E274" s="73"/>
      <c r="F274" s="9"/>
      <c r="H274" s="9"/>
      <c r="I274" s="7" t="s">
        <v>77</v>
      </c>
      <c r="J274" s="51" t="s">
        <v>29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34">
        <v>26875</v>
      </c>
      <c r="AB274" s="10"/>
      <c r="AC274" s="34">
        <v>26875</v>
      </c>
      <c r="AD274" s="10">
        <f t="shared" si="4"/>
        <v>0</v>
      </c>
      <c r="AF274" s="46"/>
    </row>
    <row r="275" spans="1:32" x14ac:dyDescent="0.25">
      <c r="A275" s="7" t="s">
        <v>591</v>
      </c>
      <c r="B275" s="9">
        <v>3873969</v>
      </c>
      <c r="C275" s="90">
        <v>44757</v>
      </c>
      <c r="D275" s="47">
        <v>44391</v>
      </c>
      <c r="E275" s="73"/>
      <c r="F275" s="9"/>
      <c r="H275" s="9"/>
      <c r="I275" s="7" t="s">
        <v>78</v>
      </c>
      <c r="J275" s="7" t="s">
        <v>29</v>
      </c>
      <c r="K275" s="7"/>
      <c r="L275" s="14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34">
        <v>26875</v>
      </c>
      <c r="AB275" s="10"/>
      <c r="AC275" s="34">
        <v>26875</v>
      </c>
      <c r="AD275" s="10">
        <f t="shared" si="4"/>
        <v>0</v>
      </c>
      <c r="AF275" s="46"/>
    </row>
    <row r="276" spans="1:32" x14ac:dyDescent="0.25">
      <c r="A276" s="7" t="s">
        <v>592</v>
      </c>
      <c r="B276" s="9">
        <v>3873971</v>
      </c>
      <c r="C276" s="47">
        <v>44391</v>
      </c>
      <c r="D276" s="70">
        <v>44391</v>
      </c>
      <c r="E276" s="73"/>
      <c r="F276" s="9"/>
      <c r="H276" s="9"/>
      <c r="I276" s="7" t="s">
        <v>705</v>
      </c>
      <c r="J276" s="51" t="s">
        <v>140</v>
      </c>
      <c r="K276" s="7"/>
      <c r="L276" s="14"/>
      <c r="M276" s="10"/>
      <c r="N276" s="10"/>
      <c r="O276" s="10"/>
      <c r="P276" s="10"/>
      <c r="Q276" s="10">
        <v>36470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34"/>
      <c r="AB276" s="10"/>
      <c r="AC276" s="34">
        <v>36470</v>
      </c>
      <c r="AD276" s="10">
        <f t="shared" ref="AD276:AD341" si="5">SUM(AB276:AC276)-SUM(L276:AA276)</f>
        <v>0</v>
      </c>
      <c r="AF276" s="46"/>
    </row>
    <row r="277" spans="1:32" x14ac:dyDescent="0.25">
      <c r="A277" s="7" t="s">
        <v>593</v>
      </c>
      <c r="B277" s="9">
        <v>3873972</v>
      </c>
      <c r="C277" s="47">
        <v>44391</v>
      </c>
      <c r="D277" s="70">
        <v>44391</v>
      </c>
      <c r="E277" s="73"/>
      <c r="F277" s="9"/>
      <c r="H277" s="9"/>
      <c r="I277" s="7" t="s">
        <v>706</v>
      </c>
      <c r="J277" s="51" t="s">
        <v>140</v>
      </c>
      <c r="K277" s="24"/>
      <c r="L277" s="10"/>
      <c r="M277" s="10"/>
      <c r="N277" s="10"/>
      <c r="O277" s="10"/>
      <c r="P277" s="10"/>
      <c r="Q277" s="10">
        <v>10623.04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34"/>
      <c r="AB277" s="10"/>
      <c r="AC277" s="34">
        <v>10623.04</v>
      </c>
      <c r="AD277" s="10">
        <f t="shared" si="5"/>
        <v>0</v>
      </c>
      <c r="AF277" s="46"/>
    </row>
    <row r="278" spans="1:32" x14ac:dyDescent="0.25">
      <c r="A278" s="7" t="s">
        <v>594</v>
      </c>
      <c r="B278" s="9">
        <v>3873973</v>
      </c>
      <c r="C278" s="47">
        <v>44392</v>
      </c>
      <c r="D278" s="70">
        <v>44392</v>
      </c>
      <c r="E278" s="73"/>
      <c r="F278" s="9"/>
      <c r="H278" s="9"/>
      <c r="I278" s="7" t="s">
        <v>701</v>
      </c>
      <c r="J278" s="51" t="s">
        <v>44</v>
      </c>
      <c r="K278" s="26"/>
      <c r="L278" s="10">
        <v>527.91999999999996</v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>
        <v>4399.3100000000004</v>
      </c>
      <c r="Y278" s="10"/>
      <c r="Z278" s="10"/>
      <c r="AA278" s="34"/>
      <c r="AB278" s="10"/>
      <c r="AC278" s="34">
        <v>4927.2299999999996</v>
      </c>
      <c r="AD278" s="10">
        <f t="shared" si="5"/>
        <v>0</v>
      </c>
      <c r="AF278" s="46"/>
    </row>
    <row r="279" spans="1:32" x14ac:dyDescent="0.25">
      <c r="A279" s="7" t="s">
        <v>595</v>
      </c>
      <c r="B279" s="9">
        <v>3873974</v>
      </c>
      <c r="C279" s="73">
        <v>44398</v>
      </c>
      <c r="D279" s="70">
        <v>44398</v>
      </c>
      <c r="E279" s="73"/>
      <c r="F279" s="9"/>
      <c r="H279" s="9"/>
      <c r="I279" s="7" t="s">
        <v>718</v>
      </c>
      <c r="J279" s="51" t="s">
        <v>46</v>
      </c>
      <c r="K279" s="7"/>
      <c r="L279" s="10">
        <v>107.04</v>
      </c>
      <c r="M279" s="10"/>
      <c r="N279" s="10"/>
      <c r="O279" s="10"/>
      <c r="P279" s="10"/>
      <c r="Q279" s="10"/>
      <c r="R279" s="10"/>
      <c r="S279" s="10">
        <v>891.96</v>
      </c>
      <c r="T279" s="10"/>
      <c r="U279" s="10"/>
      <c r="V279" s="10"/>
      <c r="W279" s="10"/>
      <c r="X279" s="10"/>
      <c r="Y279" s="10"/>
      <c r="Z279" s="10"/>
      <c r="AA279" s="34"/>
      <c r="AB279" s="10"/>
      <c r="AC279" s="34">
        <v>999</v>
      </c>
      <c r="AD279" s="10">
        <f t="shared" si="5"/>
        <v>0</v>
      </c>
      <c r="AF279" s="46"/>
    </row>
    <row r="280" spans="1:32" x14ac:dyDescent="0.25">
      <c r="A280" s="7" t="s">
        <v>596</v>
      </c>
      <c r="B280" s="9">
        <v>3873975</v>
      </c>
      <c r="C280" s="73">
        <v>44398</v>
      </c>
      <c r="D280" s="70">
        <v>44398</v>
      </c>
      <c r="E280" s="73"/>
      <c r="F280" s="9"/>
      <c r="H280" s="9"/>
      <c r="I280" s="7" t="s">
        <v>701</v>
      </c>
      <c r="J280" s="51" t="s">
        <v>46</v>
      </c>
      <c r="K280" s="7"/>
      <c r="L280" s="10">
        <v>107.04</v>
      </c>
      <c r="M280" s="10"/>
      <c r="N280" s="10"/>
      <c r="O280" s="10"/>
      <c r="P280" s="10"/>
      <c r="Q280" s="10"/>
      <c r="R280" s="10"/>
      <c r="S280" s="10">
        <v>891.96</v>
      </c>
      <c r="T280" s="10"/>
      <c r="U280" s="10"/>
      <c r="V280" s="10"/>
      <c r="W280" s="10"/>
      <c r="X280" s="10"/>
      <c r="Y280" s="10"/>
      <c r="Z280" s="10"/>
      <c r="AA280" s="34"/>
      <c r="AB280" s="10"/>
      <c r="AC280" s="34">
        <v>999</v>
      </c>
      <c r="AD280" s="10">
        <f t="shared" si="5"/>
        <v>0</v>
      </c>
      <c r="AF280" s="46"/>
    </row>
    <row r="281" spans="1:32" x14ac:dyDescent="0.25">
      <c r="A281" s="7" t="s">
        <v>597</v>
      </c>
      <c r="B281" s="9">
        <v>3873976</v>
      </c>
      <c r="C281" s="73">
        <v>44398</v>
      </c>
      <c r="D281" s="70">
        <v>44398</v>
      </c>
      <c r="E281" s="73"/>
      <c r="F281" s="9"/>
      <c r="H281" s="9"/>
      <c r="I281" s="7" t="s">
        <v>701</v>
      </c>
      <c r="J281" s="51" t="s">
        <v>46</v>
      </c>
      <c r="K281" s="7"/>
      <c r="L281" s="10">
        <v>107.04</v>
      </c>
      <c r="M281" s="10"/>
      <c r="N281" s="10"/>
      <c r="O281" s="10"/>
      <c r="P281" s="10"/>
      <c r="Q281" s="10"/>
      <c r="R281" s="10"/>
      <c r="S281" s="10">
        <v>891.96</v>
      </c>
      <c r="T281" s="10"/>
      <c r="U281" s="10"/>
      <c r="V281" s="10"/>
      <c r="W281" s="10"/>
      <c r="X281" s="10"/>
      <c r="Y281" s="10"/>
      <c r="Z281" s="10"/>
      <c r="AA281" s="34"/>
      <c r="AB281" s="10"/>
      <c r="AC281" s="34">
        <v>999</v>
      </c>
      <c r="AD281" s="10">
        <f t="shared" si="5"/>
        <v>0</v>
      </c>
      <c r="AF281" s="46"/>
    </row>
    <row r="282" spans="1:32" x14ac:dyDescent="0.25">
      <c r="A282" s="7" t="s">
        <v>598</v>
      </c>
      <c r="B282" s="9">
        <v>3873977</v>
      </c>
      <c r="C282" s="73">
        <v>44398</v>
      </c>
      <c r="D282" s="70">
        <v>44398</v>
      </c>
      <c r="E282" s="73"/>
      <c r="F282" s="9"/>
      <c r="H282" s="9"/>
      <c r="I282" s="7" t="s">
        <v>718</v>
      </c>
      <c r="J282" s="51" t="s">
        <v>46</v>
      </c>
      <c r="K282" s="26"/>
      <c r="L282" s="14">
        <v>192.75</v>
      </c>
      <c r="M282" s="10"/>
      <c r="N282" s="10"/>
      <c r="O282" s="10"/>
      <c r="P282" s="10"/>
      <c r="Q282" s="10"/>
      <c r="R282" s="10"/>
      <c r="S282" s="10">
        <v>1606.25</v>
      </c>
      <c r="T282" s="10"/>
      <c r="U282" s="10"/>
      <c r="V282" s="10"/>
      <c r="W282" s="10"/>
      <c r="X282" s="10"/>
      <c r="Y282" s="10"/>
      <c r="Z282" s="10"/>
      <c r="AA282" s="34"/>
      <c r="AB282" s="10"/>
      <c r="AC282" s="34">
        <v>1799</v>
      </c>
      <c r="AD282" s="10">
        <f t="shared" si="5"/>
        <v>0</v>
      </c>
      <c r="AF282" s="46"/>
    </row>
    <row r="283" spans="1:32" x14ac:dyDescent="0.25">
      <c r="A283" s="7" t="s">
        <v>599</v>
      </c>
      <c r="B283" s="9">
        <v>3873978</v>
      </c>
      <c r="C283" s="73">
        <v>44398</v>
      </c>
      <c r="D283" s="70">
        <v>44398</v>
      </c>
      <c r="E283" s="73"/>
      <c r="F283" s="9"/>
      <c r="H283" s="9"/>
      <c r="I283" s="7" t="s">
        <v>719</v>
      </c>
      <c r="J283" s="51" t="s">
        <v>46</v>
      </c>
      <c r="K283" s="7"/>
      <c r="L283" s="14">
        <v>1125.26</v>
      </c>
      <c r="M283" s="10"/>
      <c r="N283" s="10"/>
      <c r="O283" s="10"/>
      <c r="P283" s="10"/>
      <c r="Q283" s="10"/>
      <c r="R283" s="10"/>
      <c r="S283" s="10">
        <v>9377.2099999999991</v>
      </c>
      <c r="T283" s="10"/>
      <c r="U283" s="10"/>
      <c r="V283" s="10"/>
      <c r="W283" s="10"/>
      <c r="X283" s="10"/>
      <c r="Y283" s="10"/>
      <c r="Z283" s="10"/>
      <c r="AA283" s="34"/>
      <c r="AB283" s="10"/>
      <c r="AC283" s="34">
        <v>10502.47</v>
      </c>
      <c r="AD283" s="10">
        <f t="shared" si="5"/>
        <v>0</v>
      </c>
      <c r="AF283" s="46"/>
    </row>
    <row r="284" spans="1:32" x14ac:dyDescent="0.25">
      <c r="A284" s="7" t="s">
        <v>600</v>
      </c>
      <c r="B284" s="9" t="s">
        <v>715</v>
      </c>
      <c r="C284" s="73">
        <v>44398</v>
      </c>
      <c r="D284" s="70">
        <v>44398</v>
      </c>
      <c r="E284" s="73">
        <v>44402</v>
      </c>
      <c r="F284" s="48" t="s">
        <v>755</v>
      </c>
      <c r="G284" s="9" t="s">
        <v>242</v>
      </c>
      <c r="H284" s="9"/>
      <c r="I284" s="7" t="s">
        <v>129</v>
      </c>
      <c r="J284" s="51" t="s">
        <v>121</v>
      </c>
      <c r="K284" s="7"/>
      <c r="L284" s="10">
        <v>8732.14</v>
      </c>
      <c r="M284" s="10">
        <v>72767.86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34"/>
      <c r="AB284" s="10"/>
      <c r="AC284" s="34">
        <v>81500</v>
      </c>
      <c r="AD284" s="10">
        <f t="shared" si="5"/>
        <v>0</v>
      </c>
      <c r="AF284" s="46"/>
    </row>
    <row r="285" spans="1:32" x14ac:dyDescent="0.25">
      <c r="A285" s="7" t="s">
        <v>601</v>
      </c>
      <c r="B285" s="9" t="s">
        <v>714</v>
      </c>
      <c r="C285" s="47">
        <v>44398</v>
      </c>
      <c r="D285" s="70">
        <v>44398</v>
      </c>
      <c r="E285" s="73"/>
      <c r="F285" s="9"/>
      <c r="H285" s="9"/>
      <c r="I285" s="7" t="s">
        <v>55</v>
      </c>
      <c r="J285" s="51" t="s">
        <v>80</v>
      </c>
      <c r="K285" s="7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>
        <v>150000</v>
      </c>
      <c r="AA285" s="34"/>
      <c r="AB285" s="10"/>
      <c r="AC285" s="34">
        <v>150000</v>
      </c>
      <c r="AD285" s="10">
        <f t="shared" si="5"/>
        <v>0</v>
      </c>
      <c r="AF285" s="46"/>
    </row>
    <row r="286" spans="1:32" x14ac:dyDescent="0.25">
      <c r="A286" s="7" t="s">
        <v>602</v>
      </c>
      <c r="B286" s="9" t="s">
        <v>721</v>
      </c>
      <c r="C286" s="47">
        <v>44398</v>
      </c>
      <c r="D286" s="70">
        <v>44398</v>
      </c>
      <c r="E286" s="73"/>
      <c r="F286" s="9"/>
      <c r="H286" s="9"/>
      <c r="I286" s="7" t="s">
        <v>722</v>
      </c>
      <c r="J286" s="51" t="s">
        <v>723</v>
      </c>
      <c r="K286" s="24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34">
        <v>61060</v>
      </c>
      <c r="AB286" s="10"/>
      <c r="AC286" s="34">
        <v>61060</v>
      </c>
      <c r="AD286" s="10">
        <f t="shared" si="5"/>
        <v>0</v>
      </c>
      <c r="AF286" s="46"/>
    </row>
    <row r="287" spans="1:32" x14ac:dyDescent="0.25">
      <c r="A287" s="7" t="s">
        <v>603</v>
      </c>
      <c r="B287" s="9">
        <v>3873979</v>
      </c>
      <c r="C287" s="47">
        <v>44398</v>
      </c>
      <c r="D287" s="70">
        <v>44398</v>
      </c>
      <c r="E287" s="73"/>
      <c r="F287" s="9"/>
      <c r="H287" s="9"/>
      <c r="I287" s="7" t="s">
        <v>713</v>
      </c>
      <c r="J287" s="51" t="s">
        <v>43</v>
      </c>
      <c r="K287" s="7"/>
      <c r="L287" s="10">
        <v>208.16</v>
      </c>
      <c r="M287" s="10"/>
      <c r="N287" s="10"/>
      <c r="O287" s="10"/>
      <c r="P287" s="10"/>
      <c r="Q287" s="10"/>
      <c r="R287" s="10"/>
      <c r="S287" s="10">
        <v>1734.68</v>
      </c>
      <c r="T287" s="10"/>
      <c r="U287" s="10"/>
      <c r="V287" s="10"/>
      <c r="W287" s="10"/>
      <c r="X287" s="10"/>
      <c r="Y287" s="10"/>
      <c r="Z287" s="10"/>
      <c r="AA287" s="34"/>
      <c r="AB287" s="10"/>
      <c r="AC287" s="34">
        <v>1942.84</v>
      </c>
      <c r="AD287" s="10">
        <f t="shared" si="5"/>
        <v>0</v>
      </c>
      <c r="AF287" s="46"/>
    </row>
    <row r="288" spans="1:32" x14ac:dyDescent="0.25">
      <c r="A288" s="7" t="s">
        <v>604</v>
      </c>
      <c r="B288" s="9">
        <v>3873980</v>
      </c>
      <c r="C288" s="73">
        <v>44398</v>
      </c>
      <c r="D288" s="70">
        <v>44398</v>
      </c>
      <c r="E288" s="73">
        <v>44410</v>
      </c>
      <c r="F288" s="9" t="s">
        <v>725</v>
      </c>
      <c r="H288" s="9"/>
      <c r="I288" s="7" t="s">
        <v>720</v>
      </c>
      <c r="J288" s="51" t="s">
        <v>187</v>
      </c>
      <c r="K288" s="7"/>
      <c r="L288" s="10">
        <v>528</v>
      </c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34">
        <v>4400</v>
      </c>
      <c r="AB288" s="10"/>
      <c r="AC288" s="34">
        <v>4928</v>
      </c>
      <c r="AD288" s="10">
        <f t="shared" si="5"/>
        <v>0</v>
      </c>
      <c r="AF288" s="46"/>
    </row>
    <row r="289" spans="1:32" x14ac:dyDescent="0.25">
      <c r="A289" s="7" t="s">
        <v>605</v>
      </c>
      <c r="B289" s="9" t="s">
        <v>716</v>
      </c>
      <c r="C289" s="73">
        <v>44400</v>
      </c>
      <c r="D289" s="70">
        <v>44400</v>
      </c>
      <c r="E289" s="73"/>
      <c r="F289" s="9"/>
      <c r="H289" s="9"/>
      <c r="I289" s="7" t="s">
        <v>717</v>
      </c>
      <c r="J289" s="51" t="s">
        <v>66</v>
      </c>
      <c r="K289" s="24"/>
      <c r="L289" s="10"/>
      <c r="M289" s="10"/>
      <c r="N289" s="10"/>
      <c r="O289" s="10"/>
      <c r="P289" s="10"/>
      <c r="Q289" s="10">
        <v>53561.37</v>
      </c>
      <c r="R289" s="10"/>
      <c r="S289" s="10"/>
      <c r="T289" s="10"/>
      <c r="U289" s="10"/>
      <c r="V289" s="10"/>
      <c r="W289" s="10"/>
      <c r="X289" s="10"/>
      <c r="Y289" s="10"/>
      <c r="Z289" s="10"/>
      <c r="AA289" s="34"/>
      <c r="AB289" s="10"/>
      <c r="AC289" s="34">
        <v>53561.37</v>
      </c>
      <c r="AD289" s="10">
        <f t="shared" si="5"/>
        <v>0</v>
      </c>
      <c r="AF289" s="46"/>
    </row>
    <row r="290" spans="1:32" x14ac:dyDescent="0.25">
      <c r="A290" s="7" t="s">
        <v>606</v>
      </c>
      <c r="B290" s="9">
        <v>3873981</v>
      </c>
      <c r="C290" s="73">
        <v>44444</v>
      </c>
      <c r="D290" s="70">
        <v>44403</v>
      </c>
      <c r="E290" s="73">
        <v>44407</v>
      </c>
      <c r="F290" s="9" t="s">
        <v>746</v>
      </c>
      <c r="G290" s="9" t="s">
        <v>237</v>
      </c>
      <c r="H290" s="9"/>
      <c r="I290" s="7" t="s">
        <v>314</v>
      </c>
      <c r="J290" s="51" t="s">
        <v>31</v>
      </c>
      <c r="K290" s="24" t="s">
        <v>32</v>
      </c>
      <c r="L290" s="10">
        <v>8035.71</v>
      </c>
      <c r="M290" s="10">
        <v>66964.289999999994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34"/>
      <c r="AB290" s="10"/>
      <c r="AC290" s="34">
        <v>75000</v>
      </c>
      <c r="AD290" s="10">
        <f t="shared" si="5"/>
        <v>0</v>
      </c>
      <c r="AF290" s="46"/>
    </row>
    <row r="291" spans="1:32" x14ac:dyDescent="0.25">
      <c r="A291" s="7" t="s">
        <v>607</v>
      </c>
      <c r="B291" s="9">
        <v>3873982</v>
      </c>
      <c r="C291" s="73">
        <v>44403</v>
      </c>
      <c r="D291" s="70">
        <v>44403</v>
      </c>
      <c r="E291" s="73"/>
      <c r="F291" s="9"/>
      <c r="H291" s="9"/>
      <c r="I291" s="7" t="s">
        <v>741</v>
      </c>
      <c r="J291" s="51" t="s">
        <v>65</v>
      </c>
      <c r="K291" s="7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34">
        <v>21770</v>
      </c>
      <c r="AB291" s="10"/>
      <c r="AC291" s="34">
        <v>21770</v>
      </c>
      <c r="AD291" s="10">
        <f t="shared" si="5"/>
        <v>0</v>
      </c>
      <c r="AF291" s="46"/>
    </row>
    <row r="292" spans="1:32" x14ac:dyDescent="0.25">
      <c r="A292" s="7" t="s">
        <v>608</v>
      </c>
      <c r="B292" s="9">
        <v>3873983</v>
      </c>
      <c r="C292" s="47">
        <v>44438</v>
      </c>
      <c r="D292" s="70">
        <v>44403</v>
      </c>
      <c r="E292" s="73">
        <v>44407</v>
      </c>
      <c r="F292" s="9" t="s">
        <v>745</v>
      </c>
      <c r="G292" s="9" t="s">
        <v>243</v>
      </c>
      <c r="H292" s="9"/>
      <c r="I292" s="7" t="s">
        <v>739</v>
      </c>
      <c r="J292" s="51" t="s">
        <v>60</v>
      </c>
      <c r="K292" s="7" t="s">
        <v>61</v>
      </c>
      <c r="L292" s="10">
        <v>1141.07</v>
      </c>
      <c r="M292" s="10">
        <v>9508.93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34"/>
      <c r="AB292" s="10"/>
      <c r="AC292" s="34">
        <v>10650</v>
      </c>
      <c r="AD292" s="10">
        <f t="shared" si="5"/>
        <v>0</v>
      </c>
      <c r="AF292" s="46"/>
    </row>
    <row r="293" spans="1:32" x14ac:dyDescent="0.25">
      <c r="A293" s="7" t="s">
        <v>727</v>
      </c>
      <c r="B293" s="47" t="s">
        <v>740</v>
      </c>
      <c r="C293" s="47">
        <v>44405</v>
      </c>
      <c r="D293" s="70">
        <v>44405</v>
      </c>
      <c r="E293" s="73"/>
      <c r="F293" s="9"/>
      <c r="H293" s="9"/>
      <c r="I293" s="7" t="s">
        <v>64</v>
      </c>
      <c r="J293" s="51" t="s">
        <v>432</v>
      </c>
      <c r="K293" s="7"/>
      <c r="L293" s="10"/>
      <c r="M293" s="10"/>
      <c r="N293" s="10"/>
      <c r="O293" s="10"/>
      <c r="P293" s="10">
        <v>10000</v>
      </c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34"/>
      <c r="AB293" s="10"/>
      <c r="AC293" s="34">
        <v>10000</v>
      </c>
      <c r="AD293" s="10">
        <f t="shared" si="5"/>
        <v>0</v>
      </c>
      <c r="AF293" s="46"/>
    </row>
    <row r="294" spans="1:32" s="39" customFormat="1" x14ac:dyDescent="0.25">
      <c r="A294" s="20"/>
      <c r="B294" s="91"/>
      <c r="C294" s="91"/>
      <c r="D294" s="72"/>
      <c r="E294" s="77"/>
      <c r="F294" s="19"/>
      <c r="G294" s="19"/>
      <c r="H294" s="19"/>
      <c r="I294" s="20"/>
      <c r="J294" s="20"/>
      <c r="K294" s="20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35"/>
      <c r="AB294" s="22"/>
      <c r="AC294" s="35"/>
      <c r="AD294" s="22"/>
      <c r="AE294" s="20"/>
      <c r="AF294" s="95"/>
    </row>
    <row r="295" spans="1:32" s="39" customFormat="1" x14ac:dyDescent="0.25">
      <c r="A295" s="25">
        <v>44409</v>
      </c>
      <c r="B295" s="91"/>
      <c r="C295" s="91"/>
      <c r="D295" s="72"/>
      <c r="E295" s="77"/>
      <c r="F295" s="19"/>
      <c r="G295" s="19"/>
      <c r="H295" s="19"/>
      <c r="I295" s="20"/>
      <c r="J295" s="20"/>
      <c r="K295" s="20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35"/>
      <c r="AB295" s="22"/>
      <c r="AC295" s="35"/>
      <c r="AD295" s="22"/>
      <c r="AE295" s="20"/>
      <c r="AF295" s="95"/>
    </row>
    <row r="296" spans="1:32" x14ac:dyDescent="0.25">
      <c r="A296" s="7" t="s">
        <v>728</v>
      </c>
      <c r="B296" s="9">
        <v>3873984</v>
      </c>
      <c r="C296" s="70">
        <v>44454</v>
      </c>
      <c r="D296" s="70">
        <v>44410</v>
      </c>
      <c r="E296" s="73">
        <v>44421</v>
      </c>
      <c r="F296" s="9" t="s">
        <v>765</v>
      </c>
      <c r="G296" s="9" t="s">
        <v>244</v>
      </c>
      <c r="H296" s="9"/>
      <c r="I296" s="7" t="s">
        <v>742</v>
      </c>
      <c r="J296" s="51" t="s">
        <v>31</v>
      </c>
      <c r="K296" s="26"/>
      <c r="L296" s="10">
        <v>1146.43</v>
      </c>
      <c r="M296" s="10">
        <v>9553.57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34"/>
      <c r="AB296" s="10"/>
      <c r="AC296" s="34">
        <v>10700</v>
      </c>
      <c r="AD296" s="10">
        <f t="shared" si="5"/>
        <v>0</v>
      </c>
      <c r="AE296" s="82"/>
      <c r="AF296" s="46"/>
    </row>
    <row r="297" spans="1:32" x14ac:dyDescent="0.25">
      <c r="A297" s="7" t="s">
        <v>729</v>
      </c>
      <c r="B297" s="9">
        <v>3873985</v>
      </c>
      <c r="C297" s="70">
        <v>44441</v>
      </c>
      <c r="D297" s="70">
        <v>44410</v>
      </c>
      <c r="E297" s="73">
        <v>44411</v>
      </c>
      <c r="F297" s="9" t="s">
        <v>753</v>
      </c>
      <c r="G297" s="9" t="s">
        <v>245</v>
      </c>
      <c r="H297" s="9"/>
      <c r="I297" s="52" t="s">
        <v>752</v>
      </c>
      <c r="J297" s="92" t="s">
        <v>750</v>
      </c>
      <c r="K297" s="7" t="s">
        <v>751</v>
      </c>
      <c r="L297" s="10">
        <v>2662.5</v>
      </c>
      <c r="M297" s="10">
        <v>22187.5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34"/>
      <c r="AB297" s="10"/>
      <c r="AC297" s="34">
        <v>24850</v>
      </c>
      <c r="AD297" s="10">
        <f t="shared" si="5"/>
        <v>0</v>
      </c>
      <c r="AF297" s="46"/>
    </row>
    <row r="298" spans="1:32" x14ac:dyDescent="0.25">
      <c r="A298" s="7" t="s">
        <v>730</v>
      </c>
      <c r="B298" s="9">
        <v>3873986</v>
      </c>
      <c r="C298" s="70">
        <v>44442</v>
      </c>
      <c r="D298" s="70">
        <v>44410</v>
      </c>
      <c r="E298" s="73"/>
      <c r="F298" s="9"/>
      <c r="G298" s="9" t="s">
        <v>246</v>
      </c>
      <c r="H298" s="9"/>
      <c r="I298" s="10" t="s">
        <v>754</v>
      </c>
      <c r="J298" s="51" t="s">
        <v>84</v>
      </c>
      <c r="K298" s="7" t="s">
        <v>36</v>
      </c>
      <c r="L298" s="14">
        <v>2121.4299999999998</v>
      </c>
      <c r="M298" s="10">
        <v>17678.57</v>
      </c>
      <c r="R298" s="10"/>
      <c r="T298" s="14"/>
      <c r="X298" s="34"/>
      <c r="AA298" s="46"/>
      <c r="AC298" s="14">
        <v>19800</v>
      </c>
      <c r="AD298" s="10">
        <f t="shared" si="5"/>
        <v>0</v>
      </c>
      <c r="AF298" s="46"/>
    </row>
    <row r="299" spans="1:32" x14ac:dyDescent="0.25">
      <c r="A299" s="7" t="s">
        <v>731</v>
      </c>
      <c r="B299" s="9" t="s">
        <v>747</v>
      </c>
      <c r="C299" s="70">
        <v>44410</v>
      </c>
      <c r="D299" s="70">
        <v>44410</v>
      </c>
      <c r="E299" s="73"/>
      <c r="F299" s="9"/>
      <c r="H299" s="9"/>
      <c r="I299" s="10" t="s">
        <v>130</v>
      </c>
      <c r="J299" s="51" t="s">
        <v>79</v>
      </c>
      <c r="K299" s="26"/>
      <c r="L299" s="14"/>
      <c r="M299" s="10"/>
      <c r="S299" s="10"/>
      <c r="V299" s="10">
        <v>20667</v>
      </c>
      <c r="Z299" s="34"/>
      <c r="AA299" s="34"/>
      <c r="AC299" s="34">
        <v>20667</v>
      </c>
      <c r="AD299" s="10">
        <f t="shared" si="5"/>
        <v>0</v>
      </c>
      <c r="AF299" s="46"/>
    </row>
    <row r="300" spans="1:32" x14ac:dyDescent="0.25">
      <c r="A300" s="7" t="s">
        <v>732</v>
      </c>
      <c r="B300" s="9" t="s">
        <v>748</v>
      </c>
      <c r="C300" s="70">
        <v>44411</v>
      </c>
      <c r="D300" s="70">
        <v>44410</v>
      </c>
      <c r="E300" s="73"/>
      <c r="F300" s="9"/>
      <c r="H300" s="9"/>
      <c r="I300" s="10" t="s">
        <v>82</v>
      </c>
      <c r="J300" s="51" t="s">
        <v>54</v>
      </c>
      <c r="K300" s="7"/>
      <c r="L300" s="10"/>
      <c r="M300" s="10"/>
      <c r="S300" s="10"/>
      <c r="Z300" s="34">
        <v>250000</v>
      </c>
      <c r="AA300" s="34"/>
      <c r="AC300" s="34">
        <v>250000</v>
      </c>
      <c r="AD300" s="10">
        <f t="shared" si="5"/>
        <v>0</v>
      </c>
      <c r="AF300" s="46"/>
    </row>
    <row r="301" spans="1:32" x14ac:dyDescent="0.25">
      <c r="A301" s="7" t="s">
        <v>733</v>
      </c>
      <c r="B301" s="9">
        <v>3873987</v>
      </c>
      <c r="C301" s="70">
        <v>44417</v>
      </c>
      <c r="D301" s="70">
        <v>44410</v>
      </c>
      <c r="E301" s="73"/>
      <c r="F301" s="9"/>
      <c r="H301" s="9"/>
      <c r="I301" s="10" t="s">
        <v>117</v>
      </c>
      <c r="J301" s="51" t="s">
        <v>33</v>
      </c>
      <c r="K301" s="7"/>
      <c r="L301" s="10"/>
      <c r="M301" s="10">
        <v>58000</v>
      </c>
      <c r="S301" s="10"/>
      <c r="Z301" s="34"/>
      <c r="AA301" s="34"/>
      <c r="AC301" s="34">
        <v>58000</v>
      </c>
      <c r="AD301" s="10">
        <f t="shared" si="5"/>
        <v>0</v>
      </c>
      <c r="AF301" s="46"/>
    </row>
    <row r="302" spans="1:32" x14ac:dyDescent="0.25">
      <c r="A302" s="7" t="s">
        <v>734</v>
      </c>
      <c r="B302" s="9">
        <v>3873988</v>
      </c>
      <c r="C302" s="70">
        <v>44413</v>
      </c>
      <c r="D302" s="70">
        <v>44410</v>
      </c>
      <c r="E302" s="73">
        <v>44442</v>
      </c>
      <c r="F302" s="9" t="s">
        <v>978</v>
      </c>
      <c r="G302" s="9" t="s">
        <v>212</v>
      </c>
      <c r="H302" s="9"/>
      <c r="I302" s="10" t="s">
        <v>743</v>
      </c>
      <c r="J302" s="51" t="s">
        <v>146</v>
      </c>
      <c r="K302" s="10"/>
      <c r="L302" s="10"/>
      <c r="M302" s="10">
        <v>19065</v>
      </c>
      <c r="N302" s="10"/>
      <c r="O302" s="10"/>
      <c r="P302" s="10"/>
      <c r="Q302" s="10"/>
      <c r="R302" s="10"/>
      <c r="S302" s="10"/>
      <c r="T302" s="14"/>
      <c r="U302" s="10"/>
      <c r="V302" s="10"/>
      <c r="W302" s="10"/>
      <c r="X302" s="7"/>
      <c r="Y302" s="7"/>
      <c r="Z302" s="7"/>
      <c r="AA302" s="34"/>
      <c r="AB302" s="7"/>
      <c r="AC302" s="34">
        <v>19065</v>
      </c>
      <c r="AD302" s="10">
        <f t="shared" si="5"/>
        <v>0</v>
      </c>
      <c r="AF302" s="46"/>
    </row>
    <row r="303" spans="1:32" x14ac:dyDescent="0.25">
      <c r="A303" s="7" t="s">
        <v>735</v>
      </c>
      <c r="B303" s="9">
        <v>3873989</v>
      </c>
      <c r="C303" s="70">
        <v>44413</v>
      </c>
      <c r="D303" s="70">
        <v>44410</v>
      </c>
      <c r="E303" s="73">
        <v>44442</v>
      </c>
      <c r="F303" s="9" t="s">
        <v>979</v>
      </c>
      <c r="H303" s="9"/>
      <c r="I303" s="10" t="s">
        <v>744</v>
      </c>
      <c r="J303" s="51" t="s">
        <v>146</v>
      </c>
      <c r="K303" s="7"/>
      <c r="L303" s="10"/>
      <c r="M303" s="10">
        <v>1000</v>
      </c>
      <c r="N303" s="10"/>
      <c r="O303" s="10"/>
      <c r="P303" s="10"/>
      <c r="Q303" s="10"/>
      <c r="R303" s="10"/>
      <c r="S303" s="10"/>
      <c r="T303" s="14"/>
      <c r="U303" s="10"/>
      <c r="V303" s="10"/>
      <c r="W303" s="10"/>
      <c r="X303" s="7"/>
      <c r="Y303" s="7"/>
      <c r="Z303" s="7"/>
      <c r="AA303" s="34"/>
      <c r="AB303" s="7"/>
      <c r="AC303" s="34">
        <v>1000</v>
      </c>
      <c r="AD303" s="10">
        <f t="shared" si="5"/>
        <v>0</v>
      </c>
      <c r="AF303" s="46"/>
    </row>
    <row r="304" spans="1:32" x14ac:dyDescent="0.25">
      <c r="A304" s="7" t="s">
        <v>736</v>
      </c>
      <c r="B304" s="9" t="s">
        <v>749</v>
      </c>
      <c r="C304" s="70">
        <v>44411</v>
      </c>
      <c r="D304" s="70">
        <v>44411</v>
      </c>
      <c r="E304" s="73"/>
      <c r="F304" s="9"/>
      <c r="H304" s="9"/>
      <c r="I304" s="10" t="s">
        <v>64</v>
      </c>
      <c r="J304" s="51" t="s">
        <v>432</v>
      </c>
      <c r="K304" s="7"/>
      <c r="L304" s="10"/>
      <c r="M304" s="10"/>
      <c r="N304" s="10"/>
      <c r="O304" s="10"/>
      <c r="P304" s="10">
        <v>25000</v>
      </c>
      <c r="Q304" s="10"/>
      <c r="R304" s="10"/>
      <c r="S304" s="10"/>
      <c r="T304" s="14"/>
      <c r="U304" s="10"/>
      <c r="V304" s="10"/>
      <c r="W304" s="10"/>
      <c r="X304" s="7"/>
      <c r="Y304" s="7"/>
      <c r="Z304" s="7"/>
      <c r="AA304" s="34"/>
      <c r="AB304" s="7"/>
      <c r="AC304" s="34">
        <v>25000</v>
      </c>
      <c r="AD304" s="10">
        <f t="shared" si="5"/>
        <v>0</v>
      </c>
      <c r="AE304" s="82"/>
      <c r="AF304" s="46"/>
    </row>
    <row r="305" spans="1:32" x14ac:dyDescent="0.25">
      <c r="A305" s="7" t="s">
        <v>737</v>
      </c>
      <c r="B305" s="9">
        <v>3873990</v>
      </c>
      <c r="C305" s="70">
        <v>44441</v>
      </c>
      <c r="D305" s="70">
        <v>44413</v>
      </c>
      <c r="E305" s="73">
        <v>44439</v>
      </c>
      <c r="F305" s="9" t="s">
        <v>952</v>
      </c>
      <c r="G305" s="9" t="s">
        <v>214</v>
      </c>
      <c r="H305" s="9"/>
      <c r="I305" s="10" t="s">
        <v>762</v>
      </c>
      <c r="J305" s="51" t="s">
        <v>83</v>
      </c>
      <c r="K305" s="7" t="s">
        <v>116</v>
      </c>
      <c r="L305" s="14">
        <v>750</v>
      </c>
      <c r="M305" s="10">
        <v>6250</v>
      </c>
      <c r="N305" s="10"/>
      <c r="O305" s="10"/>
      <c r="P305" s="10"/>
      <c r="Q305" s="10"/>
      <c r="R305" s="10"/>
      <c r="S305" s="10"/>
      <c r="T305" s="14"/>
      <c r="U305" s="10"/>
      <c r="V305" s="10"/>
      <c r="W305" s="10"/>
      <c r="X305" s="7"/>
      <c r="Y305" s="7"/>
      <c r="Z305" s="7"/>
      <c r="AA305" s="34"/>
      <c r="AB305" s="7"/>
      <c r="AC305" s="34">
        <v>6250</v>
      </c>
      <c r="AD305" s="10">
        <f t="shared" si="5"/>
        <v>-750</v>
      </c>
      <c r="AE305" s="82" t="s">
        <v>763</v>
      </c>
      <c r="AF305" s="46"/>
    </row>
    <row r="306" spans="1:32" x14ac:dyDescent="0.25">
      <c r="A306" s="7" t="s">
        <v>738</v>
      </c>
      <c r="B306" s="9">
        <v>3873991</v>
      </c>
      <c r="C306" s="70">
        <v>44443</v>
      </c>
      <c r="D306" s="70">
        <v>44413</v>
      </c>
      <c r="E306" s="73">
        <v>44421</v>
      </c>
      <c r="F306" s="9" t="s">
        <v>764</v>
      </c>
      <c r="G306" s="9" t="s">
        <v>247</v>
      </c>
      <c r="H306" s="9"/>
      <c r="I306" s="10" t="s">
        <v>756</v>
      </c>
      <c r="J306" s="54" t="s">
        <v>37</v>
      </c>
      <c r="K306" s="10" t="s">
        <v>38</v>
      </c>
      <c r="L306" s="10">
        <v>4682.1400000000003</v>
      </c>
      <c r="M306" s="10">
        <v>39017.86</v>
      </c>
      <c r="N306" s="10"/>
      <c r="O306" s="10"/>
      <c r="P306" s="10"/>
      <c r="Q306" s="10"/>
      <c r="R306" s="10"/>
      <c r="S306" s="10"/>
      <c r="T306" s="14"/>
      <c r="U306" s="10"/>
      <c r="V306" s="10"/>
      <c r="W306" s="10"/>
      <c r="X306" s="7"/>
      <c r="Y306" s="7"/>
      <c r="Z306" s="34"/>
      <c r="AA306" s="34"/>
      <c r="AB306" s="7"/>
      <c r="AC306" s="34">
        <v>43700</v>
      </c>
      <c r="AD306" s="10">
        <f t="shared" si="5"/>
        <v>0</v>
      </c>
      <c r="AF306" s="46"/>
    </row>
    <row r="307" spans="1:32" x14ac:dyDescent="0.25">
      <c r="A307" s="7" t="s">
        <v>757</v>
      </c>
      <c r="B307" s="9">
        <v>3873992</v>
      </c>
      <c r="C307" s="70">
        <v>44413</v>
      </c>
      <c r="D307" s="70">
        <v>44413</v>
      </c>
      <c r="E307" s="73"/>
      <c r="F307" s="9"/>
      <c r="H307" s="9"/>
      <c r="I307" s="10" t="s">
        <v>761</v>
      </c>
      <c r="J307" s="54" t="s">
        <v>33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4"/>
      <c r="U307" s="10"/>
      <c r="V307" s="10"/>
      <c r="W307" s="10"/>
      <c r="X307" s="7"/>
      <c r="Y307" s="7"/>
      <c r="Z307" s="7"/>
      <c r="AA307" s="34">
        <v>5000</v>
      </c>
      <c r="AB307" s="7"/>
      <c r="AC307" s="34">
        <v>5000</v>
      </c>
      <c r="AD307" s="10">
        <f t="shared" si="5"/>
        <v>0</v>
      </c>
      <c r="AF307" s="46"/>
    </row>
    <row r="308" spans="1:32" x14ac:dyDescent="0.25">
      <c r="A308" s="7" t="s">
        <v>758</v>
      </c>
      <c r="B308" s="9">
        <v>3873993</v>
      </c>
      <c r="C308" s="70">
        <v>44418</v>
      </c>
      <c r="D308" s="70">
        <v>44418</v>
      </c>
      <c r="E308" s="73"/>
      <c r="F308" s="9"/>
      <c r="H308" s="9"/>
      <c r="I308" s="10" t="s">
        <v>772</v>
      </c>
      <c r="J308" s="51" t="s">
        <v>43</v>
      </c>
      <c r="K308" s="7"/>
      <c r="L308" s="10">
        <v>148.61000000000001</v>
      </c>
      <c r="M308" s="10"/>
      <c r="N308" s="10"/>
      <c r="O308" s="10"/>
      <c r="P308" s="10"/>
      <c r="Q308" s="10"/>
      <c r="R308" s="10"/>
      <c r="S308" s="10">
        <v>1238.3800000000001</v>
      </c>
      <c r="T308" s="14"/>
      <c r="U308" s="10"/>
      <c r="V308" s="10"/>
      <c r="W308" s="10"/>
      <c r="X308" s="7"/>
      <c r="Y308" s="7"/>
      <c r="Z308" s="7"/>
      <c r="AA308" s="34"/>
      <c r="AB308" s="7"/>
      <c r="AC308" s="34">
        <v>1386.99</v>
      </c>
      <c r="AD308" s="10">
        <f t="shared" si="5"/>
        <v>0</v>
      </c>
      <c r="AF308" s="46"/>
    </row>
    <row r="309" spans="1:32" x14ac:dyDescent="0.25">
      <c r="A309" s="7" t="s">
        <v>759</v>
      </c>
      <c r="B309" s="9">
        <v>3873994</v>
      </c>
      <c r="C309" s="70">
        <v>44418</v>
      </c>
      <c r="D309" s="70">
        <v>44418</v>
      </c>
      <c r="E309" s="73"/>
      <c r="F309" s="9"/>
      <c r="H309" s="9"/>
      <c r="I309" s="10" t="s">
        <v>772</v>
      </c>
      <c r="J309" s="51" t="s">
        <v>43</v>
      </c>
      <c r="K309" s="7"/>
      <c r="L309" s="10">
        <v>107.04</v>
      </c>
      <c r="M309" s="10"/>
      <c r="N309" s="10"/>
      <c r="O309" s="10"/>
      <c r="P309" s="10"/>
      <c r="Q309" s="10"/>
      <c r="R309" s="10"/>
      <c r="S309" s="10">
        <v>891.96</v>
      </c>
      <c r="T309" s="14"/>
      <c r="U309" s="10"/>
      <c r="V309" s="10"/>
      <c r="W309" s="10"/>
      <c r="X309" s="7"/>
      <c r="Y309" s="7"/>
      <c r="Z309" s="7"/>
      <c r="AA309" s="34"/>
      <c r="AB309" s="7"/>
      <c r="AC309" s="34">
        <v>999</v>
      </c>
      <c r="AD309" s="10">
        <f t="shared" si="5"/>
        <v>0</v>
      </c>
      <c r="AF309" s="46"/>
    </row>
    <row r="310" spans="1:32" x14ac:dyDescent="0.25">
      <c r="A310" s="7" t="s">
        <v>760</v>
      </c>
      <c r="B310" s="9" t="s">
        <v>766</v>
      </c>
      <c r="C310" s="70">
        <v>44418</v>
      </c>
      <c r="D310" s="70">
        <v>44418</v>
      </c>
      <c r="E310" s="73"/>
      <c r="F310" s="45"/>
      <c r="H310" s="9"/>
      <c r="I310" s="10" t="s">
        <v>954</v>
      </c>
      <c r="J310" s="54" t="s">
        <v>66</v>
      </c>
      <c r="K310" s="10"/>
      <c r="L310" s="10"/>
      <c r="M310" s="10"/>
      <c r="N310" s="10"/>
      <c r="O310" s="10"/>
      <c r="P310" s="10"/>
      <c r="Q310" s="10">
        <v>12724.23</v>
      </c>
      <c r="R310" s="10"/>
      <c r="S310" s="10"/>
      <c r="T310" s="14"/>
      <c r="U310" s="10"/>
      <c r="V310" s="10"/>
      <c r="W310" s="10"/>
      <c r="X310" s="7"/>
      <c r="Y310" s="7"/>
      <c r="Z310" s="7"/>
      <c r="AA310" s="34"/>
      <c r="AB310" s="7"/>
      <c r="AC310" s="34">
        <v>12724.23</v>
      </c>
      <c r="AD310" s="10">
        <f t="shared" si="5"/>
        <v>0</v>
      </c>
      <c r="AF310" s="46"/>
    </row>
    <row r="311" spans="1:32" x14ac:dyDescent="0.25">
      <c r="A311" s="7" t="s">
        <v>767</v>
      </c>
      <c r="B311" s="9" t="s">
        <v>771</v>
      </c>
      <c r="C311" s="70">
        <v>44418</v>
      </c>
      <c r="D311" s="70">
        <v>44418</v>
      </c>
      <c r="E311" s="73"/>
      <c r="F311" s="9"/>
      <c r="H311" s="9"/>
      <c r="I311" s="7" t="s">
        <v>494</v>
      </c>
      <c r="J311" s="51" t="s">
        <v>39</v>
      </c>
      <c r="K311" s="24"/>
      <c r="L311" s="14"/>
      <c r="M311" s="10"/>
      <c r="N311" s="10"/>
      <c r="O311" s="10"/>
      <c r="P311" s="10"/>
      <c r="Q311" s="10"/>
      <c r="R311" s="10"/>
      <c r="S311" s="10"/>
      <c r="T311" s="14"/>
      <c r="U311" s="10"/>
      <c r="V311" s="10"/>
      <c r="W311" s="10">
        <v>50000</v>
      </c>
      <c r="X311" s="7"/>
      <c r="Y311" s="7"/>
      <c r="Z311" s="7"/>
      <c r="AA311" s="34"/>
      <c r="AB311" s="7"/>
      <c r="AC311" s="34">
        <v>50000</v>
      </c>
      <c r="AD311" s="10">
        <f t="shared" si="5"/>
        <v>0</v>
      </c>
      <c r="AF311" s="46"/>
    </row>
    <row r="312" spans="1:32" x14ac:dyDescent="0.25">
      <c r="A312" s="7" t="s">
        <v>768</v>
      </c>
      <c r="B312" s="9">
        <v>3873996</v>
      </c>
      <c r="C312" s="70">
        <v>44420</v>
      </c>
      <c r="D312" s="70">
        <v>44418</v>
      </c>
      <c r="E312" s="73"/>
      <c r="F312" s="9"/>
      <c r="H312" s="9"/>
      <c r="I312" s="7" t="s">
        <v>931</v>
      </c>
      <c r="J312" s="51" t="s">
        <v>140</v>
      </c>
      <c r="K312" s="24"/>
      <c r="L312" s="10"/>
      <c r="M312" s="10"/>
      <c r="N312" s="10"/>
      <c r="O312" s="10"/>
      <c r="P312" s="10"/>
      <c r="Q312" s="10">
        <v>11730.52</v>
      </c>
      <c r="R312" s="10"/>
      <c r="S312" s="10"/>
      <c r="T312" s="14"/>
      <c r="U312" s="10"/>
      <c r="V312" s="10"/>
      <c r="W312" s="10"/>
      <c r="X312" s="7"/>
      <c r="Y312" s="34"/>
      <c r="Z312" s="7"/>
      <c r="AA312" s="34"/>
      <c r="AB312" s="7"/>
      <c r="AC312" s="34">
        <v>11730.52</v>
      </c>
      <c r="AD312" s="10">
        <f t="shared" si="5"/>
        <v>0</v>
      </c>
      <c r="AF312" s="46"/>
    </row>
    <row r="313" spans="1:32" x14ac:dyDescent="0.25">
      <c r="A313" s="7" t="s">
        <v>769</v>
      </c>
      <c r="B313" s="9">
        <v>3873997</v>
      </c>
      <c r="C313" s="70">
        <v>44425</v>
      </c>
      <c r="D313" s="70">
        <v>44424</v>
      </c>
      <c r="E313" s="73">
        <v>44439</v>
      </c>
      <c r="F313" s="9" t="s">
        <v>947</v>
      </c>
      <c r="H313" s="9"/>
      <c r="I313" s="7" t="s">
        <v>953</v>
      </c>
      <c r="J313" s="51" t="s">
        <v>187</v>
      </c>
      <c r="K313" s="24"/>
      <c r="L313" s="14">
        <v>528</v>
      </c>
      <c r="M313" s="10"/>
      <c r="N313" s="10"/>
      <c r="O313" s="10"/>
      <c r="P313" s="10"/>
      <c r="Q313" s="10"/>
      <c r="R313" s="10"/>
      <c r="S313" s="10"/>
      <c r="T313" s="14"/>
      <c r="U313" s="10"/>
      <c r="V313" s="10"/>
      <c r="W313" s="10"/>
      <c r="X313" s="7"/>
      <c r="Y313" s="7"/>
      <c r="Z313" s="34"/>
      <c r="AA313" s="34">
        <v>4400</v>
      </c>
      <c r="AB313" s="7"/>
      <c r="AC313" s="34">
        <v>4928</v>
      </c>
      <c r="AD313" s="10">
        <f t="shared" si="5"/>
        <v>0</v>
      </c>
      <c r="AF313" s="46"/>
    </row>
    <row r="314" spans="1:32" x14ac:dyDescent="0.25">
      <c r="A314" s="7" t="s">
        <v>770</v>
      </c>
      <c r="B314" s="9">
        <v>3873997</v>
      </c>
      <c r="C314" s="70">
        <v>44428</v>
      </c>
      <c r="D314" s="70">
        <v>44428</v>
      </c>
      <c r="E314" s="73"/>
      <c r="F314" s="9"/>
      <c r="H314" s="9"/>
      <c r="I314" s="7" t="s">
        <v>932</v>
      </c>
      <c r="J314" s="51" t="s">
        <v>46</v>
      </c>
      <c r="K314" s="24"/>
      <c r="L314" s="10">
        <v>1151.8699999999999</v>
      </c>
      <c r="M314" s="10"/>
      <c r="N314" s="10"/>
      <c r="O314" s="10"/>
      <c r="P314" s="10"/>
      <c r="Q314" s="10"/>
      <c r="R314" s="10"/>
      <c r="S314" s="10">
        <v>9598.91</v>
      </c>
      <c r="T314" s="14"/>
      <c r="U314" s="10"/>
      <c r="V314" s="10"/>
      <c r="W314" s="10"/>
      <c r="X314" s="7"/>
      <c r="Y314" s="7"/>
      <c r="Z314" s="7"/>
      <c r="AA314" s="34"/>
      <c r="AB314" s="7"/>
      <c r="AC314" s="34">
        <v>10750.78</v>
      </c>
      <c r="AD314" s="10">
        <f t="shared" si="5"/>
        <v>0</v>
      </c>
      <c r="AF314" s="46"/>
    </row>
    <row r="315" spans="1:32" x14ac:dyDescent="0.25">
      <c r="A315" s="7" t="s">
        <v>773</v>
      </c>
      <c r="B315" s="9">
        <v>3873998</v>
      </c>
      <c r="C315" s="70">
        <v>44428</v>
      </c>
      <c r="D315" s="70">
        <v>44428</v>
      </c>
      <c r="E315" s="73"/>
      <c r="F315" s="9"/>
      <c r="H315" s="9"/>
      <c r="I315" s="10" t="s">
        <v>933</v>
      </c>
      <c r="J315" s="51" t="s">
        <v>46</v>
      </c>
      <c r="K315" s="7"/>
      <c r="L315" s="10">
        <v>107.04</v>
      </c>
      <c r="M315" s="10"/>
      <c r="N315" s="10"/>
      <c r="O315" s="10"/>
      <c r="P315" s="10"/>
      <c r="Q315" s="10"/>
      <c r="R315" s="10"/>
      <c r="S315" s="10">
        <v>891.96</v>
      </c>
      <c r="T315" s="14"/>
      <c r="U315" s="10"/>
      <c r="V315" s="10"/>
      <c r="W315" s="10"/>
      <c r="X315" s="7"/>
      <c r="Y315" s="7"/>
      <c r="Z315" s="7"/>
      <c r="AA315" s="34"/>
      <c r="AB315" s="7"/>
      <c r="AC315" s="34">
        <v>999</v>
      </c>
      <c r="AD315" s="10">
        <f t="shared" si="5"/>
        <v>0</v>
      </c>
      <c r="AF315" s="46"/>
    </row>
    <row r="316" spans="1:32" x14ac:dyDescent="0.25">
      <c r="A316" s="7" t="s">
        <v>774</v>
      </c>
      <c r="B316" s="9">
        <v>3873999</v>
      </c>
      <c r="C316" s="70">
        <v>44428</v>
      </c>
      <c r="D316" s="70">
        <v>44428</v>
      </c>
      <c r="E316" s="73"/>
      <c r="F316" s="9"/>
      <c r="H316" s="9"/>
      <c r="I316" s="10" t="s">
        <v>929</v>
      </c>
      <c r="J316" s="51" t="s">
        <v>46</v>
      </c>
      <c r="K316" s="7"/>
      <c r="L316" s="10">
        <v>107.04</v>
      </c>
      <c r="M316" s="10"/>
      <c r="N316" s="10"/>
      <c r="O316" s="10"/>
      <c r="P316" s="10"/>
      <c r="Q316" s="10"/>
      <c r="R316" s="10"/>
      <c r="S316" s="10">
        <v>891.96</v>
      </c>
      <c r="T316" s="14"/>
      <c r="U316" s="10"/>
      <c r="V316" s="10"/>
      <c r="W316" s="10"/>
      <c r="X316" s="7"/>
      <c r="Y316" s="7"/>
      <c r="Z316" s="7"/>
      <c r="AA316" s="34"/>
      <c r="AB316" s="7"/>
      <c r="AC316" s="34">
        <v>999</v>
      </c>
      <c r="AD316" s="10">
        <f t="shared" si="5"/>
        <v>0</v>
      </c>
      <c r="AF316" s="46"/>
    </row>
    <row r="317" spans="1:32" x14ac:dyDescent="0.25">
      <c r="A317" s="7" t="s">
        <v>775</v>
      </c>
      <c r="B317" s="9">
        <v>3874000</v>
      </c>
      <c r="C317" s="70">
        <v>44428</v>
      </c>
      <c r="D317" s="70">
        <v>44428</v>
      </c>
      <c r="E317" s="73"/>
      <c r="F317" s="9"/>
      <c r="H317" s="9"/>
      <c r="I317" s="10" t="s">
        <v>929</v>
      </c>
      <c r="J317" s="51" t="s">
        <v>46</v>
      </c>
      <c r="K317" s="7"/>
      <c r="L317" s="10">
        <v>107.04</v>
      </c>
      <c r="M317" s="10"/>
      <c r="N317" s="10"/>
      <c r="O317" s="10"/>
      <c r="P317" s="10"/>
      <c r="Q317" s="10"/>
      <c r="R317" s="10"/>
      <c r="S317" s="10">
        <v>891.96</v>
      </c>
      <c r="T317" s="10"/>
      <c r="U317" s="10"/>
      <c r="V317" s="10"/>
      <c r="W317" s="10"/>
      <c r="X317" s="10"/>
      <c r="Y317" s="10"/>
      <c r="Z317" s="10"/>
      <c r="AA317" s="34"/>
      <c r="AB317" s="10"/>
      <c r="AC317" s="34">
        <v>999</v>
      </c>
      <c r="AD317" s="10">
        <f t="shared" si="5"/>
        <v>0</v>
      </c>
      <c r="AF317" s="46"/>
    </row>
    <row r="318" spans="1:32" x14ac:dyDescent="0.25">
      <c r="A318" s="7" t="s">
        <v>776</v>
      </c>
      <c r="B318" s="9">
        <v>3920301</v>
      </c>
      <c r="C318" s="70">
        <v>44428</v>
      </c>
      <c r="D318" s="70">
        <v>44428</v>
      </c>
      <c r="E318" s="73"/>
      <c r="F318" s="9"/>
      <c r="H318" s="9"/>
      <c r="I318" s="10" t="s">
        <v>933</v>
      </c>
      <c r="J318" s="51" t="s">
        <v>46</v>
      </c>
      <c r="K318" s="7"/>
      <c r="L318" s="10">
        <v>192.75</v>
      </c>
      <c r="M318" s="10"/>
      <c r="N318" s="10"/>
      <c r="O318" s="10"/>
      <c r="P318" s="10"/>
      <c r="Q318" s="10"/>
      <c r="R318" s="10"/>
      <c r="S318" s="10">
        <v>1606.25</v>
      </c>
      <c r="T318" s="14"/>
      <c r="U318" s="10"/>
      <c r="V318" s="10"/>
      <c r="W318" s="10"/>
      <c r="X318" s="7"/>
      <c r="Y318" s="7"/>
      <c r="Z318" s="7"/>
      <c r="AA318" s="34"/>
      <c r="AB318" s="7"/>
      <c r="AC318" s="34">
        <v>1799</v>
      </c>
      <c r="AD318" s="10">
        <f t="shared" si="5"/>
        <v>0</v>
      </c>
      <c r="AF318" s="46"/>
    </row>
    <row r="319" spans="1:32" x14ac:dyDescent="0.25">
      <c r="A319" s="7" t="s">
        <v>777</v>
      </c>
      <c r="B319" s="9">
        <v>3920302</v>
      </c>
      <c r="C319" s="70">
        <v>44451</v>
      </c>
      <c r="D319" s="70">
        <v>44428</v>
      </c>
      <c r="E319" s="73">
        <v>44435</v>
      </c>
      <c r="F319" s="9" t="s">
        <v>928</v>
      </c>
      <c r="G319" s="9" t="s">
        <v>248</v>
      </c>
      <c r="H319" s="9"/>
      <c r="I319" s="10" t="s">
        <v>151</v>
      </c>
      <c r="J319" s="51" t="s">
        <v>60</v>
      </c>
      <c r="K319" s="7" t="s">
        <v>61</v>
      </c>
      <c r="L319" s="10">
        <v>503.57</v>
      </c>
      <c r="M319" s="10">
        <v>4196.43</v>
      </c>
      <c r="N319" s="10"/>
      <c r="O319" s="10"/>
      <c r="P319" s="10"/>
      <c r="Q319" s="10"/>
      <c r="R319" s="10"/>
      <c r="S319" s="10"/>
      <c r="T319" s="14"/>
      <c r="U319" s="10"/>
      <c r="V319" s="10"/>
      <c r="W319" s="10"/>
      <c r="X319" s="7"/>
      <c r="Y319" s="7"/>
      <c r="Z319" s="7"/>
      <c r="AA319" s="34"/>
      <c r="AB319" s="7"/>
      <c r="AC319" s="34">
        <v>4700</v>
      </c>
      <c r="AD319" s="10">
        <f t="shared" si="5"/>
        <v>0</v>
      </c>
      <c r="AF319" s="46"/>
    </row>
    <row r="320" spans="1:32" x14ac:dyDescent="0.25">
      <c r="A320" s="7" t="s">
        <v>778</v>
      </c>
      <c r="B320" s="9" t="s">
        <v>941</v>
      </c>
      <c r="C320" s="70">
        <v>44428</v>
      </c>
      <c r="D320" s="70">
        <v>44428</v>
      </c>
      <c r="E320" s="73"/>
      <c r="F320" s="9"/>
      <c r="H320" s="9"/>
      <c r="I320" s="10" t="s">
        <v>942</v>
      </c>
      <c r="J320" s="51" t="s">
        <v>80</v>
      </c>
      <c r="K320" s="7"/>
      <c r="L320" s="34"/>
      <c r="M320" s="34"/>
      <c r="N320" s="10"/>
      <c r="O320" s="10"/>
      <c r="P320" s="10"/>
      <c r="Q320" s="10"/>
      <c r="R320" s="10"/>
      <c r="S320" s="10"/>
      <c r="T320" s="14"/>
      <c r="U320" s="10"/>
      <c r="V320" s="10"/>
      <c r="W320" s="10"/>
      <c r="X320" s="7"/>
      <c r="Y320" s="7"/>
      <c r="Z320" s="34">
        <v>150000</v>
      </c>
      <c r="AA320" s="34"/>
      <c r="AB320" s="7"/>
      <c r="AC320" s="34">
        <v>150000</v>
      </c>
      <c r="AD320" s="10">
        <f t="shared" si="5"/>
        <v>0</v>
      </c>
      <c r="AF320" s="46"/>
    </row>
    <row r="321" spans="1:32" x14ac:dyDescent="0.25">
      <c r="A321" s="7" t="s">
        <v>779</v>
      </c>
      <c r="B321" s="9" t="s">
        <v>934</v>
      </c>
      <c r="C321" s="70">
        <v>44428</v>
      </c>
      <c r="D321" s="70">
        <v>44428</v>
      </c>
      <c r="E321" s="73"/>
      <c r="F321" s="9"/>
      <c r="H321" s="9"/>
      <c r="I321" s="10" t="s">
        <v>935</v>
      </c>
      <c r="J321" s="51" t="s">
        <v>66</v>
      </c>
      <c r="K321" s="7"/>
      <c r="L321" s="10"/>
      <c r="M321" s="10"/>
      <c r="N321" s="10"/>
      <c r="O321" s="10"/>
      <c r="P321" s="10"/>
      <c r="Q321" s="10">
        <v>42776.03</v>
      </c>
      <c r="R321" s="10"/>
      <c r="S321" s="10"/>
      <c r="T321" s="14"/>
      <c r="U321" s="10"/>
      <c r="V321" s="10"/>
      <c r="W321" s="10"/>
      <c r="X321" s="7"/>
      <c r="Y321" s="7"/>
      <c r="Z321" s="7"/>
      <c r="AA321" s="34"/>
      <c r="AB321" s="7"/>
      <c r="AC321" s="34">
        <v>42776.03</v>
      </c>
      <c r="AD321" s="10">
        <f t="shared" si="5"/>
        <v>0</v>
      </c>
      <c r="AF321" s="46"/>
    </row>
    <row r="322" spans="1:32" x14ac:dyDescent="0.25">
      <c r="A322" s="7" t="s">
        <v>780</v>
      </c>
      <c r="B322" s="9" t="s">
        <v>937</v>
      </c>
      <c r="C322" s="70">
        <v>44428</v>
      </c>
      <c r="D322" s="70">
        <v>44428</v>
      </c>
      <c r="E322" s="73"/>
      <c r="F322" s="9"/>
      <c r="H322" s="9"/>
      <c r="I322" s="10" t="s">
        <v>938</v>
      </c>
      <c r="J322" s="51" t="s">
        <v>939</v>
      </c>
      <c r="K322" s="7"/>
      <c r="L322" s="10"/>
      <c r="M322" s="10"/>
      <c r="N322" s="10"/>
      <c r="O322" s="10"/>
      <c r="P322" s="10"/>
      <c r="Q322" s="10"/>
      <c r="R322" s="10"/>
      <c r="S322" s="10"/>
      <c r="T322" s="14"/>
      <c r="U322" s="10"/>
      <c r="V322" s="10"/>
      <c r="W322" s="10"/>
      <c r="X322" s="7"/>
      <c r="Y322" s="7"/>
      <c r="Z322" s="7"/>
      <c r="AA322" s="34">
        <v>80000</v>
      </c>
      <c r="AB322" s="7"/>
      <c r="AC322" s="34">
        <v>80000</v>
      </c>
      <c r="AD322" s="10">
        <f t="shared" si="5"/>
        <v>0</v>
      </c>
      <c r="AF322" s="46"/>
    </row>
    <row r="323" spans="1:32" x14ac:dyDescent="0.25">
      <c r="A323" s="7" t="s">
        <v>781</v>
      </c>
      <c r="B323" s="9" t="s">
        <v>940</v>
      </c>
      <c r="C323" s="70">
        <v>44428</v>
      </c>
      <c r="D323" s="70">
        <v>44428</v>
      </c>
      <c r="E323" s="73"/>
      <c r="F323" s="9"/>
      <c r="H323" s="9"/>
      <c r="I323" s="10" t="s">
        <v>64</v>
      </c>
      <c r="J323" s="51" t="s">
        <v>47</v>
      </c>
      <c r="K323" s="7"/>
      <c r="L323" s="10"/>
      <c r="M323" s="10"/>
      <c r="N323" s="10"/>
      <c r="O323" s="10"/>
      <c r="P323" s="10">
        <v>10000</v>
      </c>
      <c r="Q323" s="10"/>
      <c r="R323" s="10"/>
      <c r="S323" s="10"/>
      <c r="T323" s="14"/>
      <c r="U323" s="10"/>
      <c r="V323" s="10"/>
      <c r="W323" s="10"/>
      <c r="X323" s="7"/>
      <c r="Y323" s="7"/>
      <c r="Z323" s="34"/>
      <c r="AA323" s="34"/>
      <c r="AB323" s="7"/>
      <c r="AC323" s="10">
        <v>10000</v>
      </c>
      <c r="AD323" s="10">
        <f t="shared" si="5"/>
        <v>0</v>
      </c>
      <c r="AF323" s="46"/>
    </row>
    <row r="324" spans="1:32" x14ac:dyDescent="0.25">
      <c r="A324" s="7" t="s">
        <v>782</v>
      </c>
      <c r="B324" s="9">
        <v>3920303</v>
      </c>
      <c r="C324" s="70">
        <v>44431</v>
      </c>
      <c r="D324" s="70">
        <v>44431</v>
      </c>
      <c r="E324" s="73"/>
      <c r="F324" s="9"/>
      <c r="H324" s="9" t="s">
        <v>102</v>
      </c>
      <c r="I324" s="10" t="s">
        <v>930</v>
      </c>
      <c r="J324" s="54" t="s">
        <v>65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4">
        <v>9139.5499999999993</v>
      </c>
      <c r="U324" s="10"/>
      <c r="V324" s="10"/>
      <c r="W324" s="10"/>
      <c r="X324" s="7"/>
      <c r="Y324" s="34"/>
      <c r="Z324" s="34"/>
      <c r="AA324" s="34"/>
      <c r="AB324" s="7"/>
      <c r="AC324" s="34">
        <v>9139.5499999999993</v>
      </c>
      <c r="AD324" s="10">
        <f t="shared" si="5"/>
        <v>0</v>
      </c>
      <c r="AF324" s="46"/>
    </row>
    <row r="325" spans="1:32" x14ac:dyDescent="0.25">
      <c r="A325" s="7" t="s">
        <v>783</v>
      </c>
      <c r="B325" s="9">
        <v>3920304</v>
      </c>
      <c r="C325" s="70">
        <v>44431</v>
      </c>
      <c r="D325" s="70">
        <v>44431</v>
      </c>
      <c r="E325" s="73"/>
      <c r="F325" s="48"/>
      <c r="H325" s="9"/>
      <c r="I325" s="10" t="s">
        <v>936</v>
      </c>
      <c r="J325" s="51" t="s">
        <v>18</v>
      </c>
      <c r="K325" s="7"/>
      <c r="L325" s="10">
        <v>151.09</v>
      </c>
      <c r="M325" s="10"/>
      <c r="N325" s="10"/>
      <c r="O325" s="10"/>
      <c r="P325" s="10"/>
      <c r="Q325" s="10"/>
      <c r="R325" s="10">
        <v>1259.06</v>
      </c>
      <c r="S325" s="10"/>
      <c r="T325" s="14"/>
      <c r="U325" s="10"/>
      <c r="V325" s="10"/>
      <c r="W325" s="10"/>
      <c r="X325" s="7"/>
      <c r="Y325" s="34"/>
      <c r="Z325" s="7"/>
      <c r="AA325" s="34"/>
      <c r="AB325" s="7"/>
      <c r="AC325" s="34">
        <v>1410.15</v>
      </c>
      <c r="AD325" s="10">
        <f t="shared" si="5"/>
        <v>0</v>
      </c>
      <c r="AF325" s="46"/>
    </row>
    <row r="326" spans="1:32" x14ac:dyDescent="0.25">
      <c r="A326" s="7" t="s">
        <v>784</v>
      </c>
      <c r="B326" s="9">
        <v>3920305</v>
      </c>
      <c r="C326" s="70">
        <v>44431</v>
      </c>
      <c r="D326" s="70">
        <v>44431</v>
      </c>
      <c r="E326" s="73"/>
      <c r="F326" s="9"/>
      <c r="H326" s="9"/>
      <c r="I326" s="10" t="s">
        <v>936</v>
      </c>
      <c r="J326" s="51" t="s">
        <v>18</v>
      </c>
      <c r="K326" s="7"/>
      <c r="L326" s="14">
        <v>811.09</v>
      </c>
      <c r="M326" s="10"/>
      <c r="N326" s="10"/>
      <c r="O326" s="10"/>
      <c r="P326" s="10"/>
      <c r="Q326" s="10"/>
      <c r="R326" s="10">
        <v>6759.06</v>
      </c>
      <c r="S326" s="10"/>
      <c r="T326" s="10"/>
      <c r="U326" s="10"/>
      <c r="V326" s="10"/>
      <c r="W326" s="10"/>
      <c r="X326" s="10"/>
      <c r="Y326" s="10"/>
      <c r="Z326" s="10"/>
      <c r="AA326" s="33"/>
      <c r="AB326" s="7"/>
      <c r="AC326" s="34">
        <v>7570.15</v>
      </c>
      <c r="AD326" s="10">
        <f t="shared" si="5"/>
        <v>0</v>
      </c>
      <c r="AF326" s="46"/>
    </row>
    <row r="327" spans="1:32" x14ac:dyDescent="0.25">
      <c r="A327" s="7" t="s">
        <v>785</v>
      </c>
      <c r="B327" s="9">
        <v>3920306</v>
      </c>
      <c r="C327" s="70">
        <v>44434</v>
      </c>
      <c r="D327" s="70">
        <v>44433</v>
      </c>
      <c r="E327" s="73"/>
      <c r="F327" s="9"/>
      <c r="H327" s="9"/>
      <c r="I327" s="10" t="s">
        <v>929</v>
      </c>
      <c r="J327" s="51" t="s">
        <v>44</v>
      </c>
      <c r="K327" s="10"/>
      <c r="L327" s="10">
        <v>451.1</v>
      </c>
      <c r="M327" s="10"/>
      <c r="N327" s="10"/>
      <c r="O327" s="10"/>
      <c r="P327" s="10"/>
      <c r="Q327" s="10"/>
      <c r="R327" s="10"/>
      <c r="S327" s="10"/>
      <c r="T327" s="14"/>
      <c r="U327" s="10"/>
      <c r="V327" s="10"/>
      <c r="W327" s="10"/>
      <c r="X327" s="34">
        <v>3759.15</v>
      </c>
      <c r="Y327" s="7"/>
      <c r="Z327" s="7"/>
      <c r="AA327" s="34"/>
      <c r="AB327" s="7"/>
      <c r="AC327" s="34">
        <v>4210.25</v>
      </c>
      <c r="AD327" s="10">
        <f t="shared" si="5"/>
        <v>0</v>
      </c>
      <c r="AF327" s="46"/>
    </row>
    <row r="328" spans="1:32" x14ac:dyDescent="0.25">
      <c r="A328" s="7" t="s">
        <v>786</v>
      </c>
      <c r="B328" s="9">
        <v>3920307</v>
      </c>
      <c r="C328" s="70">
        <v>44434</v>
      </c>
      <c r="D328" s="70">
        <v>44433</v>
      </c>
      <c r="E328" s="73"/>
      <c r="F328" s="45"/>
      <c r="H328" s="9" t="s">
        <v>103</v>
      </c>
      <c r="I328" s="10" t="s">
        <v>114</v>
      </c>
      <c r="J328" s="54" t="s">
        <v>65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4">
        <v>12497.5</v>
      </c>
      <c r="U328" s="10"/>
      <c r="V328" s="10"/>
      <c r="W328" s="10"/>
      <c r="X328" s="7"/>
      <c r="Y328" s="34"/>
      <c r="Z328" s="7"/>
      <c r="AA328" s="34"/>
      <c r="AB328" s="7"/>
      <c r="AC328" s="34">
        <v>12497.5</v>
      </c>
      <c r="AD328" s="10">
        <f t="shared" si="5"/>
        <v>0</v>
      </c>
      <c r="AF328" s="46"/>
    </row>
    <row r="329" spans="1:32" x14ac:dyDescent="0.25">
      <c r="A329" s="7" t="s">
        <v>787</v>
      </c>
      <c r="B329" s="9">
        <v>3920308</v>
      </c>
      <c r="C329" s="70">
        <v>44466</v>
      </c>
      <c r="D329" s="70">
        <v>44433</v>
      </c>
      <c r="E329" s="73">
        <v>44439</v>
      </c>
      <c r="F329" s="48" t="s">
        <v>951</v>
      </c>
      <c r="G329" s="9" t="s">
        <v>249</v>
      </c>
      <c r="H329" s="9"/>
      <c r="I329" s="10" t="s">
        <v>946</v>
      </c>
      <c r="J329" s="51" t="s">
        <v>52</v>
      </c>
      <c r="K329" s="7"/>
      <c r="L329" s="10">
        <v>3311.25</v>
      </c>
      <c r="M329" s="10">
        <v>27593.75</v>
      </c>
      <c r="N329" s="10"/>
      <c r="O329" s="10"/>
      <c r="P329" s="10"/>
      <c r="Q329" s="10"/>
      <c r="R329" s="10"/>
      <c r="S329" s="10"/>
      <c r="T329" s="14"/>
      <c r="U329" s="10"/>
      <c r="V329" s="10"/>
      <c r="W329" s="10"/>
      <c r="X329" s="7"/>
      <c r="Y329" s="34"/>
      <c r="Z329" s="7"/>
      <c r="AA329" s="34"/>
      <c r="AB329" s="7"/>
      <c r="AC329" s="34">
        <v>30905</v>
      </c>
      <c r="AD329" s="10">
        <f t="shared" si="5"/>
        <v>0</v>
      </c>
      <c r="AF329" s="46"/>
    </row>
    <row r="330" spans="1:32" x14ac:dyDescent="0.25">
      <c r="A330" s="7" t="s">
        <v>788</v>
      </c>
      <c r="B330" s="9" t="s">
        <v>943</v>
      </c>
      <c r="C330" s="70">
        <v>44440</v>
      </c>
      <c r="D330" s="70">
        <v>44439</v>
      </c>
      <c r="E330" s="73">
        <v>44441</v>
      </c>
      <c r="F330" s="9" t="s">
        <v>955</v>
      </c>
      <c r="G330" s="9" t="s">
        <v>250</v>
      </c>
      <c r="H330" s="9"/>
      <c r="I330" s="7" t="s">
        <v>684</v>
      </c>
      <c r="J330" s="51" t="s">
        <v>136</v>
      </c>
      <c r="K330" s="26" t="s">
        <v>956</v>
      </c>
      <c r="L330" s="10">
        <v>4671.43</v>
      </c>
      <c r="M330" s="10">
        <v>38928.57</v>
      </c>
      <c r="N330" s="10"/>
      <c r="O330" s="10"/>
      <c r="P330" s="10"/>
      <c r="Q330" s="10"/>
      <c r="R330" s="10"/>
      <c r="S330" s="10"/>
      <c r="T330" s="14"/>
      <c r="U330" s="10"/>
      <c r="V330" s="10"/>
      <c r="W330" s="10"/>
      <c r="X330" s="7"/>
      <c r="Y330" s="7"/>
      <c r="Z330" s="7"/>
      <c r="AA330" s="34"/>
      <c r="AB330" s="7"/>
      <c r="AC330" s="34">
        <v>43600</v>
      </c>
      <c r="AD330" s="10">
        <f t="shared" si="5"/>
        <v>0</v>
      </c>
      <c r="AF330" s="46"/>
    </row>
    <row r="331" spans="1:32" x14ac:dyDescent="0.25">
      <c r="A331" s="7" t="s">
        <v>789</v>
      </c>
      <c r="B331" s="9">
        <v>3920309</v>
      </c>
      <c r="C331" s="70">
        <v>44485</v>
      </c>
      <c r="D331" s="70">
        <v>44439</v>
      </c>
      <c r="E331" s="73">
        <v>44439</v>
      </c>
      <c r="F331" s="9" t="s">
        <v>950</v>
      </c>
      <c r="G331" s="9" t="s">
        <v>251</v>
      </c>
      <c r="H331" s="9"/>
      <c r="I331" s="10" t="s">
        <v>629</v>
      </c>
      <c r="J331" s="51" t="s">
        <v>31</v>
      </c>
      <c r="K331" s="24" t="s">
        <v>32</v>
      </c>
      <c r="L331" s="10">
        <v>4017.86</v>
      </c>
      <c r="M331" s="10">
        <v>33482.14</v>
      </c>
      <c r="N331" s="10"/>
      <c r="O331" s="10"/>
      <c r="P331" s="10"/>
      <c r="Q331" s="10"/>
      <c r="R331" s="10"/>
      <c r="S331" s="10"/>
      <c r="T331" s="14"/>
      <c r="U331" s="10"/>
      <c r="V331" s="10"/>
      <c r="W331" s="10"/>
      <c r="X331" s="7"/>
      <c r="Y331" s="7"/>
      <c r="Z331" s="7"/>
      <c r="AA331" s="34"/>
      <c r="AB331" s="7"/>
      <c r="AC331" s="34">
        <v>37500</v>
      </c>
      <c r="AD331" s="10">
        <f t="shared" si="5"/>
        <v>0</v>
      </c>
      <c r="AF331" s="46"/>
    </row>
    <row r="332" spans="1:32" x14ac:dyDescent="0.25">
      <c r="A332" s="7" t="s">
        <v>790</v>
      </c>
      <c r="B332" s="9">
        <v>3920310</v>
      </c>
      <c r="C332" s="70">
        <v>44439</v>
      </c>
      <c r="D332" s="70">
        <v>44439</v>
      </c>
      <c r="E332" s="73"/>
      <c r="F332" s="9"/>
      <c r="H332" s="9"/>
      <c r="I332" s="10" t="s">
        <v>944</v>
      </c>
      <c r="J332" s="51" t="s">
        <v>43</v>
      </c>
      <c r="K332" s="7"/>
      <c r="L332" s="10">
        <v>205.75</v>
      </c>
      <c r="M332" s="10"/>
      <c r="N332" s="10"/>
      <c r="O332" s="10"/>
      <c r="P332" s="10"/>
      <c r="Q332" s="10"/>
      <c r="R332" s="10"/>
      <c r="S332" s="10">
        <v>1714.59</v>
      </c>
      <c r="T332" s="14"/>
      <c r="U332" s="10"/>
      <c r="V332" s="10"/>
      <c r="W332" s="10"/>
      <c r="X332" s="7"/>
      <c r="Y332" s="7"/>
      <c r="Z332" s="7"/>
      <c r="AA332" s="34"/>
      <c r="AB332" s="7"/>
      <c r="AC332" s="34">
        <v>1920.34</v>
      </c>
      <c r="AD332" s="10">
        <f t="shared" si="5"/>
        <v>0</v>
      </c>
      <c r="AF332" s="46"/>
    </row>
    <row r="333" spans="1:32" x14ac:dyDescent="0.25">
      <c r="A333" s="7" t="s">
        <v>791</v>
      </c>
      <c r="B333" s="9">
        <v>3920311</v>
      </c>
      <c r="C333" s="70">
        <v>44439</v>
      </c>
      <c r="D333" s="70">
        <v>44439</v>
      </c>
      <c r="E333" s="73">
        <v>44439</v>
      </c>
      <c r="F333" s="9" t="s">
        <v>949</v>
      </c>
      <c r="H333" s="9"/>
      <c r="I333" s="10" t="s">
        <v>948</v>
      </c>
      <c r="J333" s="51" t="s">
        <v>83</v>
      </c>
      <c r="K333" s="7" t="s">
        <v>116</v>
      </c>
      <c r="L333" s="10"/>
      <c r="M333" s="10"/>
      <c r="N333" s="10"/>
      <c r="O333" s="10"/>
      <c r="P333" s="10"/>
      <c r="Q333" s="10"/>
      <c r="R333" s="10"/>
      <c r="S333" s="10"/>
      <c r="T333" s="14"/>
      <c r="U333" s="10"/>
      <c r="V333" s="10"/>
      <c r="W333" s="10"/>
      <c r="X333" s="7"/>
      <c r="Y333" s="7"/>
      <c r="Z333" s="7"/>
      <c r="AA333" s="34">
        <v>2700</v>
      </c>
      <c r="AB333" s="7"/>
      <c r="AC333" s="34">
        <v>2700</v>
      </c>
      <c r="AD333" s="10">
        <f t="shared" si="5"/>
        <v>0</v>
      </c>
      <c r="AF333" s="46"/>
    </row>
    <row r="334" spans="1:32" s="39" customFormat="1" x14ac:dyDescent="0.25">
      <c r="A334" s="20"/>
      <c r="B334" s="19"/>
      <c r="C334" s="72"/>
      <c r="D334" s="72"/>
      <c r="E334" s="77"/>
      <c r="F334" s="19"/>
      <c r="G334" s="19"/>
      <c r="H334" s="19"/>
      <c r="I334" s="22"/>
      <c r="J334" s="20"/>
      <c r="K334" s="20"/>
      <c r="L334" s="22"/>
      <c r="M334" s="22"/>
      <c r="N334" s="22"/>
      <c r="O334" s="22"/>
      <c r="P334" s="22"/>
      <c r="Q334" s="22"/>
      <c r="R334" s="22"/>
      <c r="S334" s="22"/>
      <c r="T334" s="21"/>
      <c r="U334" s="22"/>
      <c r="V334" s="22"/>
      <c r="W334" s="22"/>
      <c r="X334" s="20"/>
      <c r="Y334" s="20"/>
      <c r="Z334" s="20"/>
      <c r="AA334" s="35"/>
      <c r="AB334" s="20"/>
      <c r="AC334" s="35"/>
      <c r="AD334" s="22"/>
      <c r="AE334" s="20"/>
      <c r="AF334" s="95"/>
    </row>
    <row r="335" spans="1:32" s="39" customFormat="1" x14ac:dyDescent="0.25">
      <c r="A335" s="25">
        <v>44440</v>
      </c>
      <c r="B335" s="19"/>
      <c r="C335" s="72"/>
      <c r="D335" s="72"/>
      <c r="E335" s="77"/>
      <c r="F335" s="19"/>
      <c r="G335" s="19"/>
      <c r="H335" s="19"/>
      <c r="I335" s="22"/>
      <c r="J335" s="20"/>
      <c r="K335" s="20"/>
      <c r="L335" s="22"/>
      <c r="M335" s="22"/>
      <c r="N335" s="22"/>
      <c r="O335" s="22"/>
      <c r="P335" s="22"/>
      <c r="Q335" s="22"/>
      <c r="R335" s="22"/>
      <c r="S335" s="22"/>
      <c r="T335" s="21"/>
      <c r="U335" s="22"/>
      <c r="V335" s="22"/>
      <c r="W335" s="22"/>
      <c r="X335" s="20"/>
      <c r="Y335" s="20"/>
      <c r="Z335" s="20"/>
      <c r="AA335" s="35"/>
      <c r="AB335" s="20"/>
      <c r="AC335" s="35"/>
      <c r="AD335" s="22"/>
      <c r="AE335" s="20"/>
      <c r="AF335" s="95"/>
    </row>
    <row r="336" spans="1:32" x14ac:dyDescent="0.25">
      <c r="A336" s="7" t="s">
        <v>792</v>
      </c>
      <c r="B336" s="9" t="s">
        <v>945</v>
      </c>
      <c r="C336" s="70">
        <v>44440</v>
      </c>
      <c r="D336" s="70">
        <v>44440</v>
      </c>
      <c r="E336" s="73"/>
      <c r="F336" s="9"/>
      <c r="H336" s="9"/>
      <c r="I336" s="10" t="s">
        <v>93</v>
      </c>
      <c r="J336" s="10" t="s">
        <v>79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4"/>
      <c r="U336" s="10"/>
      <c r="V336" s="10">
        <v>20667</v>
      </c>
      <c r="W336" s="10"/>
      <c r="X336" s="7"/>
      <c r="Y336" s="7"/>
      <c r="Z336" s="34"/>
      <c r="AA336" s="34"/>
      <c r="AB336" s="7"/>
      <c r="AC336" s="34">
        <v>20667</v>
      </c>
      <c r="AD336" s="10">
        <f t="shared" si="5"/>
        <v>0</v>
      </c>
      <c r="AF336" s="46"/>
    </row>
    <row r="337" spans="1:32" x14ac:dyDescent="0.25">
      <c r="A337" s="7" t="s">
        <v>793</v>
      </c>
      <c r="B337" s="9" t="s">
        <v>957</v>
      </c>
      <c r="C337" s="70">
        <v>44445</v>
      </c>
      <c r="D337" s="70">
        <v>44445</v>
      </c>
      <c r="E337" s="73"/>
      <c r="F337" s="9"/>
      <c r="H337" s="9"/>
      <c r="I337" s="10" t="s">
        <v>147</v>
      </c>
      <c r="J337" s="10" t="s">
        <v>39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4"/>
      <c r="U337" s="10"/>
      <c r="V337" s="10"/>
      <c r="W337" s="10"/>
      <c r="X337" s="7"/>
      <c r="Y337" s="7"/>
      <c r="Z337" s="34"/>
      <c r="AA337" s="34">
        <v>17277.5</v>
      </c>
      <c r="AB337" s="7"/>
      <c r="AC337" s="34">
        <v>17277.5</v>
      </c>
      <c r="AD337" s="10">
        <f t="shared" si="5"/>
        <v>0</v>
      </c>
      <c r="AF337" s="46"/>
    </row>
    <row r="338" spans="1:32" x14ac:dyDescent="0.25">
      <c r="A338" s="7" t="s">
        <v>794</v>
      </c>
      <c r="B338" s="9" t="s">
        <v>958</v>
      </c>
      <c r="C338" s="70">
        <v>44445</v>
      </c>
      <c r="D338" s="70">
        <v>44445</v>
      </c>
      <c r="E338" s="73"/>
      <c r="F338" s="9"/>
      <c r="H338" s="9" t="s">
        <v>104</v>
      </c>
      <c r="I338" s="10" t="s">
        <v>959</v>
      </c>
      <c r="J338" s="10" t="s">
        <v>39</v>
      </c>
      <c r="K338" s="10"/>
      <c r="L338" s="10">
        <v>187.5</v>
      </c>
      <c r="M338" s="10"/>
      <c r="N338" s="10"/>
      <c r="O338" s="10"/>
      <c r="P338" s="10"/>
      <c r="Q338" s="10"/>
      <c r="R338" s="10"/>
      <c r="S338" s="10"/>
      <c r="T338" s="14"/>
      <c r="U338" s="10"/>
      <c r="V338" s="10"/>
      <c r="W338" s="10"/>
      <c r="X338" s="7"/>
      <c r="Y338" s="7"/>
      <c r="Z338" s="34"/>
      <c r="AA338" s="34">
        <v>4781.5600000000004</v>
      </c>
      <c r="AB338" s="7"/>
      <c r="AC338" s="34">
        <v>4969.0600000000004</v>
      </c>
      <c r="AD338" s="10">
        <f t="shared" si="5"/>
        <v>0</v>
      </c>
      <c r="AF338" s="46"/>
    </row>
    <row r="339" spans="1:32" x14ac:dyDescent="0.25">
      <c r="A339" s="7" t="s">
        <v>795</v>
      </c>
      <c r="B339" s="9" t="s">
        <v>960</v>
      </c>
      <c r="C339" s="70">
        <v>44445</v>
      </c>
      <c r="D339" s="70">
        <v>44445</v>
      </c>
      <c r="E339" s="73"/>
      <c r="F339" s="9"/>
      <c r="H339" s="9"/>
      <c r="I339" s="10" t="s">
        <v>55</v>
      </c>
      <c r="J339" s="10" t="s">
        <v>54</v>
      </c>
      <c r="K339" s="7"/>
      <c r="L339" s="10"/>
      <c r="M339" s="10"/>
      <c r="N339" s="10"/>
      <c r="O339" s="10"/>
      <c r="P339" s="10"/>
      <c r="Q339" s="10"/>
      <c r="R339" s="10"/>
      <c r="S339" s="10"/>
      <c r="T339" s="14"/>
      <c r="U339" s="10"/>
      <c r="V339" s="10"/>
      <c r="W339" s="10"/>
      <c r="X339" s="7"/>
      <c r="Y339" s="7"/>
      <c r="Z339" s="34">
        <v>150000</v>
      </c>
      <c r="AA339" s="34"/>
      <c r="AB339" s="7"/>
      <c r="AC339" s="34">
        <v>150000</v>
      </c>
      <c r="AD339" s="10">
        <f t="shared" si="5"/>
        <v>0</v>
      </c>
      <c r="AF339" s="46"/>
    </row>
    <row r="340" spans="1:32" x14ac:dyDescent="0.25">
      <c r="A340" s="7" t="s">
        <v>796</v>
      </c>
      <c r="B340" s="9" t="s">
        <v>961</v>
      </c>
      <c r="C340" s="70">
        <v>44445</v>
      </c>
      <c r="D340" s="70">
        <v>44445</v>
      </c>
      <c r="E340" s="73">
        <v>44447</v>
      </c>
      <c r="F340" s="9" t="s">
        <v>964</v>
      </c>
      <c r="G340" s="9" t="s">
        <v>271</v>
      </c>
      <c r="H340" s="9"/>
      <c r="I340" s="7" t="s">
        <v>677</v>
      </c>
      <c r="J340" s="7" t="s">
        <v>297</v>
      </c>
      <c r="K340" s="7" t="s">
        <v>298</v>
      </c>
      <c r="L340" s="14">
        <v>7264.29</v>
      </c>
      <c r="M340" s="10">
        <v>60535.71</v>
      </c>
      <c r="N340" s="10"/>
      <c r="O340" s="10"/>
      <c r="P340" s="10"/>
      <c r="Q340" s="10"/>
      <c r="R340" s="10"/>
      <c r="S340" s="10"/>
      <c r="T340" s="14"/>
      <c r="U340" s="10"/>
      <c r="V340" s="10"/>
      <c r="W340" s="10"/>
      <c r="X340" s="7"/>
      <c r="Y340" s="7"/>
      <c r="Z340" s="7"/>
      <c r="AA340" s="34"/>
      <c r="AB340" s="7"/>
      <c r="AC340" s="34">
        <v>67800</v>
      </c>
      <c r="AD340" s="10">
        <f t="shared" si="5"/>
        <v>0</v>
      </c>
      <c r="AF340" s="46"/>
    </row>
    <row r="341" spans="1:32" x14ac:dyDescent="0.25">
      <c r="A341" s="7" t="s">
        <v>797</v>
      </c>
      <c r="B341" s="9" t="s">
        <v>962</v>
      </c>
      <c r="C341" s="70">
        <v>44445</v>
      </c>
      <c r="D341" s="70">
        <v>44445</v>
      </c>
      <c r="E341" s="73"/>
      <c r="F341" s="9"/>
      <c r="H341" s="9"/>
      <c r="I341" s="10" t="s">
        <v>966</v>
      </c>
      <c r="J341" s="7" t="s">
        <v>18</v>
      </c>
      <c r="K341" s="7"/>
      <c r="L341" s="10">
        <v>151.09</v>
      </c>
      <c r="M341" s="10"/>
      <c r="N341" s="10"/>
      <c r="O341" s="10"/>
      <c r="P341" s="10"/>
      <c r="Q341" s="10"/>
      <c r="R341" s="10">
        <v>1259.06</v>
      </c>
      <c r="S341" s="10"/>
      <c r="T341" s="14"/>
      <c r="U341" s="10"/>
      <c r="V341" s="10"/>
      <c r="W341" s="10"/>
      <c r="X341" s="7"/>
      <c r="Y341" s="7"/>
      <c r="Z341" s="34"/>
      <c r="AA341" s="34"/>
      <c r="AB341" s="7"/>
      <c r="AC341" s="34">
        <v>1410.15</v>
      </c>
      <c r="AD341" s="10">
        <f t="shared" si="5"/>
        <v>0</v>
      </c>
      <c r="AF341" s="46"/>
    </row>
    <row r="342" spans="1:32" x14ac:dyDescent="0.25">
      <c r="A342" s="7" t="s">
        <v>798</v>
      </c>
      <c r="B342" s="9" t="s">
        <v>963</v>
      </c>
      <c r="C342" s="70">
        <v>44445</v>
      </c>
      <c r="D342" s="70">
        <v>44445</v>
      </c>
      <c r="E342" s="73"/>
      <c r="F342" s="9"/>
      <c r="H342" s="9"/>
      <c r="I342" s="10" t="s">
        <v>966</v>
      </c>
      <c r="J342" s="7" t="s">
        <v>18</v>
      </c>
      <c r="K342" s="7"/>
      <c r="L342" s="14">
        <v>811.09</v>
      </c>
      <c r="M342" s="10"/>
      <c r="N342" s="10"/>
      <c r="O342" s="10"/>
      <c r="P342" s="10"/>
      <c r="Q342" s="10"/>
      <c r="R342" s="10">
        <v>6759.06</v>
      </c>
      <c r="S342" s="10"/>
      <c r="T342" s="14"/>
      <c r="U342" s="10"/>
      <c r="V342" s="10"/>
      <c r="W342" s="10"/>
      <c r="X342" s="7"/>
      <c r="Y342" s="7"/>
      <c r="Z342" s="34"/>
      <c r="AA342" s="34"/>
      <c r="AB342" s="7"/>
      <c r="AC342" s="34">
        <v>7570.15</v>
      </c>
      <c r="AD342" s="10">
        <f t="shared" ref="AD342:AD407" si="6">SUM(AB342:AC342)-SUM(L342:AA342)</f>
        <v>0</v>
      </c>
      <c r="AF342" s="46"/>
    </row>
    <row r="343" spans="1:32" x14ac:dyDescent="0.25">
      <c r="A343" s="7" t="s">
        <v>799</v>
      </c>
      <c r="B343" s="9">
        <v>3920314</v>
      </c>
      <c r="C343" s="70">
        <v>44448</v>
      </c>
      <c r="D343" s="70">
        <v>44448</v>
      </c>
      <c r="E343" s="73"/>
      <c r="F343" s="9"/>
      <c r="H343" s="9"/>
      <c r="I343" s="10" t="s">
        <v>965</v>
      </c>
      <c r="J343" s="7" t="s">
        <v>43</v>
      </c>
      <c r="K343" s="7"/>
      <c r="L343" s="10">
        <v>107.04</v>
      </c>
      <c r="M343" s="10"/>
      <c r="N343" s="10"/>
      <c r="O343" s="10"/>
      <c r="P343" s="10"/>
      <c r="Q343" s="10"/>
      <c r="R343" s="10"/>
      <c r="S343" s="10">
        <v>891.96</v>
      </c>
      <c r="T343" s="14"/>
      <c r="U343" s="10"/>
      <c r="V343" s="10"/>
      <c r="W343" s="10"/>
      <c r="X343" s="7"/>
      <c r="Y343" s="7"/>
      <c r="Z343" s="34"/>
      <c r="AA343" s="34"/>
      <c r="AB343" s="7"/>
      <c r="AC343" s="34">
        <v>999</v>
      </c>
      <c r="AD343" s="10">
        <f t="shared" si="6"/>
        <v>0</v>
      </c>
      <c r="AF343" s="46"/>
    </row>
    <row r="344" spans="1:32" x14ac:dyDescent="0.25">
      <c r="A344" s="7" t="s">
        <v>800</v>
      </c>
      <c r="B344" s="9">
        <v>3920315</v>
      </c>
      <c r="C344" s="70">
        <v>44448</v>
      </c>
      <c r="D344" s="70">
        <v>44448</v>
      </c>
      <c r="E344" s="73"/>
      <c r="F344" s="48"/>
      <c r="H344" s="9"/>
      <c r="I344" s="10" t="s">
        <v>965</v>
      </c>
      <c r="J344" s="7" t="s">
        <v>43</v>
      </c>
      <c r="K344" s="10"/>
      <c r="L344" s="10">
        <v>148.61000000000001</v>
      </c>
      <c r="M344" s="10"/>
      <c r="N344" s="10"/>
      <c r="O344" s="10"/>
      <c r="P344" s="10"/>
      <c r="Q344" s="10"/>
      <c r="R344" s="10"/>
      <c r="S344" s="10">
        <v>1238.3800000000001</v>
      </c>
      <c r="T344" s="14"/>
      <c r="U344" s="10"/>
      <c r="V344" s="10"/>
      <c r="W344" s="10"/>
      <c r="X344" s="7"/>
      <c r="Y344" s="34"/>
      <c r="Z344" s="7"/>
      <c r="AA344" s="34"/>
      <c r="AB344" s="7"/>
      <c r="AC344" s="34">
        <v>1386.99</v>
      </c>
      <c r="AD344" s="10">
        <f t="shared" si="6"/>
        <v>0</v>
      </c>
      <c r="AF344" s="46"/>
    </row>
    <row r="345" spans="1:32" x14ac:dyDescent="0.25">
      <c r="A345" s="7" t="s">
        <v>801</v>
      </c>
      <c r="B345" s="9" t="s">
        <v>962</v>
      </c>
      <c r="C345" s="70">
        <v>44452</v>
      </c>
      <c r="D345" s="70">
        <v>44452</v>
      </c>
      <c r="E345" s="73"/>
      <c r="F345" s="9"/>
      <c r="H345" s="9"/>
      <c r="I345" s="10" t="s">
        <v>967</v>
      </c>
      <c r="J345" s="7" t="s">
        <v>56</v>
      </c>
      <c r="K345" s="7"/>
      <c r="L345" s="10"/>
      <c r="M345" s="10"/>
      <c r="N345" s="10"/>
      <c r="O345" s="10"/>
      <c r="P345" s="10"/>
      <c r="Q345" s="10">
        <v>12724.23</v>
      </c>
      <c r="R345" s="10"/>
      <c r="S345" s="10"/>
      <c r="T345" s="14"/>
      <c r="U345" s="10"/>
      <c r="V345" s="10"/>
      <c r="W345" s="10"/>
      <c r="X345" s="7"/>
      <c r="Y345" s="7"/>
      <c r="Z345" s="7"/>
      <c r="AA345" s="34"/>
      <c r="AB345" s="7"/>
      <c r="AC345" s="34">
        <v>12724.23</v>
      </c>
      <c r="AD345" s="10">
        <f t="shared" si="6"/>
        <v>0</v>
      </c>
      <c r="AF345" s="46"/>
    </row>
    <row r="346" spans="1:32" x14ac:dyDescent="0.25">
      <c r="A346" s="7" t="s">
        <v>802</v>
      </c>
      <c r="B346" s="9" t="s">
        <v>963</v>
      </c>
      <c r="C346" s="70">
        <v>44452</v>
      </c>
      <c r="D346" s="70">
        <v>44452</v>
      </c>
      <c r="E346" s="73"/>
      <c r="F346" s="9"/>
      <c r="H346" s="9"/>
      <c r="I346" s="10" t="s">
        <v>494</v>
      </c>
      <c r="J346" s="7" t="s">
        <v>39</v>
      </c>
      <c r="K346" s="7"/>
      <c r="L346" s="14"/>
      <c r="M346" s="10"/>
      <c r="N346" s="10"/>
      <c r="O346" s="10"/>
      <c r="P346" s="10"/>
      <c r="Q346" s="10"/>
      <c r="R346" s="10"/>
      <c r="S346" s="10"/>
      <c r="T346" s="14"/>
      <c r="U346" s="10"/>
      <c r="V346" s="10"/>
      <c r="W346" s="10">
        <v>50000</v>
      </c>
      <c r="X346" s="7"/>
      <c r="Y346" s="7"/>
      <c r="Z346" s="7"/>
      <c r="AA346" s="34"/>
      <c r="AB346" s="7"/>
      <c r="AC346" s="34">
        <v>50000</v>
      </c>
      <c r="AD346" s="10">
        <f t="shared" si="6"/>
        <v>0</v>
      </c>
      <c r="AF346" s="46"/>
    </row>
    <row r="347" spans="1:32" x14ac:dyDescent="0.25">
      <c r="A347" s="7" t="s">
        <v>803</v>
      </c>
      <c r="B347" s="9">
        <v>3920316</v>
      </c>
      <c r="C347" s="70">
        <v>44472</v>
      </c>
      <c r="D347" s="70">
        <v>44452</v>
      </c>
      <c r="E347" s="73">
        <v>44476</v>
      </c>
      <c r="F347" s="9" t="s">
        <v>990</v>
      </c>
      <c r="G347" s="9" t="s">
        <v>252</v>
      </c>
      <c r="H347" s="9"/>
      <c r="I347" s="10" t="s">
        <v>470</v>
      </c>
      <c r="J347" s="7" t="s">
        <v>83</v>
      </c>
      <c r="K347" s="7" t="s">
        <v>116</v>
      </c>
      <c r="L347" s="10">
        <v>4320</v>
      </c>
      <c r="M347" s="10">
        <v>36000</v>
      </c>
      <c r="N347" s="10"/>
      <c r="O347" s="10"/>
      <c r="P347" s="10"/>
      <c r="Q347" s="10"/>
      <c r="R347" s="10"/>
      <c r="S347" s="10"/>
      <c r="T347" s="14"/>
      <c r="U347" s="10"/>
      <c r="V347" s="10"/>
      <c r="W347" s="10"/>
      <c r="X347" s="7"/>
      <c r="Y347" s="7"/>
      <c r="Z347" s="7"/>
      <c r="AA347" s="34"/>
      <c r="AB347" s="7"/>
      <c r="AC347" s="34">
        <v>40320</v>
      </c>
      <c r="AD347" s="10">
        <f t="shared" si="6"/>
        <v>0</v>
      </c>
      <c r="AF347" s="46"/>
    </row>
    <row r="348" spans="1:32" x14ac:dyDescent="0.25">
      <c r="A348" s="7" t="s">
        <v>804</v>
      </c>
      <c r="B348" s="9">
        <v>3920317</v>
      </c>
      <c r="C348" s="70">
        <v>44452</v>
      </c>
      <c r="D348" s="70">
        <v>44452</v>
      </c>
      <c r="E348" s="73"/>
      <c r="F348" s="9"/>
      <c r="H348" s="9" t="s">
        <v>124</v>
      </c>
      <c r="I348" s="10" t="s">
        <v>114</v>
      </c>
      <c r="J348" s="7" t="s">
        <v>65</v>
      </c>
      <c r="K348" s="23"/>
      <c r="L348" s="10"/>
      <c r="M348" s="10"/>
      <c r="N348" s="10"/>
      <c r="O348" s="10"/>
      <c r="P348" s="10"/>
      <c r="Q348" s="10"/>
      <c r="R348" s="10"/>
      <c r="S348" s="10"/>
      <c r="T348" s="10">
        <v>12477.5</v>
      </c>
      <c r="U348" s="10"/>
      <c r="V348" s="10"/>
      <c r="W348" s="10"/>
      <c r="X348" s="10"/>
      <c r="Y348" s="10"/>
      <c r="Z348" s="10"/>
      <c r="AA348" s="34"/>
      <c r="AB348" s="7"/>
      <c r="AC348" s="34">
        <v>12477.5</v>
      </c>
      <c r="AD348" s="10">
        <f t="shared" si="6"/>
        <v>0</v>
      </c>
      <c r="AF348" s="46"/>
    </row>
    <row r="349" spans="1:32" x14ac:dyDescent="0.25">
      <c r="A349" s="7" t="s">
        <v>805</v>
      </c>
      <c r="B349" s="9">
        <v>3920318</v>
      </c>
      <c r="C349" s="70">
        <v>44455</v>
      </c>
      <c r="D349" s="70">
        <v>44455</v>
      </c>
      <c r="E349" s="73">
        <v>44453</v>
      </c>
      <c r="F349" s="9" t="s">
        <v>969</v>
      </c>
      <c r="G349" s="9" t="s">
        <v>272</v>
      </c>
      <c r="H349" s="9"/>
      <c r="I349" s="10" t="s">
        <v>53</v>
      </c>
      <c r="J349" s="7" t="s">
        <v>59</v>
      </c>
      <c r="K349" s="7" t="s">
        <v>968</v>
      </c>
      <c r="L349" s="14">
        <v>264.11</v>
      </c>
      <c r="M349" s="34">
        <v>2200.89</v>
      </c>
      <c r="N349" s="10"/>
      <c r="O349" s="10"/>
      <c r="P349" s="10"/>
      <c r="Q349" s="10"/>
      <c r="R349" s="10"/>
      <c r="S349" s="10"/>
      <c r="T349" s="14"/>
      <c r="U349" s="10"/>
      <c r="V349" s="10"/>
      <c r="W349" s="10"/>
      <c r="X349" s="7"/>
      <c r="Y349" s="7"/>
      <c r="Z349" s="7"/>
      <c r="AA349" s="34"/>
      <c r="AB349" s="7"/>
      <c r="AC349" s="34">
        <v>2465</v>
      </c>
      <c r="AD349" s="10">
        <f t="shared" si="6"/>
        <v>0</v>
      </c>
      <c r="AF349" s="46"/>
    </row>
    <row r="350" spans="1:32" x14ac:dyDescent="0.25">
      <c r="A350" s="7" t="s">
        <v>806</v>
      </c>
      <c r="B350" s="9">
        <v>3920319</v>
      </c>
      <c r="C350" s="70">
        <v>44455</v>
      </c>
      <c r="D350" s="70">
        <v>44455</v>
      </c>
      <c r="E350" s="73"/>
      <c r="F350" s="9"/>
      <c r="H350" s="9" t="s">
        <v>105</v>
      </c>
      <c r="I350" s="10" t="s">
        <v>970</v>
      </c>
      <c r="J350" s="10" t="s">
        <v>35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4"/>
      <c r="U350" s="10"/>
      <c r="V350" s="10"/>
      <c r="W350" s="10"/>
      <c r="X350" s="7"/>
      <c r="Y350" s="7"/>
      <c r="Z350" s="34"/>
      <c r="AA350" s="34">
        <v>3578</v>
      </c>
      <c r="AB350" s="7"/>
      <c r="AC350" s="34">
        <v>3578</v>
      </c>
      <c r="AD350" s="10">
        <f t="shared" si="6"/>
        <v>0</v>
      </c>
      <c r="AF350" s="46"/>
    </row>
    <row r="351" spans="1:32" x14ac:dyDescent="0.25">
      <c r="A351" s="7" t="s">
        <v>807</v>
      </c>
      <c r="B351" s="9">
        <v>3920320</v>
      </c>
      <c r="C351" s="70">
        <v>44498</v>
      </c>
      <c r="D351" s="70">
        <v>44455</v>
      </c>
      <c r="E351" s="73">
        <v>44491</v>
      </c>
      <c r="F351" s="9" t="s">
        <v>1034</v>
      </c>
      <c r="G351" s="9" t="s">
        <v>273</v>
      </c>
      <c r="H351" s="9"/>
      <c r="I351" s="10" t="s">
        <v>971</v>
      </c>
      <c r="J351" s="7" t="s">
        <v>31</v>
      </c>
      <c r="K351" s="24" t="s">
        <v>32</v>
      </c>
      <c r="L351" s="10">
        <v>5839.29</v>
      </c>
      <c r="M351" s="10">
        <v>48660.71</v>
      </c>
      <c r="N351" s="10"/>
      <c r="O351" s="10"/>
      <c r="P351" s="10"/>
      <c r="Q351" s="10"/>
      <c r="R351" s="10"/>
      <c r="S351" s="10"/>
      <c r="T351" s="14"/>
      <c r="U351" s="10"/>
      <c r="V351" s="10"/>
      <c r="W351" s="10"/>
      <c r="X351" s="7"/>
      <c r="Y351" s="7"/>
      <c r="Z351" s="34"/>
      <c r="AA351" s="34"/>
      <c r="AB351" s="7"/>
      <c r="AC351" s="34">
        <v>54500</v>
      </c>
      <c r="AD351" s="10">
        <f t="shared" si="6"/>
        <v>0</v>
      </c>
      <c r="AF351" s="46"/>
    </row>
    <row r="352" spans="1:32" ht="15" customHeight="1" x14ac:dyDescent="0.25">
      <c r="A352" s="7" t="s">
        <v>808</v>
      </c>
      <c r="B352" s="9">
        <v>3920321</v>
      </c>
      <c r="C352" s="70">
        <v>44455</v>
      </c>
      <c r="D352" s="70">
        <v>44455</v>
      </c>
      <c r="E352" s="73"/>
      <c r="F352" s="9"/>
      <c r="H352" s="9"/>
      <c r="I352" s="10" t="s">
        <v>972</v>
      </c>
      <c r="J352" s="7" t="s">
        <v>46</v>
      </c>
      <c r="K352" s="7"/>
      <c r="L352" s="10">
        <v>107.04</v>
      </c>
      <c r="M352" s="10"/>
      <c r="N352" s="10"/>
      <c r="O352" s="10"/>
      <c r="P352" s="10"/>
      <c r="Q352" s="10"/>
      <c r="R352" s="10"/>
      <c r="S352" s="10">
        <v>891.96</v>
      </c>
      <c r="T352" s="10"/>
      <c r="U352" s="10"/>
      <c r="V352" s="10"/>
      <c r="W352" s="10"/>
      <c r="X352" s="10"/>
      <c r="Y352" s="10"/>
      <c r="Z352" s="10"/>
      <c r="AA352" s="34"/>
      <c r="AB352" s="10"/>
      <c r="AC352" s="34">
        <v>999</v>
      </c>
      <c r="AD352" s="10">
        <f t="shared" si="6"/>
        <v>0</v>
      </c>
      <c r="AF352" s="46"/>
    </row>
    <row r="353" spans="1:32" ht="15" customHeight="1" x14ac:dyDescent="0.25">
      <c r="A353" s="7" t="s">
        <v>809</v>
      </c>
      <c r="B353" s="9">
        <v>3920322</v>
      </c>
      <c r="C353" s="70">
        <v>44455</v>
      </c>
      <c r="D353" s="70">
        <v>44455</v>
      </c>
      <c r="E353" s="73"/>
      <c r="F353" s="9"/>
      <c r="H353" s="9"/>
      <c r="I353" s="10" t="s">
        <v>972</v>
      </c>
      <c r="J353" s="7" t="s">
        <v>46</v>
      </c>
      <c r="K353" s="7"/>
      <c r="L353" s="10">
        <v>192.75</v>
      </c>
      <c r="M353" s="10"/>
      <c r="N353" s="10"/>
      <c r="O353" s="10"/>
      <c r="P353" s="10"/>
      <c r="Q353" s="10"/>
      <c r="R353" s="10"/>
      <c r="S353" s="10">
        <v>1606.25</v>
      </c>
      <c r="T353" s="14"/>
      <c r="U353" s="10"/>
      <c r="V353" s="10"/>
      <c r="W353" s="10"/>
      <c r="X353" s="7"/>
      <c r="Y353" s="7"/>
      <c r="Z353" s="7"/>
      <c r="AA353" s="34"/>
      <c r="AB353" s="7"/>
      <c r="AC353" s="34">
        <v>1799</v>
      </c>
      <c r="AD353" s="10">
        <f t="shared" si="6"/>
        <v>0</v>
      </c>
      <c r="AF353" s="46"/>
    </row>
    <row r="354" spans="1:32" ht="15" customHeight="1" x14ac:dyDescent="0.25">
      <c r="A354" s="7" t="s">
        <v>810</v>
      </c>
      <c r="B354" s="9">
        <v>3920323</v>
      </c>
      <c r="C354" s="70">
        <v>44459</v>
      </c>
      <c r="D354" s="70">
        <v>44459</v>
      </c>
      <c r="E354" s="73"/>
      <c r="F354" s="9"/>
      <c r="H354" s="9"/>
      <c r="I354" s="10" t="s">
        <v>976</v>
      </c>
      <c r="J354" s="7" t="s">
        <v>46</v>
      </c>
      <c r="K354" s="7"/>
      <c r="L354" s="10">
        <v>107.04</v>
      </c>
      <c r="M354" s="10"/>
      <c r="N354" s="10"/>
      <c r="O354" s="10"/>
      <c r="P354" s="10"/>
      <c r="Q354" s="10"/>
      <c r="R354" s="10"/>
      <c r="S354" s="10">
        <v>891.96</v>
      </c>
      <c r="T354" s="10"/>
      <c r="U354" s="10"/>
      <c r="V354" s="10"/>
      <c r="W354" s="10"/>
      <c r="X354" s="7"/>
      <c r="Y354" s="7"/>
      <c r="Z354" s="7"/>
      <c r="AA354" s="34"/>
      <c r="AB354" s="7"/>
      <c r="AC354" s="34">
        <v>999</v>
      </c>
      <c r="AD354" s="10">
        <f t="shared" si="6"/>
        <v>0</v>
      </c>
      <c r="AF354" s="46"/>
    </row>
    <row r="355" spans="1:32" ht="15" customHeight="1" x14ac:dyDescent="0.25">
      <c r="A355" s="7" t="s">
        <v>811</v>
      </c>
      <c r="B355" s="9">
        <v>3920324</v>
      </c>
      <c r="C355" s="70">
        <v>44459</v>
      </c>
      <c r="D355" s="70">
        <v>44459</v>
      </c>
      <c r="E355" s="73"/>
      <c r="F355" s="9"/>
      <c r="I355" s="10" t="s">
        <v>976</v>
      </c>
      <c r="J355" s="7" t="s">
        <v>46</v>
      </c>
      <c r="K355" s="7"/>
      <c r="L355" s="10">
        <v>107.04</v>
      </c>
      <c r="M355" s="10"/>
      <c r="N355" s="10"/>
      <c r="O355" s="10"/>
      <c r="P355" s="10"/>
      <c r="Q355" s="10"/>
      <c r="R355" s="10"/>
      <c r="S355" s="10">
        <v>891.96</v>
      </c>
      <c r="T355" s="10"/>
      <c r="U355" s="10"/>
      <c r="V355" s="10"/>
      <c r="W355" s="10"/>
      <c r="X355" s="7"/>
      <c r="Y355" s="7"/>
      <c r="Z355" s="7"/>
      <c r="AA355" s="34"/>
      <c r="AB355" s="7"/>
      <c r="AC355" s="34">
        <v>999</v>
      </c>
      <c r="AD355" s="10">
        <f t="shared" si="6"/>
        <v>0</v>
      </c>
      <c r="AF355" s="46"/>
    </row>
    <row r="356" spans="1:32" ht="15" customHeight="1" x14ac:dyDescent="0.25">
      <c r="A356" s="7" t="s">
        <v>812</v>
      </c>
      <c r="B356" s="9">
        <v>3920325</v>
      </c>
      <c r="C356" s="70">
        <v>44459</v>
      </c>
      <c r="D356" s="70">
        <v>44459</v>
      </c>
      <c r="E356" s="73"/>
      <c r="F356" s="9"/>
      <c r="I356" s="10" t="s">
        <v>980</v>
      </c>
      <c r="J356" s="7" t="s">
        <v>46</v>
      </c>
      <c r="K356" s="7"/>
      <c r="L356" s="10">
        <v>1001.35</v>
      </c>
      <c r="M356" s="10"/>
      <c r="Q356" s="10"/>
      <c r="R356" s="10"/>
      <c r="S356" s="2">
        <v>8344.61</v>
      </c>
      <c r="AA356" s="46"/>
      <c r="AC356" s="34">
        <v>9345.9599999999991</v>
      </c>
      <c r="AD356" s="10">
        <f t="shared" si="6"/>
        <v>0</v>
      </c>
      <c r="AF356" s="46"/>
    </row>
    <row r="357" spans="1:32" ht="15" customHeight="1" x14ac:dyDescent="0.25">
      <c r="A357" s="7" t="s">
        <v>813</v>
      </c>
      <c r="B357" s="9">
        <v>3920326</v>
      </c>
      <c r="C357" s="70">
        <v>44459</v>
      </c>
      <c r="D357" s="70">
        <v>44459</v>
      </c>
      <c r="E357" s="73"/>
      <c r="F357" s="9"/>
      <c r="H357" s="9"/>
      <c r="I357" s="10" t="s">
        <v>976</v>
      </c>
      <c r="J357" s="7" t="s">
        <v>44</v>
      </c>
      <c r="K357" s="26"/>
      <c r="L357" s="10">
        <v>404.95</v>
      </c>
      <c r="M357" s="10"/>
      <c r="N357" s="10"/>
      <c r="O357" s="10"/>
      <c r="P357" s="10"/>
      <c r="Q357" s="10"/>
      <c r="R357" s="10"/>
      <c r="S357" s="10"/>
      <c r="T357" s="14"/>
      <c r="U357" s="10"/>
      <c r="V357" s="10"/>
      <c r="W357" s="10"/>
      <c r="X357" s="7">
        <v>3374.6</v>
      </c>
      <c r="Y357" s="7"/>
      <c r="Z357" s="34"/>
      <c r="AA357" s="34"/>
      <c r="AB357" s="7"/>
      <c r="AC357" s="34">
        <v>3779.55</v>
      </c>
      <c r="AD357" s="10">
        <f t="shared" si="6"/>
        <v>0</v>
      </c>
      <c r="AF357" s="46"/>
    </row>
    <row r="358" spans="1:32" ht="15" customHeight="1" x14ac:dyDescent="0.25">
      <c r="A358" s="7" t="s">
        <v>814</v>
      </c>
      <c r="B358" s="9" t="s">
        <v>974</v>
      </c>
      <c r="C358" s="70">
        <v>44459</v>
      </c>
      <c r="D358" s="70">
        <v>44459</v>
      </c>
      <c r="E358" s="73"/>
      <c r="F358" s="9"/>
      <c r="H358" s="9"/>
      <c r="I358" s="10" t="s">
        <v>975</v>
      </c>
      <c r="J358" s="7" t="s">
        <v>56</v>
      </c>
      <c r="K358" s="7"/>
      <c r="L358" s="10"/>
      <c r="M358" s="10"/>
      <c r="N358" s="10"/>
      <c r="O358" s="10"/>
      <c r="P358" s="10"/>
      <c r="Q358" s="10">
        <v>21220.04</v>
      </c>
      <c r="R358" s="10"/>
      <c r="S358" s="10"/>
      <c r="T358" s="14"/>
      <c r="U358" s="10"/>
      <c r="V358" s="10"/>
      <c r="W358" s="10"/>
      <c r="X358" s="7"/>
      <c r="Y358" s="7"/>
      <c r="Z358" s="7"/>
      <c r="AA358" s="34"/>
      <c r="AB358" s="7"/>
      <c r="AC358" s="34">
        <v>21220.04</v>
      </c>
      <c r="AD358" s="10">
        <f t="shared" si="6"/>
        <v>0</v>
      </c>
      <c r="AF358" s="46"/>
    </row>
    <row r="359" spans="1:32" ht="15" customHeight="1" x14ac:dyDescent="0.25">
      <c r="A359" s="7" t="s">
        <v>815</v>
      </c>
      <c r="B359" s="9" t="s">
        <v>977</v>
      </c>
      <c r="C359" s="70">
        <v>44459</v>
      </c>
      <c r="D359" s="70">
        <v>44459</v>
      </c>
      <c r="E359" s="73"/>
      <c r="F359" s="48"/>
      <c r="H359" s="9"/>
      <c r="I359" s="10" t="s">
        <v>64</v>
      </c>
      <c r="J359" s="7" t="s">
        <v>51</v>
      </c>
      <c r="K359" s="7"/>
      <c r="L359" s="10"/>
      <c r="M359" s="10"/>
      <c r="N359" s="10"/>
      <c r="O359" s="10"/>
      <c r="P359" s="10">
        <v>20000</v>
      </c>
      <c r="Q359" s="10"/>
      <c r="R359" s="10"/>
      <c r="S359" s="10"/>
      <c r="T359" s="14"/>
      <c r="U359" s="10"/>
      <c r="V359" s="10"/>
      <c r="W359" s="10"/>
      <c r="X359" s="7"/>
      <c r="Y359" s="34"/>
      <c r="Z359" s="7"/>
      <c r="AA359" s="34"/>
      <c r="AB359" s="7"/>
      <c r="AC359" s="34">
        <v>20000</v>
      </c>
      <c r="AD359" s="10">
        <f t="shared" si="6"/>
        <v>0</v>
      </c>
      <c r="AF359" s="46"/>
    </row>
    <row r="360" spans="1:32" ht="15" customHeight="1" x14ac:dyDescent="0.25">
      <c r="A360" s="7" t="s">
        <v>816</v>
      </c>
      <c r="B360" s="9" t="s">
        <v>973</v>
      </c>
      <c r="C360" s="70">
        <v>44461</v>
      </c>
      <c r="D360" s="70">
        <v>44461</v>
      </c>
      <c r="E360" s="73"/>
      <c r="F360" s="9"/>
      <c r="H360" s="9"/>
      <c r="I360" s="10" t="s">
        <v>55</v>
      </c>
      <c r="J360" s="7" t="s">
        <v>80</v>
      </c>
      <c r="K360" s="7"/>
      <c r="L360" s="14"/>
      <c r="M360" s="10"/>
      <c r="N360" s="10"/>
      <c r="O360" s="10"/>
      <c r="P360" s="10"/>
      <c r="Q360" s="10"/>
      <c r="R360" s="10"/>
      <c r="S360" s="10"/>
      <c r="T360" s="14"/>
      <c r="U360" s="10"/>
      <c r="V360" s="10"/>
      <c r="W360" s="10"/>
      <c r="X360" s="7"/>
      <c r="Y360" s="7"/>
      <c r="Z360" s="34">
        <v>250000</v>
      </c>
      <c r="AA360" s="34"/>
      <c r="AB360" s="7"/>
      <c r="AC360" s="34">
        <v>250000</v>
      </c>
      <c r="AD360" s="10">
        <f t="shared" si="6"/>
        <v>0</v>
      </c>
      <c r="AF360" s="46"/>
    </row>
    <row r="361" spans="1:32" ht="15" customHeight="1" x14ac:dyDescent="0.25">
      <c r="A361" s="7" t="s">
        <v>817</v>
      </c>
      <c r="B361" s="9">
        <v>3920327</v>
      </c>
      <c r="C361" s="70">
        <v>44461</v>
      </c>
      <c r="D361" s="70">
        <v>44461</v>
      </c>
      <c r="E361" s="73">
        <v>44467</v>
      </c>
      <c r="F361" s="9" t="s">
        <v>1020</v>
      </c>
      <c r="H361" s="9"/>
      <c r="I361" s="10" t="s">
        <v>63</v>
      </c>
      <c r="J361" s="7" t="s">
        <v>109</v>
      </c>
      <c r="K361" s="7"/>
      <c r="L361" s="14">
        <v>15022.84</v>
      </c>
      <c r="M361" s="10"/>
      <c r="N361" s="10">
        <v>125190.31</v>
      </c>
      <c r="O361" s="10"/>
      <c r="P361" s="10"/>
      <c r="Q361" s="10"/>
      <c r="R361" s="10"/>
      <c r="S361" s="10"/>
      <c r="T361" s="14"/>
      <c r="U361" s="10"/>
      <c r="V361" s="10"/>
      <c r="W361" s="10"/>
      <c r="X361" s="7"/>
      <c r="Y361" s="7"/>
      <c r="Z361" s="7"/>
      <c r="AA361" s="34"/>
      <c r="AB361" s="7"/>
      <c r="AC361" s="34">
        <v>140213.15</v>
      </c>
      <c r="AD361" s="10">
        <f t="shared" si="6"/>
        <v>0</v>
      </c>
      <c r="AF361" s="46"/>
    </row>
    <row r="362" spans="1:32" ht="15" customHeight="1" x14ac:dyDescent="0.25">
      <c r="A362" s="7" t="s">
        <v>818</v>
      </c>
      <c r="B362" s="9">
        <v>3920328</v>
      </c>
      <c r="C362" s="70">
        <v>44461</v>
      </c>
      <c r="D362" s="70">
        <v>44461</v>
      </c>
      <c r="E362" s="73"/>
      <c r="F362" s="9"/>
      <c r="H362" s="9"/>
      <c r="I362" s="10" t="s">
        <v>981</v>
      </c>
      <c r="J362" s="7" t="s">
        <v>43</v>
      </c>
      <c r="K362" s="7"/>
      <c r="L362" s="10">
        <v>212.88</v>
      </c>
      <c r="M362" s="10"/>
      <c r="N362" s="10"/>
      <c r="O362" s="10"/>
      <c r="P362" s="10"/>
      <c r="Q362" s="10"/>
      <c r="R362" s="10"/>
      <c r="S362" s="10">
        <v>1773.99</v>
      </c>
      <c r="T362" s="14"/>
      <c r="U362" s="10"/>
      <c r="V362" s="10"/>
      <c r="W362" s="10"/>
      <c r="X362" s="7"/>
      <c r="Y362" s="7"/>
      <c r="Z362" s="7"/>
      <c r="AA362" s="34"/>
      <c r="AB362" s="7"/>
      <c r="AC362" s="34">
        <v>1986.87</v>
      </c>
      <c r="AD362" s="10">
        <f t="shared" si="6"/>
        <v>0</v>
      </c>
      <c r="AF362" s="46"/>
    </row>
    <row r="363" spans="1:32" ht="15" customHeight="1" x14ac:dyDescent="0.25">
      <c r="A363" s="7" t="s">
        <v>819</v>
      </c>
      <c r="B363" s="9">
        <v>3920329</v>
      </c>
      <c r="C363" s="70">
        <v>44506</v>
      </c>
      <c r="D363" s="70">
        <v>44461</v>
      </c>
      <c r="E363" s="73">
        <v>44491</v>
      </c>
      <c r="F363" s="9" t="s">
        <v>1035</v>
      </c>
      <c r="G363" s="9" t="s">
        <v>274</v>
      </c>
      <c r="H363" s="9"/>
      <c r="I363" s="10" t="s">
        <v>1006</v>
      </c>
      <c r="J363" s="7" t="s">
        <v>31</v>
      </c>
      <c r="K363" s="24" t="s">
        <v>32</v>
      </c>
      <c r="L363" s="10">
        <v>4553.57</v>
      </c>
      <c r="M363" s="10">
        <v>37946.43</v>
      </c>
      <c r="N363" s="10"/>
      <c r="O363" s="10"/>
      <c r="P363" s="10"/>
      <c r="Q363" s="10"/>
      <c r="R363" s="10"/>
      <c r="S363" s="10"/>
      <c r="T363" s="14"/>
      <c r="U363" s="10"/>
      <c r="V363" s="10"/>
      <c r="W363" s="10"/>
      <c r="X363" s="7"/>
      <c r="Y363" s="7"/>
      <c r="Z363" s="7"/>
      <c r="AA363" s="34"/>
      <c r="AB363" s="7"/>
      <c r="AC363" s="34">
        <v>42500</v>
      </c>
      <c r="AD363" s="10">
        <f t="shared" si="6"/>
        <v>0</v>
      </c>
      <c r="AF363" s="46"/>
    </row>
    <row r="364" spans="1:32" ht="15" customHeight="1" x14ac:dyDescent="0.25">
      <c r="A364" s="7" t="s">
        <v>820</v>
      </c>
      <c r="B364" s="9">
        <v>3920330</v>
      </c>
      <c r="C364" s="70">
        <v>44470</v>
      </c>
      <c r="D364" s="70">
        <v>44466</v>
      </c>
      <c r="E364" s="73"/>
      <c r="F364" s="9"/>
      <c r="H364" s="9"/>
      <c r="I364" s="10" t="s">
        <v>123</v>
      </c>
      <c r="J364" s="7" t="s">
        <v>51</v>
      </c>
      <c r="K364" s="7"/>
      <c r="L364" s="10"/>
      <c r="M364" s="10">
        <v>60000</v>
      </c>
      <c r="Q364" s="10"/>
      <c r="R364" s="10"/>
      <c r="AA364" s="46"/>
      <c r="AC364" s="34">
        <v>60000</v>
      </c>
      <c r="AD364" s="10">
        <f t="shared" si="6"/>
        <v>0</v>
      </c>
      <c r="AF364" s="46"/>
    </row>
    <row r="365" spans="1:32" ht="15" customHeight="1" x14ac:dyDescent="0.25">
      <c r="A365" s="7" t="s">
        <v>821</v>
      </c>
      <c r="B365" s="9">
        <v>3920331</v>
      </c>
      <c r="C365" s="70">
        <v>44470</v>
      </c>
      <c r="D365" s="70">
        <v>44466</v>
      </c>
      <c r="E365" s="73"/>
      <c r="F365" s="9"/>
      <c r="I365" s="10" t="s">
        <v>982</v>
      </c>
      <c r="J365" s="7" t="s">
        <v>983</v>
      </c>
      <c r="K365" s="26"/>
      <c r="L365" s="10"/>
      <c r="M365" s="10"/>
      <c r="N365" s="10"/>
      <c r="O365" s="10"/>
      <c r="P365" s="10"/>
      <c r="Q365" s="10"/>
      <c r="R365" s="10"/>
      <c r="S365" s="10"/>
      <c r="T365" s="14"/>
      <c r="U365" s="10"/>
      <c r="V365" s="10"/>
      <c r="W365" s="10"/>
      <c r="X365" s="7"/>
      <c r="Y365" s="7"/>
      <c r="Z365" s="34"/>
      <c r="AA365" s="34">
        <v>43850</v>
      </c>
      <c r="AB365" s="7"/>
      <c r="AC365" s="34">
        <v>43850</v>
      </c>
      <c r="AD365" s="10">
        <f>SUM(AB365:AC365)-SUM(L365:AA365)</f>
        <v>0</v>
      </c>
      <c r="AF365" s="46"/>
    </row>
    <row r="366" spans="1:32" ht="15" customHeight="1" x14ac:dyDescent="0.25">
      <c r="A366" s="7" t="s">
        <v>822</v>
      </c>
      <c r="B366" s="9">
        <v>3920332</v>
      </c>
      <c r="C366" s="70">
        <v>44466</v>
      </c>
      <c r="D366" s="70">
        <v>44466</v>
      </c>
      <c r="E366" s="73">
        <v>44476</v>
      </c>
      <c r="F366" s="9" t="s">
        <v>989</v>
      </c>
      <c r="H366" s="9"/>
      <c r="I366" s="59" t="s">
        <v>985</v>
      </c>
      <c r="J366" s="7" t="s">
        <v>187</v>
      </c>
      <c r="K366" s="24"/>
      <c r="L366" s="14">
        <v>528</v>
      </c>
      <c r="M366" s="10"/>
      <c r="N366" s="10"/>
      <c r="O366" s="10"/>
      <c r="P366" s="10"/>
      <c r="Q366" s="10"/>
      <c r="R366" s="10"/>
      <c r="S366" s="10"/>
      <c r="T366" s="14"/>
      <c r="U366" s="10"/>
      <c r="V366" s="10"/>
      <c r="W366" s="10"/>
      <c r="X366" s="7"/>
      <c r="Y366" s="7"/>
      <c r="Z366" s="34"/>
      <c r="AA366" s="34">
        <v>4400</v>
      </c>
      <c r="AB366" s="7"/>
      <c r="AC366" s="34">
        <v>4928</v>
      </c>
      <c r="AD366" s="10">
        <f>SUM(AB366:AC366)-SUM(L366:AA366)</f>
        <v>0</v>
      </c>
      <c r="AF366" s="46"/>
    </row>
    <row r="367" spans="1:32" ht="15" customHeight="1" x14ac:dyDescent="0.25">
      <c r="A367" s="7" t="s">
        <v>823</v>
      </c>
      <c r="B367" s="9" t="s">
        <v>987</v>
      </c>
      <c r="C367" s="70">
        <v>44470</v>
      </c>
      <c r="D367" s="70">
        <v>44466</v>
      </c>
      <c r="E367" s="73"/>
      <c r="F367" s="40"/>
      <c r="G367" s="40"/>
      <c r="H367" s="9"/>
      <c r="I367" s="59" t="s">
        <v>130</v>
      </c>
      <c r="J367" s="40" t="s">
        <v>79</v>
      </c>
      <c r="K367" s="40"/>
      <c r="L367" s="40"/>
      <c r="M367" s="40"/>
      <c r="T367" s="14"/>
      <c r="V367" s="10">
        <v>20667</v>
      </c>
      <c r="AA367" s="34"/>
      <c r="AC367" s="34">
        <v>20667</v>
      </c>
      <c r="AD367" s="10">
        <f>SUM(AB367:AC367)-SUM(L367:AA367)</f>
        <v>0</v>
      </c>
      <c r="AF367" s="46"/>
    </row>
    <row r="368" spans="1:32" s="39" customFormat="1" ht="15" customHeight="1" x14ac:dyDescent="0.25">
      <c r="A368" s="20"/>
      <c r="B368" s="19"/>
      <c r="C368" s="72"/>
      <c r="D368" s="72"/>
      <c r="E368" s="77"/>
      <c r="F368" s="19"/>
      <c r="G368" s="19"/>
      <c r="H368" s="19"/>
      <c r="I368" s="22"/>
      <c r="J368" s="20"/>
      <c r="K368" s="20"/>
      <c r="L368" s="22"/>
      <c r="M368" s="22"/>
      <c r="N368" s="22"/>
      <c r="O368" s="22"/>
      <c r="P368" s="22"/>
      <c r="Q368" s="22"/>
      <c r="R368" s="22"/>
      <c r="S368" s="22"/>
      <c r="T368" s="21"/>
      <c r="U368" s="22"/>
      <c r="V368" s="22"/>
      <c r="W368" s="22"/>
      <c r="X368" s="20"/>
      <c r="Y368" s="20"/>
      <c r="Z368" s="20"/>
      <c r="AA368" s="35"/>
      <c r="AB368" s="20"/>
      <c r="AC368" s="35"/>
      <c r="AD368" s="22"/>
      <c r="AE368" s="20"/>
      <c r="AF368" s="95"/>
    </row>
    <row r="369" spans="1:32" s="39" customFormat="1" ht="15" customHeight="1" x14ac:dyDescent="0.25">
      <c r="A369" s="25">
        <v>44470</v>
      </c>
      <c r="B369" s="19"/>
      <c r="C369" s="72"/>
      <c r="D369" s="72"/>
      <c r="E369" s="77"/>
      <c r="F369" s="19"/>
      <c r="G369" s="19"/>
      <c r="H369" s="19"/>
      <c r="I369" s="22"/>
      <c r="J369" s="20"/>
      <c r="K369" s="20"/>
      <c r="L369" s="22"/>
      <c r="M369" s="22"/>
      <c r="N369" s="22"/>
      <c r="O369" s="22"/>
      <c r="P369" s="22"/>
      <c r="Q369" s="22"/>
      <c r="R369" s="22"/>
      <c r="S369" s="22"/>
      <c r="T369" s="21"/>
      <c r="U369" s="22"/>
      <c r="V369" s="22"/>
      <c r="W369" s="22"/>
      <c r="X369" s="20"/>
      <c r="Y369" s="20"/>
      <c r="Z369" s="20"/>
      <c r="AA369" s="35"/>
      <c r="AB369" s="20"/>
      <c r="AC369" s="35"/>
      <c r="AD369" s="22"/>
      <c r="AE369" s="20"/>
      <c r="AF369" s="95"/>
    </row>
    <row r="370" spans="1:32" ht="15" customHeight="1" x14ac:dyDescent="0.25">
      <c r="A370" s="7" t="s">
        <v>824</v>
      </c>
      <c r="B370" s="9">
        <v>3920333</v>
      </c>
      <c r="C370" s="70">
        <v>44473</v>
      </c>
      <c r="D370" s="70">
        <v>44473</v>
      </c>
      <c r="E370" s="73"/>
      <c r="F370" s="9"/>
      <c r="H370" s="9" t="s">
        <v>110</v>
      </c>
      <c r="I370" s="7" t="s">
        <v>114</v>
      </c>
      <c r="J370" s="7" t="s">
        <v>65</v>
      </c>
      <c r="K370" s="24"/>
      <c r="L370" s="10"/>
      <c r="M370" s="10"/>
      <c r="T370" s="14">
        <v>13760</v>
      </c>
      <c r="U370" s="10"/>
      <c r="Z370" s="34"/>
      <c r="AA370" s="46"/>
      <c r="AC370" s="34">
        <v>13760</v>
      </c>
      <c r="AD370" s="10">
        <f t="shared" si="6"/>
        <v>0</v>
      </c>
      <c r="AF370" s="46"/>
    </row>
    <row r="371" spans="1:32" ht="15" customHeight="1" x14ac:dyDescent="0.25">
      <c r="A371" s="7" t="s">
        <v>825</v>
      </c>
      <c r="B371" s="9">
        <v>3920334</v>
      </c>
      <c r="C371" s="70">
        <v>44473</v>
      </c>
      <c r="D371" s="70">
        <v>44473</v>
      </c>
      <c r="E371" s="73">
        <v>44476</v>
      </c>
      <c r="F371" s="9" t="s">
        <v>991</v>
      </c>
      <c r="H371" s="9"/>
      <c r="I371" s="7" t="s">
        <v>986</v>
      </c>
      <c r="J371" s="7" t="s">
        <v>83</v>
      </c>
      <c r="K371" s="7" t="s">
        <v>116</v>
      </c>
      <c r="L371" s="10"/>
      <c r="M371" s="10">
        <v>3300</v>
      </c>
      <c r="Q371" s="10"/>
      <c r="U371" s="10"/>
      <c r="AA371" s="46"/>
      <c r="AC371" s="34">
        <v>3300</v>
      </c>
      <c r="AD371" s="10">
        <f t="shared" si="6"/>
        <v>0</v>
      </c>
      <c r="AF371" s="46"/>
    </row>
    <row r="372" spans="1:32" ht="15" customHeight="1" x14ac:dyDescent="0.25">
      <c r="A372" s="7" t="s">
        <v>826</v>
      </c>
      <c r="B372" s="9">
        <v>3920335</v>
      </c>
      <c r="C372" s="70">
        <v>44507</v>
      </c>
      <c r="D372" s="70">
        <v>44473</v>
      </c>
      <c r="E372" s="73">
        <v>44476</v>
      </c>
      <c r="F372" s="9" t="s">
        <v>1004</v>
      </c>
      <c r="G372" s="9" t="s">
        <v>275</v>
      </c>
      <c r="H372" s="9"/>
      <c r="I372" s="10" t="s">
        <v>984</v>
      </c>
      <c r="J372" s="7" t="s">
        <v>84</v>
      </c>
      <c r="K372" s="7" t="s">
        <v>36</v>
      </c>
      <c r="L372" s="10">
        <v>2828.57</v>
      </c>
      <c r="M372" s="10">
        <v>23571.43</v>
      </c>
      <c r="T372" s="14"/>
      <c r="AA372" s="34"/>
      <c r="AC372" s="34">
        <v>26400</v>
      </c>
      <c r="AD372" s="10">
        <f t="shared" si="6"/>
        <v>0</v>
      </c>
      <c r="AF372" s="46"/>
    </row>
    <row r="373" spans="1:32" s="7" customFormat="1" ht="15" customHeight="1" x14ac:dyDescent="0.2">
      <c r="A373" s="7" t="s">
        <v>827</v>
      </c>
      <c r="B373" s="9">
        <v>3920336</v>
      </c>
      <c r="C373" s="70">
        <v>44508</v>
      </c>
      <c r="D373" s="70">
        <v>44475</v>
      </c>
      <c r="E373" s="73">
        <v>44512</v>
      </c>
      <c r="F373" s="9" t="s">
        <v>1049</v>
      </c>
      <c r="G373" s="9" t="s">
        <v>277</v>
      </c>
      <c r="H373" s="9"/>
      <c r="I373" s="10" t="s">
        <v>1005</v>
      </c>
      <c r="J373" s="10" t="s">
        <v>37</v>
      </c>
      <c r="K373" s="10" t="s">
        <v>38</v>
      </c>
      <c r="L373" s="10">
        <v>1875</v>
      </c>
      <c r="M373" s="10">
        <v>15625</v>
      </c>
      <c r="N373" s="10"/>
      <c r="O373" s="10"/>
      <c r="P373" s="10"/>
      <c r="Q373" s="10"/>
      <c r="R373" s="10"/>
      <c r="S373" s="10"/>
      <c r="T373" s="14"/>
      <c r="U373" s="10"/>
      <c r="V373" s="10"/>
      <c r="W373" s="10"/>
      <c r="AA373" s="34"/>
      <c r="AC373" s="34">
        <v>17500</v>
      </c>
      <c r="AD373" s="10">
        <f t="shared" si="6"/>
        <v>0</v>
      </c>
      <c r="AF373" s="34"/>
    </row>
    <row r="374" spans="1:32" s="7" customFormat="1" ht="15" customHeight="1" x14ac:dyDescent="0.2">
      <c r="A374" s="7" t="s">
        <v>828</v>
      </c>
      <c r="B374" s="9">
        <v>3920337</v>
      </c>
      <c r="C374" s="70">
        <v>44507</v>
      </c>
      <c r="D374" s="70">
        <v>44475</v>
      </c>
      <c r="E374" s="73">
        <v>44477</v>
      </c>
      <c r="F374" s="9" t="s">
        <v>1000</v>
      </c>
      <c r="G374" s="9" t="s">
        <v>278</v>
      </c>
      <c r="H374" s="9"/>
      <c r="I374" s="10" t="s">
        <v>1001</v>
      </c>
      <c r="J374" s="7" t="s">
        <v>297</v>
      </c>
      <c r="K374" s="7" t="s">
        <v>298</v>
      </c>
      <c r="L374" s="10">
        <v>10714.29</v>
      </c>
      <c r="M374" s="10">
        <v>89285.71</v>
      </c>
      <c r="N374" s="34"/>
      <c r="O374" s="10"/>
      <c r="P374" s="10"/>
      <c r="Q374" s="10"/>
      <c r="R374" s="10"/>
      <c r="S374" s="10"/>
      <c r="T374" s="14"/>
      <c r="U374" s="10"/>
      <c r="V374" s="10"/>
      <c r="W374" s="10"/>
      <c r="AA374" s="34"/>
      <c r="AC374" s="34">
        <v>100000</v>
      </c>
      <c r="AD374" s="10">
        <f t="shared" si="6"/>
        <v>0</v>
      </c>
      <c r="AF374" s="34"/>
    </row>
    <row r="375" spans="1:32" s="7" customFormat="1" ht="15" customHeight="1" x14ac:dyDescent="0.2">
      <c r="A375" s="7" t="s">
        <v>829</v>
      </c>
      <c r="B375" s="9">
        <v>3920338</v>
      </c>
      <c r="C375" s="70">
        <v>44475</v>
      </c>
      <c r="D375" s="70">
        <v>44475</v>
      </c>
      <c r="E375" s="73"/>
      <c r="F375" s="9"/>
      <c r="G375" s="9"/>
      <c r="H375" s="9"/>
      <c r="I375" s="7" t="s">
        <v>988</v>
      </c>
      <c r="J375" s="7" t="s">
        <v>132</v>
      </c>
      <c r="K375" s="10"/>
      <c r="L375" s="10"/>
      <c r="M375" s="10"/>
      <c r="N375" s="10"/>
      <c r="O375" s="10"/>
      <c r="P375" s="10"/>
      <c r="Q375" s="10">
        <v>7563.85</v>
      </c>
      <c r="R375" s="10"/>
      <c r="S375" s="10"/>
      <c r="T375" s="14"/>
      <c r="U375" s="10"/>
      <c r="V375" s="10"/>
      <c r="W375" s="10"/>
      <c r="AA375" s="34"/>
      <c r="AC375" s="34">
        <v>7563.85</v>
      </c>
      <c r="AD375" s="10">
        <f t="shared" si="6"/>
        <v>0</v>
      </c>
      <c r="AF375" s="34"/>
    </row>
    <row r="376" spans="1:32" s="7" customFormat="1" ht="15" customHeight="1" x14ac:dyDescent="0.2">
      <c r="A376" s="7" t="s">
        <v>830</v>
      </c>
      <c r="B376" s="9" t="s">
        <v>998</v>
      </c>
      <c r="C376" s="70">
        <v>44477</v>
      </c>
      <c r="D376" s="70">
        <v>44475</v>
      </c>
      <c r="E376" s="73">
        <v>44476</v>
      </c>
      <c r="F376" s="9" t="s">
        <v>999</v>
      </c>
      <c r="G376" s="9" t="s">
        <v>279</v>
      </c>
      <c r="H376" s="9"/>
      <c r="I376" s="7" t="s">
        <v>684</v>
      </c>
      <c r="J376" s="7" t="s">
        <v>136</v>
      </c>
      <c r="K376" s="26" t="s">
        <v>956</v>
      </c>
      <c r="L376" s="10">
        <v>4671.43</v>
      </c>
      <c r="M376" s="10">
        <v>38928.57</v>
      </c>
      <c r="N376" s="10"/>
      <c r="O376" s="10"/>
      <c r="P376" s="10"/>
      <c r="Q376" s="10"/>
      <c r="R376" s="10"/>
      <c r="S376" s="10"/>
      <c r="T376" s="14"/>
      <c r="U376" s="10"/>
      <c r="V376" s="10"/>
      <c r="W376" s="10"/>
      <c r="X376" s="34"/>
      <c r="AA376" s="34"/>
      <c r="AC376" s="34">
        <v>43600</v>
      </c>
      <c r="AD376" s="10">
        <f t="shared" si="6"/>
        <v>0</v>
      </c>
      <c r="AF376" s="34"/>
    </row>
    <row r="377" spans="1:32" s="7" customFormat="1" ht="15" customHeight="1" x14ac:dyDescent="0.2">
      <c r="A377" s="7" t="s">
        <v>831</v>
      </c>
      <c r="B377" s="9" t="s">
        <v>995</v>
      </c>
      <c r="C377" s="70">
        <v>44475</v>
      </c>
      <c r="D377" s="70">
        <v>44475</v>
      </c>
      <c r="E377" s="73">
        <v>44478</v>
      </c>
      <c r="F377" s="9" t="s">
        <v>996</v>
      </c>
      <c r="G377" s="9" t="s">
        <v>280</v>
      </c>
      <c r="H377" s="9"/>
      <c r="I377" s="10" t="s">
        <v>129</v>
      </c>
      <c r="J377" s="7" t="s">
        <v>121</v>
      </c>
      <c r="K377" s="10" t="s">
        <v>122</v>
      </c>
      <c r="L377" s="10">
        <v>8732.14</v>
      </c>
      <c r="M377" s="10">
        <v>72767.86</v>
      </c>
      <c r="N377" s="10"/>
      <c r="O377" s="10"/>
      <c r="P377" s="10"/>
      <c r="Q377" s="10"/>
      <c r="R377" s="10"/>
      <c r="S377" s="10"/>
      <c r="T377" s="14"/>
      <c r="U377" s="10"/>
      <c r="V377" s="10"/>
      <c r="W377" s="10"/>
      <c r="Z377" s="34"/>
      <c r="AA377" s="34"/>
      <c r="AC377" s="34">
        <v>81500</v>
      </c>
      <c r="AD377" s="10">
        <f t="shared" si="6"/>
        <v>0</v>
      </c>
      <c r="AF377" s="34"/>
    </row>
    <row r="378" spans="1:32" s="7" customFormat="1" ht="15" customHeight="1" x14ac:dyDescent="0.2">
      <c r="A378" s="7" t="s">
        <v>832</v>
      </c>
      <c r="B378" s="9" t="s">
        <v>997</v>
      </c>
      <c r="C378" s="70">
        <v>44475</v>
      </c>
      <c r="D378" s="70">
        <v>44475</v>
      </c>
      <c r="E378" s="73"/>
      <c r="F378" s="9"/>
      <c r="G378" s="9"/>
      <c r="H378" s="9"/>
      <c r="I378" s="10" t="s">
        <v>494</v>
      </c>
      <c r="J378" s="7" t="s">
        <v>39</v>
      </c>
      <c r="K378" s="24"/>
      <c r="L378" s="10"/>
      <c r="M378" s="10"/>
      <c r="N378" s="10"/>
      <c r="O378" s="10"/>
      <c r="P378" s="10"/>
      <c r="Q378" s="10"/>
      <c r="R378" s="10"/>
      <c r="S378" s="10"/>
      <c r="T378" s="14"/>
      <c r="U378" s="10"/>
      <c r="V378" s="10"/>
      <c r="W378" s="10">
        <v>50000</v>
      </c>
      <c r="Z378" s="34"/>
      <c r="AA378" s="34"/>
      <c r="AC378" s="34">
        <v>50000</v>
      </c>
      <c r="AD378" s="10">
        <f t="shared" si="6"/>
        <v>0</v>
      </c>
      <c r="AF378" s="34"/>
    </row>
    <row r="379" spans="1:32" s="7" customFormat="1" ht="15" customHeight="1" x14ac:dyDescent="0.2">
      <c r="A379" s="7" t="s">
        <v>833</v>
      </c>
      <c r="B379" s="9">
        <v>3920339</v>
      </c>
      <c r="C379" s="70">
        <v>44475</v>
      </c>
      <c r="D379" s="70">
        <v>44475</v>
      </c>
      <c r="E379" s="73"/>
      <c r="F379" s="9"/>
      <c r="G379" s="9"/>
      <c r="H379" s="9" t="s">
        <v>111</v>
      </c>
      <c r="I379" s="10" t="s">
        <v>115</v>
      </c>
      <c r="J379" s="10" t="s">
        <v>39</v>
      </c>
      <c r="K379" s="10"/>
      <c r="L379" s="10"/>
      <c r="M379" s="10"/>
      <c r="N379" s="10"/>
      <c r="O379" s="10"/>
      <c r="P379" s="10"/>
      <c r="Q379" s="10"/>
      <c r="R379" s="10"/>
      <c r="S379" s="10"/>
      <c r="T379" s="14">
        <v>4207</v>
      </c>
      <c r="U379" s="10"/>
      <c r="V379" s="10"/>
      <c r="W379" s="10"/>
      <c r="AA379" s="34"/>
      <c r="AC379" s="34">
        <v>4207</v>
      </c>
      <c r="AD379" s="10">
        <f t="shared" si="6"/>
        <v>0</v>
      </c>
      <c r="AF379" s="34"/>
    </row>
    <row r="380" spans="1:32" s="7" customFormat="1" ht="15" customHeight="1" x14ac:dyDescent="0.2">
      <c r="A380" s="7" t="s">
        <v>834</v>
      </c>
      <c r="B380" s="9" t="s">
        <v>993</v>
      </c>
      <c r="C380" s="70">
        <v>44480</v>
      </c>
      <c r="D380" s="70">
        <v>44480</v>
      </c>
      <c r="E380" s="73"/>
      <c r="F380" s="9"/>
      <c r="G380" s="9"/>
      <c r="H380" s="9"/>
      <c r="I380" s="10" t="s">
        <v>994</v>
      </c>
      <c r="J380" s="7" t="s">
        <v>56</v>
      </c>
      <c r="K380" s="10"/>
      <c r="L380" s="10"/>
      <c r="M380" s="10"/>
      <c r="N380" s="10"/>
      <c r="O380" s="10"/>
      <c r="P380" s="10"/>
      <c r="Q380" s="10">
        <v>12724.23</v>
      </c>
      <c r="R380" s="10"/>
      <c r="S380" s="10"/>
      <c r="T380" s="14"/>
      <c r="U380" s="10"/>
      <c r="V380" s="10"/>
      <c r="W380" s="10"/>
      <c r="AA380" s="34"/>
      <c r="AC380" s="34">
        <v>12724.23</v>
      </c>
      <c r="AD380" s="10">
        <f t="shared" si="6"/>
        <v>0</v>
      </c>
      <c r="AF380" s="34"/>
    </row>
    <row r="381" spans="1:32" s="7" customFormat="1" ht="15" customHeight="1" x14ac:dyDescent="0.2">
      <c r="A381" s="7" t="s">
        <v>835</v>
      </c>
      <c r="B381" s="9" t="s">
        <v>1002</v>
      </c>
      <c r="C381" s="70">
        <v>44480</v>
      </c>
      <c r="D381" s="70">
        <v>44480</v>
      </c>
      <c r="E381" s="73"/>
      <c r="F381" s="9"/>
      <c r="G381" s="9"/>
      <c r="H381" s="9"/>
      <c r="I381" s="10" t="s">
        <v>64</v>
      </c>
      <c r="J381" s="7" t="s">
        <v>442</v>
      </c>
      <c r="K381" s="24"/>
      <c r="L381" s="10"/>
      <c r="M381" s="10"/>
      <c r="N381" s="10"/>
      <c r="O381" s="10"/>
      <c r="P381" s="10">
        <v>35000</v>
      </c>
      <c r="Q381" s="10"/>
      <c r="R381" s="10"/>
      <c r="S381" s="10"/>
      <c r="T381" s="14"/>
      <c r="U381" s="10"/>
      <c r="V381" s="10"/>
      <c r="W381" s="10"/>
      <c r="X381" s="34"/>
      <c r="Z381" s="34"/>
      <c r="AA381" s="34"/>
      <c r="AC381" s="34">
        <v>35000</v>
      </c>
      <c r="AD381" s="10">
        <f t="shared" si="6"/>
        <v>0</v>
      </c>
      <c r="AF381" s="34"/>
    </row>
    <row r="382" spans="1:32" s="7" customFormat="1" ht="15" customHeight="1" x14ac:dyDescent="0.2">
      <c r="A382" s="7" t="s">
        <v>836</v>
      </c>
      <c r="B382" s="9">
        <v>3920340</v>
      </c>
      <c r="C382" s="70">
        <v>44481</v>
      </c>
      <c r="D382" s="70">
        <v>44481</v>
      </c>
      <c r="E382" s="73"/>
      <c r="F382" s="9"/>
      <c r="G382" s="9"/>
      <c r="H382" s="9"/>
      <c r="I382" s="10" t="s">
        <v>1003</v>
      </c>
      <c r="J382" s="7" t="s">
        <v>43</v>
      </c>
      <c r="K382" s="24"/>
      <c r="L382" s="10">
        <v>107.04</v>
      </c>
      <c r="M382" s="10"/>
      <c r="N382" s="10"/>
      <c r="O382" s="10"/>
      <c r="P382" s="10"/>
      <c r="Q382" s="10"/>
      <c r="R382" s="10"/>
      <c r="S382" s="10">
        <v>891.96</v>
      </c>
      <c r="T382" s="14"/>
      <c r="U382" s="10"/>
      <c r="V382" s="10"/>
      <c r="W382" s="10"/>
      <c r="AA382" s="34"/>
      <c r="AC382" s="34">
        <v>999</v>
      </c>
      <c r="AD382" s="10">
        <f t="shared" si="6"/>
        <v>0</v>
      </c>
      <c r="AF382" s="34"/>
    </row>
    <row r="383" spans="1:32" s="7" customFormat="1" ht="15" customHeight="1" x14ac:dyDescent="0.2">
      <c r="A383" s="7" t="s">
        <v>837</v>
      </c>
      <c r="B383" s="9">
        <v>3920341</v>
      </c>
      <c r="C383" s="70">
        <v>44481</v>
      </c>
      <c r="D383" s="70">
        <v>44481</v>
      </c>
      <c r="E383" s="73"/>
      <c r="F383" s="9"/>
      <c r="G383" s="9"/>
      <c r="H383" s="9"/>
      <c r="I383" s="10" t="s">
        <v>1003</v>
      </c>
      <c r="J383" s="7" t="s">
        <v>43</v>
      </c>
      <c r="K383" s="10"/>
      <c r="L383" s="10">
        <v>148.61000000000001</v>
      </c>
      <c r="M383" s="10"/>
      <c r="N383" s="10"/>
      <c r="O383" s="10"/>
      <c r="P383" s="10"/>
      <c r="Q383" s="10"/>
      <c r="R383" s="10"/>
      <c r="S383" s="10">
        <v>1238.3800000000001</v>
      </c>
      <c r="T383" s="14"/>
      <c r="U383" s="10"/>
      <c r="V383" s="10"/>
      <c r="W383" s="10"/>
      <c r="AA383" s="34"/>
      <c r="AC383" s="34">
        <v>1386.99</v>
      </c>
      <c r="AD383" s="10">
        <f t="shared" si="6"/>
        <v>0</v>
      </c>
      <c r="AF383" s="34"/>
    </row>
    <row r="384" spans="1:32" s="7" customFormat="1" ht="15" customHeight="1" x14ac:dyDescent="0.2">
      <c r="A384" s="7" t="s">
        <v>838</v>
      </c>
      <c r="B384" s="9">
        <v>3920342</v>
      </c>
      <c r="C384" s="70">
        <v>44483</v>
      </c>
      <c r="D384" s="70">
        <v>44481</v>
      </c>
      <c r="E384" s="73"/>
      <c r="F384" s="9"/>
      <c r="G384" s="9"/>
      <c r="H384" s="9"/>
      <c r="I384" s="10" t="s">
        <v>992</v>
      </c>
      <c r="J384" s="7" t="s">
        <v>56</v>
      </c>
      <c r="L384" s="10">
        <v>3375</v>
      </c>
      <c r="M384" s="10"/>
      <c r="N384" s="10"/>
      <c r="O384" s="10"/>
      <c r="P384" s="10"/>
      <c r="Q384" s="10"/>
      <c r="R384" s="10"/>
      <c r="S384" s="10"/>
      <c r="T384" s="14"/>
      <c r="U384" s="10"/>
      <c r="V384" s="10"/>
      <c r="W384" s="10"/>
      <c r="Z384" s="34"/>
      <c r="AA384" s="34">
        <v>28125</v>
      </c>
      <c r="AC384" s="34">
        <v>31500</v>
      </c>
      <c r="AD384" s="10">
        <f t="shared" si="6"/>
        <v>0</v>
      </c>
      <c r="AF384" s="34"/>
    </row>
    <row r="385" spans="1:32" s="7" customFormat="1" ht="15" customHeight="1" x14ac:dyDescent="0.2">
      <c r="A385" s="7" t="s">
        <v>839</v>
      </c>
      <c r="B385" s="9">
        <v>3920343</v>
      </c>
      <c r="C385" s="70">
        <v>44514</v>
      </c>
      <c r="D385" s="70">
        <v>44487</v>
      </c>
      <c r="E385" s="73">
        <v>44518</v>
      </c>
      <c r="F385" s="9" t="s">
        <v>1057</v>
      </c>
      <c r="G385" s="9" t="s">
        <v>276</v>
      </c>
      <c r="H385" s="9"/>
      <c r="I385" s="10" t="s">
        <v>1007</v>
      </c>
      <c r="J385" s="7" t="s">
        <v>83</v>
      </c>
      <c r="K385" s="7" t="s">
        <v>116</v>
      </c>
      <c r="L385" s="10">
        <v>24600</v>
      </c>
      <c r="M385" s="10">
        <v>205000</v>
      </c>
      <c r="N385" s="10"/>
      <c r="O385" s="10"/>
      <c r="P385" s="10"/>
      <c r="Q385" s="10"/>
      <c r="R385" s="10"/>
      <c r="S385" s="10"/>
      <c r="T385" s="14"/>
      <c r="U385" s="10"/>
      <c r="V385" s="10"/>
      <c r="W385" s="10"/>
      <c r="AA385" s="34"/>
      <c r="AC385" s="34">
        <v>229600</v>
      </c>
      <c r="AD385" s="10">
        <f t="shared" si="6"/>
        <v>0</v>
      </c>
      <c r="AF385" s="34"/>
    </row>
    <row r="386" spans="1:32" s="7" customFormat="1" ht="15" customHeight="1" x14ac:dyDescent="0.2">
      <c r="A386" s="7" t="s">
        <v>840</v>
      </c>
      <c r="B386" s="9">
        <v>3920344</v>
      </c>
      <c r="C386" s="70">
        <v>44508</v>
      </c>
      <c r="D386" s="70">
        <v>44487</v>
      </c>
      <c r="E386" s="73">
        <v>44491</v>
      </c>
      <c r="F386" s="9" t="s">
        <v>1044</v>
      </c>
      <c r="G386" s="9" t="s">
        <v>281</v>
      </c>
      <c r="H386" s="9"/>
      <c r="I386" s="10" t="s">
        <v>1014</v>
      </c>
      <c r="J386" s="7" t="s">
        <v>52</v>
      </c>
      <c r="L386" s="10">
        <v>2365.1799999999998</v>
      </c>
      <c r="M386" s="10">
        <v>19709.82</v>
      </c>
      <c r="N386" s="10"/>
      <c r="O386" s="10"/>
      <c r="P386" s="10"/>
      <c r="Q386" s="10"/>
      <c r="R386" s="10"/>
      <c r="S386" s="10"/>
      <c r="T386" s="14"/>
      <c r="U386" s="10"/>
      <c r="V386" s="10"/>
      <c r="W386" s="10"/>
      <c r="Z386" s="34"/>
      <c r="AA386" s="34"/>
      <c r="AC386" s="34">
        <v>22075</v>
      </c>
      <c r="AD386" s="10">
        <f t="shared" si="6"/>
        <v>0</v>
      </c>
      <c r="AF386" s="34"/>
    </row>
    <row r="387" spans="1:32" s="7" customFormat="1" ht="15" customHeight="1" x14ac:dyDescent="0.2">
      <c r="A387" s="7" t="s">
        <v>841</v>
      </c>
      <c r="B387" s="9">
        <v>3920345</v>
      </c>
      <c r="C387" s="70">
        <v>44487</v>
      </c>
      <c r="D387" s="70">
        <v>44487</v>
      </c>
      <c r="E387" s="73">
        <v>44490</v>
      </c>
      <c r="F387" s="9" t="s">
        <v>1019</v>
      </c>
      <c r="G387" s="9"/>
      <c r="H387" s="9"/>
      <c r="I387" s="10" t="s">
        <v>143</v>
      </c>
      <c r="J387" s="7" t="s">
        <v>109</v>
      </c>
      <c r="K387" s="10"/>
      <c r="L387" s="10"/>
      <c r="M387" s="10">
        <v>500</v>
      </c>
      <c r="N387" s="10"/>
      <c r="O387" s="10"/>
      <c r="P387" s="10"/>
      <c r="Q387" s="10"/>
      <c r="R387" s="10"/>
      <c r="S387" s="10"/>
      <c r="T387" s="14"/>
      <c r="U387" s="10"/>
      <c r="V387" s="10"/>
      <c r="W387" s="10"/>
      <c r="Z387" s="34"/>
      <c r="AA387" s="34"/>
      <c r="AC387" s="34">
        <v>500</v>
      </c>
      <c r="AD387" s="10">
        <f t="shared" si="6"/>
        <v>0</v>
      </c>
      <c r="AF387" s="34"/>
    </row>
    <row r="388" spans="1:32" s="7" customFormat="1" ht="15" customHeight="1" x14ac:dyDescent="0.2">
      <c r="A388" s="7" t="s">
        <v>842</v>
      </c>
      <c r="B388" s="9">
        <v>3920346</v>
      </c>
      <c r="C388" s="70">
        <v>44487</v>
      </c>
      <c r="D388" s="70">
        <v>44487</v>
      </c>
      <c r="E388" s="73"/>
      <c r="F388" s="9"/>
      <c r="G388" s="9"/>
      <c r="H388" s="9"/>
      <c r="I388" s="10" t="s">
        <v>1008</v>
      </c>
      <c r="J388" s="7" t="s">
        <v>18</v>
      </c>
      <c r="L388" s="10">
        <v>151.09</v>
      </c>
      <c r="M388" s="10"/>
      <c r="N388" s="10"/>
      <c r="O388" s="10"/>
      <c r="P388" s="10"/>
      <c r="Q388" s="10"/>
      <c r="R388" s="10">
        <v>1259.06</v>
      </c>
      <c r="S388" s="10"/>
      <c r="T388" s="14"/>
      <c r="U388" s="10"/>
      <c r="V388" s="10"/>
      <c r="W388" s="10"/>
      <c r="Z388" s="34"/>
      <c r="AA388" s="34"/>
      <c r="AC388" s="34">
        <v>1410.15</v>
      </c>
      <c r="AD388" s="10">
        <f t="shared" si="6"/>
        <v>0</v>
      </c>
      <c r="AF388" s="34"/>
    </row>
    <row r="389" spans="1:32" s="7" customFormat="1" ht="15" customHeight="1" x14ac:dyDescent="0.2">
      <c r="A389" s="7" t="s">
        <v>843</v>
      </c>
      <c r="B389" s="9">
        <v>3920347</v>
      </c>
      <c r="C389" s="70">
        <v>44487</v>
      </c>
      <c r="D389" s="70">
        <v>44487</v>
      </c>
      <c r="E389" s="73"/>
      <c r="F389" s="9"/>
      <c r="G389" s="9"/>
      <c r="H389" s="9"/>
      <c r="I389" s="10" t="s">
        <v>1008</v>
      </c>
      <c r="J389" s="7" t="s">
        <v>18</v>
      </c>
      <c r="L389" s="14">
        <v>811.09</v>
      </c>
      <c r="M389" s="10"/>
      <c r="N389" s="10"/>
      <c r="O389" s="10"/>
      <c r="P389" s="10"/>
      <c r="Q389" s="10"/>
      <c r="R389" s="10">
        <v>6759.1</v>
      </c>
      <c r="S389" s="10"/>
      <c r="T389" s="14"/>
      <c r="U389" s="10"/>
      <c r="V389" s="10"/>
      <c r="W389" s="10"/>
      <c r="Z389" s="34"/>
      <c r="AA389" s="34"/>
      <c r="AC389" s="34">
        <v>7570.19</v>
      </c>
      <c r="AD389" s="10">
        <f t="shared" si="6"/>
        <v>0</v>
      </c>
      <c r="AF389" s="34"/>
    </row>
    <row r="390" spans="1:32" s="7" customFormat="1" ht="15" customHeight="1" x14ac:dyDescent="0.2">
      <c r="A390" s="7" t="s">
        <v>844</v>
      </c>
      <c r="B390" s="9">
        <v>3920348</v>
      </c>
      <c r="C390" s="70">
        <v>44487</v>
      </c>
      <c r="D390" s="70">
        <v>44487</v>
      </c>
      <c r="E390" s="73"/>
      <c r="F390" s="9"/>
      <c r="G390" s="9"/>
      <c r="H390" s="9"/>
      <c r="I390" s="10" t="s">
        <v>1009</v>
      </c>
      <c r="J390" s="7" t="s">
        <v>46</v>
      </c>
      <c r="L390" s="10">
        <v>192.75</v>
      </c>
      <c r="M390" s="10"/>
      <c r="N390" s="10"/>
      <c r="O390" s="10"/>
      <c r="P390" s="10"/>
      <c r="Q390" s="10"/>
      <c r="R390" s="10"/>
      <c r="S390" s="10">
        <v>1606.25</v>
      </c>
      <c r="T390" s="14"/>
      <c r="U390" s="10"/>
      <c r="V390" s="10"/>
      <c r="W390" s="10"/>
      <c r="AA390" s="34"/>
      <c r="AC390" s="34">
        <v>1799</v>
      </c>
      <c r="AD390" s="10">
        <f t="shared" si="6"/>
        <v>0</v>
      </c>
      <c r="AF390" s="34"/>
    </row>
    <row r="391" spans="1:32" s="7" customFormat="1" ht="15" customHeight="1" x14ac:dyDescent="0.2">
      <c r="A391" s="7" t="s">
        <v>845</v>
      </c>
      <c r="B391" s="9">
        <v>3920349</v>
      </c>
      <c r="C391" s="70">
        <v>44487</v>
      </c>
      <c r="D391" s="70">
        <v>44487</v>
      </c>
      <c r="E391" s="73"/>
      <c r="F391" s="9"/>
      <c r="G391" s="9"/>
      <c r="H391" s="9"/>
      <c r="I391" s="10" t="s">
        <v>1009</v>
      </c>
      <c r="J391" s="7" t="s">
        <v>46</v>
      </c>
      <c r="L391" s="10">
        <v>107.04</v>
      </c>
      <c r="M391" s="10"/>
      <c r="N391" s="10"/>
      <c r="O391" s="10"/>
      <c r="P391" s="10"/>
      <c r="Q391" s="10"/>
      <c r="R391" s="10"/>
      <c r="S391" s="10">
        <v>891.96</v>
      </c>
      <c r="T391" s="14"/>
      <c r="U391" s="10"/>
      <c r="V391" s="10"/>
      <c r="W391" s="10"/>
      <c r="AA391" s="34"/>
      <c r="AC391" s="34">
        <v>999</v>
      </c>
      <c r="AD391" s="10">
        <f t="shared" si="6"/>
        <v>0</v>
      </c>
      <c r="AF391" s="34"/>
    </row>
    <row r="392" spans="1:32" s="7" customFormat="1" ht="15" customHeight="1" x14ac:dyDescent="0.2">
      <c r="A392" s="7" t="s">
        <v>846</v>
      </c>
      <c r="B392" s="9">
        <v>3920350</v>
      </c>
      <c r="C392" s="70">
        <v>44487</v>
      </c>
      <c r="D392" s="70">
        <v>44487</v>
      </c>
      <c r="E392" s="73"/>
      <c r="F392" s="9"/>
      <c r="G392" s="9"/>
      <c r="H392" s="9"/>
      <c r="I392" s="10" t="s">
        <v>1010</v>
      </c>
      <c r="J392" s="7" t="s">
        <v>46</v>
      </c>
      <c r="L392" s="10">
        <v>107.04</v>
      </c>
      <c r="M392" s="10"/>
      <c r="N392" s="10"/>
      <c r="O392" s="10"/>
      <c r="P392" s="10"/>
      <c r="Q392" s="10"/>
      <c r="R392" s="10"/>
      <c r="S392" s="10">
        <v>891.96</v>
      </c>
      <c r="T392" s="14"/>
      <c r="U392" s="10"/>
      <c r="V392" s="10"/>
      <c r="W392" s="10"/>
      <c r="AA392" s="34"/>
      <c r="AC392" s="34">
        <v>999</v>
      </c>
      <c r="AD392" s="10">
        <f t="shared" si="6"/>
        <v>0</v>
      </c>
      <c r="AF392" s="34"/>
    </row>
    <row r="393" spans="1:32" s="7" customFormat="1" ht="15" customHeight="1" x14ac:dyDescent="0.2">
      <c r="A393" s="7" t="s">
        <v>847</v>
      </c>
      <c r="B393" s="9">
        <v>3920351</v>
      </c>
      <c r="C393" s="70">
        <v>44487</v>
      </c>
      <c r="D393" s="70">
        <v>44487</v>
      </c>
      <c r="E393" s="73"/>
      <c r="F393" s="9"/>
      <c r="G393" s="9"/>
      <c r="H393" s="9"/>
      <c r="I393" s="10" t="s">
        <v>1010</v>
      </c>
      <c r="J393" s="7" t="s">
        <v>46</v>
      </c>
      <c r="L393" s="10">
        <v>107.04</v>
      </c>
      <c r="M393" s="10"/>
      <c r="N393" s="10"/>
      <c r="O393" s="10"/>
      <c r="P393" s="10"/>
      <c r="Q393" s="10"/>
      <c r="R393" s="10"/>
      <c r="S393" s="10">
        <v>891.96</v>
      </c>
      <c r="T393" s="14"/>
      <c r="U393" s="10"/>
      <c r="V393" s="10"/>
      <c r="W393" s="10"/>
      <c r="AA393" s="34"/>
      <c r="AC393" s="34">
        <v>999</v>
      </c>
      <c r="AD393" s="10">
        <f t="shared" si="6"/>
        <v>0</v>
      </c>
      <c r="AE393" s="82"/>
      <c r="AF393" s="34"/>
    </row>
    <row r="394" spans="1:32" s="7" customFormat="1" ht="15" customHeight="1" x14ac:dyDescent="0.2">
      <c r="A394" s="7" t="s">
        <v>848</v>
      </c>
      <c r="B394" s="9">
        <v>3920352</v>
      </c>
      <c r="C394" s="70">
        <v>44487</v>
      </c>
      <c r="D394" s="70">
        <v>44487</v>
      </c>
      <c r="E394" s="79" t="s">
        <v>48</v>
      </c>
      <c r="F394" s="45" t="s">
        <v>48</v>
      </c>
      <c r="G394" s="45" t="s">
        <v>48</v>
      </c>
      <c r="H394" s="9"/>
      <c r="I394" s="10" t="s">
        <v>1011</v>
      </c>
      <c r="J394" s="7" t="s">
        <v>46</v>
      </c>
      <c r="L394" s="10">
        <v>997.82</v>
      </c>
      <c r="M394" s="10"/>
      <c r="N394" s="10"/>
      <c r="O394" s="10"/>
      <c r="P394" s="10"/>
      <c r="Q394" s="10"/>
      <c r="R394" s="10"/>
      <c r="S394" s="10">
        <v>8315.1299999999992</v>
      </c>
      <c r="T394" s="14"/>
      <c r="U394" s="10"/>
      <c r="V394" s="10"/>
      <c r="W394" s="10"/>
      <c r="Y394" s="34"/>
      <c r="AA394" s="34"/>
      <c r="AC394" s="34">
        <v>9312.9500000000007</v>
      </c>
      <c r="AD394" s="10">
        <f t="shared" si="6"/>
        <v>0</v>
      </c>
      <c r="AF394" s="34"/>
    </row>
    <row r="395" spans="1:32" s="7" customFormat="1" ht="15" customHeight="1" x14ac:dyDescent="0.2">
      <c r="A395" s="7" t="s">
        <v>849</v>
      </c>
      <c r="B395" s="9" t="s">
        <v>1012</v>
      </c>
      <c r="C395" s="70">
        <v>44487</v>
      </c>
      <c r="D395" s="70">
        <v>44487</v>
      </c>
      <c r="E395" s="73"/>
      <c r="F395" s="9"/>
      <c r="G395" s="9" t="s">
        <v>283</v>
      </c>
      <c r="H395" s="9"/>
      <c r="I395" s="10" t="s">
        <v>1013</v>
      </c>
      <c r="J395" s="7" t="s">
        <v>121</v>
      </c>
      <c r="K395" s="10" t="s">
        <v>122</v>
      </c>
      <c r="L395" s="10">
        <v>2330.36</v>
      </c>
      <c r="M395" s="10">
        <v>19419.64</v>
      </c>
      <c r="N395" s="10"/>
      <c r="O395" s="10"/>
      <c r="P395" s="10"/>
      <c r="Q395" s="10"/>
      <c r="R395" s="10"/>
      <c r="S395" s="10"/>
      <c r="T395" s="14"/>
      <c r="U395" s="10"/>
      <c r="V395" s="10"/>
      <c r="W395" s="10"/>
      <c r="AA395" s="34"/>
      <c r="AC395" s="34">
        <v>21750</v>
      </c>
      <c r="AD395" s="10">
        <f t="shared" si="6"/>
        <v>0</v>
      </c>
      <c r="AF395" s="34"/>
    </row>
    <row r="396" spans="1:32" s="7" customFormat="1" ht="15" customHeight="1" x14ac:dyDescent="0.2">
      <c r="A396" s="7" t="s">
        <v>850</v>
      </c>
      <c r="B396" s="9">
        <v>3920353</v>
      </c>
      <c r="C396" s="70">
        <v>44487</v>
      </c>
      <c r="D396" s="70">
        <v>44487</v>
      </c>
      <c r="E396" s="73">
        <v>44490</v>
      </c>
      <c r="F396" s="48" t="s">
        <v>1021</v>
      </c>
      <c r="G396" s="9"/>
      <c r="H396" s="9"/>
      <c r="I396" s="10" t="s">
        <v>1015</v>
      </c>
      <c r="J396" s="7" t="s">
        <v>109</v>
      </c>
      <c r="K396" s="24"/>
      <c r="L396" s="10"/>
      <c r="M396" s="10">
        <v>36440</v>
      </c>
      <c r="N396" s="10"/>
      <c r="O396" s="10"/>
      <c r="P396" s="10"/>
      <c r="Q396" s="10"/>
      <c r="R396" s="10"/>
      <c r="S396" s="10"/>
      <c r="T396" s="14"/>
      <c r="U396" s="10"/>
      <c r="V396" s="10"/>
      <c r="W396" s="10"/>
      <c r="Y396" s="34"/>
      <c r="AA396" s="34"/>
      <c r="AC396" s="34">
        <v>36440</v>
      </c>
      <c r="AD396" s="10">
        <f t="shared" si="6"/>
        <v>0</v>
      </c>
      <c r="AF396" s="34"/>
    </row>
    <row r="397" spans="1:32" s="7" customFormat="1" ht="15" customHeight="1" x14ac:dyDescent="0.2">
      <c r="A397" s="7" t="s">
        <v>851</v>
      </c>
      <c r="B397" s="9">
        <v>3920354</v>
      </c>
      <c r="C397" s="70">
        <v>44487</v>
      </c>
      <c r="D397" s="70">
        <v>44487</v>
      </c>
      <c r="E397" s="73"/>
      <c r="F397" s="9"/>
      <c r="G397" s="9"/>
      <c r="H397" s="9"/>
      <c r="I397" s="10" t="s">
        <v>1016</v>
      </c>
      <c r="J397" s="7" t="s">
        <v>44</v>
      </c>
      <c r="K397" s="24"/>
      <c r="L397" s="10">
        <v>478</v>
      </c>
      <c r="M397" s="10"/>
      <c r="N397" s="10"/>
      <c r="O397" s="10"/>
      <c r="P397" s="10"/>
      <c r="Q397" s="10"/>
      <c r="R397" s="10"/>
      <c r="S397" s="10"/>
      <c r="T397" s="14"/>
      <c r="U397" s="10"/>
      <c r="V397" s="10"/>
      <c r="W397" s="10"/>
      <c r="X397" s="7">
        <v>3983.35</v>
      </c>
      <c r="Y397" s="34"/>
      <c r="AA397" s="34"/>
      <c r="AC397" s="34">
        <v>4461.3500000000004</v>
      </c>
      <c r="AD397" s="10">
        <f t="shared" si="6"/>
        <v>0</v>
      </c>
      <c r="AF397" s="34"/>
    </row>
    <row r="398" spans="1:32" s="7" customFormat="1" ht="15" customHeight="1" x14ac:dyDescent="0.2">
      <c r="A398" s="7" t="s">
        <v>852</v>
      </c>
      <c r="B398" s="9">
        <v>3920355</v>
      </c>
      <c r="C398" s="70">
        <v>44518</v>
      </c>
      <c r="D398" s="70">
        <v>44489</v>
      </c>
      <c r="E398" s="73">
        <v>44518</v>
      </c>
      <c r="F398" s="9" t="s">
        <v>1059</v>
      </c>
      <c r="G398" s="9" t="s">
        <v>282</v>
      </c>
      <c r="H398" s="9"/>
      <c r="I398" s="10" t="s">
        <v>1036</v>
      </c>
      <c r="J398" s="7" t="s">
        <v>83</v>
      </c>
      <c r="K398" s="7" t="s">
        <v>116</v>
      </c>
      <c r="L398" s="10">
        <v>3888</v>
      </c>
      <c r="M398" s="10">
        <v>32400</v>
      </c>
      <c r="N398" s="10"/>
      <c r="O398" s="10"/>
      <c r="P398" s="10"/>
      <c r="Q398" s="10"/>
      <c r="R398" s="10"/>
      <c r="S398" s="10"/>
      <c r="T398" s="14"/>
      <c r="U398" s="10"/>
      <c r="V398" s="10"/>
      <c r="W398" s="10"/>
      <c r="AA398" s="34"/>
      <c r="AC398" s="34">
        <v>36288</v>
      </c>
      <c r="AD398" s="10">
        <f t="shared" si="6"/>
        <v>0</v>
      </c>
      <c r="AF398" s="34"/>
    </row>
    <row r="399" spans="1:32" s="7" customFormat="1" ht="15" customHeight="1" x14ac:dyDescent="0.2">
      <c r="A399" s="7" t="s">
        <v>853</v>
      </c>
      <c r="B399" s="9">
        <v>3920356</v>
      </c>
      <c r="C399" s="70">
        <v>44489</v>
      </c>
      <c r="D399" s="70">
        <v>44489</v>
      </c>
      <c r="E399" s="73"/>
      <c r="F399" s="9"/>
      <c r="G399" s="9"/>
      <c r="H399" s="9"/>
      <c r="I399" s="10" t="s">
        <v>1043</v>
      </c>
      <c r="J399" s="7" t="s">
        <v>43</v>
      </c>
      <c r="L399" s="14">
        <v>214.05</v>
      </c>
      <c r="M399" s="34"/>
      <c r="N399" s="10"/>
      <c r="O399" s="10"/>
      <c r="P399" s="10"/>
      <c r="Q399" s="10"/>
      <c r="R399" s="10"/>
      <c r="S399" s="10">
        <v>1783.78</v>
      </c>
      <c r="T399" s="14"/>
      <c r="U399" s="10"/>
      <c r="V399" s="10"/>
      <c r="W399" s="10"/>
      <c r="AA399" s="34"/>
      <c r="AC399" s="34">
        <v>1997.83</v>
      </c>
      <c r="AD399" s="10">
        <f t="shared" si="6"/>
        <v>0</v>
      </c>
      <c r="AF399" s="34"/>
    </row>
    <row r="400" spans="1:32" s="7" customFormat="1" ht="15" customHeight="1" x14ac:dyDescent="0.2">
      <c r="A400" s="7" t="s">
        <v>854</v>
      </c>
      <c r="B400" s="9" t="s">
        <v>1041</v>
      </c>
      <c r="C400" s="70">
        <v>44489</v>
      </c>
      <c r="D400" s="70">
        <v>44489</v>
      </c>
      <c r="E400" s="73"/>
      <c r="F400" s="9"/>
      <c r="G400" s="9"/>
      <c r="H400" s="9"/>
      <c r="I400" s="10" t="s">
        <v>55</v>
      </c>
      <c r="J400" s="10" t="s">
        <v>54</v>
      </c>
      <c r="L400" s="10"/>
      <c r="M400" s="10"/>
      <c r="N400" s="10"/>
      <c r="O400" s="10"/>
      <c r="P400" s="10"/>
      <c r="Q400" s="10"/>
      <c r="R400" s="10"/>
      <c r="S400" s="10"/>
      <c r="T400" s="14"/>
      <c r="U400" s="10"/>
      <c r="V400" s="10"/>
      <c r="W400" s="10"/>
      <c r="X400" s="34"/>
      <c r="Z400" s="34">
        <v>300000</v>
      </c>
      <c r="AA400" s="34"/>
      <c r="AC400" s="34">
        <v>300000</v>
      </c>
      <c r="AD400" s="10">
        <f t="shared" si="6"/>
        <v>0</v>
      </c>
      <c r="AF400" s="34"/>
    </row>
    <row r="401" spans="1:32" s="7" customFormat="1" ht="15" customHeight="1" x14ac:dyDescent="0.2">
      <c r="A401" s="7" t="s">
        <v>855</v>
      </c>
      <c r="B401" s="9" t="s">
        <v>1042</v>
      </c>
      <c r="C401" s="70">
        <v>44489</v>
      </c>
      <c r="D401" s="70">
        <v>44489</v>
      </c>
      <c r="E401" s="73"/>
      <c r="F401" s="9"/>
      <c r="G401" s="9"/>
      <c r="H401" s="9"/>
      <c r="I401" s="10" t="s">
        <v>55</v>
      </c>
      <c r="J401" s="10" t="s">
        <v>54</v>
      </c>
      <c r="L401" s="10"/>
      <c r="Z401" s="34">
        <v>300000</v>
      </c>
      <c r="AC401" s="34">
        <v>300000</v>
      </c>
      <c r="AD401" s="10">
        <f t="shared" si="6"/>
        <v>0</v>
      </c>
      <c r="AF401" s="34"/>
    </row>
    <row r="402" spans="1:32" s="7" customFormat="1" ht="15" customHeight="1" x14ac:dyDescent="0.2">
      <c r="A402" s="7" t="s">
        <v>856</v>
      </c>
      <c r="B402" s="9">
        <v>3920357</v>
      </c>
      <c r="C402" s="70">
        <v>44520</v>
      </c>
      <c r="D402" s="70">
        <v>44490</v>
      </c>
      <c r="E402" s="73">
        <v>44512</v>
      </c>
      <c r="F402" s="9" t="s">
        <v>1050</v>
      </c>
      <c r="G402" s="9" t="s">
        <v>284</v>
      </c>
      <c r="H402" s="9"/>
      <c r="I402" s="10" t="s">
        <v>756</v>
      </c>
      <c r="J402" s="10" t="s">
        <v>37</v>
      </c>
      <c r="K402" s="10" t="s">
        <v>38</v>
      </c>
      <c r="L402" s="10">
        <v>4682.1400000000003</v>
      </c>
      <c r="M402" s="10">
        <v>39017.86</v>
      </c>
      <c r="N402" s="10"/>
      <c r="O402" s="10"/>
      <c r="P402" s="10"/>
      <c r="Q402" s="10"/>
      <c r="R402" s="10"/>
      <c r="S402" s="10"/>
      <c r="T402" s="14"/>
      <c r="U402" s="10"/>
      <c r="V402" s="10"/>
      <c r="W402" s="10"/>
      <c r="AA402" s="34"/>
      <c r="AC402" s="34">
        <v>43700</v>
      </c>
      <c r="AD402" s="10">
        <f t="shared" si="6"/>
        <v>0</v>
      </c>
      <c r="AF402" s="34"/>
    </row>
    <row r="403" spans="1:32" s="7" customFormat="1" ht="15" customHeight="1" x14ac:dyDescent="0.2">
      <c r="A403" s="7" t="s">
        <v>857</v>
      </c>
      <c r="B403" s="9">
        <v>3920358</v>
      </c>
      <c r="C403" s="70">
        <v>44536</v>
      </c>
      <c r="D403" s="70">
        <v>44490</v>
      </c>
      <c r="E403" s="73">
        <v>44537</v>
      </c>
      <c r="F403" s="9" t="s">
        <v>1075</v>
      </c>
      <c r="G403" s="9" t="s">
        <v>285</v>
      </c>
      <c r="H403" s="9"/>
      <c r="I403" s="10" t="s">
        <v>1037</v>
      </c>
      <c r="J403" s="7" t="s">
        <v>1038</v>
      </c>
      <c r="K403" s="7" t="s">
        <v>1039</v>
      </c>
      <c r="L403" s="10">
        <v>8357.14</v>
      </c>
      <c r="M403" s="10">
        <v>69642.86</v>
      </c>
      <c r="N403" s="10"/>
      <c r="O403" s="10"/>
      <c r="P403" s="10"/>
      <c r="Q403" s="10"/>
      <c r="R403" s="10"/>
      <c r="S403" s="10"/>
      <c r="T403" s="14"/>
      <c r="U403" s="10"/>
      <c r="V403" s="10"/>
      <c r="W403" s="10"/>
      <c r="AA403" s="34"/>
      <c r="AC403" s="34">
        <v>78000</v>
      </c>
      <c r="AD403" s="10">
        <f t="shared" si="6"/>
        <v>0</v>
      </c>
      <c r="AF403" s="34"/>
    </row>
    <row r="404" spans="1:32" s="7" customFormat="1" ht="15" customHeight="1" x14ac:dyDescent="0.2">
      <c r="A404" s="7" t="s">
        <v>858</v>
      </c>
      <c r="B404" s="9">
        <v>3920359</v>
      </c>
      <c r="C404" s="70">
        <v>44494</v>
      </c>
      <c r="D404" s="70">
        <v>44494</v>
      </c>
      <c r="E404" s="73"/>
      <c r="F404" s="9"/>
      <c r="G404" s="9"/>
      <c r="H404" s="9"/>
      <c r="I404" s="10" t="s">
        <v>1011</v>
      </c>
      <c r="J404" s="7" t="s">
        <v>46</v>
      </c>
      <c r="L404" s="10">
        <v>997.82</v>
      </c>
      <c r="M404" s="10"/>
      <c r="N404" s="10"/>
      <c r="O404" s="10"/>
      <c r="P404" s="10"/>
      <c r="Q404" s="10"/>
      <c r="R404" s="10"/>
      <c r="S404" s="10">
        <v>8315.1299999999992</v>
      </c>
      <c r="T404" s="14"/>
      <c r="U404" s="10"/>
      <c r="V404" s="10"/>
      <c r="W404" s="10"/>
      <c r="Z404" s="34"/>
      <c r="AA404" s="34"/>
      <c r="AC404" s="34">
        <v>9312.9500000000007</v>
      </c>
      <c r="AD404" s="10">
        <f t="shared" si="6"/>
        <v>0</v>
      </c>
      <c r="AF404" s="34"/>
    </row>
    <row r="405" spans="1:32" s="7" customFormat="1" ht="15" customHeight="1" x14ac:dyDescent="0.2">
      <c r="A405" s="7" t="s">
        <v>859</v>
      </c>
      <c r="B405" s="9">
        <v>3920360</v>
      </c>
      <c r="C405" s="70">
        <v>44494</v>
      </c>
      <c r="D405" s="70">
        <v>44494</v>
      </c>
      <c r="E405" s="73">
        <v>44497</v>
      </c>
      <c r="F405" s="9" t="s">
        <v>1018</v>
      </c>
      <c r="G405" s="9"/>
      <c r="H405" s="9"/>
      <c r="I405" s="10" t="s">
        <v>1017</v>
      </c>
      <c r="J405" s="7" t="s">
        <v>109</v>
      </c>
      <c r="K405" s="24"/>
      <c r="L405" s="10"/>
      <c r="M405" s="10"/>
      <c r="N405" s="10"/>
      <c r="O405" s="10"/>
      <c r="P405" s="10"/>
      <c r="Q405" s="10"/>
      <c r="R405" s="10"/>
      <c r="S405" s="10"/>
      <c r="T405" s="14"/>
      <c r="U405" s="10"/>
      <c r="V405" s="10"/>
      <c r="W405" s="10"/>
      <c r="AA405" s="34">
        <v>10852.8</v>
      </c>
      <c r="AC405" s="34">
        <v>10852.8</v>
      </c>
      <c r="AD405" s="10">
        <f t="shared" si="6"/>
        <v>0</v>
      </c>
      <c r="AF405" s="34"/>
    </row>
    <row r="406" spans="1:32" s="7" customFormat="1" ht="15" customHeight="1" x14ac:dyDescent="0.2">
      <c r="A406" s="7" t="s">
        <v>860</v>
      </c>
      <c r="B406" s="9">
        <v>3920361</v>
      </c>
      <c r="C406" s="70">
        <v>44494</v>
      </c>
      <c r="D406" s="70">
        <v>44494</v>
      </c>
      <c r="E406" s="73"/>
      <c r="F406" s="9"/>
      <c r="G406" s="9"/>
      <c r="H406" s="9" t="s">
        <v>148</v>
      </c>
      <c r="I406" s="10" t="s">
        <v>114</v>
      </c>
      <c r="J406" s="7" t="s">
        <v>65</v>
      </c>
      <c r="L406" s="10"/>
      <c r="M406" s="10"/>
      <c r="N406" s="10"/>
      <c r="O406" s="10"/>
      <c r="P406" s="10"/>
      <c r="Q406" s="10"/>
      <c r="R406" s="10"/>
      <c r="S406" s="10"/>
      <c r="T406" s="14">
        <v>12694</v>
      </c>
      <c r="U406" s="10"/>
      <c r="V406" s="10"/>
      <c r="W406" s="10"/>
      <c r="Y406" s="34"/>
      <c r="Z406" s="34"/>
      <c r="AA406" s="34"/>
      <c r="AC406" s="34">
        <v>12694</v>
      </c>
      <c r="AD406" s="10">
        <f t="shared" si="6"/>
        <v>0</v>
      </c>
      <c r="AF406" s="34"/>
    </row>
    <row r="407" spans="1:32" s="7" customFormat="1" ht="15" customHeight="1" x14ac:dyDescent="0.2">
      <c r="A407" s="7" t="s">
        <v>861</v>
      </c>
      <c r="B407" s="9" t="s">
        <v>1022</v>
      </c>
      <c r="C407" s="70">
        <v>44494</v>
      </c>
      <c r="D407" s="70">
        <v>44494</v>
      </c>
      <c r="E407" s="73"/>
      <c r="F407" s="9"/>
      <c r="G407" s="9"/>
      <c r="H407" s="9"/>
      <c r="I407" s="10" t="s">
        <v>55</v>
      </c>
      <c r="J407" s="7" t="s">
        <v>80</v>
      </c>
      <c r="L407" s="10"/>
      <c r="M407" s="10"/>
      <c r="N407" s="10"/>
      <c r="O407" s="10"/>
      <c r="P407" s="10"/>
      <c r="Q407" s="10"/>
      <c r="R407" s="10"/>
      <c r="S407" s="10"/>
      <c r="T407" s="14"/>
      <c r="U407" s="10"/>
      <c r="V407" s="10"/>
      <c r="W407" s="10"/>
      <c r="Z407" s="34">
        <v>50000</v>
      </c>
      <c r="AA407" s="34"/>
      <c r="AC407" s="34">
        <v>50000</v>
      </c>
      <c r="AD407" s="10">
        <f t="shared" si="6"/>
        <v>0</v>
      </c>
      <c r="AF407" s="34"/>
    </row>
    <row r="408" spans="1:32" s="20" customFormat="1" ht="15" customHeight="1" x14ac:dyDescent="0.2">
      <c r="B408" s="19"/>
      <c r="C408" s="72"/>
      <c r="D408" s="72"/>
      <c r="E408" s="77"/>
      <c r="F408" s="19"/>
      <c r="G408" s="19"/>
      <c r="H408" s="19"/>
      <c r="I408" s="22"/>
      <c r="L408" s="22"/>
      <c r="M408" s="22"/>
      <c r="N408" s="22"/>
      <c r="O408" s="22"/>
      <c r="P408" s="22"/>
      <c r="Q408" s="22"/>
      <c r="R408" s="22"/>
      <c r="S408" s="22"/>
      <c r="T408" s="21"/>
      <c r="U408" s="22"/>
      <c r="V408" s="22"/>
      <c r="W408" s="22"/>
      <c r="Z408" s="35"/>
      <c r="AA408" s="35"/>
      <c r="AC408" s="35"/>
      <c r="AD408" s="22"/>
      <c r="AF408" s="35"/>
    </row>
    <row r="409" spans="1:32" s="20" customFormat="1" ht="15" customHeight="1" x14ac:dyDescent="0.2">
      <c r="A409" s="25">
        <v>44501</v>
      </c>
      <c r="B409" s="19"/>
      <c r="C409" s="72"/>
      <c r="D409" s="72"/>
      <c r="E409" s="77"/>
      <c r="F409" s="19"/>
      <c r="G409" s="19"/>
      <c r="H409" s="19"/>
      <c r="I409" s="22"/>
      <c r="L409" s="22"/>
      <c r="M409" s="22"/>
      <c r="N409" s="22"/>
      <c r="O409" s="22"/>
      <c r="P409" s="22"/>
      <c r="Q409" s="22"/>
      <c r="R409" s="22"/>
      <c r="S409" s="22"/>
      <c r="T409" s="21"/>
      <c r="U409" s="22"/>
      <c r="V409" s="22"/>
      <c r="W409" s="22"/>
      <c r="Z409" s="35"/>
      <c r="AA409" s="35"/>
      <c r="AC409" s="35"/>
      <c r="AD409" s="22"/>
      <c r="AF409" s="35"/>
    </row>
    <row r="410" spans="1:32" s="7" customFormat="1" ht="15" customHeight="1" x14ac:dyDescent="0.2">
      <c r="A410" s="7" t="s">
        <v>862</v>
      </c>
      <c r="B410" s="9">
        <v>3920362</v>
      </c>
      <c r="C410" s="70">
        <v>44502</v>
      </c>
      <c r="D410" s="70">
        <v>44502</v>
      </c>
      <c r="E410" s="73">
        <v>44503</v>
      </c>
      <c r="F410" s="9" t="s">
        <v>1040</v>
      </c>
      <c r="G410" s="9"/>
      <c r="H410" s="9"/>
      <c r="I410" s="10" t="s">
        <v>1029</v>
      </c>
      <c r="J410" s="7" t="s">
        <v>109</v>
      </c>
      <c r="K410" s="26"/>
      <c r="L410" s="10"/>
      <c r="M410" s="10"/>
      <c r="N410" s="10"/>
      <c r="O410" s="10"/>
      <c r="P410" s="10"/>
      <c r="Q410" s="10"/>
      <c r="R410" s="10"/>
      <c r="S410" s="10"/>
      <c r="T410" s="14"/>
      <c r="U410" s="10"/>
      <c r="V410" s="10"/>
      <c r="W410" s="10"/>
      <c r="AA410" s="34">
        <v>4375.1000000000004</v>
      </c>
      <c r="AC410" s="34">
        <v>4375.1000000000004</v>
      </c>
      <c r="AD410" s="10">
        <f t="shared" ref="AD410:AD473" si="7">SUM(AB410:AC410)-SUM(L410:AA410)</f>
        <v>0</v>
      </c>
      <c r="AF410" s="34"/>
    </row>
    <row r="411" spans="1:32" s="7" customFormat="1" ht="15" customHeight="1" x14ac:dyDescent="0.2">
      <c r="A411" s="7" t="s">
        <v>863</v>
      </c>
      <c r="B411" s="9">
        <v>3920363</v>
      </c>
      <c r="C411" s="40">
        <v>44502</v>
      </c>
      <c r="D411" s="40">
        <v>44502</v>
      </c>
      <c r="E411" s="73">
        <v>44517</v>
      </c>
      <c r="F411" s="9" t="s">
        <v>1058</v>
      </c>
      <c r="G411" s="9"/>
      <c r="H411" s="9"/>
      <c r="I411" s="10" t="s">
        <v>1028</v>
      </c>
      <c r="J411" s="7" t="s">
        <v>127</v>
      </c>
      <c r="K411" s="7" t="s">
        <v>128</v>
      </c>
      <c r="L411" s="10">
        <v>528</v>
      </c>
      <c r="M411" s="10"/>
      <c r="N411" s="10"/>
      <c r="O411" s="10"/>
      <c r="P411" s="10"/>
      <c r="Q411" s="10"/>
      <c r="R411" s="10"/>
      <c r="S411" s="10"/>
      <c r="T411" s="14"/>
      <c r="U411" s="10"/>
      <c r="V411" s="10"/>
      <c r="W411" s="10"/>
      <c r="AA411" s="34">
        <v>4400</v>
      </c>
      <c r="AC411" s="34">
        <v>4928</v>
      </c>
      <c r="AD411" s="10">
        <f t="shared" si="7"/>
        <v>0</v>
      </c>
      <c r="AF411" s="34"/>
    </row>
    <row r="412" spans="1:32" s="7" customFormat="1" ht="15" customHeight="1" x14ac:dyDescent="0.2">
      <c r="A412" s="7" t="s">
        <v>864</v>
      </c>
      <c r="B412" s="9">
        <v>3920364</v>
      </c>
      <c r="C412" s="70">
        <v>44529</v>
      </c>
      <c r="D412" s="70">
        <v>44502</v>
      </c>
      <c r="E412" s="73">
        <v>44540</v>
      </c>
      <c r="F412" s="9" t="s">
        <v>1082</v>
      </c>
      <c r="G412" s="9" t="s">
        <v>286</v>
      </c>
      <c r="H412" s="9"/>
      <c r="I412" s="10" t="s">
        <v>1045</v>
      </c>
      <c r="J412" s="7" t="s">
        <v>83</v>
      </c>
      <c r="K412" s="7" t="s">
        <v>116</v>
      </c>
      <c r="L412" s="10">
        <v>37500</v>
      </c>
      <c r="M412" s="10">
        <v>312500</v>
      </c>
      <c r="N412" s="10"/>
      <c r="O412" s="10"/>
      <c r="P412" s="10"/>
      <c r="Q412" s="10"/>
      <c r="R412" s="10"/>
      <c r="S412" s="10"/>
      <c r="T412" s="14"/>
      <c r="U412" s="10"/>
      <c r="V412" s="10"/>
      <c r="W412" s="10"/>
      <c r="AA412" s="34"/>
      <c r="AC412" s="34">
        <v>350000</v>
      </c>
      <c r="AD412" s="10">
        <f t="shared" si="7"/>
        <v>0</v>
      </c>
      <c r="AF412" s="34"/>
    </row>
    <row r="413" spans="1:32" s="7" customFormat="1" ht="15" customHeight="1" x14ac:dyDescent="0.2">
      <c r="A413" s="7" t="s">
        <v>865</v>
      </c>
      <c r="B413" s="9">
        <v>3920365</v>
      </c>
      <c r="C413" s="70">
        <v>44505</v>
      </c>
      <c r="D413" s="70">
        <v>44502</v>
      </c>
      <c r="E413" s="73"/>
      <c r="F413" s="9"/>
      <c r="G413" s="9"/>
      <c r="H413" s="9"/>
      <c r="I413" s="10" t="s">
        <v>117</v>
      </c>
      <c r="J413" s="7" t="s">
        <v>30</v>
      </c>
      <c r="L413" s="10"/>
      <c r="M413" s="10">
        <v>58000</v>
      </c>
      <c r="N413" s="10"/>
      <c r="O413" s="10"/>
      <c r="P413" s="10"/>
      <c r="Q413" s="10"/>
      <c r="R413" s="10"/>
      <c r="S413" s="10"/>
      <c r="T413" s="14"/>
      <c r="U413" s="10"/>
      <c r="V413" s="10"/>
      <c r="W413" s="10"/>
      <c r="AA413" s="34"/>
      <c r="AC413" s="34">
        <v>58000</v>
      </c>
      <c r="AD413" s="10">
        <f t="shared" si="7"/>
        <v>0</v>
      </c>
      <c r="AF413" s="34"/>
    </row>
    <row r="414" spans="1:32" s="7" customFormat="1" ht="15" customHeight="1" x14ac:dyDescent="0.2">
      <c r="A414" s="7" t="s">
        <v>866</v>
      </c>
      <c r="B414" s="9">
        <v>3920366</v>
      </c>
      <c r="C414" s="70">
        <v>44502</v>
      </c>
      <c r="D414" s="70">
        <v>44502</v>
      </c>
      <c r="E414" s="73">
        <v>44504</v>
      </c>
      <c r="F414" s="9" t="s">
        <v>1033</v>
      </c>
      <c r="G414" s="9" t="s">
        <v>288</v>
      </c>
      <c r="H414" s="9"/>
      <c r="I414" s="10" t="s">
        <v>53</v>
      </c>
      <c r="J414" s="10" t="s">
        <v>59</v>
      </c>
      <c r="K414" s="10" t="s">
        <v>968</v>
      </c>
      <c r="L414" s="10">
        <v>257.14</v>
      </c>
      <c r="M414" s="10">
        <v>2142.86</v>
      </c>
      <c r="N414" s="10"/>
      <c r="O414" s="10"/>
      <c r="P414" s="10"/>
      <c r="Q414" s="10"/>
      <c r="R414" s="10"/>
      <c r="S414" s="10"/>
      <c r="T414" s="14"/>
      <c r="U414" s="10"/>
      <c r="V414" s="10"/>
      <c r="W414" s="10"/>
      <c r="AA414" s="34"/>
      <c r="AC414" s="34">
        <v>2400</v>
      </c>
      <c r="AD414" s="10">
        <f t="shared" si="7"/>
        <v>0</v>
      </c>
      <c r="AF414" s="34"/>
    </row>
    <row r="415" spans="1:32" s="7" customFormat="1" ht="15" customHeight="1" x14ac:dyDescent="0.2">
      <c r="A415" s="7" t="s">
        <v>867</v>
      </c>
      <c r="B415" s="9">
        <v>3920367</v>
      </c>
      <c r="C415" s="70">
        <v>44533</v>
      </c>
      <c r="D415" s="70">
        <v>44502</v>
      </c>
      <c r="E415" s="73">
        <v>44509</v>
      </c>
      <c r="F415" s="9" t="s">
        <v>1051</v>
      </c>
      <c r="G415" s="9" t="s">
        <v>289</v>
      </c>
      <c r="H415" s="9"/>
      <c r="I415" s="10" t="s">
        <v>1023</v>
      </c>
      <c r="J415" s="10" t="s">
        <v>1024</v>
      </c>
      <c r="K415" s="10" t="s">
        <v>1025</v>
      </c>
      <c r="L415" s="10">
        <v>257.14</v>
      </c>
      <c r="M415" s="10">
        <v>2142.86</v>
      </c>
      <c r="N415" s="10"/>
      <c r="O415" s="10"/>
      <c r="P415" s="10"/>
      <c r="Q415" s="10"/>
      <c r="R415" s="10"/>
      <c r="S415" s="10"/>
      <c r="T415" s="14"/>
      <c r="U415" s="10"/>
      <c r="V415" s="10"/>
      <c r="W415" s="10"/>
      <c r="Z415" s="34"/>
      <c r="AA415" s="34"/>
      <c r="AC415" s="34">
        <v>2400</v>
      </c>
      <c r="AD415" s="10">
        <f t="shared" si="7"/>
        <v>0</v>
      </c>
      <c r="AF415" s="34"/>
    </row>
    <row r="416" spans="1:32" s="7" customFormat="1" ht="15" customHeight="1" x14ac:dyDescent="0.2">
      <c r="A416" s="7" t="s">
        <v>868</v>
      </c>
      <c r="B416" s="9" t="s">
        <v>1026</v>
      </c>
      <c r="C416" s="70">
        <v>44502</v>
      </c>
      <c r="D416" s="70">
        <v>44502</v>
      </c>
      <c r="E416" s="73">
        <v>44502</v>
      </c>
      <c r="F416" s="9" t="s">
        <v>1027</v>
      </c>
      <c r="G416" s="9"/>
      <c r="H416" s="9"/>
      <c r="I416" s="10" t="s">
        <v>93</v>
      </c>
      <c r="J416" s="10" t="s">
        <v>79</v>
      </c>
      <c r="K416" s="10"/>
      <c r="L416" s="10"/>
      <c r="M416" s="10"/>
      <c r="N416" s="10"/>
      <c r="O416" s="10"/>
      <c r="P416" s="10"/>
      <c r="Q416" s="10"/>
      <c r="R416" s="10"/>
      <c r="S416" s="10"/>
      <c r="T416" s="14"/>
      <c r="U416" s="10"/>
      <c r="V416" s="10">
        <v>20667</v>
      </c>
      <c r="W416" s="10"/>
      <c r="AA416" s="34"/>
      <c r="AC416" s="34">
        <v>20667</v>
      </c>
      <c r="AD416" s="10">
        <f t="shared" si="7"/>
        <v>0</v>
      </c>
      <c r="AF416" s="34"/>
    </row>
    <row r="417" spans="1:32" s="7" customFormat="1" ht="15" customHeight="1" x14ac:dyDescent="0.2">
      <c r="A417" s="7" t="s">
        <v>869</v>
      </c>
      <c r="B417" s="9" t="s">
        <v>1031</v>
      </c>
      <c r="C417" s="70">
        <v>44502</v>
      </c>
      <c r="D417" s="70">
        <v>44502</v>
      </c>
      <c r="E417" s="73">
        <v>44504</v>
      </c>
      <c r="F417" s="48" t="s">
        <v>1032</v>
      </c>
      <c r="G417" s="9" t="s">
        <v>287</v>
      </c>
      <c r="H417" s="9"/>
      <c r="I417" s="10" t="s">
        <v>671</v>
      </c>
      <c r="J417" s="7" t="s">
        <v>136</v>
      </c>
      <c r="K417" s="26" t="s">
        <v>956</v>
      </c>
      <c r="L417" s="10">
        <v>2335.71</v>
      </c>
      <c r="M417" s="10">
        <v>19464.29</v>
      </c>
      <c r="N417" s="10"/>
      <c r="O417" s="10"/>
      <c r="P417" s="10"/>
      <c r="Q417" s="10"/>
      <c r="R417" s="10"/>
      <c r="S417" s="10"/>
      <c r="T417" s="14"/>
      <c r="U417" s="10"/>
      <c r="V417" s="10"/>
      <c r="W417" s="10"/>
      <c r="Y417" s="34"/>
      <c r="AA417" s="34"/>
      <c r="AC417" s="34">
        <v>21800</v>
      </c>
      <c r="AD417" s="10">
        <f t="shared" si="7"/>
        <v>0</v>
      </c>
      <c r="AF417" s="34"/>
    </row>
    <row r="418" spans="1:32" s="7" customFormat="1" ht="15" customHeight="1" x14ac:dyDescent="0.2">
      <c r="A418" s="7" t="s">
        <v>870</v>
      </c>
      <c r="B418" s="9" t="s">
        <v>1030</v>
      </c>
      <c r="C418" s="70">
        <v>44502</v>
      </c>
      <c r="D418" s="70">
        <v>44502</v>
      </c>
      <c r="E418" s="73"/>
      <c r="F418" s="9"/>
      <c r="G418" s="9"/>
      <c r="H418" s="9"/>
      <c r="I418" s="10" t="s">
        <v>55</v>
      </c>
      <c r="J418" s="7" t="s">
        <v>54</v>
      </c>
      <c r="L418" s="10"/>
      <c r="M418" s="10"/>
      <c r="N418" s="10"/>
      <c r="O418" s="10"/>
      <c r="P418" s="10"/>
      <c r="Q418" s="10"/>
      <c r="R418" s="10"/>
      <c r="S418" s="10"/>
      <c r="T418" s="14"/>
      <c r="U418" s="10"/>
      <c r="V418" s="10"/>
      <c r="W418" s="10"/>
      <c r="Z418" s="34">
        <v>100000</v>
      </c>
      <c r="AA418" s="34"/>
      <c r="AC418" s="34">
        <v>100000</v>
      </c>
      <c r="AD418" s="10">
        <f t="shared" si="7"/>
        <v>0</v>
      </c>
      <c r="AF418" s="34"/>
    </row>
    <row r="419" spans="1:32" s="7" customFormat="1" ht="15" customHeight="1" x14ac:dyDescent="0.2">
      <c r="A419" s="7" t="s">
        <v>871</v>
      </c>
      <c r="B419" s="9">
        <v>3920368</v>
      </c>
      <c r="C419" s="70">
        <v>44504</v>
      </c>
      <c r="D419" s="70">
        <v>44504</v>
      </c>
      <c r="E419" s="73">
        <v>44505</v>
      </c>
      <c r="F419" s="48" t="s">
        <v>1053</v>
      </c>
      <c r="G419" s="9"/>
      <c r="H419" s="9"/>
      <c r="I419" s="10" t="s">
        <v>63</v>
      </c>
      <c r="J419" s="7" t="s">
        <v>109</v>
      </c>
      <c r="K419" s="26"/>
      <c r="L419" s="10"/>
      <c r="M419" s="10"/>
      <c r="N419" s="10">
        <v>148270.15</v>
      </c>
      <c r="O419" s="10"/>
      <c r="P419" s="10"/>
      <c r="Q419" s="10"/>
      <c r="R419" s="10"/>
      <c r="S419" s="10"/>
      <c r="T419" s="14"/>
      <c r="U419" s="10"/>
      <c r="V419" s="10"/>
      <c r="W419" s="10"/>
      <c r="Y419" s="34"/>
      <c r="AA419" s="34"/>
      <c r="AC419" s="34">
        <v>148270.15</v>
      </c>
      <c r="AD419" s="10">
        <f t="shared" si="7"/>
        <v>0</v>
      </c>
      <c r="AF419" s="34"/>
    </row>
    <row r="420" spans="1:32" s="7" customFormat="1" ht="15" customHeight="1" x14ac:dyDescent="0.2">
      <c r="A420" s="7" t="s">
        <v>872</v>
      </c>
      <c r="B420" s="9" t="s">
        <v>1048</v>
      </c>
      <c r="C420" s="70">
        <v>44509</v>
      </c>
      <c r="D420" s="70">
        <v>44509</v>
      </c>
      <c r="E420" s="73"/>
      <c r="F420" s="48"/>
      <c r="G420" s="9"/>
      <c r="H420" s="9"/>
      <c r="I420" s="10" t="s">
        <v>55</v>
      </c>
      <c r="J420" s="7" t="s">
        <v>54</v>
      </c>
      <c r="L420" s="10"/>
      <c r="M420" s="10"/>
      <c r="N420" s="10"/>
      <c r="O420" s="10"/>
      <c r="P420" s="10"/>
      <c r="Q420" s="10"/>
      <c r="R420" s="10"/>
      <c r="S420" s="10"/>
      <c r="T420" s="14"/>
      <c r="U420" s="10"/>
      <c r="V420" s="10"/>
      <c r="W420" s="10"/>
      <c r="Y420" s="34"/>
      <c r="Z420" s="34">
        <v>200000</v>
      </c>
      <c r="AA420" s="34"/>
      <c r="AC420" s="34">
        <v>200000</v>
      </c>
      <c r="AD420" s="10">
        <f t="shared" si="7"/>
        <v>0</v>
      </c>
      <c r="AF420" s="34"/>
    </row>
    <row r="421" spans="1:32" s="7" customFormat="1" ht="15" customHeight="1" x14ac:dyDescent="0.2">
      <c r="A421" s="7" t="s">
        <v>873</v>
      </c>
      <c r="B421" s="9" t="s">
        <v>1046</v>
      </c>
      <c r="C421" s="70">
        <v>44509</v>
      </c>
      <c r="D421" s="70">
        <v>44509</v>
      </c>
      <c r="E421" s="73"/>
      <c r="F421" s="9"/>
      <c r="G421" s="9"/>
      <c r="H421" s="9"/>
      <c r="I421" s="10" t="s">
        <v>1047</v>
      </c>
      <c r="J421" s="7" t="s">
        <v>39</v>
      </c>
      <c r="L421" s="10"/>
      <c r="M421" s="10"/>
      <c r="N421" s="10"/>
      <c r="O421" s="10"/>
      <c r="P421" s="10"/>
      <c r="Q421" s="10"/>
      <c r="R421" s="10"/>
      <c r="S421" s="10"/>
      <c r="T421" s="14"/>
      <c r="U421" s="10"/>
      <c r="V421" s="10"/>
      <c r="W421" s="10">
        <v>50000</v>
      </c>
      <c r="AA421" s="34"/>
      <c r="AC421" s="34">
        <v>50000</v>
      </c>
      <c r="AD421" s="10">
        <f t="shared" si="7"/>
        <v>0</v>
      </c>
      <c r="AF421" s="34"/>
    </row>
    <row r="422" spans="1:32" s="7" customFormat="1" ht="15" customHeight="1" x14ac:dyDescent="0.2">
      <c r="A422" s="7" t="s">
        <v>874</v>
      </c>
      <c r="B422" s="9">
        <v>3920369</v>
      </c>
      <c r="C422" s="70">
        <v>44515</v>
      </c>
      <c r="D422" s="70">
        <v>44515</v>
      </c>
      <c r="E422" s="73"/>
      <c r="F422" s="9"/>
      <c r="G422" s="9"/>
      <c r="H422" s="9"/>
      <c r="I422" s="10" t="s">
        <v>1052</v>
      </c>
      <c r="J422" s="7" t="s">
        <v>43</v>
      </c>
      <c r="K422" s="10"/>
      <c r="L422" s="10">
        <v>107.04</v>
      </c>
      <c r="M422" s="10"/>
      <c r="N422" s="10"/>
      <c r="O422" s="10"/>
      <c r="P422" s="10"/>
      <c r="Q422" s="10"/>
      <c r="R422" s="10"/>
      <c r="S422" s="10">
        <v>891.96</v>
      </c>
      <c r="T422" s="14"/>
      <c r="U422" s="10"/>
      <c r="V422" s="10"/>
      <c r="W422" s="10"/>
      <c r="Z422" s="34"/>
      <c r="AA422" s="34"/>
      <c r="AC422" s="34">
        <v>999</v>
      </c>
      <c r="AD422" s="10">
        <f t="shared" si="7"/>
        <v>0</v>
      </c>
      <c r="AF422" s="34"/>
    </row>
    <row r="423" spans="1:32" s="7" customFormat="1" ht="15" customHeight="1" x14ac:dyDescent="0.2">
      <c r="A423" s="7" t="s">
        <v>875</v>
      </c>
      <c r="B423" s="9">
        <v>3920370</v>
      </c>
      <c r="C423" s="70">
        <v>44515</v>
      </c>
      <c r="D423" s="70">
        <v>44515</v>
      </c>
      <c r="E423" s="73"/>
      <c r="F423" s="9"/>
      <c r="G423" s="9"/>
      <c r="H423" s="9"/>
      <c r="I423" s="10" t="s">
        <v>1052</v>
      </c>
      <c r="J423" s="7" t="s">
        <v>43</v>
      </c>
      <c r="L423" s="10">
        <v>148.61000000000001</v>
      </c>
      <c r="M423" s="10"/>
      <c r="N423" s="10"/>
      <c r="O423" s="10"/>
      <c r="P423" s="10"/>
      <c r="Q423" s="10"/>
      <c r="R423" s="10"/>
      <c r="S423" s="10">
        <v>1238.3800000000001</v>
      </c>
      <c r="T423" s="14"/>
      <c r="U423" s="10"/>
      <c r="V423" s="10"/>
      <c r="W423" s="10"/>
      <c r="AA423" s="34"/>
      <c r="AC423" s="34">
        <v>1386.99</v>
      </c>
      <c r="AD423" s="10">
        <f t="shared" si="7"/>
        <v>0</v>
      </c>
      <c r="AF423" s="34"/>
    </row>
    <row r="424" spans="1:32" s="7" customFormat="1" ht="15" customHeight="1" x14ac:dyDescent="0.2">
      <c r="A424" s="7" t="s">
        <v>876</v>
      </c>
      <c r="B424" s="9">
        <v>3920371</v>
      </c>
      <c r="C424" s="70">
        <v>44515</v>
      </c>
      <c r="D424" s="70">
        <v>44515</v>
      </c>
      <c r="E424" s="73"/>
      <c r="F424" s="9"/>
      <c r="G424" s="9"/>
      <c r="H424" s="9"/>
      <c r="I424" s="10" t="s">
        <v>1052</v>
      </c>
      <c r="J424" s="7" t="s">
        <v>43</v>
      </c>
      <c r="K424" s="10"/>
      <c r="L424" s="10">
        <v>206.55</v>
      </c>
      <c r="M424" s="10"/>
      <c r="N424" s="10"/>
      <c r="O424" s="10"/>
      <c r="P424" s="10"/>
      <c r="Q424" s="10"/>
      <c r="R424" s="10"/>
      <c r="S424" s="10">
        <v>1721.29</v>
      </c>
      <c r="T424" s="14"/>
      <c r="U424" s="10"/>
      <c r="V424" s="10"/>
      <c r="W424" s="10"/>
      <c r="AA424" s="34"/>
      <c r="AC424" s="34">
        <v>1927.84</v>
      </c>
      <c r="AD424" s="10">
        <f t="shared" si="7"/>
        <v>0</v>
      </c>
      <c r="AF424" s="34"/>
    </row>
    <row r="425" spans="1:32" s="7" customFormat="1" ht="15" customHeight="1" x14ac:dyDescent="0.2">
      <c r="A425" s="7" t="s">
        <v>877</v>
      </c>
      <c r="B425" s="9">
        <v>3920372</v>
      </c>
      <c r="C425" s="70">
        <v>44515</v>
      </c>
      <c r="D425" s="70">
        <v>44515</v>
      </c>
      <c r="E425" s="73"/>
      <c r="F425" s="28"/>
      <c r="G425" s="28"/>
      <c r="H425" s="9"/>
      <c r="I425" s="10" t="s">
        <v>1054</v>
      </c>
      <c r="J425" s="7" t="s">
        <v>18</v>
      </c>
      <c r="L425" s="14">
        <v>811.09</v>
      </c>
      <c r="M425" s="10"/>
      <c r="N425" s="10"/>
      <c r="O425" s="10"/>
      <c r="P425" s="10"/>
      <c r="Q425" s="10"/>
      <c r="R425" s="10">
        <v>6759.06</v>
      </c>
      <c r="S425" s="10"/>
      <c r="T425" s="14"/>
      <c r="U425" s="10"/>
      <c r="V425" s="10"/>
      <c r="W425" s="10"/>
      <c r="AA425" s="34"/>
      <c r="AC425" s="34">
        <v>7570.15</v>
      </c>
      <c r="AD425" s="10">
        <f t="shared" si="7"/>
        <v>0</v>
      </c>
      <c r="AF425" s="34"/>
    </row>
    <row r="426" spans="1:32" s="7" customFormat="1" ht="15" customHeight="1" x14ac:dyDescent="0.2">
      <c r="A426" s="7" t="s">
        <v>878</v>
      </c>
      <c r="B426" s="9">
        <v>3920373</v>
      </c>
      <c r="C426" s="70">
        <v>44515</v>
      </c>
      <c r="D426" s="70">
        <v>44515</v>
      </c>
      <c r="E426" s="73"/>
      <c r="F426" s="9"/>
      <c r="G426" s="9"/>
      <c r="H426" s="9"/>
      <c r="I426" s="10" t="s">
        <v>1054</v>
      </c>
      <c r="J426" s="7" t="s">
        <v>18</v>
      </c>
      <c r="L426" s="10">
        <v>151.09</v>
      </c>
      <c r="M426" s="10"/>
      <c r="N426" s="10"/>
      <c r="O426" s="10"/>
      <c r="P426" s="10"/>
      <c r="Q426" s="10"/>
      <c r="R426" s="10">
        <v>1259.06</v>
      </c>
      <c r="S426" s="10"/>
      <c r="T426" s="14"/>
      <c r="U426" s="10"/>
      <c r="V426" s="10"/>
      <c r="W426" s="10"/>
      <c r="Z426" s="34"/>
      <c r="AA426" s="34"/>
      <c r="AC426" s="34">
        <v>1410.15</v>
      </c>
      <c r="AD426" s="10">
        <f t="shared" si="7"/>
        <v>0</v>
      </c>
      <c r="AF426" s="34"/>
    </row>
    <row r="427" spans="1:32" s="7" customFormat="1" ht="15" customHeight="1" x14ac:dyDescent="0.2">
      <c r="A427" s="7" t="s">
        <v>879</v>
      </c>
      <c r="B427" s="9">
        <v>3920374</v>
      </c>
      <c r="C427" s="70">
        <v>44515</v>
      </c>
      <c r="D427" s="70">
        <v>44515</v>
      </c>
      <c r="E427" s="73">
        <v>44525</v>
      </c>
      <c r="F427" s="9" t="s">
        <v>1072</v>
      </c>
      <c r="G427" s="9" t="s">
        <v>290</v>
      </c>
      <c r="H427" s="9"/>
      <c r="I427" s="10" t="s">
        <v>1055</v>
      </c>
      <c r="J427" s="7" t="s">
        <v>141</v>
      </c>
      <c r="L427" s="10">
        <v>4872.8599999999997</v>
      </c>
      <c r="M427" s="10">
        <v>40607.14</v>
      </c>
      <c r="N427" s="10"/>
      <c r="O427" s="10"/>
      <c r="P427" s="10"/>
      <c r="Q427" s="10"/>
      <c r="R427" s="10"/>
      <c r="S427" s="10"/>
      <c r="T427" s="14"/>
      <c r="U427" s="10"/>
      <c r="V427" s="10"/>
      <c r="W427" s="10"/>
      <c r="AA427" s="34"/>
      <c r="AC427" s="34">
        <v>45480</v>
      </c>
      <c r="AD427" s="10">
        <f t="shared" si="7"/>
        <v>0</v>
      </c>
      <c r="AF427" s="34"/>
    </row>
    <row r="428" spans="1:32" s="7" customFormat="1" ht="15" customHeight="1" x14ac:dyDescent="0.2">
      <c r="A428" s="7" t="s">
        <v>880</v>
      </c>
      <c r="B428" s="9">
        <v>3920375</v>
      </c>
      <c r="C428" s="70">
        <v>44560</v>
      </c>
      <c r="D428" s="70">
        <v>44515</v>
      </c>
      <c r="E428" s="73">
        <v>44537</v>
      </c>
      <c r="F428" s="9" t="s">
        <v>1076</v>
      </c>
      <c r="G428" s="9" t="s">
        <v>291</v>
      </c>
      <c r="H428" s="9"/>
      <c r="I428" s="10" t="s">
        <v>1056</v>
      </c>
      <c r="J428" s="7" t="s">
        <v>1038</v>
      </c>
      <c r="K428" s="7" t="s">
        <v>1039</v>
      </c>
      <c r="L428" s="10">
        <v>4339.29</v>
      </c>
      <c r="M428" s="10">
        <v>36160.71</v>
      </c>
      <c r="N428" s="10"/>
      <c r="O428" s="10"/>
      <c r="P428" s="10"/>
      <c r="Q428" s="10"/>
      <c r="R428" s="10"/>
      <c r="S428" s="10"/>
      <c r="T428" s="14"/>
      <c r="U428" s="10"/>
      <c r="V428" s="10"/>
      <c r="W428" s="10"/>
      <c r="AA428" s="34"/>
      <c r="AC428" s="34">
        <v>40500</v>
      </c>
      <c r="AD428" s="10">
        <f t="shared" si="7"/>
        <v>0</v>
      </c>
      <c r="AF428" s="34"/>
    </row>
    <row r="429" spans="1:32" s="7" customFormat="1" ht="15" customHeight="1" x14ac:dyDescent="0.2">
      <c r="A429" s="7" t="s">
        <v>881</v>
      </c>
      <c r="B429" s="9">
        <v>3920376</v>
      </c>
      <c r="C429" s="70">
        <v>44517</v>
      </c>
      <c r="D429" s="70">
        <v>44517</v>
      </c>
      <c r="E429" s="73"/>
      <c r="F429" s="9"/>
      <c r="G429" s="9"/>
      <c r="H429" s="9"/>
      <c r="I429" s="10" t="s">
        <v>1060</v>
      </c>
      <c r="J429" s="7" t="s">
        <v>24</v>
      </c>
      <c r="L429" s="10">
        <v>512.4</v>
      </c>
      <c r="M429" s="10"/>
      <c r="N429" s="10"/>
      <c r="O429" s="10"/>
      <c r="P429" s="10"/>
      <c r="Q429" s="10"/>
      <c r="R429" s="10"/>
      <c r="S429" s="10"/>
      <c r="T429" s="14"/>
      <c r="U429" s="10"/>
      <c r="V429" s="10"/>
      <c r="W429" s="10"/>
      <c r="X429" s="7">
        <v>4269.9799999999996</v>
      </c>
      <c r="AA429" s="34"/>
      <c r="AC429" s="34">
        <v>4782.38</v>
      </c>
      <c r="AD429" s="10">
        <f t="shared" si="7"/>
        <v>0</v>
      </c>
      <c r="AF429" s="34"/>
    </row>
    <row r="430" spans="1:32" s="7" customFormat="1" ht="15" customHeight="1" x14ac:dyDescent="0.2">
      <c r="A430" s="7" t="s">
        <v>882</v>
      </c>
      <c r="B430" s="9" t="s">
        <v>1061</v>
      </c>
      <c r="C430" s="70">
        <v>44517</v>
      </c>
      <c r="D430" s="70">
        <v>44517</v>
      </c>
      <c r="E430" s="73"/>
      <c r="F430" s="9"/>
      <c r="G430" s="9"/>
      <c r="H430" s="9"/>
      <c r="I430" s="10" t="s">
        <v>64</v>
      </c>
      <c r="J430" s="7" t="s">
        <v>47</v>
      </c>
      <c r="L430" s="10"/>
      <c r="M430" s="10"/>
      <c r="N430" s="10"/>
      <c r="O430" s="10"/>
      <c r="P430" s="10">
        <v>30000</v>
      </c>
      <c r="Q430" s="10"/>
      <c r="R430" s="10"/>
      <c r="S430" s="10"/>
      <c r="T430" s="14"/>
      <c r="U430" s="10"/>
      <c r="V430" s="10"/>
      <c r="W430" s="10"/>
      <c r="Z430" s="34"/>
      <c r="AA430" s="34"/>
      <c r="AC430" s="34">
        <v>30000</v>
      </c>
      <c r="AD430" s="10">
        <f t="shared" si="7"/>
        <v>0</v>
      </c>
      <c r="AF430" s="34"/>
    </row>
    <row r="431" spans="1:32" s="7" customFormat="1" ht="15" customHeight="1" x14ac:dyDescent="0.2">
      <c r="A431" s="7" t="s">
        <v>883</v>
      </c>
      <c r="B431" s="9" t="s">
        <v>1062</v>
      </c>
      <c r="C431" s="70">
        <v>44522</v>
      </c>
      <c r="D431" s="70">
        <v>44522</v>
      </c>
      <c r="E431" s="73"/>
      <c r="F431" s="9"/>
      <c r="G431" s="9"/>
      <c r="H431" s="9"/>
      <c r="I431" s="10" t="s">
        <v>55</v>
      </c>
      <c r="J431" s="7" t="s">
        <v>54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4"/>
      <c r="U431" s="10"/>
      <c r="V431" s="10"/>
      <c r="W431" s="10"/>
      <c r="Z431" s="34">
        <v>500000</v>
      </c>
      <c r="AA431" s="34"/>
      <c r="AC431" s="34">
        <v>500000</v>
      </c>
      <c r="AD431" s="10">
        <f t="shared" si="7"/>
        <v>0</v>
      </c>
      <c r="AF431" s="34"/>
    </row>
    <row r="432" spans="1:32" s="7" customFormat="1" ht="15" customHeight="1" x14ac:dyDescent="0.2">
      <c r="A432" s="7" t="s">
        <v>884</v>
      </c>
      <c r="B432" s="9">
        <v>3920377</v>
      </c>
      <c r="C432" s="70">
        <v>44553</v>
      </c>
      <c r="D432" s="70">
        <v>44522</v>
      </c>
      <c r="E432" s="73">
        <v>44523</v>
      </c>
      <c r="F432" s="9" t="s">
        <v>1079</v>
      </c>
      <c r="G432" s="9" t="s">
        <v>292</v>
      </c>
      <c r="H432" s="9"/>
      <c r="I432" s="10" t="s">
        <v>1063</v>
      </c>
      <c r="J432" s="7" t="s">
        <v>60</v>
      </c>
      <c r="K432" s="7" t="s">
        <v>61</v>
      </c>
      <c r="L432" s="10">
        <v>1167.8599999999999</v>
      </c>
      <c r="M432" s="10">
        <v>9732.14</v>
      </c>
      <c r="N432" s="10"/>
      <c r="O432" s="10"/>
      <c r="P432" s="10"/>
      <c r="Q432" s="10"/>
      <c r="R432" s="10"/>
      <c r="S432" s="10"/>
      <c r="T432" s="14"/>
      <c r="U432" s="10"/>
      <c r="V432" s="10"/>
      <c r="W432" s="10"/>
      <c r="AA432" s="34"/>
      <c r="AC432" s="34">
        <v>10900</v>
      </c>
      <c r="AD432" s="10">
        <f t="shared" si="7"/>
        <v>0</v>
      </c>
      <c r="AF432" s="34"/>
    </row>
    <row r="433" spans="1:32" s="7" customFormat="1" ht="15" customHeight="1" x14ac:dyDescent="0.2">
      <c r="A433" s="7" t="s">
        <v>885</v>
      </c>
      <c r="B433" s="9">
        <v>3920378</v>
      </c>
      <c r="C433" s="70">
        <v>44553</v>
      </c>
      <c r="D433" s="70">
        <v>44522</v>
      </c>
      <c r="E433" s="73">
        <v>44524</v>
      </c>
      <c r="F433" s="9" t="s">
        <v>1071</v>
      </c>
      <c r="G433" s="9" t="s">
        <v>293</v>
      </c>
      <c r="H433" s="9"/>
      <c r="I433" s="10" t="s">
        <v>1064</v>
      </c>
      <c r="J433" s="7" t="s">
        <v>84</v>
      </c>
      <c r="K433" s="7" t="s">
        <v>36</v>
      </c>
      <c r="L433" s="10">
        <v>2598.21</v>
      </c>
      <c r="M433" s="10">
        <v>21651.79</v>
      </c>
      <c r="N433" s="10"/>
      <c r="O433" s="10"/>
      <c r="P433" s="10"/>
      <c r="Q433" s="10"/>
      <c r="R433" s="10"/>
      <c r="S433" s="10"/>
      <c r="T433" s="14"/>
      <c r="U433" s="10"/>
      <c r="V433" s="10"/>
      <c r="W433" s="10"/>
      <c r="AA433" s="34"/>
      <c r="AC433" s="34">
        <v>24250</v>
      </c>
      <c r="AD433" s="10">
        <f t="shared" si="7"/>
        <v>0</v>
      </c>
      <c r="AF433" s="34"/>
    </row>
    <row r="434" spans="1:32" s="7" customFormat="1" ht="15" customHeight="1" x14ac:dyDescent="0.2">
      <c r="A434" s="7" t="s">
        <v>886</v>
      </c>
      <c r="B434" s="9">
        <v>3920379</v>
      </c>
      <c r="C434" s="70">
        <v>44522</v>
      </c>
      <c r="D434" s="70">
        <v>44522</v>
      </c>
      <c r="E434" s="73">
        <v>44540</v>
      </c>
      <c r="F434" s="9" t="s">
        <v>1081</v>
      </c>
      <c r="G434" s="9"/>
      <c r="H434" s="9"/>
      <c r="I434" s="10" t="s">
        <v>1065</v>
      </c>
      <c r="J434" s="7" t="s">
        <v>127</v>
      </c>
      <c r="K434" s="7" t="s">
        <v>128</v>
      </c>
      <c r="L434" s="10">
        <v>528</v>
      </c>
      <c r="M434" s="10">
        <v>4400</v>
      </c>
      <c r="N434" s="10"/>
      <c r="O434" s="10"/>
      <c r="P434" s="10"/>
      <c r="Q434" s="10"/>
      <c r="R434" s="10"/>
      <c r="S434" s="10"/>
      <c r="T434" s="14"/>
      <c r="U434" s="10"/>
      <c r="V434" s="10"/>
      <c r="W434" s="10"/>
      <c r="AA434" s="34">
        <v>852.48</v>
      </c>
      <c r="AC434" s="34">
        <v>5780.48</v>
      </c>
      <c r="AD434" s="10">
        <f t="shared" si="7"/>
        <v>0</v>
      </c>
      <c r="AF434" s="34"/>
    </row>
    <row r="435" spans="1:32" s="7" customFormat="1" ht="15" customHeight="1" x14ac:dyDescent="0.2">
      <c r="A435" s="7" t="s">
        <v>887</v>
      </c>
      <c r="B435" s="9">
        <v>3920380</v>
      </c>
      <c r="C435" s="70">
        <v>44522</v>
      </c>
      <c r="D435" s="70">
        <v>44522</v>
      </c>
      <c r="E435" s="73"/>
      <c r="F435" s="9"/>
      <c r="G435" s="9"/>
      <c r="H435" s="9"/>
      <c r="I435" s="10" t="s">
        <v>1066</v>
      </c>
      <c r="J435" s="7" t="s">
        <v>46</v>
      </c>
      <c r="L435" s="10">
        <v>192.75</v>
      </c>
      <c r="M435" s="10"/>
      <c r="N435" s="10"/>
      <c r="O435" s="10"/>
      <c r="P435" s="10"/>
      <c r="Q435" s="10"/>
      <c r="R435" s="10"/>
      <c r="S435" s="10">
        <v>1606.25</v>
      </c>
      <c r="T435" s="14"/>
      <c r="U435" s="10"/>
      <c r="V435" s="10"/>
      <c r="W435" s="10"/>
      <c r="AA435" s="34"/>
      <c r="AC435" s="34">
        <v>1799</v>
      </c>
      <c r="AD435" s="10">
        <f t="shared" si="7"/>
        <v>0</v>
      </c>
      <c r="AF435" s="34"/>
    </row>
    <row r="436" spans="1:32" s="7" customFormat="1" ht="15" customHeight="1" x14ac:dyDescent="0.2">
      <c r="A436" s="7" t="s">
        <v>888</v>
      </c>
      <c r="B436" s="9">
        <v>3920381</v>
      </c>
      <c r="C436" s="70">
        <v>44522</v>
      </c>
      <c r="D436" s="70">
        <v>44522</v>
      </c>
      <c r="E436" s="73"/>
      <c r="F436" s="9"/>
      <c r="G436" s="9"/>
      <c r="H436" s="9"/>
      <c r="I436" s="10" t="s">
        <v>1066</v>
      </c>
      <c r="J436" s="7" t="s">
        <v>46</v>
      </c>
      <c r="L436" s="10">
        <v>128.46</v>
      </c>
      <c r="M436" s="10"/>
      <c r="N436" s="10"/>
      <c r="O436" s="10"/>
      <c r="P436" s="10"/>
      <c r="Q436" s="10"/>
      <c r="R436" s="10"/>
      <c r="S436" s="10">
        <v>1070.54</v>
      </c>
      <c r="T436" s="14"/>
      <c r="U436" s="10"/>
      <c r="V436" s="10"/>
      <c r="W436" s="10"/>
      <c r="AA436" s="34"/>
      <c r="AC436" s="34">
        <v>1199</v>
      </c>
      <c r="AD436" s="10">
        <f t="shared" si="7"/>
        <v>0</v>
      </c>
      <c r="AF436" s="34"/>
    </row>
    <row r="437" spans="1:32" s="7" customFormat="1" ht="15" customHeight="1" x14ac:dyDescent="0.2">
      <c r="A437" s="7" t="s">
        <v>889</v>
      </c>
      <c r="B437" s="9">
        <v>3920382</v>
      </c>
      <c r="C437" s="70">
        <v>44522</v>
      </c>
      <c r="D437" s="70">
        <v>44522</v>
      </c>
      <c r="E437" s="73"/>
      <c r="F437" s="9"/>
      <c r="G437" s="9"/>
      <c r="H437" s="9"/>
      <c r="I437" s="10" t="s">
        <v>1060</v>
      </c>
      <c r="J437" s="7" t="s">
        <v>46</v>
      </c>
      <c r="L437" s="10">
        <v>107.04</v>
      </c>
      <c r="M437" s="10"/>
      <c r="N437" s="10"/>
      <c r="O437" s="10"/>
      <c r="P437" s="10"/>
      <c r="Q437" s="10"/>
      <c r="R437" s="10"/>
      <c r="S437" s="10">
        <v>891.96</v>
      </c>
      <c r="T437" s="14"/>
      <c r="U437" s="10"/>
      <c r="V437" s="10"/>
      <c r="W437" s="10"/>
      <c r="Z437" s="34"/>
      <c r="AA437" s="34"/>
      <c r="AC437" s="34">
        <v>999</v>
      </c>
      <c r="AD437" s="10">
        <f t="shared" si="7"/>
        <v>0</v>
      </c>
      <c r="AF437" s="34"/>
    </row>
    <row r="438" spans="1:32" s="7" customFormat="1" ht="15" customHeight="1" x14ac:dyDescent="0.2">
      <c r="A438" s="7" t="s">
        <v>890</v>
      </c>
      <c r="B438" s="9">
        <v>3920383</v>
      </c>
      <c r="C438" s="70">
        <v>44522</v>
      </c>
      <c r="D438" s="70">
        <v>44522</v>
      </c>
      <c r="E438" s="73"/>
      <c r="F438" s="9"/>
      <c r="G438" s="9"/>
      <c r="H438" s="9"/>
      <c r="I438" s="10" t="s">
        <v>1060</v>
      </c>
      <c r="J438" s="7" t="s">
        <v>46</v>
      </c>
      <c r="K438" s="24"/>
      <c r="L438" s="14">
        <v>107.04</v>
      </c>
      <c r="M438" s="10"/>
      <c r="N438" s="10"/>
      <c r="O438" s="10"/>
      <c r="P438" s="10"/>
      <c r="Q438" s="10"/>
      <c r="R438" s="10"/>
      <c r="S438" s="10">
        <v>891.96</v>
      </c>
      <c r="T438" s="14"/>
      <c r="U438" s="10"/>
      <c r="V438" s="10"/>
      <c r="W438" s="10"/>
      <c r="Z438" s="34"/>
      <c r="AA438" s="34"/>
      <c r="AC438" s="34">
        <v>999</v>
      </c>
      <c r="AD438" s="10">
        <f t="shared" si="7"/>
        <v>0</v>
      </c>
      <c r="AF438" s="34"/>
    </row>
    <row r="439" spans="1:32" s="7" customFormat="1" ht="15" customHeight="1" x14ac:dyDescent="0.2">
      <c r="A439" s="7" t="s">
        <v>891</v>
      </c>
      <c r="B439" s="9">
        <v>3920384</v>
      </c>
      <c r="C439" s="70">
        <v>44522</v>
      </c>
      <c r="D439" s="70">
        <v>44522</v>
      </c>
      <c r="E439" s="73"/>
      <c r="F439" s="48"/>
      <c r="G439" s="9"/>
      <c r="H439" s="9"/>
      <c r="I439" s="10" t="s">
        <v>1067</v>
      </c>
      <c r="J439" s="7" t="s">
        <v>46</v>
      </c>
      <c r="L439" s="10">
        <v>1122.17</v>
      </c>
      <c r="M439" s="10"/>
      <c r="N439" s="10"/>
      <c r="O439" s="10"/>
      <c r="P439" s="10"/>
      <c r="Q439" s="10"/>
      <c r="R439" s="10"/>
      <c r="S439" s="10">
        <v>9351.42</v>
      </c>
      <c r="T439" s="14"/>
      <c r="U439" s="10"/>
      <c r="V439" s="10"/>
      <c r="W439" s="10"/>
      <c r="Y439" s="34"/>
      <c r="Z439" s="34"/>
      <c r="AA439" s="34"/>
      <c r="AC439" s="34">
        <v>10473.59</v>
      </c>
      <c r="AD439" s="10">
        <f t="shared" si="7"/>
        <v>0</v>
      </c>
      <c r="AF439" s="34"/>
    </row>
    <row r="440" spans="1:32" s="7" customFormat="1" ht="15" customHeight="1" x14ac:dyDescent="0.2">
      <c r="A440" s="7" t="s">
        <v>892</v>
      </c>
      <c r="B440" s="9">
        <v>3920385</v>
      </c>
      <c r="C440" s="70">
        <v>44525</v>
      </c>
      <c r="D440" s="70">
        <v>44525</v>
      </c>
      <c r="E440" s="73">
        <v>44524</v>
      </c>
      <c r="F440" s="9" t="s">
        <v>1073</v>
      </c>
      <c r="G440" s="9"/>
      <c r="H440" s="9"/>
      <c r="I440" s="10" t="s">
        <v>1068</v>
      </c>
      <c r="J440" s="10" t="s">
        <v>1069</v>
      </c>
      <c r="K440" s="10" t="s">
        <v>1070</v>
      </c>
      <c r="L440" s="10">
        <v>1713.75</v>
      </c>
      <c r="M440" s="10">
        <v>14281.25</v>
      </c>
      <c r="N440" s="10"/>
      <c r="O440" s="10"/>
      <c r="P440" s="10"/>
      <c r="Q440" s="10"/>
      <c r="R440" s="10"/>
      <c r="S440" s="10"/>
      <c r="T440" s="14"/>
      <c r="U440" s="10"/>
      <c r="V440" s="10"/>
      <c r="W440" s="10"/>
      <c r="AA440" s="34"/>
      <c r="AC440" s="34">
        <v>15995</v>
      </c>
      <c r="AD440" s="10">
        <f t="shared" si="7"/>
        <v>0</v>
      </c>
      <c r="AF440" s="34"/>
    </row>
    <row r="441" spans="1:32" s="7" customFormat="1" ht="15" customHeight="1" x14ac:dyDescent="0.2">
      <c r="A441" s="7" t="s">
        <v>893</v>
      </c>
      <c r="B441" s="9">
        <v>3920386</v>
      </c>
      <c r="C441" s="70">
        <v>44525</v>
      </c>
      <c r="D441" s="70">
        <v>44525</v>
      </c>
      <c r="E441" s="73"/>
      <c r="F441" s="9"/>
      <c r="G441" s="9"/>
      <c r="H441" s="9" t="s">
        <v>149</v>
      </c>
      <c r="I441" s="10" t="s">
        <v>58</v>
      </c>
      <c r="J441" s="10" t="s">
        <v>39</v>
      </c>
      <c r="K441" s="10"/>
      <c r="L441" s="10"/>
      <c r="M441" s="10"/>
      <c r="N441" s="10"/>
      <c r="O441" s="10"/>
      <c r="P441" s="10"/>
      <c r="Q441" s="10"/>
      <c r="R441" s="10"/>
      <c r="S441" s="10"/>
      <c r="T441" s="14">
        <v>9054</v>
      </c>
      <c r="U441" s="10"/>
      <c r="V441" s="10"/>
      <c r="W441" s="10"/>
      <c r="AA441" s="34"/>
      <c r="AC441" s="34">
        <v>9054</v>
      </c>
      <c r="AD441" s="10">
        <f t="shared" si="7"/>
        <v>0</v>
      </c>
      <c r="AF441" s="34"/>
    </row>
    <row r="442" spans="1:32" s="7" customFormat="1" ht="15" customHeight="1" x14ac:dyDescent="0.2">
      <c r="A442" s="7" t="s">
        <v>894</v>
      </c>
      <c r="B442" s="7" t="s">
        <v>1077</v>
      </c>
      <c r="C442" s="70">
        <v>44525</v>
      </c>
      <c r="D442" s="70">
        <v>44525</v>
      </c>
      <c r="E442" s="73">
        <v>44531</v>
      </c>
      <c r="F442" s="9" t="s">
        <v>1078</v>
      </c>
      <c r="G442" s="9"/>
      <c r="H442" s="9"/>
      <c r="I442" s="10" t="s">
        <v>93</v>
      </c>
      <c r="J442" s="7" t="s">
        <v>79</v>
      </c>
      <c r="L442" s="10"/>
      <c r="M442" s="10"/>
      <c r="N442" s="10"/>
      <c r="O442" s="10"/>
      <c r="P442" s="10"/>
      <c r="Q442" s="10"/>
      <c r="R442" s="10"/>
      <c r="S442" s="10"/>
      <c r="T442" s="14"/>
      <c r="U442" s="10"/>
      <c r="V442" s="10">
        <v>20667</v>
      </c>
      <c r="W442" s="10"/>
      <c r="AA442" s="34"/>
      <c r="AC442" s="34">
        <v>20667</v>
      </c>
      <c r="AD442" s="10">
        <f t="shared" si="7"/>
        <v>0</v>
      </c>
      <c r="AF442" s="34"/>
    </row>
    <row r="443" spans="1:32" s="20" customFormat="1" ht="15" customHeight="1" x14ac:dyDescent="0.2">
      <c r="C443" s="72"/>
      <c r="D443" s="72"/>
      <c r="E443" s="77"/>
      <c r="F443" s="19"/>
      <c r="G443" s="19"/>
      <c r="H443" s="19"/>
      <c r="I443" s="22"/>
      <c r="L443" s="22"/>
      <c r="M443" s="22"/>
      <c r="N443" s="22"/>
      <c r="O443" s="22"/>
      <c r="P443" s="22"/>
      <c r="Q443" s="22"/>
      <c r="R443" s="22"/>
      <c r="S443" s="22"/>
      <c r="T443" s="21"/>
      <c r="U443" s="22"/>
      <c r="V443" s="22"/>
      <c r="W443" s="22"/>
      <c r="AA443" s="35"/>
      <c r="AC443" s="35"/>
      <c r="AD443" s="22"/>
      <c r="AF443" s="35"/>
    </row>
    <row r="444" spans="1:32" s="20" customFormat="1" ht="15" customHeight="1" x14ac:dyDescent="0.2">
      <c r="A444" s="25">
        <v>44531</v>
      </c>
      <c r="C444" s="72"/>
      <c r="D444" s="72"/>
      <c r="E444" s="77"/>
      <c r="F444" s="19"/>
      <c r="G444" s="19"/>
      <c r="H444" s="19"/>
      <c r="I444" s="22"/>
      <c r="L444" s="22"/>
      <c r="M444" s="22"/>
      <c r="N444" s="22"/>
      <c r="O444" s="22"/>
      <c r="P444" s="22"/>
      <c r="Q444" s="22"/>
      <c r="R444" s="22"/>
      <c r="S444" s="22"/>
      <c r="T444" s="21"/>
      <c r="U444" s="22"/>
      <c r="V444" s="22"/>
      <c r="W444" s="22"/>
      <c r="AA444" s="35"/>
      <c r="AC444" s="35"/>
      <c r="AD444" s="22"/>
      <c r="AF444" s="35"/>
    </row>
    <row r="445" spans="1:32" s="7" customFormat="1" ht="15" customHeight="1" x14ac:dyDescent="0.2">
      <c r="A445" s="7" t="s">
        <v>895</v>
      </c>
      <c r="B445" s="7" t="s">
        <v>1074</v>
      </c>
      <c r="C445" s="70">
        <v>44536</v>
      </c>
      <c r="D445" s="70">
        <v>44536</v>
      </c>
      <c r="E445" s="73"/>
      <c r="F445" s="9"/>
      <c r="G445" s="9"/>
      <c r="H445" s="9"/>
      <c r="I445" s="10" t="s">
        <v>55</v>
      </c>
      <c r="J445" s="10" t="s">
        <v>80</v>
      </c>
      <c r="K445" s="10"/>
      <c r="L445" s="10"/>
      <c r="M445" s="10"/>
      <c r="N445" s="10"/>
      <c r="O445" s="10"/>
      <c r="P445" s="10"/>
      <c r="Q445" s="10"/>
      <c r="R445" s="10"/>
      <c r="S445" s="10"/>
      <c r="T445" s="14"/>
      <c r="U445" s="10"/>
      <c r="V445" s="10"/>
      <c r="W445" s="10"/>
      <c r="Z445" s="34">
        <v>300000</v>
      </c>
      <c r="AA445" s="34"/>
      <c r="AC445" s="34">
        <v>300000</v>
      </c>
      <c r="AD445" s="10">
        <f t="shared" si="7"/>
        <v>0</v>
      </c>
      <c r="AF445" s="34"/>
    </row>
    <row r="446" spans="1:32" s="7" customFormat="1" ht="15" customHeight="1" x14ac:dyDescent="0.2">
      <c r="A446" s="7" t="s">
        <v>896</v>
      </c>
      <c r="B446" s="9">
        <v>3920387</v>
      </c>
      <c r="C446" s="70">
        <v>44536</v>
      </c>
      <c r="D446" s="70">
        <v>44536</v>
      </c>
      <c r="E446" s="73"/>
      <c r="F446" s="9"/>
      <c r="G446" s="9"/>
      <c r="H446" s="9" t="s">
        <v>106</v>
      </c>
      <c r="I446" s="10" t="s">
        <v>152</v>
      </c>
      <c r="J446" s="10" t="s">
        <v>1092</v>
      </c>
      <c r="K446" s="10" t="s">
        <v>153</v>
      </c>
      <c r="L446" s="10">
        <v>1912.87</v>
      </c>
      <c r="M446" s="10"/>
      <c r="N446" s="10"/>
      <c r="O446" s="10"/>
      <c r="P446" s="10"/>
      <c r="Q446" s="10"/>
      <c r="R446" s="10"/>
      <c r="S446" s="10"/>
      <c r="T446" s="14"/>
      <c r="U446" s="10"/>
      <c r="V446" s="10"/>
      <c r="W446" s="10"/>
      <c r="AA446" s="34">
        <v>15940.63</v>
      </c>
      <c r="AC446" s="34">
        <v>20000</v>
      </c>
      <c r="AD446" s="10">
        <f t="shared" si="7"/>
        <v>2146.5</v>
      </c>
      <c r="AE446" s="82" t="s">
        <v>1093</v>
      </c>
      <c r="AF446" s="34"/>
    </row>
    <row r="447" spans="1:32" s="7" customFormat="1" ht="15" customHeight="1" x14ac:dyDescent="0.2">
      <c r="A447" s="7" t="s">
        <v>897</v>
      </c>
      <c r="B447" s="9">
        <v>3920388</v>
      </c>
      <c r="C447" s="70">
        <v>44536</v>
      </c>
      <c r="D447" s="70">
        <v>44536</v>
      </c>
      <c r="E447" s="73"/>
      <c r="F447" s="9"/>
      <c r="G447" s="9"/>
      <c r="H447" s="9"/>
      <c r="I447" s="10" t="s">
        <v>147</v>
      </c>
      <c r="J447" s="10" t="s">
        <v>39</v>
      </c>
      <c r="K447" s="10"/>
      <c r="L447" s="10"/>
      <c r="M447" s="10"/>
      <c r="N447" s="10"/>
      <c r="O447" s="10"/>
      <c r="P447" s="10"/>
      <c r="Q447" s="10"/>
      <c r="R447" s="10"/>
      <c r="S447" s="10"/>
      <c r="T447" s="14"/>
      <c r="U447" s="10"/>
      <c r="V447" s="10"/>
      <c r="W447" s="10"/>
      <c r="AA447" s="34">
        <v>17277.5</v>
      </c>
      <c r="AC447" s="34">
        <v>17277.5</v>
      </c>
      <c r="AD447" s="10">
        <f t="shared" si="7"/>
        <v>0</v>
      </c>
      <c r="AF447" s="34"/>
    </row>
    <row r="448" spans="1:32" s="7" customFormat="1" ht="15" customHeight="1" x14ac:dyDescent="0.2">
      <c r="A448" s="7" t="s">
        <v>898</v>
      </c>
      <c r="B448" s="9">
        <v>3920389</v>
      </c>
      <c r="C448" s="70">
        <v>44538</v>
      </c>
      <c r="D448" s="70">
        <v>44538</v>
      </c>
      <c r="E448" s="73">
        <v>44540</v>
      </c>
      <c r="F448" s="9" t="s">
        <v>1102</v>
      </c>
      <c r="G448" s="9" t="s">
        <v>316</v>
      </c>
      <c r="H448" s="9"/>
      <c r="I448" s="10" t="s">
        <v>1101</v>
      </c>
      <c r="J448" s="7" t="s">
        <v>136</v>
      </c>
      <c r="K448" s="26" t="s">
        <v>956</v>
      </c>
      <c r="L448" s="10">
        <v>9342.86</v>
      </c>
      <c r="M448" s="10">
        <v>77857.14</v>
      </c>
      <c r="N448" s="10"/>
      <c r="O448" s="10"/>
      <c r="P448" s="10"/>
      <c r="Q448" s="10"/>
      <c r="R448" s="10"/>
      <c r="S448" s="10"/>
      <c r="T448" s="14"/>
      <c r="U448" s="10"/>
      <c r="V448" s="10"/>
      <c r="W448" s="10"/>
      <c r="AA448" s="34"/>
      <c r="AC448" s="34">
        <v>87200</v>
      </c>
      <c r="AD448" s="10">
        <f t="shared" si="7"/>
        <v>0</v>
      </c>
      <c r="AF448" s="34">
        <v>778.57</v>
      </c>
    </row>
    <row r="449" spans="1:32" s="7" customFormat="1" ht="15" customHeight="1" x14ac:dyDescent="0.2">
      <c r="A449" s="7" t="s">
        <v>899</v>
      </c>
      <c r="B449" s="9">
        <v>3920390</v>
      </c>
      <c r="C449" s="70">
        <v>44206</v>
      </c>
      <c r="D449" s="70">
        <v>44538</v>
      </c>
      <c r="E449" s="73">
        <v>44540</v>
      </c>
      <c r="F449" s="9" t="s">
        <v>1091</v>
      </c>
      <c r="G449" s="9" t="s">
        <v>317</v>
      </c>
      <c r="H449" s="9"/>
      <c r="I449" s="10" t="s">
        <v>1001</v>
      </c>
      <c r="J449" s="7" t="s">
        <v>297</v>
      </c>
      <c r="K449" s="7" t="s">
        <v>298</v>
      </c>
      <c r="L449" s="10">
        <v>10714.29</v>
      </c>
      <c r="M449" s="10">
        <v>89285.71</v>
      </c>
      <c r="N449" s="34"/>
      <c r="O449" s="10"/>
      <c r="P449" s="10"/>
      <c r="Q449" s="10"/>
      <c r="R449" s="10"/>
      <c r="S449" s="10"/>
      <c r="T449" s="14"/>
      <c r="U449" s="10"/>
      <c r="V449" s="10"/>
      <c r="W449" s="10"/>
      <c r="AA449" s="34"/>
      <c r="AC449" s="34">
        <v>100000</v>
      </c>
      <c r="AD449" s="10">
        <f t="shared" si="7"/>
        <v>0</v>
      </c>
      <c r="AF449" s="34">
        <v>892.86</v>
      </c>
    </row>
    <row r="450" spans="1:32" s="7" customFormat="1" ht="15" customHeight="1" x14ac:dyDescent="0.2">
      <c r="A450" s="7" t="s">
        <v>900</v>
      </c>
      <c r="B450" s="9">
        <v>3920391</v>
      </c>
      <c r="C450" s="70">
        <v>44540</v>
      </c>
      <c r="D450" s="70">
        <v>44538</v>
      </c>
      <c r="E450" s="73"/>
      <c r="F450" s="9"/>
      <c r="G450" s="9"/>
      <c r="H450" s="9"/>
      <c r="I450" s="10" t="s">
        <v>117</v>
      </c>
      <c r="J450" s="10" t="s">
        <v>33</v>
      </c>
      <c r="L450" s="10"/>
      <c r="M450" s="10">
        <v>58000</v>
      </c>
      <c r="N450" s="10"/>
      <c r="O450" s="10"/>
      <c r="P450" s="10"/>
      <c r="Q450" s="10"/>
      <c r="R450" s="10"/>
      <c r="S450" s="10"/>
      <c r="T450" s="14"/>
      <c r="U450" s="10"/>
      <c r="V450" s="10"/>
      <c r="W450" s="10"/>
      <c r="Z450" s="34"/>
      <c r="AA450" s="34"/>
      <c r="AC450" s="34">
        <v>58000</v>
      </c>
      <c r="AD450" s="10">
        <f t="shared" si="7"/>
        <v>0</v>
      </c>
      <c r="AF450" s="34"/>
    </row>
    <row r="451" spans="1:32" s="7" customFormat="1" ht="15" customHeight="1" x14ac:dyDescent="0.2">
      <c r="A451" s="7" t="s">
        <v>901</v>
      </c>
      <c r="B451" s="9">
        <v>3920392</v>
      </c>
      <c r="C451" s="70">
        <v>44543</v>
      </c>
      <c r="D451" s="70">
        <v>44540</v>
      </c>
      <c r="E451" s="73"/>
      <c r="F451" s="9"/>
      <c r="G451" s="9"/>
      <c r="H451" s="9"/>
      <c r="I451" s="10" t="s">
        <v>1086</v>
      </c>
      <c r="J451" s="7" t="s">
        <v>18</v>
      </c>
      <c r="L451" s="14">
        <v>811.09</v>
      </c>
      <c r="M451" s="10"/>
      <c r="N451" s="10"/>
      <c r="O451" s="10"/>
      <c r="P451" s="10"/>
      <c r="Q451" s="10"/>
      <c r="R451" s="10">
        <v>6759.1</v>
      </c>
      <c r="S451" s="10"/>
      <c r="T451" s="14"/>
      <c r="U451" s="10"/>
      <c r="V451" s="10"/>
      <c r="W451" s="10"/>
      <c r="AA451" s="34"/>
      <c r="AC451" s="34">
        <v>7570.19</v>
      </c>
      <c r="AD451" s="10">
        <f t="shared" si="7"/>
        <v>0</v>
      </c>
      <c r="AF451" s="34"/>
    </row>
    <row r="452" spans="1:32" s="7" customFormat="1" ht="15" customHeight="1" x14ac:dyDescent="0.2">
      <c r="A452" s="7" t="s">
        <v>902</v>
      </c>
      <c r="B452" s="9">
        <v>3920393</v>
      </c>
      <c r="C452" s="70">
        <v>44543</v>
      </c>
      <c r="D452" s="70">
        <v>44540</v>
      </c>
      <c r="E452" s="73"/>
      <c r="F452" s="45"/>
      <c r="G452" s="9"/>
      <c r="H452" s="9"/>
      <c r="I452" s="10" t="s">
        <v>1086</v>
      </c>
      <c r="J452" s="7" t="s">
        <v>18</v>
      </c>
      <c r="L452" s="10">
        <v>151.09</v>
      </c>
      <c r="M452" s="10"/>
      <c r="N452" s="10"/>
      <c r="O452" s="10"/>
      <c r="P452" s="10"/>
      <c r="Q452" s="10"/>
      <c r="R452" s="10">
        <v>1259.06</v>
      </c>
      <c r="S452" s="10"/>
      <c r="T452" s="14"/>
      <c r="U452" s="10"/>
      <c r="V452" s="10"/>
      <c r="W452" s="10"/>
      <c r="Z452" s="34"/>
      <c r="AA452" s="34"/>
      <c r="AC452" s="34">
        <v>1410.15</v>
      </c>
      <c r="AD452" s="10">
        <f t="shared" si="7"/>
        <v>0</v>
      </c>
      <c r="AF452" s="34"/>
    </row>
    <row r="453" spans="1:32" s="7" customFormat="1" ht="15" customHeight="1" x14ac:dyDescent="0.2">
      <c r="A453" s="7" t="s">
        <v>903</v>
      </c>
      <c r="B453" s="9">
        <v>3920394</v>
      </c>
      <c r="C453" s="70">
        <v>44543</v>
      </c>
      <c r="D453" s="70">
        <v>44540</v>
      </c>
      <c r="E453" s="73"/>
      <c r="F453" s="9"/>
      <c r="G453" s="9"/>
      <c r="H453" s="9" t="s">
        <v>107</v>
      </c>
      <c r="I453" s="10" t="s">
        <v>114</v>
      </c>
      <c r="J453" s="7" t="s">
        <v>65</v>
      </c>
      <c r="K453" s="24"/>
      <c r="L453" s="10"/>
      <c r="M453" s="10"/>
      <c r="N453" s="10"/>
      <c r="O453" s="10"/>
      <c r="P453" s="10"/>
      <c r="Q453" s="10"/>
      <c r="R453" s="10"/>
      <c r="S453" s="10"/>
      <c r="T453" s="14">
        <v>11341.5</v>
      </c>
      <c r="U453" s="10"/>
      <c r="V453" s="10"/>
      <c r="W453" s="10"/>
      <c r="AA453" s="34"/>
      <c r="AC453" s="34">
        <v>11341.5</v>
      </c>
      <c r="AD453" s="10">
        <f t="shared" si="7"/>
        <v>0</v>
      </c>
      <c r="AF453" s="34"/>
    </row>
    <row r="454" spans="1:32" s="7" customFormat="1" ht="15" customHeight="1" x14ac:dyDescent="0.2">
      <c r="A454" s="7" t="s">
        <v>904</v>
      </c>
      <c r="B454" s="9">
        <v>3920395</v>
      </c>
      <c r="C454" s="70">
        <v>44209</v>
      </c>
      <c r="D454" s="70">
        <v>44540</v>
      </c>
      <c r="E454" s="73">
        <v>44545</v>
      </c>
      <c r="F454" s="9" t="s">
        <v>1084</v>
      </c>
      <c r="G454" s="9" t="s">
        <v>318</v>
      </c>
      <c r="H454" s="9"/>
      <c r="I454" s="10" t="s">
        <v>1083</v>
      </c>
      <c r="J454" s="7" t="s">
        <v>84</v>
      </c>
      <c r="K454" s="7" t="s">
        <v>36</v>
      </c>
      <c r="L454" s="10">
        <v>3150</v>
      </c>
      <c r="M454" s="10">
        <v>26250</v>
      </c>
      <c r="N454" s="10"/>
      <c r="O454" s="10"/>
      <c r="P454" s="10"/>
      <c r="Q454" s="10"/>
      <c r="R454" s="10"/>
      <c r="S454" s="10"/>
      <c r="T454" s="14"/>
      <c r="U454" s="10"/>
      <c r="V454" s="10"/>
      <c r="W454" s="10"/>
      <c r="AA454" s="34"/>
      <c r="AC454" s="34">
        <v>29400</v>
      </c>
      <c r="AD454" s="10">
        <f t="shared" si="7"/>
        <v>0</v>
      </c>
      <c r="AF454" s="34">
        <v>262.5</v>
      </c>
    </row>
    <row r="455" spans="1:32" s="7" customFormat="1" ht="15" customHeight="1" x14ac:dyDescent="0.2">
      <c r="A455" s="7" t="s">
        <v>905</v>
      </c>
      <c r="B455" s="9">
        <v>3920396</v>
      </c>
      <c r="C455" s="70">
        <v>44543</v>
      </c>
      <c r="D455" s="70">
        <v>44540</v>
      </c>
      <c r="E455" s="73"/>
      <c r="F455" s="9"/>
      <c r="G455" s="9"/>
      <c r="H455" s="9"/>
      <c r="I455" s="10" t="s">
        <v>1088</v>
      </c>
      <c r="J455" s="7" t="s">
        <v>43</v>
      </c>
      <c r="K455" s="10"/>
      <c r="L455" s="10">
        <v>107.04</v>
      </c>
      <c r="M455" s="10"/>
      <c r="N455" s="10"/>
      <c r="O455" s="10"/>
      <c r="P455" s="10"/>
      <c r="Q455" s="10"/>
      <c r="R455" s="10"/>
      <c r="S455" s="10">
        <v>891.96</v>
      </c>
      <c r="T455" s="14"/>
      <c r="U455" s="10"/>
      <c r="V455" s="10"/>
      <c r="W455" s="10"/>
      <c r="AA455" s="34"/>
      <c r="AC455" s="34">
        <v>999</v>
      </c>
      <c r="AD455" s="10">
        <f t="shared" si="7"/>
        <v>0</v>
      </c>
      <c r="AF455" s="34"/>
    </row>
    <row r="456" spans="1:32" s="7" customFormat="1" ht="15" customHeight="1" x14ac:dyDescent="0.2">
      <c r="A456" s="7" t="s">
        <v>906</v>
      </c>
      <c r="B456" s="9">
        <v>3920397</v>
      </c>
      <c r="C456" s="70">
        <v>44543</v>
      </c>
      <c r="D456" s="70">
        <v>44540</v>
      </c>
      <c r="E456" s="73"/>
      <c r="F456" s="9"/>
      <c r="G456" s="9"/>
      <c r="H456" s="9"/>
      <c r="I456" s="10" t="s">
        <v>1088</v>
      </c>
      <c r="J456" s="7" t="s">
        <v>43</v>
      </c>
      <c r="L456" s="10">
        <v>148.61000000000001</v>
      </c>
      <c r="M456" s="10"/>
      <c r="N456" s="10"/>
      <c r="O456" s="10"/>
      <c r="P456" s="10"/>
      <c r="Q456" s="10"/>
      <c r="R456" s="10"/>
      <c r="S456" s="10">
        <v>1238.3800000000001</v>
      </c>
      <c r="T456" s="14"/>
      <c r="U456" s="10"/>
      <c r="V456" s="10"/>
      <c r="W456" s="10"/>
      <c r="AA456" s="34"/>
      <c r="AC456" s="34">
        <v>1386.99</v>
      </c>
      <c r="AD456" s="10">
        <f t="shared" si="7"/>
        <v>0</v>
      </c>
      <c r="AF456" s="34"/>
    </row>
    <row r="457" spans="1:32" s="7" customFormat="1" ht="15" customHeight="1" x14ac:dyDescent="0.2">
      <c r="A457" s="7" t="s">
        <v>907</v>
      </c>
      <c r="B457" s="9">
        <v>3920398</v>
      </c>
      <c r="C457" s="70">
        <v>44210</v>
      </c>
      <c r="D457" s="70">
        <v>44543</v>
      </c>
      <c r="E457" s="73">
        <v>44545</v>
      </c>
      <c r="F457" s="9" t="s">
        <v>1085</v>
      </c>
      <c r="G457" s="9" t="s">
        <v>320</v>
      </c>
      <c r="H457" s="9"/>
      <c r="I457" s="10" t="s">
        <v>754</v>
      </c>
      <c r="J457" s="7" t="s">
        <v>84</v>
      </c>
      <c r="L457" s="10">
        <v>2121.4299999999998</v>
      </c>
      <c r="M457" s="10">
        <v>17678.57</v>
      </c>
      <c r="N457" s="10"/>
      <c r="O457" s="10"/>
      <c r="P457" s="10"/>
      <c r="Q457" s="10"/>
      <c r="R457" s="10"/>
      <c r="S457" s="10"/>
      <c r="T457" s="14"/>
      <c r="U457" s="10"/>
      <c r="V457" s="10"/>
      <c r="W457" s="10"/>
      <c r="AA457" s="34"/>
      <c r="AC457" s="34">
        <v>19800</v>
      </c>
      <c r="AD457" s="10">
        <f t="shared" si="7"/>
        <v>0</v>
      </c>
      <c r="AF457" s="34">
        <v>176.79</v>
      </c>
    </row>
    <row r="458" spans="1:32" s="7" customFormat="1" ht="15" customHeight="1" x14ac:dyDescent="0.2">
      <c r="A458" s="7" t="s">
        <v>908</v>
      </c>
      <c r="B458" s="9">
        <v>3920399</v>
      </c>
      <c r="C458" s="70">
        <v>44589</v>
      </c>
      <c r="D458" s="70">
        <v>44543</v>
      </c>
      <c r="E458" s="73">
        <v>44551</v>
      </c>
      <c r="F458" s="48" t="s">
        <v>1100</v>
      </c>
      <c r="G458" s="9" t="s">
        <v>321</v>
      </c>
      <c r="H458" s="9"/>
      <c r="I458" s="10" t="s">
        <v>1080</v>
      </c>
      <c r="J458" s="7" t="s">
        <v>1038</v>
      </c>
      <c r="K458" s="7" t="s">
        <v>1039</v>
      </c>
      <c r="L458" s="10">
        <v>8250</v>
      </c>
      <c r="M458" s="10">
        <v>68750</v>
      </c>
      <c r="N458" s="10"/>
      <c r="O458" s="10"/>
      <c r="P458" s="10"/>
      <c r="Q458" s="10"/>
      <c r="R458" s="10"/>
      <c r="S458" s="10"/>
      <c r="T458" s="14"/>
      <c r="U458" s="10"/>
      <c r="V458" s="10"/>
      <c r="W458" s="10"/>
      <c r="AA458" s="34"/>
      <c r="AC458" s="34">
        <v>77000</v>
      </c>
      <c r="AD458" s="10">
        <f t="shared" si="7"/>
        <v>0</v>
      </c>
      <c r="AF458" s="34">
        <v>687.5</v>
      </c>
    </row>
    <row r="459" spans="1:32" s="7" customFormat="1" ht="15" customHeight="1" x14ac:dyDescent="0.2">
      <c r="A459" s="7" t="s">
        <v>909</v>
      </c>
      <c r="B459" s="9">
        <v>3920400</v>
      </c>
      <c r="C459" s="70">
        <v>44211</v>
      </c>
      <c r="D459" s="70">
        <v>44544</v>
      </c>
      <c r="E459" s="73">
        <v>44545</v>
      </c>
      <c r="F459" s="9" t="s">
        <v>1094</v>
      </c>
      <c r="G459" s="9" t="s">
        <v>333</v>
      </c>
      <c r="H459" s="9"/>
      <c r="I459" s="10" t="s">
        <v>1087</v>
      </c>
      <c r="J459" s="7" t="s">
        <v>84</v>
      </c>
      <c r="L459" s="10">
        <v>1071.43</v>
      </c>
      <c r="M459" s="10">
        <v>8928.57</v>
      </c>
      <c r="N459" s="10"/>
      <c r="O459" s="10"/>
      <c r="P459" s="10"/>
      <c r="Q459" s="10"/>
      <c r="R459" s="10"/>
      <c r="S459" s="10"/>
      <c r="T459" s="14"/>
      <c r="U459" s="10"/>
      <c r="V459" s="10"/>
      <c r="W459" s="10"/>
      <c r="AA459" s="34"/>
      <c r="AC459" s="34">
        <v>10000</v>
      </c>
      <c r="AD459" s="10">
        <f t="shared" si="7"/>
        <v>0</v>
      </c>
      <c r="AF459" s="34">
        <v>89.29</v>
      </c>
    </row>
    <row r="460" spans="1:32" s="7" customFormat="1" ht="15" customHeight="1" x14ac:dyDescent="0.2">
      <c r="A460" s="7" t="s">
        <v>910</v>
      </c>
      <c r="B460" s="9">
        <v>3920401</v>
      </c>
      <c r="C460" s="70">
        <v>44544</v>
      </c>
      <c r="D460" s="70">
        <v>44544</v>
      </c>
      <c r="E460" s="73"/>
      <c r="F460" s="9"/>
      <c r="G460" s="9"/>
      <c r="H460" s="9"/>
      <c r="I460" s="10" t="s">
        <v>1090</v>
      </c>
      <c r="J460" s="7" t="s">
        <v>46</v>
      </c>
      <c r="K460" s="24"/>
      <c r="L460" s="10">
        <v>192.75</v>
      </c>
      <c r="M460" s="10"/>
      <c r="N460" s="10"/>
      <c r="O460" s="10"/>
      <c r="P460" s="10"/>
      <c r="Q460" s="10"/>
      <c r="R460" s="10"/>
      <c r="S460" s="10">
        <v>1606.25</v>
      </c>
      <c r="T460" s="14"/>
      <c r="U460" s="10"/>
      <c r="V460" s="10"/>
      <c r="W460" s="10"/>
      <c r="X460" s="34"/>
      <c r="AA460" s="34"/>
      <c r="AC460" s="34">
        <v>1799</v>
      </c>
      <c r="AD460" s="10">
        <f t="shared" si="7"/>
        <v>0</v>
      </c>
      <c r="AF460" s="34"/>
    </row>
    <row r="461" spans="1:32" s="7" customFormat="1" ht="15" customHeight="1" x14ac:dyDescent="0.2">
      <c r="A461" s="7" t="s">
        <v>911</v>
      </c>
      <c r="B461" s="9">
        <v>3920402</v>
      </c>
      <c r="C461" s="70">
        <v>44544</v>
      </c>
      <c r="D461" s="70">
        <v>44544</v>
      </c>
      <c r="E461" s="73"/>
      <c r="F461" s="9"/>
      <c r="G461" s="9"/>
      <c r="H461" s="9"/>
      <c r="I461" s="10" t="s">
        <v>1089</v>
      </c>
      <c r="J461" s="7" t="s">
        <v>46</v>
      </c>
      <c r="L461" s="10">
        <v>107.04</v>
      </c>
      <c r="M461" s="10"/>
      <c r="N461" s="10"/>
      <c r="O461" s="10"/>
      <c r="P461" s="10"/>
      <c r="Q461" s="10"/>
      <c r="R461" s="10"/>
      <c r="S461" s="10">
        <v>891.96</v>
      </c>
      <c r="T461" s="14"/>
      <c r="U461" s="10"/>
      <c r="V461" s="10"/>
      <c r="W461" s="10"/>
      <c r="AA461" s="34"/>
      <c r="AC461" s="34">
        <v>999</v>
      </c>
      <c r="AD461" s="10">
        <f t="shared" si="7"/>
        <v>0</v>
      </c>
      <c r="AF461" s="34"/>
    </row>
    <row r="462" spans="1:32" s="7" customFormat="1" ht="15" customHeight="1" x14ac:dyDescent="0.2">
      <c r="A462" s="7" t="s">
        <v>912</v>
      </c>
      <c r="B462" s="9">
        <v>3920403</v>
      </c>
      <c r="C462" s="70">
        <v>44544</v>
      </c>
      <c r="D462" s="70">
        <v>44544</v>
      </c>
      <c r="E462" s="73"/>
      <c r="F462" s="9"/>
      <c r="G462" s="9"/>
      <c r="H462" s="9"/>
      <c r="I462" s="10" t="s">
        <v>1089</v>
      </c>
      <c r="J462" s="7" t="s">
        <v>46</v>
      </c>
      <c r="L462" s="10">
        <v>107.04</v>
      </c>
      <c r="M462" s="10"/>
      <c r="N462" s="10"/>
      <c r="O462" s="10"/>
      <c r="P462" s="10"/>
      <c r="Q462" s="10"/>
      <c r="R462" s="10"/>
      <c r="S462" s="10">
        <v>891.96</v>
      </c>
      <c r="T462" s="14"/>
      <c r="U462" s="10"/>
      <c r="V462" s="10"/>
      <c r="W462" s="10"/>
      <c r="AA462" s="34"/>
      <c r="AC462" s="34">
        <v>999</v>
      </c>
      <c r="AD462" s="10">
        <f t="shared" si="7"/>
        <v>0</v>
      </c>
      <c r="AF462" s="34"/>
    </row>
    <row r="463" spans="1:32" s="7" customFormat="1" ht="15" customHeight="1" x14ac:dyDescent="0.2">
      <c r="A463" s="7" t="s">
        <v>913</v>
      </c>
      <c r="B463" s="9">
        <v>3920404</v>
      </c>
      <c r="C463" s="70">
        <v>44544</v>
      </c>
      <c r="D463" s="70">
        <v>44544</v>
      </c>
      <c r="E463" s="73"/>
      <c r="F463" s="9"/>
      <c r="G463" s="9"/>
      <c r="H463" s="9"/>
      <c r="I463" s="10" t="s">
        <v>1089</v>
      </c>
      <c r="J463" s="7" t="s">
        <v>46</v>
      </c>
      <c r="L463" s="10">
        <v>107.04</v>
      </c>
      <c r="M463" s="10"/>
      <c r="N463" s="10"/>
      <c r="O463" s="10"/>
      <c r="P463" s="10"/>
      <c r="Q463" s="10"/>
      <c r="R463" s="10"/>
      <c r="S463" s="10">
        <v>891.96</v>
      </c>
      <c r="T463" s="14"/>
      <c r="U463" s="10"/>
      <c r="V463" s="10"/>
      <c r="W463" s="10"/>
      <c r="AA463" s="34"/>
      <c r="AC463" s="34">
        <v>999</v>
      </c>
      <c r="AD463" s="10">
        <f t="shared" si="7"/>
        <v>0</v>
      </c>
      <c r="AF463" s="34"/>
    </row>
    <row r="464" spans="1:32" s="7" customFormat="1" ht="15" customHeight="1" x14ac:dyDescent="0.2">
      <c r="A464" s="7" t="s">
        <v>914</v>
      </c>
      <c r="B464" s="9" t="s">
        <v>1097</v>
      </c>
      <c r="C464" s="70">
        <v>44546</v>
      </c>
      <c r="D464" s="70">
        <v>44546</v>
      </c>
      <c r="E464" s="73">
        <v>44551</v>
      </c>
      <c r="F464" s="9" t="s">
        <v>1099</v>
      </c>
      <c r="G464" s="9" t="s">
        <v>335</v>
      </c>
      <c r="H464" s="9"/>
      <c r="I464" s="10" t="s">
        <v>1098</v>
      </c>
      <c r="J464" s="7" t="s">
        <v>121</v>
      </c>
      <c r="K464" s="10" t="s">
        <v>122</v>
      </c>
      <c r="L464" s="10">
        <v>9208.93</v>
      </c>
      <c r="M464" s="10">
        <v>76741.070000000007</v>
      </c>
      <c r="N464" s="10"/>
      <c r="O464" s="10"/>
      <c r="P464" s="10"/>
      <c r="Q464" s="10"/>
      <c r="R464" s="10"/>
      <c r="S464" s="10"/>
      <c r="T464" s="14"/>
      <c r="U464" s="10"/>
      <c r="V464" s="10"/>
      <c r="W464" s="10"/>
      <c r="AA464" s="34"/>
      <c r="AC464" s="34">
        <v>85950</v>
      </c>
      <c r="AD464" s="10">
        <f t="shared" si="7"/>
        <v>0</v>
      </c>
      <c r="AF464" s="34">
        <v>767.41</v>
      </c>
    </row>
    <row r="465" spans="1:32" s="7" customFormat="1" ht="15" customHeight="1" x14ac:dyDescent="0.2">
      <c r="A465" s="7" t="s">
        <v>915</v>
      </c>
      <c r="B465" s="9">
        <v>3920405</v>
      </c>
      <c r="C465" s="70">
        <v>44546</v>
      </c>
      <c r="D465" s="70">
        <v>44546</v>
      </c>
      <c r="E465" s="73">
        <v>44916</v>
      </c>
      <c r="F465" s="9" t="s">
        <v>1113</v>
      </c>
      <c r="G465" s="9" t="s">
        <v>336</v>
      </c>
      <c r="H465" s="9"/>
      <c r="I465" s="10" t="s">
        <v>1103</v>
      </c>
      <c r="J465" s="7" t="s">
        <v>109</v>
      </c>
      <c r="K465" s="24"/>
      <c r="L465" s="10"/>
      <c r="M465" s="10">
        <v>1600</v>
      </c>
      <c r="N465" s="10"/>
      <c r="O465" s="10"/>
      <c r="P465" s="10"/>
      <c r="Q465" s="10"/>
      <c r="R465" s="10"/>
      <c r="S465" s="10"/>
      <c r="T465" s="14"/>
      <c r="U465" s="10"/>
      <c r="V465" s="10"/>
      <c r="W465" s="10"/>
      <c r="AA465" s="34"/>
      <c r="AC465" s="34">
        <v>1600</v>
      </c>
      <c r="AD465" s="10">
        <f t="shared" si="7"/>
        <v>0</v>
      </c>
      <c r="AF465" s="34"/>
    </row>
    <row r="466" spans="1:32" s="7" customFormat="1" ht="15" customHeight="1" x14ac:dyDescent="0.2">
      <c r="A466" s="7" t="s">
        <v>916</v>
      </c>
      <c r="B466" s="9">
        <v>3920406</v>
      </c>
      <c r="C466" s="70">
        <v>44546</v>
      </c>
      <c r="D466" s="70">
        <v>44546</v>
      </c>
      <c r="E466" s="73"/>
      <c r="F466" s="9"/>
      <c r="G466" s="9"/>
      <c r="H466" s="9"/>
      <c r="I466" s="10" t="s">
        <v>1105</v>
      </c>
      <c r="J466" s="10" t="s">
        <v>43</v>
      </c>
      <c r="K466" s="10"/>
      <c r="L466" s="10">
        <v>207.46</v>
      </c>
      <c r="M466" s="10"/>
      <c r="N466" s="10"/>
      <c r="O466" s="10"/>
      <c r="P466" s="10"/>
      <c r="Q466" s="10"/>
      <c r="R466" s="10"/>
      <c r="S466" s="10">
        <v>1728.88</v>
      </c>
      <c r="T466" s="14"/>
      <c r="U466" s="10"/>
      <c r="V466" s="10"/>
      <c r="W466" s="10"/>
      <c r="AA466" s="34"/>
      <c r="AC466" s="34">
        <v>1936.34</v>
      </c>
      <c r="AD466" s="10">
        <f t="shared" si="7"/>
        <v>0</v>
      </c>
      <c r="AF466" s="34"/>
    </row>
    <row r="467" spans="1:32" s="7" customFormat="1" ht="15" customHeight="1" x14ac:dyDescent="0.2">
      <c r="A467" s="7" t="s">
        <v>917</v>
      </c>
      <c r="B467" s="9">
        <v>3920407</v>
      </c>
      <c r="C467" s="70">
        <v>44546</v>
      </c>
      <c r="D467" s="70">
        <v>44546</v>
      </c>
      <c r="E467" s="73"/>
      <c r="F467" s="9"/>
      <c r="G467" s="9"/>
      <c r="H467" s="9"/>
      <c r="I467" s="10" t="s">
        <v>1089</v>
      </c>
      <c r="J467" s="10" t="s">
        <v>44</v>
      </c>
      <c r="K467" s="10"/>
      <c r="L467" s="10">
        <v>506.57</v>
      </c>
      <c r="M467" s="10"/>
      <c r="N467" s="10"/>
      <c r="O467" s="10"/>
      <c r="P467" s="10"/>
      <c r="Q467" s="10"/>
      <c r="R467" s="10"/>
      <c r="S467" s="10"/>
      <c r="T467" s="14"/>
      <c r="U467" s="10"/>
      <c r="V467" s="10"/>
      <c r="W467" s="10"/>
      <c r="X467" s="7">
        <v>4221.38</v>
      </c>
      <c r="Z467" s="34"/>
      <c r="AA467" s="34"/>
      <c r="AC467" s="34">
        <v>4727.95</v>
      </c>
      <c r="AD467" s="10">
        <f t="shared" si="7"/>
        <v>0</v>
      </c>
      <c r="AF467" s="34"/>
    </row>
    <row r="468" spans="1:32" s="7" customFormat="1" ht="15" customHeight="1" x14ac:dyDescent="0.2">
      <c r="A468" s="7" t="s">
        <v>918</v>
      </c>
      <c r="B468" s="9">
        <v>3920408</v>
      </c>
      <c r="C468" s="70">
        <v>44546</v>
      </c>
      <c r="D468" s="70">
        <v>44546</v>
      </c>
      <c r="E468" s="73"/>
      <c r="F468" s="9"/>
      <c r="G468" s="9"/>
      <c r="H468" s="9" t="s">
        <v>108</v>
      </c>
      <c r="I468" s="10" t="s">
        <v>114</v>
      </c>
      <c r="J468" s="7" t="s">
        <v>65</v>
      </c>
      <c r="L468" s="10"/>
      <c r="M468" s="10"/>
      <c r="N468" s="10"/>
      <c r="O468" s="10"/>
      <c r="P468" s="10"/>
      <c r="Q468" s="10"/>
      <c r="R468" s="10"/>
      <c r="S468" s="10"/>
      <c r="T468" s="14">
        <v>9771</v>
      </c>
      <c r="U468" s="10"/>
      <c r="V468" s="10"/>
      <c r="W468" s="10"/>
      <c r="X468" s="34"/>
      <c r="AA468" s="34"/>
      <c r="AC468" s="34">
        <v>9771</v>
      </c>
      <c r="AD468" s="10">
        <f t="shared" si="7"/>
        <v>0</v>
      </c>
      <c r="AF468" s="34"/>
    </row>
    <row r="469" spans="1:32" s="7" customFormat="1" ht="15" customHeight="1" x14ac:dyDescent="0.2">
      <c r="A469" s="7" t="s">
        <v>919</v>
      </c>
      <c r="B469" s="9">
        <v>3920409</v>
      </c>
      <c r="C469" s="70">
        <v>44550</v>
      </c>
      <c r="D469" s="70">
        <v>44550</v>
      </c>
      <c r="E469" s="73">
        <v>44918</v>
      </c>
      <c r="F469" s="9" t="s">
        <v>1107</v>
      </c>
      <c r="G469" s="9"/>
      <c r="H469" s="9"/>
      <c r="I469" s="10" t="s">
        <v>1106</v>
      </c>
      <c r="J469" s="7" t="s">
        <v>127</v>
      </c>
      <c r="L469" s="10">
        <v>528</v>
      </c>
      <c r="M469" s="10"/>
      <c r="N469" s="10"/>
      <c r="O469" s="10"/>
      <c r="P469" s="10"/>
      <c r="Q469" s="10"/>
      <c r="R469" s="10"/>
      <c r="S469" s="10"/>
      <c r="T469" s="14"/>
      <c r="U469" s="10"/>
      <c r="V469" s="10"/>
      <c r="W469" s="10"/>
      <c r="AA469" s="34">
        <v>4400</v>
      </c>
      <c r="AC469" s="34">
        <v>4928</v>
      </c>
      <c r="AD469" s="10">
        <f t="shared" si="7"/>
        <v>0</v>
      </c>
      <c r="AF469" s="34"/>
    </row>
    <row r="470" spans="1:32" s="7" customFormat="1" ht="15" customHeight="1" x14ac:dyDescent="0.2">
      <c r="A470" s="7" t="s">
        <v>920</v>
      </c>
      <c r="B470" s="9" t="s">
        <v>1104</v>
      </c>
      <c r="C470" s="70">
        <v>44550</v>
      </c>
      <c r="D470" s="70">
        <v>44550</v>
      </c>
      <c r="E470" s="73"/>
      <c r="F470" s="9"/>
      <c r="G470" s="9"/>
      <c r="H470" s="9"/>
      <c r="I470" s="10" t="s">
        <v>55</v>
      </c>
      <c r="J470" s="7" t="s">
        <v>54</v>
      </c>
      <c r="K470" s="24"/>
      <c r="L470" s="10"/>
      <c r="M470" s="10"/>
      <c r="N470" s="10"/>
      <c r="O470" s="10"/>
      <c r="P470" s="10"/>
      <c r="Q470" s="10"/>
      <c r="R470" s="10"/>
      <c r="S470" s="10"/>
      <c r="T470" s="14"/>
      <c r="U470" s="10"/>
      <c r="V470" s="10"/>
      <c r="W470" s="10"/>
      <c r="Z470" s="34">
        <v>150000</v>
      </c>
      <c r="AA470" s="34"/>
      <c r="AC470" s="34">
        <v>150000</v>
      </c>
      <c r="AD470" s="10">
        <f t="shared" si="7"/>
        <v>0</v>
      </c>
      <c r="AF470" s="34"/>
    </row>
    <row r="471" spans="1:32" s="7" customFormat="1" ht="15" customHeight="1" x14ac:dyDescent="0.2">
      <c r="A471" s="7" t="s">
        <v>921</v>
      </c>
      <c r="B471" s="9">
        <v>3920410</v>
      </c>
      <c r="C471" s="70">
        <v>44551</v>
      </c>
      <c r="D471" s="70">
        <v>44551</v>
      </c>
      <c r="E471" s="73"/>
      <c r="F471" s="9"/>
      <c r="G471" s="9"/>
      <c r="H471" s="9"/>
      <c r="I471" s="10" t="s">
        <v>1067</v>
      </c>
      <c r="J471" s="7" t="s">
        <v>46</v>
      </c>
      <c r="L471" s="10">
        <v>1007.03</v>
      </c>
      <c r="M471" s="10"/>
      <c r="N471" s="10"/>
      <c r="O471" s="10"/>
      <c r="P471" s="10"/>
      <c r="Q471" s="10"/>
      <c r="R471" s="10"/>
      <c r="S471" s="10">
        <v>8391.92</v>
      </c>
      <c r="T471" s="14"/>
      <c r="U471" s="10"/>
      <c r="V471" s="10"/>
      <c r="W471" s="10"/>
      <c r="AA471" s="34"/>
      <c r="AC471" s="34">
        <v>9398.9500000000007</v>
      </c>
      <c r="AD471" s="10">
        <f t="shared" si="7"/>
        <v>0</v>
      </c>
      <c r="AF471" s="34"/>
    </row>
    <row r="472" spans="1:32" s="7" customFormat="1" ht="15" customHeight="1" x14ac:dyDescent="0.2">
      <c r="A472" s="7" t="s">
        <v>922</v>
      </c>
      <c r="B472" s="9">
        <v>3920411</v>
      </c>
      <c r="C472" s="70">
        <v>44551</v>
      </c>
      <c r="D472" s="70">
        <v>44551</v>
      </c>
      <c r="E472" s="73"/>
      <c r="F472" s="9"/>
      <c r="G472" s="9"/>
      <c r="H472" s="9"/>
      <c r="I472" s="10" t="s">
        <v>1095</v>
      </c>
      <c r="J472" s="7" t="s">
        <v>66</v>
      </c>
      <c r="L472" s="10">
        <v>2250</v>
      </c>
      <c r="M472" s="10"/>
      <c r="N472" s="10"/>
      <c r="O472" s="10"/>
      <c r="P472" s="10"/>
      <c r="Q472" s="10"/>
      <c r="R472" s="10"/>
      <c r="S472" s="10"/>
      <c r="T472" s="14"/>
      <c r="U472" s="10"/>
      <c r="V472" s="10"/>
      <c r="W472" s="10"/>
      <c r="Z472" s="34"/>
      <c r="AA472" s="34">
        <v>18750</v>
      </c>
      <c r="AC472" s="34">
        <v>21000</v>
      </c>
      <c r="AD472" s="10">
        <f t="shared" si="7"/>
        <v>0</v>
      </c>
      <c r="AF472" s="34"/>
    </row>
    <row r="473" spans="1:32" s="7" customFormat="1" ht="15" customHeight="1" x14ac:dyDescent="0.2">
      <c r="A473" s="7" t="s">
        <v>923</v>
      </c>
      <c r="B473" s="9">
        <v>3920412</v>
      </c>
      <c r="C473" s="70">
        <v>44918</v>
      </c>
      <c r="D473" s="70">
        <v>44918</v>
      </c>
      <c r="E473" s="73"/>
      <c r="F473" s="9"/>
      <c r="G473" s="9"/>
      <c r="H473" s="9"/>
      <c r="I473" s="10" t="s">
        <v>1112</v>
      </c>
      <c r="J473" s="7" t="s">
        <v>65</v>
      </c>
      <c r="L473" s="10"/>
      <c r="M473" s="10"/>
      <c r="N473" s="10"/>
      <c r="O473" s="10"/>
      <c r="P473" s="10"/>
      <c r="Q473" s="10"/>
      <c r="R473" s="10"/>
      <c r="S473" s="10"/>
      <c r="T473" s="14"/>
      <c r="U473" s="10"/>
      <c r="V473" s="10"/>
      <c r="W473" s="10"/>
      <c r="Z473" s="34"/>
      <c r="AA473" s="34">
        <v>5000</v>
      </c>
      <c r="AC473" s="34">
        <v>5000</v>
      </c>
      <c r="AD473" s="10">
        <f t="shared" si="7"/>
        <v>0</v>
      </c>
      <c r="AF473" s="34"/>
    </row>
    <row r="474" spans="1:32" s="7" customFormat="1" ht="15" customHeight="1" x14ac:dyDescent="0.2">
      <c r="A474" s="7" t="s">
        <v>924</v>
      </c>
      <c r="B474" s="9">
        <v>3920413</v>
      </c>
      <c r="C474" s="70">
        <v>44598</v>
      </c>
      <c r="D474" s="70">
        <v>44918</v>
      </c>
      <c r="E474" s="73">
        <v>44575</v>
      </c>
      <c r="F474" s="9" t="s">
        <v>1159</v>
      </c>
      <c r="G474" s="9" t="s">
        <v>337</v>
      </c>
      <c r="H474" s="9"/>
      <c r="I474" s="10" t="s">
        <v>1108</v>
      </c>
      <c r="J474" s="7" t="s">
        <v>1038</v>
      </c>
      <c r="K474" s="7" t="s">
        <v>1039</v>
      </c>
      <c r="L474" s="10">
        <v>10767.86</v>
      </c>
      <c r="M474" s="10">
        <v>89732.14</v>
      </c>
      <c r="N474" s="10"/>
      <c r="O474" s="10"/>
      <c r="P474" s="10"/>
      <c r="Q474" s="10"/>
      <c r="R474" s="10"/>
      <c r="S474" s="10"/>
      <c r="T474" s="14"/>
      <c r="U474" s="10"/>
      <c r="V474" s="10"/>
      <c r="W474" s="10"/>
      <c r="Z474" s="34"/>
      <c r="AA474" s="34"/>
      <c r="AC474" s="34">
        <v>100500</v>
      </c>
      <c r="AD474" s="10">
        <f>SUM(AB474:AC474)-SUM(L474:AA474)</f>
        <v>0</v>
      </c>
      <c r="AF474" s="34">
        <v>897.32</v>
      </c>
    </row>
    <row r="475" spans="1:32" s="7" customFormat="1" ht="15" customHeight="1" x14ac:dyDescent="0.2">
      <c r="A475" s="7" t="s">
        <v>925</v>
      </c>
      <c r="B475" s="9">
        <v>3920414</v>
      </c>
      <c r="C475" s="70">
        <v>44597</v>
      </c>
      <c r="D475" s="70">
        <v>44918</v>
      </c>
      <c r="E475" s="73">
        <v>44575</v>
      </c>
      <c r="F475" s="9" t="s">
        <v>1160</v>
      </c>
      <c r="G475" s="9" t="s">
        <v>344</v>
      </c>
      <c r="H475" s="9"/>
      <c r="I475" s="10" t="s">
        <v>1109</v>
      </c>
      <c r="J475" s="7" t="s">
        <v>1038</v>
      </c>
      <c r="K475" s="7" t="s">
        <v>1039</v>
      </c>
      <c r="L475" s="10">
        <v>8035.71</v>
      </c>
      <c r="M475" s="10">
        <v>66964.289999999994</v>
      </c>
      <c r="N475" s="10"/>
      <c r="O475" s="10"/>
      <c r="P475" s="10"/>
      <c r="Q475" s="10"/>
      <c r="R475" s="10"/>
      <c r="S475" s="10"/>
      <c r="T475" s="14"/>
      <c r="U475" s="10"/>
      <c r="V475" s="10"/>
      <c r="W475" s="10"/>
      <c r="AA475" s="34"/>
      <c r="AC475" s="34">
        <v>75000</v>
      </c>
      <c r="AD475" s="10">
        <f>SUM(AB475:AC475)-SUM(L475:AA475)</f>
        <v>0</v>
      </c>
      <c r="AF475" s="34">
        <v>669.64</v>
      </c>
    </row>
    <row r="476" spans="1:32" s="7" customFormat="1" ht="15" customHeight="1" x14ac:dyDescent="0.2">
      <c r="A476" s="7" t="s">
        <v>926</v>
      </c>
      <c r="B476" s="9">
        <v>3920415</v>
      </c>
      <c r="C476" s="70">
        <v>44598</v>
      </c>
      <c r="D476" s="70">
        <v>44918</v>
      </c>
      <c r="E476" s="73">
        <v>44575</v>
      </c>
      <c r="F476" s="48" t="s">
        <v>1161</v>
      </c>
      <c r="G476" s="9" t="s">
        <v>345</v>
      </c>
      <c r="H476" s="9"/>
      <c r="I476" s="10" t="s">
        <v>1110</v>
      </c>
      <c r="J476" s="7" t="s">
        <v>1038</v>
      </c>
      <c r="K476" s="7" t="s">
        <v>1039</v>
      </c>
      <c r="L476" s="10">
        <v>3900</v>
      </c>
      <c r="M476" s="10">
        <v>32500</v>
      </c>
      <c r="N476" s="10"/>
      <c r="O476" s="10"/>
      <c r="P476" s="10"/>
      <c r="Q476" s="10"/>
      <c r="R476" s="10"/>
      <c r="S476" s="10"/>
      <c r="T476" s="14"/>
      <c r="U476" s="10"/>
      <c r="V476" s="10"/>
      <c r="W476" s="10"/>
      <c r="Y476" s="34"/>
      <c r="AA476" s="34"/>
      <c r="AC476" s="34">
        <v>36400</v>
      </c>
      <c r="AD476" s="10">
        <f>SUM(AB476:AC476)-SUM(L476:AA476)</f>
        <v>0</v>
      </c>
      <c r="AF476" s="34">
        <v>325</v>
      </c>
    </row>
    <row r="477" spans="1:32" s="7" customFormat="1" ht="15" customHeight="1" x14ac:dyDescent="0.2">
      <c r="A477" s="7" t="s">
        <v>927</v>
      </c>
      <c r="B477" s="9">
        <v>3920416</v>
      </c>
      <c r="C477" s="70">
        <v>44588</v>
      </c>
      <c r="D477" s="70">
        <v>44918</v>
      </c>
      <c r="E477" s="73">
        <v>44922</v>
      </c>
      <c r="F477" s="9" t="s">
        <v>1111</v>
      </c>
      <c r="G477" s="9" t="s">
        <v>346</v>
      </c>
      <c r="H477" s="9"/>
      <c r="I477" s="10" t="s">
        <v>185</v>
      </c>
      <c r="J477" s="7" t="s">
        <v>60</v>
      </c>
      <c r="K477" s="7" t="s">
        <v>61</v>
      </c>
      <c r="L477" s="14">
        <v>910.71</v>
      </c>
      <c r="M477" s="34">
        <v>7589.29</v>
      </c>
      <c r="N477" s="10"/>
      <c r="O477" s="10"/>
      <c r="P477" s="10"/>
      <c r="Q477" s="10"/>
      <c r="R477" s="10"/>
      <c r="S477" s="10"/>
      <c r="T477" s="14"/>
      <c r="U477" s="10"/>
      <c r="V477" s="10"/>
      <c r="W477" s="10"/>
      <c r="Z477" s="34"/>
      <c r="AA477" s="34"/>
      <c r="AC477" s="34">
        <v>8500</v>
      </c>
      <c r="AD477" s="10">
        <f>SUM(AB477:AC477)-SUM(L477:AA477)</f>
        <v>0</v>
      </c>
      <c r="AF477" s="34">
        <v>75.89</v>
      </c>
    </row>
    <row r="478" spans="1:32" s="7" customFormat="1" ht="15" customHeight="1" thickBot="1" x14ac:dyDescent="0.25">
      <c r="A478" s="93" t="s">
        <v>8</v>
      </c>
      <c r="B478" s="67"/>
      <c r="C478" s="65"/>
      <c r="D478" s="65"/>
      <c r="E478" s="66"/>
      <c r="F478" s="66"/>
      <c r="G478" s="66"/>
      <c r="H478" s="66"/>
      <c r="I478" s="63"/>
      <c r="J478" s="63"/>
      <c r="K478" s="63"/>
      <c r="L478" s="63">
        <f>SUM(L18:L477)</f>
        <v>593817.99999999988</v>
      </c>
      <c r="M478" s="63">
        <f t="shared" ref="M478:AA478" si="8">SUM(M12:M477)</f>
        <v>4364255.76</v>
      </c>
      <c r="N478" s="63">
        <f t="shared" si="8"/>
        <v>514116.70999999996</v>
      </c>
      <c r="O478" s="63">
        <f t="shared" si="8"/>
        <v>0</v>
      </c>
      <c r="P478" s="63">
        <f t="shared" si="8"/>
        <v>356000</v>
      </c>
      <c r="Q478" s="63">
        <f t="shared" si="8"/>
        <v>866773.39</v>
      </c>
      <c r="R478" s="63">
        <f t="shared" si="8"/>
        <v>97684.65</v>
      </c>
      <c r="S478" s="63">
        <f t="shared" si="8"/>
        <v>218722.68999999994</v>
      </c>
      <c r="T478" s="63">
        <f t="shared" si="8"/>
        <v>239544.52999999997</v>
      </c>
      <c r="U478" s="63">
        <f t="shared" si="8"/>
        <v>0</v>
      </c>
      <c r="V478" s="63">
        <f t="shared" si="8"/>
        <v>248004</v>
      </c>
      <c r="W478" s="63">
        <f t="shared" si="8"/>
        <v>1307946.26</v>
      </c>
      <c r="X478" s="63">
        <f t="shared" si="8"/>
        <v>49552.4</v>
      </c>
      <c r="Y478" s="63">
        <f t="shared" si="8"/>
        <v>0</v>
      </c>
      <c r="Z478" s="63">
        <f t="shared" si="8"/>
        <v>6707865.46</v>
      </c>
      <c r="AA478" s="63">
        <f t="shared" si="8"/>
        <v>1179990.99</v>
      </c>
      <c r="AB478" s="63"/>
      <c r="AC478" s="63">
        <f>SUM(AC12:AC477)</f>
        <v>16784451.900000006</v>
      </c>
      <c r="AD478" s="63"/>
      <c r="AE478" s="10"/>
      <c r="AF478" s="17"/>
    </row>
    <row r="479" spans="1:32" s="7" customFormat="1" ht="15" customHeight="1" thickTop="1" x14ac:dyDescent="0.2">
      <c r="B479" s="9"/>
      <c r="C479" s="70"/>
      <c r="D479" s="70"/>
      <c r="E479" s="73"/>
      <c r="F479" s="9"/>
      <c r="G479" s="9"/>
      <c r="H479" s="9"/>
      <c r="I479" s="10"/>
      <c r="J479" s="10"/>
      <c r="L479" s="10"/>
      <c r="M479" s="10"/>
      <c r="N479" s="10"/>
      <c r="O479" s="10"/>
      <c r="P479" s="10"/>
      <c r="Q479" s="10"/>
      <c r="R479" s="10"/>
      <c r="S479" s="10"/>
      <c r="T479" s="14"/>
      <c r="U479" s="10"/>
      <c r="V479" s="10"/>
      <c r="W479" s="10"/>
      <c r="AA479" s="34"/>
      <c r="AC479" s="34"/>
      <c r="AD479" s="10"/>
      <c r="AF479" s="17"/>
    </row>
    <row r="480" spans="1:32" s="7" customFormat="1" ht="15" customHeight="1" x14ac:dyDescent="0.2">
      <c r="B480" s="9"/>
      <c r="C480" s="70"/>
      <c r="D480" s="70"/>
      <c r="E480" s="73"/>
      <c r="F480" s="9"/>
      <c r="G480" s="9"/>
      <c r="H480" s="9"/>
      <c r="I480" s="10"/>
      <c r="J480" s="10"/>
      <c r="L480" s="10"/>
      <c r="M480" s="10"/>
      <c r="N480" s="10"/>
      <c r="O480" s="10"/>
      <c r="P480" s="10"/>
      <c r="Q480" s="10"/>
      <c r="R480" s="10"/>
      <c r="S480" s="10"/>
      <c r="T480" s="14"/>
      <c r="U480" s="10"/>
      <c r="V480" s="10"/>
      <c r="W480" s="10"/>
      <c r="AA480" s="34"/>
      <c r="AC480" s="34"/>
      <c r="AD480" s="10"/>
      <c r="AF480" s="17"/>
    </row>
    <row r="481" spans="1:32" s="7" customFormat="1" ht="15" customHeight="1" x14ac:dyDescent="0.2">
      <c r="B481" s="9"/>
      <c r="C481" s="70"/>
      <c r="D481" s="70"/>
      <c r="E481" s="73"/>
      <c r="F481" s="9"/>
      <c r="G481" s="9"/>
      <c r="H481" s="9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4"/>
      <c r="U481" s="10"/>
      <c r="V481" s="10"/>
      <c r="W481" s="10"/>
      <c r="AA481" s="34"/>
      <c r="AC481" s="34"/>
      <c r="AD481" s="10"/>
      <c r="AF481" s="17"/>
    </row>
    <row r="482" spans="1:32" s="7" customFormat="1" ht="15" customHeight="1" x14ac:dyDescent="0.2">
      <c r="B482" s="9"/>
      <c r="C482" s="70"/>
      <c r="D482" s="70"/>
      <c r="E482" s="73"/>
      <c r="F482" s="9"/>
      <c r="G482" s="9"/>
      <c r="H482" s="9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4"/>
      <c r="U482" s="10"/>
      <c r="V482" s="10"/>
      <c r="W482" s="10"/>
      <c r="AA482" s="34"/>
      <c r="AC482" s="34"/>
      <c r="AD482" s="10"/>
      <c r="AF482" s="17"/>
    </row>
    <row r="483" spans="1:32" s="7" customFormat="1" ht="15" customHeight="1" x14ac:dyDescent="0.2">
      <c r="B483" s="9"/>
      <c r="C483" s="70"/>
      <c r="D483" s="70"/>
      <c r="E483" s="73"/>
      <c r="F483" s="9"/>
      <c r="G483" s="9"/>
      <c r="H483" s="9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4"/>
      <c r="U483" s="10"/>
      <c r="V483" s="10"/>
      <c r="W483" s="10"/>
      <c r="AA483" s="34"/>
      <c r="AC483" s="34"/>
      <c r="AD483" s="10"/>
      <c r="AF483" s="17"/>
    </row>
    <row r="484" spans="1:32" s="7" customFormat="1" ht="15" customHeight="1" x14ac:dyDescent="0.2">
      <c r="B484" s="9"/>
      <c r="C484" s="70"/>
      <c r="D484" s="70"/>
      <c r="E484" s="73"/>
      <c r="F484" s="9"/>
      <c r="G484" s="9"/>
      <c r="H484" s="9"/>
      <c r="I484" s="10"/>
      <c r="J484" s="10"/>
      <c r="L484" s="10"/>
      <c r="M484" s="10"/>
      <c r="N484" s="10"/>
      <c r="O484" s="10"/>
      <c r="P484" s="10"/>
      <c r="Q484" s="10"/>
      <c r="R484" s="10"/>
      <c r="S484" s="10"/>
      <c r="T484" s="14"/>
      <c r="U484" s="10"/>
      <c r="V484" s="10"/>
      <c r="W484" s="10"/>
      <c r="Z484" s="34"/>
      <c r="AA484" s="34"/>
      <c r="AC484" s="34"/>
      <c r="AD484" s="10"/>
      <c r="AF484" s="17"/>
    </row>
    <row r="485" spans="1:32" s="7" customFormat="1" ht="15" customHeight="1" x14ac:dyDescent="0.2">
      <c r="B485" s="9"/>
      <c r="C485" s="70"/>
      <c r="D485" s="70"/>
      <c r="E485" s="73"/>
      <c r="F485" s="9"/>
      <c r="G485" s="9"/>
      <c r="H485" s="9"/>
      <c r="I485" s="10"/>
      <c r="J485" s="10"/>
      <c r="L485" s="10"/>
      <c r="M485" s="10"/>
      <c r="N485" s="10"/>
      <c r="O485" s="10"/>
      <c r="P485" s="10"/>
      <c r="Q485" s="10"/>
      <c r="R485" s="10"/>
      <c r="S485" s="10"/>
      <c r="T485" s="14"/>
      <c r="U485" s="10"/>
      <c r="V485" s="10"/>
      <c r="W485" s="10"/>
      <c r="AA485" s="34"/>
      <c r="AC485" s="34"/>
      <c r="AD485" s="10"/>
      <c r="AF485" s="17"/>
    </row>
    <row r="486" spans="1:32" s="7" customFormat="1" ht="15" customHeight="1" x14ac:dyDescent="0.2">
      <c r="B486" s="9"/>
      <c r="C486" s="70"/>
      <c r="D486" s="70"/>
      <c r="E486" s="73"/>
      <c r="F486" s="9"/>
      <c r="G486" s="9"/>
      <c r="H486" s="9"/>
      <c r="I486" s="10"/>
      <c r="J486" s="10"/>
      <c r="L486" s="10"/>
      <c r="M486" s="10"/>
      <c r="N486" s="10"/>
      <c r="O486" s="10"/>
      <c r="P486" s="10"/>
      <c r="Q486" s="10"/>
      <c r="R486" s="10"/>
      <c r="S486" s="10"/>
      <c r="T486" s="14"/>
      <c r="U486" s="10"/>
      <c r="V486" s="10"/>
      <c r="W486" s="10"/>
      <c r="AA486" s="34"/>
      <c r="AC486" s="34"/>
      <c r="AD486" s="10"/>
      <c r="AF486" s="17"/>
    </row>
    <row r="487" spans="1:32" s="7" customFormat="1" ht="15" customHeight="1" x14ac:dyDescent="0.2">
      <c r="B487" s="9"/>
      <c r="C487" s="70"/>
      <c r="D487" s="70"/>
      <c r="E487" s="73"/>
      <c r="F487" s="9"/>
      <c r="G487" s="9"/>
      <c r="H487" s="9"/>
      <c r="I487" s="10"/>
      <c r="L487" s="10"/>
      <c r="M487" s="10"/>
      <c r="N487" s="10"/>
      <c r="O487" s="10"/>
      <c r="P487" s="10"/>
      <c r="Q487" s="10"/>
      <c r="R487" s="10"/>
      <c r="S487" s="10"/>
      <c r="T487" s="14"/>
      <c r="U487" s="10"/>
      <c r="V487" s="10"/>
      <c r="W487" s="10"/>
      <c r="AA487" s="34"/>
      <c r="AC487" s="34"/>
      <c r="AD487" s="10"/>
      <c r="AF487" s="17"/>
    </row>
    <row r="488" spans="1:32" s="7" customFormat="1" ht="15" customHeight="1" x14ac:dyDescent="0.2">
      <c r="B488" s="9"/>
      <c r="C488" s="70"/>
      <c r="D488" s="70"/>
      <c r="E488" s="73"/>
      <c r="F488" s="9"/>
      <c r="G488" s="9"/>
      <c r="H488" s="9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4"/>
      <c r="U488" s="10"/>
      <c r="V488" s="10"/>
      <c r="W488" s="10"/>
      <c r="AA488" s="34"/>
      <c r="AC488" s="34"/>
      <c r="AD488" s="10"/>
      <c r="AF488" s="17"/>
    </row>
    <row r="489" spans="1:32" s="7" customFormat="1" ht="15" customHeight="1" x14ac:dyDescent="0.2">
      <c r="B489" s="9"/>
      <c r="C489" s="70"/>
      <c r="D489" s="70"/>
      <c r="E489" s="73"/>
      <c r="F489" s="9"/>
      <c r="G489" s="9"/>
      <c r="H489" s="9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4"/>
      <c r="U489" s="10"/>
      <c r="V489" s="10"/>
      <c r="W489" s="10"/>
      <c r="AA489" s="34"/>
      <c r="AC489" s="34"/>
      <c r="AD489" s="10"/>
      <c r="AF489" s="17"/>
    </row>
    <row r="490" spans="1:32" s="7" customFormat="1" ht="15" customHeight="1" x14ac:dyDescent="0.2">
      <c r="A490" s="43"/>
      <c r="B490" s="9"/>
      <c r="C490" s="70"/>
      <c r="D490" s="70"/>
      <c r="E490" s="73"/>
      <c r="F490" s="9"/>
      <c r="G490" s="9"/>
      <c r="H490" s="9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4"/>
      <c r="U490" s="10"/>
      <c r="V490" s="10"/>
      <c r="W490" s="10"/>
      <c r="AA490" s="34"/>
      <c r="AC490" s="34"/>
      <c r="AD490" s="10"/>
      <c r="AF490" s="17"/>
    </row>
    <row r="491" spans="1:32" s="7" customFormat="1" ht="15" customHeight="1" x14ac:dyDescent="0.2">
      <c r="B491" s="9"/>
      <c r="C491" s="70"/>
      <c r="D491" s="70"/>
      <c r="E491" s="73"/>
      <c r="F491" s="9"/>
      <c r="G491" s="9"/>
      <c r="H491" s="9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4"/>
      <c r="U491" s="10"/>
      <c r="V491" s="10"/>
      <c r="W491" s="10"/>
      <c r="Z491" s="34"/>
      <c r="AA491" s="34"/>
      <c r="AC491" s="34"/>
      <c r="AD491" s="10"/>
      <c r="AF491" s="17"/>
    </row>
    <row r="492" spans="1:32" s="7" customFormat="1" ht="15" customHeight="1" x14ac:dyDescent="0.2">
      <c r="B492" s="9"/>
      <c r="C492" s="70"/>
      <c r="D492" s="70"/>
      <c r="E492" s="73"/>
      <c r="F492" s="9"/>
      <c r="G492" s="9"/>
      <c r="H492" s="9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4"/>
      <c r="U492" s="10"/>
      <c r="V492" s="10"/>
      <c r="W492" s="10"/>
      <c r="AA492" s="34"/>
      <c r="AC492" s="34"/>
      <c r="AD492" s="10"/>
      <c r="AF492" s="17"/>
    </row>
    <row r="493" spans="1:32" s="7" customFormat="1" ht="15" customHeight="1" x14ac:dyDescent="0.2">
      <c r="B493" s="9"/>
      <c r="C493" s="70"/>
      <c r="D493" s="70"/>
      <c r="E493" s="73"/>
      <c r="F493" s="9"/>
      <c r="G493" s="9"/>
      <c r="H493" s="9"/>
      <c r="I493" s="10"/>
      <c r="L493" s="10"/>
      <c r="M493" s="10"/>
      <c r="N493" s="10"/>
      <c r="O493" s="10"/>
      <c r="P493" s="10"/>
      <c r="Q493" s="10"/>
      <c r="R493" s="10"/>
      <c r="S493" s="10"/>
      <c r="T493" s="14"/>
      <c r="U493" s="10"/>
      <c r="V493" s="10"/>
      <c r="W493" s="10"/>
      <c r="AA493" s="34"/>
      <c r="AC493" s="34"/>
      <c r="AD493" s="10"/>
      <c r="AF493" s="17"/>
    </row>
    <row r="494" spans="1:32" s="7" customFormat="1" ht="15" customHeight="1" x14ac:dyDescent="0.2">
      <c r="B494" s="9"/>
      <c r="C494" s="70"/>
      <c r="D494" s="70"/>
      <c r="E494" s="73"/>
      <c r="F494" s="45"/>
      <c r="G494" s="9"/>
      <c r="H494" s="9"/>
      <c r="I494" s="10"/>
      <c r="L494" s="10"/>
      <c r="M494" s="10"/>
      <c r="N494" s="10"/>
      <c r="O494" s="10"/>
      <c r="P494" s="10"/>
      <c r="Q494" s="10"/>
      <c r="R494" s="10"/>
      <c r="S494" s="10"/>
      <c r="T494" s="14"/>
      <c r="U494" s="10"/>
      <c r="V494" s="10"/>
      <c r="W494" s="10"/>
      <c r="Y494" s="34"/>
      <c r="AA494" s="34"/>
      <c r="AC494" s="34"/>
      <c r="AD494" s="10"/>
      <c r="AF494" s="17"/>
    </row>
    <row r="495" spans="1:32" s="7" customFormat="1" ht="15" customHeight="1" x14ac:dyDescent="0.2">
      <c r="B495" s="9"/>
      <c r="C495" s="70"/>
      <c r="D495" s="70"/>
      <c r="E495" s="73"/>
      <c r="F495" s="9"/>
      <c r="G495" s="9"/>
      <c r="H495" s="9"/>
      <c r="I495" s="10"/>
      <c r="L495" s="10"/>
      <c r="M495" s="10"/>
      <c r="N495" s="10"/>
      <c r="O495" s="10"/>
      <c r="P495" s="10"/>
      <c r="Q495" s="10"/>
      <c r="R495" s="10"/>
      <c r="S495" s="10"/>
      <c r="T495" s="14"/>
      <c r="U495" s="10"/>
      <c r="V495" s="10"/>
      <c r="W495" s="10"/>
      <c r="AA495" s="34"/>
      <c r="AC495" s="34"/>
      <c r="AD495" s="10"/>
      <c r="AF495" s="17"/>
    </row>
    <row r="496" spans="1:32" s="7" customFormat="1" ht="15" customHeight="1" x14ac:dyDescent="0.2">
      <c r="B496" s="9"/>
      <c r="C496" s="70"/>
      <c r="D496" s="70"/>
      <c r="E496" s="73"/>
      <c r="F496" s="9"/>
      <c r="G496" s="9"/>
      <c r="H496" s="9"/>
      <c r="I496" s="10"/>
      <c r="L496" s="10"/>
      <c r="M496" s="10"/>
      <c r="N496" s="10"/>
      <c r="O496" s="10"/>
      <c r="P496" s="10"/>
      <c r="Q496" s="10"/>
      <c r="R496" s="10"/>
      <c r="S496" s="10"/>
      <c r="T496" s="14"/>
      <c r="U496" s="10"/>
      <c r="V496" s="10"/>
      <c r="W496" s="10"/>
      <c r="AA496" s="34"/>
      <c r="AC496" s="34"/>
      <c r="AD496" s="10"/>
      <c r="AF496" s="17"/>
    </row>
    <row r="497" spans="1:32" s="7" customFormat="1" ht="15" customHeight="1" x14ac:dyDescent="0.2">
      <c r="B497" s="9"/>
      <c r="C497" s="70"/>
      <c r="D497" s="70"/>
      <c r="E497" s="73"/>
      <c r="F497" s="9"/>
      <c r="G497" s="9"/>
      <c r="H497" s="9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4"/>
      <c r="U497" s="10"/>
      <c r="V497" s="10"/>
      <c r="W497" s="10"/>
      <c r="AA497" s="34"/>
      <c r="AC497" s="34"/>
      <c r="AD497" s="10"/>
      <c r="AF497" s="17"/>
    </row>
    <row r="498" spans="1:32" s="7" customFormat="1" ht="15" customHeight="1" x14ac:dyDescent="0.2">
      <c r="B498" s="9"/>
      <c r="C498" s="70"/>
      <c r="D498" s="70"/>
      <c r="E498" s="73"/>
      <c r="F498" s="9"/>
      <c r="G498" s="9"/>
      <c r="H498" s="9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4"/>
      <c r="U498" s="10"/>
      <c r="V498" s="10"/>
      <c r="W498" s="10"/>
      <c r="Z498" s="34"/>
      <c r="AA498" s="34"/>
      <c r="AC498" s="34"/>
      <c r="AD498" s="10"/>
      <c r="AF498" s="17"/>
    </row>
    <row r="499" spans="1:32" s="7" customFormat="1" ht="15" customHeight="1" x14ac:dyDescent="0.2">
      <c r="B499" s="9"/>
      <c r="C499" s="70"/>
      <c r="D499" s="70"/>
      <c r="E499" s="73"/>
      <c r="F499" s="9"/>
      <c r="G499" s="9"/>
      <c r="H499" s="9"/>
      <c r="I499" s="10"/>
      <c r="L499" s="10"/>
      <c r="M499" s="10"/>
      <c r="N499" s="10"/>
      <c r="O499" s="10"/>
      <c r="P499" s="10"/>
      <c r="Q499" s="10"/>
      <c r="R499" s="10"/>
      <c r="S499" s="10"/>
      <c r="T499" s="14"/>
      <c r="U499" s="10"/>
      <c r="V499" s="10"/>
      <c r="W499" s="10"/>
      <c r="AA499" s="34"/>
      <c r="AC499" s="34"/>
      <c r="AD499" s="10"/>
      <c r="AF499" s="17"/>
    </row>
    <row r="500" spans="1:32" s="7" customFormat="1" ht="15" customHeight="1" x14ac:dyDescent="0.2">
      <c r="B500" s="9"/>
      <c r="C500" s="70"/>
      <c r="D500" s="70"/>
      <c r="E500" s="73"/>
      <c r="F500" s="9"/>
      <c r="G500" s="9"/>
      <c r="H500" s="9"/>
      <c r="I500" s="10"/>
      <c r="L500" s="10"/>
      <c r="M500" s="10"/>
      <c r="N500" s="10"/>
      <c r="O500" s="10"/>
      <c r="P500" s="10"/>
      <c r="Q500" s="10"/>
      <c r="R500" s="10"/>
      <c r="S500" s="10"/>
      <c r="T500" s="14"/>
      <c r="U500" s="10"/>
      <c r="V500" s="10"/>
      <c r="W500" s="10"/>
      <c r="AA500" s="34"/>
      <c r="AC500" s="34"/>
      <c r="AD500" s="10"/>
      <c r="AF500" s="17"/>
    </row>
    <row r="501" spans="1:32" s="7" customFormat="1" ht="15" customHeight="1" x14ac:dyDescent="0.2">
      <c r="B501" s="9"/>
      <c r="C501" s="70"/>
      <c r="D501" s="70"/>
      <c r="E501" s="73"/>
      <c r="F501" s="45"/>
      <c r="G501" s="9"/>
      <c r="H501" s="9"/>
      <c r="I501" s="10"/>
      <c r="L501" s="10"/>
      <c r="M501" s="10"/>
      <c r="N501" s="10"/>
      <c r="O501" s="10"/>
      <c r="P501" s="10"/>
      <c r="Q501" s="10"/>
      <c r="R501" s="10"/>
      <c r="S501" s="10"/>
      <c r="T501" s="14"/>
      <c r="U501" s="10"/>
      <c r="V501" s="10"/>
      <c r="W501" s="10"/>
      <c r="Y501" s="34"/>
      <c r="AA501" s="34"/>
      <c r="AC501" s="34"/>
      <c r="AD501" s="10"/>
      <c r="AF501" s="17"/>
    </row>
    <row r="502" spans="1:32" s="7" customFormat="1" ht="15" customHeight="1" x14ac:dyDescent="0.2">
      <c r="B502" s="9"/>
      <c r="C502" s="70"/>
      <c r="D502" s="70"/>
      <c r="E502" s="73"/>
      <c r="F502" s="9"/>
      <c r="G502" s="9"/>
      <c r="H502" s="9"/>
      <c r="I502" s="10"/>
      <c r="L502" s="10"/>
      <c r="M502" s="10"/>
      <c r="N502" s="10"/>
      <c r="O502" s="10"/>
      <c r="P502" s="10"/>
      <c r="Q502" s="10"/>
      <c r="R502" s="10"/>
      <c r="S502" s="10"/>
      <c r="T502" s="14"/>
      <c r="U502" s="10"/>
      <c r="V502" s="10"/>
      <c r="W502" s="10"/>
      <c r="AA502" s="34"/>
      <c r="AC502" s="34"/>
      <c r="AD502" s="10"/>
      <c r="AF502" s="17"/>
    </row>
    <row r="503" spans="1:32" s="7" customFormat="1" ht="15" customHeight="1" x14ac:dyDescent="0.2">
      <c r="B503" s="9"/>
      <c r="C503" s="70"/>
      <c r="D503" s="70"/>
      <c r="E503" s="73"/>
      <c r="F503" s="9"/>
      <c r="G503" s="9"/>
      <c r="H503" s="9"/>
      <c r="I503" s="10"/>
      <c r="L503" s="10"/>
      <c r="M503" s="10"/>
      <c r="N503" s="10"/>
      <c r="O503" s="10"/>
      <c r="P503" s="10"/>
      <c r="Q503" s="10"/>
      <c r="R503" s="10"/>
      <c r="S503" s="10"/>
      <c r="T503" s="14"/>
      <c r="U503" s="10"/>
      <c r="V503" s="10"/>
      <c r="W503" s="10"/>
      <c r="AA503" s="34"/>
      <c r="AC503" s="34"/>
      <c r="AD503" s="10"/>
      <c r="AF503" s="17"/>
    </row>
    <row r="504" spans="1:32" s="7" customFormat="1" ht="15" customHeight="1" x14ac:dyDescent="0.2">
      <c r="B504" s="9"/>
      <c r="C504" s="70"/>
      <c r="D504" s="70"/>
      <c r="E504" s="73"/>
      <c r="F504" s="9"/>
      <c r="G504" s="9"/>
      <c r="H504" s="9"/>
      <c r="I504" s="10"/>
      <c r="L504" s="10"/>
      <c r="M504" s="10"/>
      <c r="N504" s="10"/>
      <c r="O504" s="10"/>
      <c r="P504" s="10"/>
      <c r="Q504" s="10"/>
      <c r="R504" s="10"/>
      <c r="S504" s="10"/>
      <c r="T504" s="14"/>
      <c r="U504" s="10"/>
      <c r="V504" s="10"/>
      <c r="W504" s="10"/>
      <c r="AA504" s="34"/>
      <c r="AC504" s="34"/>
      <c r="AD504" s="10"/>
      <c r="AF504" s="17"/>
    </row>
    <row r="505" spans="1:32" s="7" customFormat="1" ht="15" customHeight="1" x14ac:dyDescent="0.2">
      <c r="B505" s="9"/>
      <c r="C505" s="70"/>
      <c r="D505" s="70"/>
      <c r="E505" s="73"/>
      <c r="F505" s="9"/>
      <c r="G505" s="9"/>
      <c r="H505" s="9"/>
      <c r="I505" s="10"/>
      <c r="K505" s="24"/>
      <c r="L505" s="10"/>
      <c r="M505" s="10"/>
      <c r="N505" s="10"/>
      <c r="O505" s="10"/>
      <c r="P505" s="10"/>
      <c r="Q505" s="10"/>
      <c r="R505" s="10"/>
      <c r="S505" s="10"/>
      <c r="T505" s="14"/>
      <c r="U505" s="10"/>
      <c r="V505" s="10"/>
      <c r="W505" s="10"/>
      <c r="AA505" s="34"/>
      <c r="AC505" s="34"/>
      <c r="AD505" s="10"/>
      <c r="AF505" s="17"/>
    </row>
    <row r="506" spans="1:32" s="7" customFormat="1" ht="15" customHeight="1" x14ac:dyDescent="0.2">
      <c r="B506" s="9"/>
      <c r="C506" s="70"/>
      <c r="D506" s="70"/>
      <c r="E506" s="73"/>
      <c r="F506" s="9"/>
      <c r="G506" s="9"/>
      <c r="H506" s="9"/>
      <c r="I506" s="10"/>
      <c r="L506" s="10"/>
      <c r="M506" s="10"/>
      <c r="N506" s="10"/>
      <c r="O506" s="10"/>
      <c r="P506" s="10"/>
      <c r="Q506" s="10"/>
      <c r="R506" s="10"/>
      <c r="S506" s="10"/>
      <c r="T506" s="14"/>
      <c r="U506" s="10"/>
      <c r="V506" s="10"/>
      <c r="W506" s="10"/>
      <c r="AA506" s="34"/>
      <c r="AC506" s="34"/>
      <c r="AD506" s="10"/>
      <c r="AF506" s="17"/>
    </row>
    <row r="507" spans="1:32" ht="15" customHeight="1" x14ac:dyDescent="0.25">
      <c r="A507" s="7"/>
      <c r="C507" s="70"/>
      <c r="D507" s="70"/>
      <c r="E507" s="73"/>
      <c r="F507" s="9"/>
      <c r="H507" s="9"/>
      <c r="I507" s="10"/>
      <c r="J507" s="7"/>
      <c r="K507" s="24"/>
      <c r="L507" s="10"/>
      <c r="M507" s="10"/>
      <c r="N507" s="10"/>
      <c r="O507" s="10"/>
      <c r="P507" s="10"/>
      <c r="Q507" s="10"/>
      <c r="R507" s="10"/>
      <c r="S507" s="10"/>
      <c r="T507" s="14"/>
      <c r="U507" s="10"/>
      <c r="V507" s="10"/>
      <c r="W507" s="10"/>
      <c r="X507" s="7"/>
      <c r="Y507" s="7"/>
      <c r="Z507" s="7"/>
      <c r="AA507" s="34"/>
      <c r="AB507" s="7"/>
      <c r="AC507" s="34"/>
      <c r="AD507" s="10"/>
    </row>
    <row r="508" spans="1:32" ht="15" customHeight="1" x14ac:dyDescent="0.25">
      <c r="A508" s="7"/>
      <c r="C508" s="70"/>
      <c r="D508" s="70"/>
      <c r="E508" s="73"/>
      <c r="F508" s="9"/>
      <c r="H508" s="9"/>
      <c r="I508" s="10"/>
      <c r="J508" s="7"/>
      <c r="K508" s="7"/>
      <c r="L508" s="10"/>
      <c r="M508" s="10"/>
      <c r="N508" s="10"/>
      <c r="O508" s="10"/>
      <c r="P508" s="10"/>
      <c r="Q508" s="10"/>
      <c r="R508" s="10"/>
      <c r="S508" s="10"/>
      <c r="T508" s="14"/>
      <c r="U508" s="10"/>
      <c r="V508" s="10"/>
      <c r="W508" s="10"/>
      <c r="X508" s="7"/>
      <c r="Y508" s="7"/>
      <c r="Z508" s="7"/>
      <c r="AA508" s="34"/>
      <c r="AB508" s="7"/>
      <c r="AC508" s="34"/>
      <c r="AD508" s="10"/>
    </row>
    <row r="509" spans="1:32" ht="15" customHeight="1" x14ac:dyDescent="0.25">
      <c r="A509" s="7"/>
      <c r="C509" s="70"/>
      <c r="D509" s="70"/>
      <c r="E509" s="73"/>
      <c r="F509" s="9"/>
      <c r="H509" s="9"/>
      <c r="I509" s="10"/>
      <c r="J509" s="7"/>
      <c r="K509" s="7"/>
      <c r="L509" s="10"/>
      <c r="M509" s="10"/>
      <c r="N509" s="10"/>
      <c r="O509" s="10"/>
      <c r="P509" s="10"/>
      <c r="Q509" s="10"/>
      <c r="R509" s="10"/>
      <c r="S509" s="10"/>
      <c r="T509" s="14"/>
      <c r="U509" s="10"/>
      <c r="V509" s="10"/>
      <c r="W509" s="10"/>
      <c r="X509" s="7"/>
      <c r="Y509" s="7"/>
      <c r="Z509" s="7"/>
      <c r="AA509" s="34"/>
      <c r="AB509" s="7"/>
      <c r="AC509" s="34"/>
      <c r="AD509" s="10"/>
    </row>
    <row r="510" spans="1:32" ht="15" customHeight="1" x14ac:dyDescent="0.25">
      <c r="A510" s="7"/>
      <c r="C510" s="70"/>
      <c r="D510" s="70"/>
      <c r="E510" s="73"/>
      <c r="F510" s="9"/>
      <c r="H510" s="9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4"/>
      <c r="U510" s="10"/>
      <c r="V510" s="10"/>
      <c r="W510" s="10"/>
      <c r="X510" s="7"/>
      <c r="Y510" s="7"/>
      <c r="Z510" s="34"/>
      <c r="AA510" s="34"/>
      <c r="AB510" s="7"/>
      <c r="AC510" s="34"/>
      <c r="AD510" s="10"/>
    </row>
    <row r="511" spans="1:32" ht="15" customHeight="1" x14ac:dyDescent="0.25">
      <c r="A511" s="7"/>
      <c r="C511" s="70"/>
      <c r="D511" s="70"/>
      <c r="E511" s="73"/>
      <c r="F511" s="9"/>
      <c r="H511" s="9"/>
      <c r="I511" s="10"/>
      <c r="J511" s="60"/>
      <c r="K511" s="42"/>
      <c r="L511" s="10"/>
      <c r="M511" s="10"/>
      <c r="N511" s="10"/>
      <c r="O511" s="10"/>
      <c r="P511" s="10"/>
      <c r="Q511" s="10"/>
      <c r="R511" s="10"/>
      <c r="S511" s="10"/>
      <c r="T511" s="14"/>
      <c r="U511" s="10"/>
      <c r="V511" s="10"/>
      <c r="W511" s="10"/>
      <c r="X511" s="7"/>
      <c r="Y511" s="7"/>
      <c r="Z511" s="34"/>
      <c r="AA511" s="34"/>
      <c r="AB511" s="7"/>
      <c r="AC511" s="34"/>
      <c r="AD511" s="10"/>
    </row>
    <row r="512" spans="1:32" ht="15" customHeight="1" x14ac:dyDescent="0.25">
      <c r="A512" s="7"/>
      <c r="C512" s="70"/>
      <c r="D512" s="70"/>
      <c r="E512" s="73"/>
      <c r="F512" s="9"/>
      <c r="H512" s="9"/>
      <c r="I512" s="10"/>
      <c r="J512" s="7"/>
      <c r="K512" s="7"/>
      <c r="L512" s="10"/>
      <c r="M512" s="10"/>
      <c r="N512" s="10"/>
      <c r="O512" s="10"/>
      <c r="P512" s="10"/>
      <c r="Q512" s="10"/>
      <c r="R512" s="10"/>
      <c r="S512" s="10"/>
      <c r="T512" s="14"/>
      <c r="U512" s="10"/>
      <c r="V512" s="10"/>
      <c r="W512" s="10"/>
      <c r="X512" s="7"/>
      <c r="Y512" s="7"/>
      <c r="Z512" s="7"/>
      <c r="AA512" s="34"/>
      <c r="AB512" s="7"/>
      <c r="AC512" s="34"/>
      <c r="AD512" s="10"/>
    </row>
    <row r="513" spans="1:30" ht="15" customHeight="1" x14ac:dyDescent="0.25">
      <c r="A513" s="7"/>
      <c r="C513" s="70"/>
      <c r="D513" s="70"/>
      <c r="E513" s="73"/>
      <c r="F513" s="9"/>
      <c r="H513" s="9"/>
      <c r="I513" s="10"/>
      <c r="J513" s="7"/>
      <c r="K513" s="7"/>
      <c r="L513" s="10"/>
      <c r="M513" s="10"/>
      <c r="N513" s="10"/>
      <c r="O513" s="10"/>
      <c r="P513" s="10"/>
      <c r="Q513" s="10"/>
      <c r="R513" s="10"/>
      <c r="S513" s="10"/>
      <c r="T513" s="14"/>
      <c r="U513" s="10"/>
      <c r="V513" s="10"/>
      <c r="W513" s="10"/>
      <c r="X513" s="7"/>
      <c r="Y513" s="7"/>
      <c r="Z513" s="7"/>
      <c r="AA513" s="34"/>
      <c r="AB513" s="7"/>
      <c r="AC513" s="34"/>
      <c r="AD513" s="10"/>
    </row>
    <row r="514" spans="1:30" ht="15" customHeight="1" x14ac:dyDescent="0.25">
      <c r="A514" s="7"/>
      <c r="C514" s="70"/>
      <c r="D514" s="70"/>
      <c r="E514" s="73"/>
      <c r="F514" s="9"/>
      <c r="H514" s="9"/>
      <c r="I514" s="10"/>
      <c r="J514" s="7"/>
      <c r="K514" s="10"/>
      <c r="L514" s="10"/>
      <c r="M514" s="10"/>
      <c r="N514" s="10"/>
      <c r="O514" s="10"/>
      <c r="P514" s="10"/>
      <c r="Q514" s="10"/>
      <c r="R514" s="10"/>
      <c r="S514" s="10"/>
      <c r="T514" s="14"/>
      <c r="U514" s="10"/>
      <c r="V514" s="10"/>
      <c r="W514" s="10"/>
      <c r="X514" s="7"/>
      <c r="Y514" s="7"/>
      <c r="Z514" s="7"/>
      <c r="AA514" s="34"/>
      <c r="AB514" s="7"/>
      <c r="AC514" s="34"/>
      <c r="AD514" s="10"/>
    </row>
    <row r="515" spans="1:30" ht="15" customHeight="1" x14ac:dyDescent="0.25">
      <c r="A515" s="7"/>
      <c r="C515" s="70"/>
      <c r="D515" s="70"/>
      <c r="E515" s="73"/>
      <c r="F515" s="9"/>
      <c r="H515" s="9"/>
      <c r="I515" s="10"/>
      <c r="J515" s="7"/>
      <c r="K515" s="7"/>
      <c r="L515" s="10"/>
      <c r="M515" s="10"/>
      <c r="N515" s="10"/>
      <c r="O515" s="10"/>
      <c r="P515" s="10"/>
      <c r="Q515" s="10"/>
      <c r="R515" s="10"/>
      <c r="S515" s="10"/>
      <c r="T515" s="14"/>
      <c r="U515" s="10"/>
      <c r="V515" s="10"/>
      <c r="W515" s="10"/>
      <c r="X515" s="7"/>
      <c r="Y515" s="7"/>
      <c r="Z515" s="7"/>
      <c r="AA515" s="34"/>
      <c r="AB515" s="7"/>
      <c r="AC515" s="34"/>
      <c r="AD515" s="10"/>
    </row>
    <row r="516" spans="1:30" ht="15" customHeight="1" x14ac:dyDescent="0.25">
      <c r="A516" s="7"/>
      <c r="C516" s="70"/>
      <c r="D516" s="70"/>
      <c r="E516" s="73"/>
      <c r="F516" s="9"/>
      <c r="H516" s="9"/>
      <c r="I516" s="10"/>
      <c r="J516" s="7"/>
      <c r="K516" s="7"/>
      <c r="L516" s="10"/>
      <c r="M516" s="10"/>
      <c r="N516" s="10"/>
      <c r="O516" s="10"/>
      <c r="P516" s="10"/>
      <c r="Q516" s="10"/>
      <c r="R516" s="10"/>
      <c r="S516" s="10"/>
      <c r="T516" s="14"/>
      <c r="U516" s="10"/>
      <c r="V516" s="10"/>
      <c r="W516" s="10"/>
      <c r="X516" s="7"/>
      <c r="Y516" s="7"/>
      <c r="Z516" s="7"/>
      <c r="AA516" s="34"/>
      <c r="AB516" s="7"/>
      <c r="AC516" s="34"/>
      <c r="AD516" s="10"/>
    </row>
    <row r="517" spans="1:30" ht="15" customHeight="1" x14ac:dyDescent="0.25">
      <c r="A517" s="7"/>
      <c r="C517" s="70"/>
      <c r="D517" s="70"/>
      <c r="E517" s="73"/>
      <c r="F517" s="9"/>
      <c r="H517" s="9"/>
      <c r="I517" s="10"/>
      <c r="J517" s="7"/>
      <c r="K517" s="7"/>
      <c r="L517" s="10"/>
      <c r="M517" s="10"/>
      <c r="N517" s="10"/>
      <c r="O517" s="10"/>
      <c r="P517" s="10"/>
      <c r="Q517" s="10"/>
      <c r="R517" s="10"/>
      <c r="S517" s="10"/>
      <c r="T517" s="14"/>
      <c r="U517" s="10"/>
      <c r="V517" s="10"/>
      <c r="W517" s="10"/>
      <c r="X517" s="7"/>
      <c r="Y517" s="7"/>
      <c r="Z517" s="7"/>
      <c r="AA517" s="34"/>
      <c r="AB517" s="7"/>
      <c r="AC517" s="34"/>
      <c r="AD517" s="10"/>
    </row>
    <row r="518" spans="1:30" ht="15" customHeight="1" x14ac:dyDescent="0.25">
      <c r="A518" s="7"/>
      <c r="C518" s="70"/>
      <c r="D518" s="70"/>
      <c r="E518" s="73"/>
      <c r="F518" s="9"/>
      <c r="H518" s="9"/>
      <c r="I518" s="10"/>
      <c r="J518" s="7"/>
      <c r="K518" s="7"/>
      <c r="L518" s="10"/>
      <c r="M518" s="10"/>
      <c r="N518" s="10"/>
      <c r="O518" s="10"/>
      <c r="P518" s="10"/>
      <c r="Q518" s="10"/>
      <c r="R518" s="10"/>
      <c r="S518" s="10"/>
      <c r="T518" s="14"/>
      <c r="U518" s="10"/>
      <c r="V518" s="10"/>
      <c r="W518" s="10"/>
      <c r="X518" s="7"/>
      <c r="Y518" s="7"/>
      <c r="Z518" s="7"/>
      <c r="AA518" s="34"/>
      <c r="AB518" s="7"/>
      <c r="AC518" s="34"/>
      <c r="AD518" s="10"/>
    </row>
    <row r="519" spans="1:30" ht="15" customHeight="1" x14ac:dyDescent="0.25">
      <c r="A519" s="7"/>
      <c r="C519" s="70"/>
      <c r="D519" s="70"/>
      <c r="E519" s="73"/>
      <c r="F519" s="9"/>
      <c r="H519" s="9"/>
      <c r="I519" s="10"/>
      <c r="J519" s="7"/>
      <c r="K519" s="24"/>
      <c r="L519" s="10"/>
      <c r="M519" s="10"/>
      <c r="N519" s="10"/>
      <c r="O519" s="10"/>
      <c r="P519" s="10"/>
      <c r="Q519" s="10"/>
      <c r="R519" s="10"/>
      <c r="S519" s="10"/>
      <c r="T519" s="14"/>
      <c r="U519" s="10"/>
      <c r="V519" s="10"/>
      <c r="W519" s="10"/>
      <c r="X519" s="7"/>
      <c r="Y519" s="7"/>
      <c r="Z519" s="34"/>
      <c r="AA519" s="34"/>
      <c r="AB519" s="7"/>
      <c r="AC519" s="34"/>
      <c r="AD519" s="10"/>
    </row>
    <row r="520" spans="1:30" ht="15" customHeight="1" x14ac:dyDescent="0.25">
      <c r="A520" s="7"/>
      <c r="C520" s="70"/>
      <c r="D520" s="70"/>
      <c r="E520" s="73"/>
      <c r="F520" s="9"/>
      <c r="H520" s="9"/>
      <c r="I520" s="10"/>
      <c r="J520" s="10"/>
      <c r="K520" s="10"/>
      <c r="L520" s="34"/>
      <c r="M520" s="10"/>
      <c r="N520" s="10"/>
      <c r="O520" s="10"/>
      <c r="P520" s="10"/>
      <c r="Q520" s="10"/>
      <c r="R520" s="10"/>
      <c r="S520" s="10"/>
      <c r="T520" s="14"/>
      <c r="U520" s="10"/>
      <c r="V520" s="10"/>
      <c r="W520" s="10"/>
      <c r="X520" s="34"/>
      <c r="Y520" s="7"/>
      <c r="Z520" s="34"/>
      <c r="AA520" s="34"/>
      <c r="AB520" s="7"/>
      <c r="AC520" s="34"/>
      <c r="AD520" s="10"/>
    </row>
    <row r="521" spans="1:30" ht="15" customHeight="1" x14ac:dyDescent="0.25">
      <c r="A521" s="7"/>
      <c r="C521" s="70"/>
      <c r="D521" s="70"/>
      <c r="E521" s="73"/>
      <c r="F521" s="9"/>
      <c r="H521" s="9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4"/>
      <c r="U521" s="10"/>
      <c r="V521" s="10"/>
      <c r="W521" s="10"/>
      <c r="X521" s="7"/>
      <c r="Y521" s="7"/>
      <c r="Z521" s="7"/>
      <c r="AA521" s="34"/>
      <c r="AB521" s="7"/>
      <c r="AC521" s="34"/>
      <c r="AD521" s="10"/>
    </row>
    <row r="522" spans="1:30" ht="15" customHeight="1" x14ac:dyDescent="0.25">
      <c r="A522" s="7"/>
      <c r="C522" s="70"/>
      <c r="D522" s="70"/>
      <c r="E522" s="73"/>
      <c r="F522" s="9"/>
      <c r="H522" s="9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4"/>
      <c r="U522" s="10"/>
      <c r="V522" s="10"/>
      <c r="W522" s="10"/>
      <c r="X522" s="7"/>
      <c r="Y522" s="7"/>
      <c r="Z522" s="7"/>
      <c r="AA522" s="34"/>
      <c r="AB522" s="7"/>
      <c r="AC522" s="34"/>
      <c r="AD522" s="10"/>
    </row>
    <row r="523" spans="1:30" ht="15" customHeight="1" x14ac:dyDescent="0.25">
      <c r="A523" s="7"/>
      <c r="C523" s="70"/>
      <c r="D523" s="70"/>
      <c r="E523" s="73"/>
      <c r="F523" s="9"/>
      <c r="H523" s="9"/>
      <c r="I523" s="10"/>
      <c r="J523" s="7"/>
      <c r="K523" s="7"/>
      <c r="L523" s="10"/>
      <c r="M523" s="10"/>
      <c r="N523" s="10"/>
      <c r="O523" s="10"/>
      <c r="P523" s="10"/>
      <c r="Q523" s="10"/>
      <c r="R523" s="10"/>
      <c r="S523" s="10"/>
      <c r="T523" s="14"/>
      <c r="U523" s="10"/>
      <c r="V523" s="10"/>
      <c r="W523" s="10"/>
      <c r="X523" s="7"/>
      <c r="Y523" s="7"/>
      <c r="Z523" s="7"/>
      <c r="AA523" s="34"/>
      <c r="AB523" s="7"/>
      <c r="AC523" s="34"/>
      <c r="AD523" s="10"/>
    </row>
    <row r="524" spans="1:30" ht="15" customHeight="1" x14ac:dyDescent="0.25">
      <c r="A524" s="7"/>
      <c r="C524" s="70"/>
      <c r="D524" s="70"/>
      <c r="E524" s="73"/>
      <c r="F524" s="9"/>
      <c r="H524" s="9"/>
      <c r="I524" s="10"/>
      <c r="J524" s="7"/>
      <c r="K524" s="7"/>
      <c r="L524" s="10"/>
      <c r="M524" s="10"/>
      <c r="N524" s="10"/>
      <c r="O524" s="10"/>
      <c r="P524" s="10"/>
      <c r="Q524" s="10"/>
      <c r="R524" s="10"/>
      <c r="S524" s="10"/>
      <c r="T524" s="14"/>
      <c r="U524" s="10"/>
      <c r="V524" s="10"/>
      <c r="W524" s="10"/>
      <c r="X524" s="7"/>
      <c r="Y524" s="7"/>
      <c r="Z524" s="34"/>
      <c r="AA524" s="34"/>
      <c r="AB524" s="7"/>
      <c r="AC524" s="34"/>
      <c r="AD524" s="10"/>
    </row>
    <row r="525" spans="1:30" ht="15" customHeight="1" x14ac:dyDescent="0.25">
      <c r="A525" s="7"/>
      <c r="C525" s="70"/>
      <c r="D525" s="70"/>
      <c r="E525" s="73"/>
      <c r="F525" s="9"/>
      <c r="H525" s="9"/>
      <c r="I525" s="10"/>
      <c r="J525" s="7"/>
      <c r="K525" s="7"/>
      <c r="L525" s="10"/>
      <c r="M525" s="10"/>
      <c r="N525" s="10"/>
      <c r="O525" s="10"/>
      <c r="P525" s="10"/>
      <c r="Q525" s="10"/>
      <c r="R525" s="10"/>
      <c r="S525" s="10"/>
      <c r="T525" s="14"/>
      <c r="U525" s="10"/>
      <c r="V525" s="10"/>
      <c r="W525" s="10"/>
      <c r="X525" s="7"/>
      <c r="Y525" s="7"/>
      <c r="Z525" s="34"/>
      <c r="AA525" s="34"/>
      <c r="AB525" s="7"/>
      <c r="AC525" s="34"/>
      <c r="AD525" s="10"/>
    </row>
    <row r="526" spans="1:30" ht="15" customHeight="1" x14ac:dyDescent="0.25">
      <c r="A526" s="7"/>
      <c r="C526" s="70"/>
      <c r="D526" s="70"/>
      <c r="E526" s="73"/>
      <c r="F526" s="9"/>
      <c r="H526" s="9"/>
      <c r="I526" s="10"/>
      <c r="J526" s="7"/>
      <c r="K526" s="7"/>
      <c r="L526" s="10"/>
      <c r="M526" s="10"/>
      <c r="N526" s="10"/>
      <c r="O526" s="10"/>
      <c r="P526" s="10"/>
      <c r="Q526" s="10"/>
      <c r="R526" s="10"/>
      <c r="S526" s="10"/>
      <c r="T526" s="14"/>
      <c r="U526" s="10"/>
      <c r="V526" s="10"/>
      <c r="W526" s="10"/>
      <c r="X526" s="7"/>
      <c r="Y526" s="7"/>
      <c r="Z526" s="7"/>
      <c r="AA526" s="34"/>
      <c r="AB526" s="7"/>
      <c r="AC526" s="34"/>
      <c r="AD526" s="10"/>
    </row>
    <row r="527" spans="1:30" ht="15" customHeight="1" x14ac:dyDescent="0.25">
      <c r="A527" s="7"/>
      <c r="C527" s="70"/>
      <c r="D527" s="70"/>
      <c r="E527" s="73"/>
      <c r="F527" s="9"/>
      <c r="H527" s="9"/>
      <c r="I527" s="10"/>
      <c r="J527" s="7"/>
      <c r="K527" s="7"/>
      <c r="L527" s="10"/>
      <c r="M527" s="10"/>
      <c r="N527" s="10"/>
      <c r="O527" s="10"/>
      <c r="P527" s="10"/>
      <c r="Q527" s="10"/>
      <c r="R527" s="10"/>
      <c r="S527" s="10"/>
      <c r="T527" s="14"/>
      <c r="U527" s="10"/>
      <c r="V527" s="10"/>
      <c r="W527" s="10"/>
      <c r="X527" s="7"/>
      <c r="Y527" s="7"/>
      <c r="Z527" s="7"/>
      <c r="AA527" s="34"/>
      <c r="AB527" s="7"/>
      <c r="AC527" s="34"/>
      <c r="AD527" s="10"/>
    </row>
    <row r="528" spans="1:30" ht="15" customHeight="1" x14ac:dyDescent="0.25">
      <c r="A528" s="7"/>
      <c r="C528" s="70"/>
      <c r="D528" s="70"/>
      <c r="E528" s="73"/>
      <c r="F528" s="9"/>
      <c r="H528" s="9"/>
      <c r="I528" s="10"/>
      <c r="J528" s="7"/>
      <c r="K528" s="7"/>
      <c r="L528" s="10"/>
      <c r="M528" s="10"/>
      <c r="N528" s="10"/>
      <c r="O528" s="10"/>
      <c r="P528" s="10"/>
      <c r="Q528" s="10"/>
      <c r="R528" s="10"/>
      <c r="S528" s="10"/>
      <c r="T528" s="14"/>
      <c r="U528" s="10"/>
      <c r="V528" s="10"/>
      <c r="W528" s="10"/>
      <c r="X528" s="7"/>
      <c r="Y528" s="7"/>
      <c r="Z528" s="7"/>
      <c r="AA528" s="34"/>
      <c r="AB528" s="7"/>
      <c r="AC528" s="34"/>
      <c r="AD528" s="10"/>
    </row>
    <row r="529" spans="1:30" ht="15" customHeight="1" x14ac:dyDescent="0.25">
      <c r="A529" s="7"/>
      <c r="C529" s="70"/>
      <c r="D529" s="70"/>
      <c r="E529" s="73"/>
      <c r="F529" s="9"/>
      <c r="H529" s="9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4"/>
      <c r="U529" s="10"/>
      <c r="V529" s="10"/>
      <c r="W529" s="10"/>
      <c r="X529" s="7"/>
      <c r="Y529" s="7"/>
      <c r="Z529" s="7"/>
      <c r="AA529" s="34"/>
      <c r="AB529" s="7"/>
      <c r="AC529" s="34"/>
      <c r="AD529" s="10"/>
    </row>
    <row r="530" spans="1:30" ht="15" customHeight="1" x14ac:dyDescent="0.25">
      <c r="A530" s="7"/>
      <c r="C530" s="70"/>
      <c r="D530" s="70"/>
      <c r="E530" s="73"/>
      <c r="F530" s="9"/>
      <c r="H530" s="9"/>
      <c r="I530" s="10"/>
      <c r="J530" s="7"/>
      <c r="K530" s="24"/>
      <c r="L530" s="10"/>
      <c r="M530" s="10"/>
      <c r="N530" s="10"/>
      <c r="O530" s="10"/>
      <c r="P530" s="10"/>
      <c r="Q530" s="10"/>
      <c r="R530" s="10"/>
      <c r="S530" s="10"/>
      <c r="T530" s="14"/>
      <c r="U530" s="10"/>
      <c r="V530" s="10"/>
      <c r="W530" s="10"/>
      <c r="X530" s="7"/>
      <c r="Y530" s="7"/>
      <c r="Z530" s="7"/>
      <c r="AA530" s="34"/>
      <c r="AB530" s="7"/>
      <c r="AC530" s="34"/>
      <c r="AD530" s="10"/>
    </row>
    <row r="531" spans="1:30" ht="15" customHeight="1" x14ac:dyDescent="0.25">
      <c r="A531" s="7"/>
      <c r="C531" s="70"/>
      <c r="D531" s="70"/>
      <c r="E531" s="73"/>
      <c r="F531" s="48"/>
      <c r="H531" s="9"/>
      <c r="I531" s="10"/>
      <c r="J531" s="7"/>
      <c r="K531" s="24"/>
      <c r="L531" s="10"/>
      <c r="M531" s="10"/>
      <c r="N531" s="10"/>
      <c r="O531" s="10"/>
      <c r="P531" s="10"/>
      <c r="Q531" s="10"/>
      <c r="R531" s="10"/>
      <c r="S531" s="10"/>
      <c r="T531" s="14"/>
      <c r="U531" s="10"/>
      <c r="V531" s="10"/>
      <c r="W531" s="10"/>
      <c r="X531" s="7"/>
      <c r="Y531" s="34"/>
      <c r="Z531" s="7"/>
      <c r="AA531" s="34"/>
      <c r="AB531" s="7"/>
      <c r="AC531" s="34"/>
      <c r="AD531" s="10"/>
    </row>
    <row r="532" spans="1:30" ht="15" customHeight="1" x14ac:dyDescent="0.25">
      <c r="A532" s="7"/>
      <c r="C532" s="70"/>
      <c r="D532" s="70"/>
      <c r="E532" s="73"/>
      <c r="F532" s="9"/>
      <c r="H532" s="9"/>
      <c r="I532" s="10"/>
      <c r="J532" s="7"/>
      <c r="K532" s="24"/>
      <c r="L532" s="10"/>
      <c r="M532" s="10"/>
      <c r="N532" s="10"/>
      <c r="O532" s="10"/>
      <c r="P532" s="10"/>
      <c r="Q532" s="10"/>
      <c r="R532" s="10"/>
      <c r="S532" s="10"/>
      <c r="T532" s="14"/>
      <c r="U532" s="10"/>
      <c r="V532" s="10"/>
      <c r="W532" s="10"/>
      <c r="X532" s="7"/>
      <c r="Y532" s="7"/>
      <c r="Z532" s="7"/>
      <c r="AA532" s="34"/>
      <c r="AB532" s="7"/>
      <c r="AC532" s="34"/>
      <c r="AD532" s="10"/>
    </row>
    <row r="533" spans="1:30" ht="15" customHeight="1" x14ac:dyDescent="0.25">
      <c r="A533" s="7"/>
      <c r="C533" s="70"/>
      <c r="D533" s="70"/>
      <c r="E533" s="73"/>
      <c r="F533" s="9"/>
      <c r="H533" s="9"/>
      <c r="I533" s="10"/>
      <c r="J533" s="7"/>
      <c r="K533" s="7"/>
      <c r="L533" s="10"/>
      <c r="M533" s="10"/>
      <c r="N533" s="10"/>
      <c r="O533" s="10"/>
      <c r="P533" s="10"/>
      <c r="Q533" s="10"/>
      <c r="R533" s="10"/>
      <c r="S533" s="10"/>
      <c r="T533" s="14"/>
      <c r="U533" s="10"/>
      <c r="V533" s="10"/>
      <c r="W533" s="10"/>
      <c r="X533" s="7"/>
      <c r="Y533" s="7"/>
      <c r="Z533" s="7"/>
      <c r="AA533" s="34"/>
      <c r="AB533" s="7"/>
      <c r="AC533" s="34"/>
      <c r="AD533" s="10"/>
    </row>
    <row r="534" spans="1:30" ht="15" customHeight="1" x14ac:dyDescent="0.25">
      <c r="A534" s="7"/>
      <c r="C534" s="70"/>
      <c r="D534" s="70"/>
      <c r="E534" s="73"/>
      <c r="F534" s="9"/>
      <c r="H534" s="9"/>
      <c r="I534" s="10"/>
      <c r="J534" s="10"/>
      <c r="K534" s="7"/>
      <c r="L534" s="10"/>
      <c r="M534" s="10"/>
      <c r="N534" s="10"/>
      <c r="O534" s="10"/>
      <c r="P534" s="10"/>
      <c r="Q534" s="10"/>
      <c r="R534" s="10"/>
      <c r="S534" s="10"/>
      <c r="T534" s="14"/>
      <c r="U534" s="10"/>
      <c r="V534" s="10"/>
      <c r="W534" s="10"/>
      <c r="X534" s="7"/>
      <c r="Y534" s="7"/>
      <c r="Z534" s="34"/>
      <c r="AA534" s="34"/>
      <c r="AB534" s="7"/>
      <c r="AC534" s="34"/>
      <c r="AD534" s="10"/>
    </row>
    <row r="535" spans="1:30" ht="15" customHeight="1" x14ac:dyDescent="0.25">
      <c r="A535" s="7"/>
      <c r="C535" s="70"/>
      <c r="D535" s="70"/>
      <c r="E535" s="73"/>
      <c r="F535" s="9"/>
      <c r="H535" s="9"/>
      <c r="I535" s="10"/>
      <c r="J535" s="7"/>
      <c r="K535" s="24"/>
      <c r="L535" s="10"/>
      <c r="M535" s="10"/>
      <c r="N535" s="10"/>
      <c r="O535" s="10"/>
      <c r="P535" s="10"/>
      <c r="Q535" s="10"/>
      <c r="R535" s="10"/>
      <c r="S535" s="10"/>
      <c r="T535" s="14"/>
      <c r="U535" s="10"/>
      <c r="V535" s="10"/>
      <c r="W535" s="10"/>
      <c r="X535" s="7"/>
      <c r="Y535" s="7"/>
      <c r="Z535" s="34"/>
      <c r="AA535" s="34"/>
      <c r="AB535" s="7"/>
      <c r="AC535" s="34"/>
      <c r="AD535" s="10"/>
    </row>
    <row r="536" spans="1:30" ht="15" customHeight="1" x14ac:dyDescent="0.25">
      <c r="A536" s="7"/>
      <c r="C536" s="70"/>
      <c r="D536" s="70"/>
      <c r="E536" s="73"/>
      <c r="F536" s="9"/>
      <c r="H536" s="9"/>
      <c r="I536" s="10"/>
      <c r="J536" s="7"/>
      <c r="K536" s="7"/>
      <c r="L536" s="10"/>
      <c r="M536" s="10"/>
      <c r="N536" s="10"/>
      <c r="O536" s="10"/>
      <c r="P536" s="10"/>
      <c r="Q536" s="10"/>
      <c r="R536" s="10"/>
      <c r="S536" s="10"/>
      <c r="T536" s="14"/>
      <c r="U536" s="10"/>
      <c r="V536" s="10"/>
      <c r="W536" s="10"/>
      <c r="X536" s="7"/>
      <c r="Y536" s="7"/>
      <c r="Z536" s="7"/>
      <c r="AA536" s="34"/>
      <c r="AB536" s="7"/>
      <c r="AC536" s="34"/>
      <c r="AD536" s="10"/>
    </row>
    <row r="537" spans="1:30" ht="15" customHeight="1" x14ac:dyDescent="0.25">
      <c r="A537" s="7"/>
      <c r="C537" s="70"/>
      <c r="D537" s="70"/>
      <c r="E537" s="73"/>
      <c r="F537" s="9"/>
      <c r="H537" s="9"/>
      <c r="I537" s="10"/>
      <c r="J537" s="7"/>
      <c r="K537" s="7"/>
      <c r="L537" s="10"/>
      <c r="M537" s="10"/>
      <c r="N537" s="10"/>
      <c r="O537" s="10"/>
      <c r="P537" s="10"/>
      <c r="Q537" s="10"/>
      <c r="R537" s="10"/>
      <c r="S537" s="10"/>
      <c r="T537" s="14"/>
      <c r="U537" s="10"/>
      <c r="V537" s="10"/>
      <c r="W537" s="10"/>
      <c r="X537" s="7"/>
      <c r="Y537" s="7"/>
      <c r="Z537" s="7"/>
      <c r="AA537" s="34"/>
      <c r="AB537" s="7"/>
      <c r="AC537" s="34"/>
      <c r="AD537" s="10"/>
    </row>
    <row r="538" spans="1:30" ht="15" customHeight="1" x14ac:dyDescent="0.25">
      <c r="A538" s="7"/>
      <c r="C538" s="70"/>
      <c r="D538" s="70"/>
      <c r="E538" s="73"/>
      <c r="F538" s="9"/>
      <c r="H538" s="9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4"/>
      <c r="U538" s="10"/>
      <c r="V538" s="10"/>
      <c r="W538" s="10"/>
      <c r="X538" s="34"/>
      <c r="Y538" s="7"/>
      <c r="Z538" s="7"/>
      <c r="AA538" s="34"/>
      <c r="AB538" s="7"/>
      <c r="AC538" s="34"/>
      <c r="AD538" s="10"/>
    </row>
    <row r="539" spans="1:30" ht="15" customHeight="1" x14ac:dyDescent="0.25">
      <c r="A539" s="7"/>
      <c r="C539" s="70"/>
      <c r="D539" s="70"/>
      <c r="E539" s="73"/>
      <c r="F539" s="9"/>
      <c r="H539" s="9"/>
      <c r="I539" s="10"/>
      <c r="J539" s="10"/>
      <c r="K539" s="7"/>
      <c r="L539" s="10"/>
      <c r="M539" s="10"/>
      <c r="N539" s="10"/>
      <c r="O539" s="10"/>
      <c r="P539" s="10"/>
      <c r="Q539" s="10"/>
      <c r="R539" s="10"/>
      <c r="S539" s="10"/>
      <c r="T539" s="14"/>
      <c r="U539" s="10"/>
      <c r="V539" s="10"/>
      <c r="W539" s="10"/>
      <c r="X539" s="7"/>
      <c r="Y539" s="7"/>
      <c r="Z539" s="7"/>
      <c r="AA539" s="34"/>
      <c r="AB539" s="7"/>
      <c r="AC539" s="34"/>
      <c r="AD539" s="10"/>
    </row>
    <row r="540" spans="1:30" ht="15" customHeight="1" x14ac:dyDescent="0.25">
      <c r="A540" s="7"/>
      <c r="C540" s="70"/>
      <c r="D540" s="70"/>
      <c r="E540" s="73"/>
      <c r="F540" s="9"/>
      <c r="H540" s="9"/>
      <c r="I540" s="10"/>
      <c r="J540" s="7"/>
      <c r="K540" s="7"/>
      <c r="L540" s="10"/>
      <c r="M540" s="10"/>
      <c r="N540" s="10"/>
      <c r="O540" s="10"/>
      <c r="P540" s="10"/>
      <c r="Q540" s="10"/>
      <c r="R540" s="10"/>
      <c r="S540" s="10"/>
      <c r="T540" s="14"/>
      <c r="U540" s="10"/>
      <c r="V540" s="10"/>
      <c r="W540" s="10"/>
      <c r="X540" s="7"/>
      <c r="Y540" s="7"/>
      <c r="Z540" s="7"/>
      <c r="AA540" s="34"/>
      <c r="AB540" s="7"/>
      <c r="AC540" s="34"/>
      <c r="AD540" s="10"/>
    </row>
    <row r="541" spans="1:30" ht="15" customHeight="1" x14ac:dyDescent="0.25">
      <c r="A541" s="7"/>
      <c r="C541" s="70"/>
      <c r="D541" s="70"/>
      <c r="E541" s="73"/>
      <c r="F541" s="9"/>
      <c r="H541" s="9"/>
      <c r="I541" s="10"/>
      <c r="J541" s="7"/>
      <c r="K541" s="7"/>
      <c r="L541" s="10"/>
      <c r="M541" s="10"/>
      <c r="N541" s="10"/>
      <c r="O541" s="10"/>
      <c r="P541" s="10"/>
      <c r="Q541" s="10"/>
      <c r="R541" s="10"/>
      <c r="S541" s="10"/>
      <c r="T541" s="14"/>
      <c r="U541" s="10"/>
      <c r="V541" s="10"/>
      <c r="W541" s="10"/>
      <c r="X541" s="7"/>
      <c r="Y541" s="7"/>
      <c r="Z541" s="7"/>
      <c r="AA541" s="34"/>
      <c r="AB541" s="7"/>
      <c r="AC541" s="34"/>
      <c r="AD541" s="10"/>
    </row>
    <row r="542" spans="1:30" ht="15" customHeight="1" x14ac:dyDescent="0.25">
      <c r="A542" s="7"/>
      <c r="C542" s="70"/>
      <c r="D542" s="70"/>
      <c r="E542" s="73"/>
      <c r="F542" s="9"/>
      <c r="H542" s="9"/>
      <c r="I542" s="10"/>
      <c r="J542" s="7"/>
      <c r="K542" s="7"/>
      <c r="L542" s="10"/>
      <c r="M542" s="10"/>
      <c r="N542" s="10"/>
      <c r="O542" s="10"/>
      <c r="P542" s="10"/>
      <c r="Q542" s="10"/>
      <c r="R542" s="10"/>
      <c r="S542" s="10"/>
      <c r="T542" s="14"/>
      <c r="U542" s="10"/>
      <c r="V542" s="10"/>
      <c r="W542" s="10"/>
      <c r="X542" s="34"/>
      <c r="Y542" s="7"/>
      <c r="Z542" s="7"/>
      <c r="AA542" s="34"/>
      <c r="AB542" s="7"/>
      <c r="AC542" s="34"/>
      <c r="AD542" s="10"/>
    </row>
    <row r="543" spans="1:30" ht="15" customHeight="1" x14ac:dyDescent="0.25">
      <c r="A543" s="7"/>
      <c r="C543" s="70"/>
      <c r="D543" s="70"/>
      <c r="E543" s="73"/>
      <c r="F543" s="9"/>
      <c r="H543" s="9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4"/>
      <c r="U543" s="10"/>
      <c r="V543" s="10"/>
      <c r="W543" s="10"/>
      <c r="X543" s="7"/>
      <c r="Y543" s="7"/>
      <c r="Z543" s="7"/>
      <c r="AA543" s="34"/>
      <c r="AB543" s="7"/>
      <c r="AC543" s="34"/>
      <c r="AD543" s="10"/>
    </row>
    <row r="544" spans="1:30" ht="15" customHeight="1" x14ac:dyDescent="0.25">
      <c r="A544" s="7"/>
      <c r="C544" s="70"/>
      <c r="D544" s="70"/>
      <c r="E544" s="73"/>
      <c r="F544" s="9"/>
      <c r="H544" s="9"/>
      <c r="I544" s="10"/>
      <c r="J544" s="7"/>
      <c r="K544" s="7"/>
      <c r="L544" s="10"/>
      <c r="M544" s="10"/>
      <c r="N544" s="10"/>
      <c r="O544" s="10"/>
      <c r="P544" s="10"/>
      <c r="Q544" s="10"/>
      <c r="R544" s="10"/>
      <c r="S544" s="10"/>
      <c r="T544" s="14"/>
      <c r="U544" s="10"/>
      <c r="V544" s="10"/>
      <c r="W544" s="10"/>
      <c r="X544" s="7"/>
      <c r="Y544" s="7"/>
      <c r="Z544" s="34"/>
      <c r="AA544" s="34"/>
      <c r="AB544" s="7"/>
      <c r="AC544" s="34"/>
      <c r="AD544" s="10"/>
    </row>
    <row r="545" spans="1:30" ht="15" customHeight="1" x14ac:dyDescent="0.25">
      <c r="A545" s="7"/>
      <c r="C545" s="70"/>
      <c r="D545" s="70"/>
      <c r="E545" s="73"/>
      <c r="F545" s="9"/>
      <c r="H545" s="9"/>
      <c r="I545" s="10"/>
      <c r="J545" s="7"/>
      <c r="K545" s="7"/>
      <c r="L545" s="10"/>
      <c r="M545" s="10"/>
      <c r="N545" s="10"/>
      <c r="O545" s="10"/>
      <c r="P545" s="10"/>
      <c r="Q545" s="10"/>
      <c r="R545" s="10"/>
      <c r="S545" s="10"/>
      <c r="T545" s="14"/>
      <c r="U545" s="10"/>
      <c r="V545" s="10"/>
      <c r="W545" s="10"/>
      <c r="X545" s="7"/>
      <c r="Y545" s="7"/>
      <c r="Z545" s="7"/>
      <c r="AA545" s="34"/>
      <c r="AB545" s="7"/>
      <c r="AC545" s="34"/>
      <c r="AD545" s="10"/>
    </row>
    <row r="546" spans="1:30" ht="15" customHeight="1" x14ac:dyDescent="0.25">
      <c r="A546" s="7"/>
      <c r="C546" s="70"/>
      <c r="D546" s="70"/>
      <c r="E546" s="73"/>
      <c r="F546" s="9"/>
      <c r="H546" s="9"/>
      <c r="I546" s="10"/>
      <c r="J546" s="7"/>
      <c r="K546" s="10"/>
      <c r="L546" s="10"/>
      <c r="M546" s="10"/>
      <c r="N546" s="10"/>
      <c r="O546" s="10"/>
      <c r="P546" s="10"/>
      <c r="Q546" s="10"/>
      <c r="R546" s="10"/>
      <c r="S546" s="10"/>
      <c r="T546" s="14"/>
      <c r="U546" s="10"/>
      <c r="V546" s="10"/>
      <c r="W546" s="10"/>
      <c r="X546" s="7"/>
      <c r="Y546" s="7"/>
      <c r="Z546" s="7"/>
      <c r="AA546" s="34"/>
      <c r="AB546" s="7"/>
      <c r="AC546" s="34"/>
      <c r="AD546" s="10"/>
    </row>
    <row r="547" spans="1:30" ht="15" customHeight="1" x14ac:dyDescent="0.25">
      <c r="A547" s="7"/>
      <c r="C547" s="70"/>
      <c r="D547" s="70"/>
      <c r="E547" s="73"/>
      <c r="F547" s="9"/>
      <c r="H547" s="9"/>
      <c r="I547" s="10"/>
      <c r="J547" s="7"/>
      <c r="K547" s="24"/>
      <c r="L547" s="10"/>
      <c r="M547" s="10"/>
      <c r="N547" s="10"/>
      <c r="O547" s="10"/>
      <c r="P547" s="10"/>
      <c r="Q547" s="10"/>
      <c r="R547" s="10"/>
      <c r="S547" s="10"/>
      <c r="T547" s="14"/>
      <c r="U547" s="10"/>
      <c r="V547" s="10"/>
      <c r="W547" s="10"/>
      <c r="X547" s="7"/>
      <c r="Y547" s="7"/>
      <c r="Z547" s="7"/>
      <c r="AA547" s="34"/>
      <c r="AB547" s="7"/>
      <c r="AC547" s="34"/>
      <c r="AD547" s="10"/>
    </row>
    <row r="548" spans="1:30" ht="15" customHeight="1" x14ac:dyDescent="0.25">
      <c r="A548" s="7"/>
      <c r="C548" s="70"/>
      <c r="D548" s="70"/>
      <c r="E548" s="73"/>
      <c r="F548" s="9"/>
      <c r="H548" s="9"/>
      <c r="I548" s="10"/>
      <c r="J548" s="7"/>
      <c r="K548" s="7"/>
      <c r="L548" s="10"/>
      <c r="M548" s="10"/>
      <c r="N548" s="10"/>
      <c r="O548" s="10"/>
      <c r="P548" s="10"/>
      <c r="Q548" s="10"/>
      <c r="R548" s="10"/>
      <c r="S548" s="10"/>
      <c r="T548" s="14"/>
      <c r="U548" s="10"/>
      <c r="V548" s="10"/>
      <c r="W548" s="10"/>
      <c r="X548" s="7"/>
      <c r="Y548" s="7"/>
      <c r="Z548" s="7"/>
      <c r="AA548" s="34"/>
      <c r="AB548" s="7"/>
      <c r="AC548" s="34"/>
      <c r="AD548" s="10"/>
    </row>
    <row r="549" spans="1:30" ht="15" customHeight="1" x14ac:dyDescent="0.25">
      <c r="A549" s="7"/>
      <c r="C549" s="70"/>
      <c r="D549" s="70"/>
      <c r="E549" s="73"/>
      <c r="F549" s="9"/>
      <c r="H549" s="9"/>
      <c r="I549" s="10"/>
      <c r="J549" s="60"/>
      <c r="K549" s="42"/>
      <c r="L549" s="10"/>
      <c r="M549" s="10"/>
      <c r="N549" s="10"/>
      <c r="O549" s="10"/>
      <c r="P549" s="10"/>
      <c r="Q549" s="10"/>
      <c r="R549" s="10"/>
      <c r="S549" s="10"/>
      <c r="T549" s="14"/>
      <c r="U549" s="10"/>
      <c r="V549" s="10"/>
      <c r="W549" s="10"/>
      <c r="X549" s="7"/>
      <c r="Y549" s="7"/>
      <c r="Z549" s="34"/>
      <c r="AA549" s="34"/>
      <c r="AB549" s="7"/>
      <c r="AC549" s="34"/>
      <c r="AD549" s="10"/>
    </row>
    <row r="550" spans="1:30" ht="15" customHeight="1" x14ac:dyDescent="0.25">
      <c r="A550" s="7"/>
      <c r="C550" s="70"/>
      <c r="D550" s="70"/>
      <c r="E550" s="73"/>
      <c r="F550" s="9"/>
      <c r="H550" s="9"/>
      <c r="I550" s="10"/>
      <c r="J550" s="7"/>
      <c r="K550" s="7"/>
      <c r="L550" s="10"/>
      <c r="M550" s="10"/>
      <c r="N550" s="10"/>
      <c r="O550" s="10"/>
      <c r="P550" s="10"/>
      <c r="Q550" s="10"/>
      <c r="R550" s="10"/>
      <c r="S550" s="10"/>
      <c r="T550" s="14"/>
      <c r="U550" s="10"/>
      <c r="V550" s="10"/>
      <c r="W550" s="10"/>
      <c r="X550" s="7"/>
      <c r="Y550" s="7"/>
      <c r="Z550" s="7"/>
      <c r="AA550" s="34"/>
      <c r="AB550" s="7"/>
      <c r="AC550" s="34"/>
      <c r="AD550" s="10"/>
    </row>
    <row r="551" spans="1:30" ht="15" customHeight="1" x14ac:dyDescent="0.25">
      <c r="A551" s="7"/>
      <c r="C551" s="70"/>
      <c r="D551" s="70"/>
      <c r="E551" s="73"/>
      <c r="F551" s="9"/>
      <c r="H551" s="9"/>
      <c r="I551" s="10"/>
      <c r="J551" s="10"/>
      <c r="K551" s="7"/>
      <c r="L551" s="10"/>
      <c r="M551" s="10"/>
      <c r="N551" s="10"/>
      <c r="O551" s="10"/>
      <c r="P551" s="10"/>
      <c r="Q551" s="10"/>
      <c r="R551" s="10"/>
      <c r="S551" s="10"/>
      <c r="T551" s="14"/>
      <c r="U551" s="10"/>
      <c r="V551" s="10"/>
      <c r="W551" s="10"/>
      <c r="X551" s="7"/>
      <c r="Y551" s="7"/>
      <c r="Z551" s="7"/>
      <c r="AA551" s="34"/>
      <c r="AB551" s="7"/>
      <c r="AC551" s="34"/>
      <c r="AD551" s="10"/>
    </row>
    <row r="552" spans="1:30" ht="15" customHeight="1" x14ac:dyDescent="0.25">
      <c r="A552" s="7"/>
      <c r="C552" s="70"/>
      <c r="D552" s="70"/>
      <c r="E552" s="73"/>
      <c r="F552" s="9"/>
      <c r="H552" s="9"/>
      <c r="I552" s="10"/>
      <c r="J552" s="7"/>
      <c r="K552" s="7"/>
      <c r="L552" s="10"/>
      <c r="M552" s="10"/>
      <c r="N552" s="10"/>
      <c r="O552" s="10"/>
      <c r="P552" s="10"/>
      <c r="Q552" s="10"/>
      <c r="R552" s="10"/>
      <c r="S552" s="10"/>
      <c r="T552" s="14"/>
      <c r="U552" s="10"/>
      <c r="V552" s="10"/>
      <c r="W552" s="10"/>
      <c r="X552" s="7"/>
      <c r="Y552" s="7"/>
      <c r="Z552" s="7"/>
      <c r="AA552" s="34"/>
      <c r="AB552" s="7"/>
      <c r="AC552" s="34"/>
      <c r="AD552" s="10"/>
    </row>
    <row r="553" spans="1:30" ht="15" customHeight="1" x14ac:dyDescent="0.25">
      <c r="A553" s="7"/>
      <c r="C553" s="70"/>
      <c r="D553" s="70"/>
      <c r="E553" s="73"/>
      <c r="F553" s="9"/>
      <c r="H553" s="9"/>
      <c r="I553" s="10"/>
      <c r="J553" s="10"/>
      <c r="K553" s="7"/>
      <c r="L553" s="10"/>
      <c r="M553" s="10"/>
      <c r="N553" s="10"/>
      <c r="O553" s="10"/>
      <c r="P553" s="10"/>
      <c r="Q553" s="10"/>
      <c r="R553" s="10"/>
      <c r="S553" s="10"/>
      <c r="T553" s="14"/>
      <c r="U553" s="10"/>
      <c r="V553" s="10"/>
      <c r="W553" s="10"/>
      <c r="X553" s="7"/>
      <c r="Y553" s="7"/>
      <c r="Z553" s="7"/>
      <c r="AA553" s="34"/>
      <c r="AB553" s="7"/>
      <c r="AC553" s="34"/>
      <c r="AD553" s="10"/>
    </row>
    <row r="554" spans="1:30" ht="15" customHeight="1" x14ac:dyDescent="0.25">
      <c r="A554" s="7"/>
      <c r="C554" s="70"/>
      <c r="D554" s="70"/>
      <c r="E554" s="73"/>
      <c r="F554" s="9"/>
      <c r="H554" s="9"/>
      <c r="I554" s="10"/>
      <c r="J554" s="7"/>
      <c r="K554" s="7"/>
      <c r="L554" s="10"/>
      <c r="M554" s="10"/>
      <c r="N554" s="10"/>
      <c r="O554" s="10"/>
      <c r="P554" s="10"/>
      <c r="Q554" s="10"/>
      <c r="R554" s="10"/>
      <c r="S554" s="10"/>
      <c r="T554" s="14"/>
      <c r="U554" s="10"/>
      <c r="V554" s="10"/>
      <c r="W554" s="10"/>
      <c r="X554" s="7"/>
      <c r="Y554" s="34"/>
      <c r="Z554" s="7"/>
      <c r="AA554" s="34"/>
      <c r="AB554" s="7"/>
      <c r="AC554" s="34"/>
      <c r="AD554" s="10"/>
    </row>
    <row r="555" spans="1:30" ht="15" customHeight="1" x14ac:dyDescent="0.25">
      <c r="A555" s="7"/>
      <c r="C555" s="70"/>
      <c r="D555" s="70"/>
      <c r="E555" s="73"/>
      <c r="F555" s="9"/>
      <c r="H555" s="9"/>
      <c r="I555" s="10"/>
      <c r="J555" s="7"/>
      <c r="K555" s="7"/>
      <c r="L555" s="10"/>
      <c r="M555" s="10"/>
      <c r="N555" s="10"/>
      <c r="O555" s="10"/>
      <c r="P555" s="10"/>
      <c r="Q555" s="10"/>
      <c r="R555" s="10"/>
      <c r="S555" s="10"/>
      <c r="T555" s="14"/>
      <c r="U555" s="10"/>
      <c r="V555" s="10"/>
      <c r="W555" s="10"/>
      <c r="X555" s="7"/>
      <c r="Y555" s="7"/>
      <c r="Z555" s="7"/>
      <c r="AA555" s="34"/>
      <c r="AB555" s="7"/>
      <c r="AC555" s="34"/>
      <c r="AD555" s="10"/>
    </row>
    <row r="556" spans="1:30" ht="15" customHeight="1" x14ac:dyDescent="0.25">
      <c r="A556" s="7"/>
      <c r="C556" s="70"/>
      <c r="D556" s="70"/>
      <c r="E556" s="73"/>
      <c r="F556" s="9"/>
      <c r="H556" s="9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4"/>
      <c r="U556" s="10"/>
      <c r="V556" s="10"/>
      <c r="W556" s="10"/>
      <c r="X556" s="7"/>
      <c r="Y556" s="7"/>
      <c r="Z556" s="7"/>
      <c r="AA556" s="34"/>
      <c r="AB556" s="7"/>
      <c r="AC556" s="34"/>
      <c r="AD556" s="10"/>
    </row>
    <row r="557" spans="1:30" ht="15" customHeight="1" x14ac:dyDescent="0.25">
      <c r="A557" s="7"/>
      <c r="C557" s="70"/>
      <c r="D557" s="70"/>
      <c r="E557" s="73"/>
      <c r="F557" s="9"/>
      <c r="H557" s="9"/>
      <c r="I557" s="10"/>
      <c r="J557" s="7"/>
      <c r="K557" s="7"/>
      <c r="L557" s="10"/>
      <c r="M557" s="10"/>
      <c r="N557" s="10"/>
      <c r="O557" s="10"/>
      <c r="P557" s="10"/>
      <c r="Q557" s="10"/>
      <c r="R557" s="10"/>
      <c r="S557" s="10"/>
      <c r="T557" s="14"/>
      <c r="U557" s="10"/>
      <c r="V557" s="10"/>
      <c r="W557" s="10"/>
      <c r="X557" s="7"/>
      <c r="Y557" s="7"/>
      <c r="Z557" s="7"/>
      <c r="AA557" s="34"/>
      <c r="AB557" s="7"/>
      <c r="AC557" s="34"/>
      <c r="AD557" s="10"/>
    </row>
    <row r="558" spans="1:30" ht="15" customHeight="1" x14ac:dyDescent="0.25">
      <c r="A558" s="7"/>
      <c r="C558" s="70"/>
      <c r="D558" s="70"/>
      <c r="E558" s="73"/>
      <c r="F558" s="9"/>
      <c r="H558" s="9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4"/>
      <c r="U558" s="10"/>
      <c r="V558" s="10"/>
      <c r="W558" s="10"/>
      <c r="X558" s="7"/>
      <c r="Y558" s="7"/>
      <c r="Z558" s="7"/>
      <c r="AA558" s="34"/>
      <c r="AB558" s="7"/>
      <c r="AC558" s="34"/>
      <c r="AD558" s="10"/>
    </row>
    <row r="559" spans="1:30" ht="15" customHeight="1" x14ac:dyDescent="0.25">
      <c r="A559" s="7"/>
      <c r="C559" s="70"/>
      <c r="D559" s="70"/>
      <c r="E559" s="73"/>
      <c r="F559" s="9"/>
      <c r="H559" s="9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4"/>
      <c r="U559" s="10"/>
      <c r="V559" s="10"/>
      <c r="W559" s="10"/>
      <c r="X559" s="7"/>
      <c r="Y559" s="7"/>
      <c r="Z559" s="34"/>
      <c r="AA559" s="34"/>
      <c r="AB559" s="7"/>
      <c r="AC559" s="34"/>
      <c r="AD559" s="10"/>
    </row>
    <row r="560" spans="1:30" ht="15" customHeight="1" x14ac:dyDescent="0.25">
      <c r="A560" s="7"/>
      <c r="C560" s="70"/>
      <c r="D560" s="70"/>
      <c r="E560" s="73"/>
      <c r="F560" s="9"/>
      <c r="H560" s="9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4"/>
      <c r="U560" s="10"/>
      <c r="V560" s="10"/>
      <c r="W560" s="10"/>
      <c r="X560" s="7"/>
      <c r="Y560" s="7"/>
      <c r="Z560" s="7"/>
      <c r="AA560" s="34"/>
      <c r="AB560" s="7"/>
      <c r="AC560" s="34"/>
      <c r="AD560" s="10"/>
    </row>
    <row r="561" spans="1:30" ht="15" customHeight="1" x14ac:dyDescent="0.25">
      <c r="A561" s="7"/>
      <c r="C561" s="70"/>
      <c r="D561" s="70"/>
      <c r="E561" s="73"/>
      <c r="F561" s="9"/>
      <c r="H561" s="9"/>
      <c r="I561" s="10"/>
      <c r="J561" s="7"/>
      <c r="K561" s="7"/>
      <c r="L561" s="10"/>
      <c r="M561" s="10"/>
      <c r="N561" s="10"/>
      <c r="O561" s="10"/>
      <c r="P561" s="10"/>
      <c r="Q561" s="10"/>
      <c r="R561" s="10"/>
      <c r="S561" s="10"/>
      <c r="T561" s="14"/>
      <c r="U561" s="10"/>
      <c r="V561" s="10"/>
      <c r="W561" s="10"/>
      <c r="X561" s="7"/>
      <c r="Y561" s="7"/>
      <c r="Z561" s="7"/>
      <c r="AA561" s="34"/>
      <c r="AB561" s="7"/>
      <c r="AC561" s="34"/>
      <c r="AD561" s="10"/>
    </row>
    <row r="562" spans="1:30" ht="15" customHeight="1" x14ac:dyDescent="0.25">
      <c r="A562" s="7"/>
      <c r="C562" s="70"/>
      <c r="D562" s="70"/>
      <c r="E562" s="73"/>
      <c r="F562" s="48"/>
      <c r="H562" s="9"/>
      <c r="I562" s="10"/>
      <c r="J562" s="10"/>
      <c r="K562" s="7"/>
      <c r="L562" s="10"/>
      <c r="M562" s="10"/>
      <c r="N562" s="10"/>
      <c r="O562" s="10"/>
      <c r="P562" s="10"/>
      <c r="Q562" s="10"/>
      <c r="R562" s="10"/>
      <c r="S562" s="10"/>
      <c r="T562" s="14"/>
      <c r="U562" s="10"/>
      <c r="V562" s="10"/>
      <c r="W562" s="10"/>
      <c r="X562" s="7"/>
      <c r="Y562" s="34"/>
      <c r="Z562" s="7"/>
      <c r="AA562" s="34"/>
      <c r="AB562" s="7"/>
      <c r="AC562" s="34"/>
      <c r="AD562" s="10"/>
    </row>
    <row r="563" spans="1:30" ht="15" customHeight="1" x14ac:dyDescent="0.25">
      <c r="A563" s="7"/>
      <c r="C563" s="70"/>
      <c r="D563" s="70"/>
      <c r="E563" s="73"/>
      <c r="F563" s="9"/>
      <c r="H563" s="9"/>
      <c r="I563" s="10"/>
      <c r="J563" s="10"/>
      <c r="K563" s="7"/>
      <c r="L563" s="10"/>
      <c r="M563" s="10"/>
      <c r="N563" s="10"/>
      <c r="O563" s="10"/>
      <c r="P563" s="10"/>
      <c r="Q563" s="10"/>
      <c r="R563" s="10"/>
      <c r="S563" s="10"/>
      <c r="T563" s="14"/>
      <c r="U563" s="10"/>
      <c r="V563" s="10"/>
      <c r="W563" s="10"/>
      <c r="X563" s="7"/>
      <c r="Y563" s="7"/>
      <c r="Z563" s="7"/>
      <c r="AA563" s="34"/>
      <c r="AB563" s="7"/>
      <c r="AC563" s="34"/>
      <c r="AD563" s="10"/>
    </row>
    <row r="564" spans="1:30" ht="15" customHeight="1" x14ac:dyDescent="0.25">
      <c r="A564" s="7"/>
      <c r="C564" s="70"/>
      <c r="D564" s="70"/>
      <c r="E564" s="73"/>
      <c r="F564" s="9"/>
      <c r="H564" s="9"/>
      <c r="I564" s="10"/>
      <c r="J564" s="10"/>
      <c r="K564" s="7"/>
      <c r="L564" s="10"/>
      <c r="M564" s="10"/>
      <c r="N564" s="10"/>
      <c r="O564" s="10"/>
      <c r="P564" s="10"/>
      <c r="Q564" s="10"/>
      <c r="R564" s="10"/>
      <c r="S564" s="10"/>
      <c r="T564" s="14"/>
      <c r="U564" s="10"/>
      <c r="V564" s="10"/>
      <c r="W564" s="10"/>
      <c r="X564" s="7"/>
      <c r="Y564" s="7"/>
      <c r="Z564" s="7"/>
      <c r="AA564" s="34"/>
      <c r="AB564" s="7"/>
      <c r="AC564" s="34"/>
      <c r="AD564" s="10"/>
    </row>
    <row r="565" spans="1:30" ht="15" customHeight="1" x14ac:dyDescent="0.25">
      <c r="A565" s="7"/>
      <c r="C565" s="70"/>
      <c r="D565" s="70"/>
      <c r="E565" s="73"/>
      <c r="F565" s="9"/>
      <c r="H565" s="9"/>
      <c r="I565" s="10"/>
      <c r="J565" s="7"/>
      <c r="K565" s="7"/>
      <c r="L565" s="10"/>
      <c r="M565" s="10"/>
      <c r="N565" s="10"/>
      <c r="O565" s="10"/>
      <c r="P565" s="10"/>
      <c r="Q565" s="10"/>
      <c r="R565" s="10"/>
      <c r="S565" s="10"/>
      <c r="T565" s="14"/>
      <c r="U565" s="10"/>
      <c r="V565" s="10"/>
      <c r="W565" s="10"/>
      <c r="X565" s="7"/>
      <c r="Y565" s="7"/>
      <c r="Z565" s="7"/>
      <c r="AA565" s="34"/>
      <c r="AB565" s="7"/>
      <c r="AC565" s="34"/>
      <c r="AD565" s="10"/>
    </row>
    <row r="566" spans="1:30" ht="15" customHeight="1" x14ac:dyDescent="0.25">
      <c r="A566" s="7"/>
      <c r="C566" s="70"/>
      <c r="D566" s="70"/>
      <c r="E566" s="73"/>
      <c r="F566" s="9"/>
      <c r="H566" s="9"/>
      <c r="I566" s="10"/>
      <c r="J566" s="7"/>
      <c r="K566" s="7"/>
      <c r="L566" s="10"/>
      <c r="M566" s="10"/>
      <c r="N566" s="10"/>
      <c r="O566" s="10"/>
      <c r="P566" s="10"/>
      <c r="Q566" s="10"/>
      <c r="R566" s="10"/>
      <c r="S566" s="10"/>
      <c r="T566" s="14"/>
      <c r="U566" s="10"/>
      <c r="V566" s="10"/>
      <c r="W566" s="10"/>
      <c r="X566" s="7"/>
      <c r="Y566" s="7"/>
      <c r="Z566" s="34"/>
      <c r="AA566" s="34"/>
      <c r="AB566" s="7"/>
      <c r="AC566" s="34"/>
      <c r="AD566" s="10"/>
    </row>
    <row r="567" spans="1:30" ht="15" customHeight="1" x14ac:dyDescent="0.25">
      <c r="A567" s="7"/>
      <c r="C567" s="70"/>
      <c r="D567" s="70"/>
      <c r="E567" s="73"/>
      <c r="F567" s="9"/>
      <c r="H567" s="9"/>
      <c r="I567" s="10"/>
      <c r="J567" s="7"/>
      <c r="K567" s="7"/>
      <c r="L567" s="10"/>
      <c r="M567" s="10"/>
      <c r="N567" s="10"/>
      <c r="O567" s="10"/>
      <c r="P567" s="10"/>
      <c r="Q567" s="10"/>
      <c r="R567" s="10"/>
      <c r="S567" s="10"/>
      <c r="T567" s="14"/>
      <c r="U567" s="10"/>
      <c r="V567" s="10"/>
      <c r="W567" s="10"/>
      <c r="X567" s="7"/>
      <c r="Y567" s="7"/>
      <c r="Z567" s="34"/>
      <c r="AA567" s="34"/>
      <c r="AB567" s="7"/>
      <c r="AC567" s="34"/>
      <c r="AD567" s="10"/>
    </row>
    <row r="568" spans="1:30" ht="15" customHeight="1" x14ac:dyDescent="0.25">
      <c r="A568" s="7"/>
      <c r="C568" s="70"/>
      <c r="D568" s="70"/>
      <c r="E568" s="73"/>
      <c r="F568" s="9"/>
      <c r="H568" s="9"/>
      <c r="I568" s="10"/>
      <c r="J568" s="7"/>
      <c r="K568" s="7"/>
      <c r="L568" s="10"/>
      <c r="M568" s="10"/>
      <c r="N568" s="10"/>
      <c r="O568" s="10"/>
      <c r="P568" s="10"/>
      <c r="Q568" s="10"/>
      <c r="R568" s="10"/>
      <c r="S568" s="10"/>
      <c r="T568" s="14"/>
      <c r="U568" s="10"/>
      <c r="V568" s="10"/>
      <c r="W568" s="10"/>
      <c r="X568" s="7"/>
      <c r="Y568" s="7"/>
      <c r="Z568" s="7"/>
      <c r="AA568" s="34"/>
      <c r="AB568" s="7"/>
      <c r="AC568" s="34"/>
      <c r="AD568" s="10"/>
    </row>
    <row r="569" spans="1:30" ht="15" customHeight="1" x14ac:dyDescent="0.25">
      <c r="A569" s="7"/>
      <c r="C569" s="70"/>
      <c r="D569" s="70"/>
      <c r="E569" s="73"/>
      <c r="F569" s="9"/>
      <c r="H569" s="9"/>
      <c r="I569" s="10"/>
      <c r="J569" s="7"/>
      <c r="K569" s="7"/>
      <c r="L569" s="10"/>
      <c r="M569" s="10"/>
      <c r="N569" s="10"/>
      <c r="O569" s="10"/>
      <c r="P569" s="10"/>
      <c r="Q569" s="10"/>
      <c r="R569" s="10"/>
      <c r="S569" s="10"/>
      <c r="T569" s="14"/>
      <c r="U569" s="10"/>
      <c r="V569" s="10"/>
      <c r="W569" s="10"/>
      <c r="X569" s="7"/>
      <c r="Y569" s="7"/>
      <c r="Z569" s="34"/>
      <c r="AA569" s="34"/>
      <c r="AB569" s="7"/>
      <c r="AC569" s="34"/>
      <c r="AD569" s="10"/>
    </row>
    <row r="570" spans="1:30" ht="15" customHeight="1" x14ac:dyDescent="0.25">
      <c r="A570" s="7"/>
      <c r="C570" s="70"/>
      <c r="D570" s="70"/>
      <c r="E570" s="73"/>
      <c r="F570" s="9"/>
      <c r="H570" s="9"/>
      <c r="I570" s="10"/>
      <c r="J570" s="7"/>
      <c r="K570" s="7"/>
      <c r="L570" s="10"/>
      <c r="M570" s="10"/>
      <c r="N570" s="10"/>
      <c r="O570" s="10"/>
      <c r="P570" s="10"/>
      <c r="Q570" s="10"/>
      <c r="R570" s="10"/>
      <c r="S570" s="10"/>
      <c r="T570" s="14"/>
      <c r="U570" s="10"/>
      <c r="V570" s="10"/>
      <c r="W570" s="10"/>
      <c r="X570" s="7"/>
      <c r="Y570" s="7"/>
      <c r="Z570" s="7"/>
      <c r="AA570" s="34"/>
      <c r="AB570" s="7"/>
      <c r="AC570" s="34"/>
      <c r="AD570" s="10"/>
    </row>
    <row r="571" spans="1:30" ht="15" customHeight="1" x14ac:dyDescent="0.25">
      <c r="A571" s="7"/>
      <c r="C571" s="70"/>
      <c r="D571" s="70"/>
      <c r="E571" s="73"/>
      <c r="F571" s="9"/>
      <c r="H571" s="9"/>
      <c r="I571" s="10"/>
      <c r="J571" s="7"/>
      <c r="K571" s="7"/>
      <c r="L571" s="10"/>
      <c r="M571" s="10"/>
      <c r="N571" s="10"/>
      <c r="O571" s="10"/>
      <c r="P571" s="10"/>
      <c r="Q571" s="10"/>
      <c r="R571" s="10"/>
      <c r="S571" s="10"/>
      <c r="T571" s="14"/>
      <c r="U571" s="10"/>
      <c r="V571" s="10"/>
      <c r="W571" s="10"/>
      <c r="X571" s="7"/>
      <c r="Y571" s="7"/>
      <c r="Z571" s="7"/>
      <c r="AA571" s="34"/>
      <c r="AB571" s="7"/>
      <c r="AC571" s="34"/>
      <c r="AD571" s="10"/>
    </row>
    <row r="572" spans="1:30" ht="15" customHeight="1" x14ac:dyDescent="0.25">
      <c r="A572" s="7"/>
      <c r="C572" s="70"/>
      <c r="D572" s="70"/>
      <c r="E572" s="73"/>
      <c r="F572" s="9"/>
      <c r="H572" s="9"/>
      <c r="I572" s="10"/>
      <c r="J572" s="7"/>
      <c r="K572" s="7"/>
      <c r="L572" s="10"/>
      <c r="M572" s="10"/>
      <c r="N572" s="10"/>
      <c r="O572" s="10"/>
      <c r="P572" s="10"/>
      <c r="Q572" s="10"/>
      <c r="R572" s="10"/>
      <c r="S572" s="10"/>
      <c r="T572" s="14"/>
      <c r="U572" s="10"/>
      <c r="V572" s="10"/>
      <c r="W572" s="10"/>
      <c r="X572" s="7"/>
      <c r="Y572" s="7"/>
      <c r="Z572" s="7"/>
      <c r="AA572" s="34"/>
      <c r="AB572" s="7"/>
      <c r="AC572" s="34"/>
      <c r="AD572" s="10"/>
    </row>
    <row r="573" spans="1:30" ht="15" customHeight="1" x14ac:dyDescent="0.25">
      <c r="A573" s="7"/>
      <c r="C573" s="70"/>
      <c r="D573" s="70"/>
      <c r="E573" s="73"/>
      <c r="F573" s="9"/>
      <c r="H573" s="9"/>
      <c r="I573" s="10"/>
      <c r="J573" s="7"/>
      <c r="K573" s="24"/>
      <c r="L573" s="10"/>
      <c r="M573" s="10"/>
      <c r="N573" s="10"/>
      <c r="O573" s="10"/>
      <c r="P573" s="10"/>
      <c r="Q573" s="10"/>
      <c r="R573" s="10"/>
      <c r="S573" s="10"/>
      <c r="T573" s="14"/>
      <c r="U573" s="10"/>
      <c r="V573" s="10"/>
      <c r="W573" s="10"/>
      <c r="X573" s="7"/>
      <c r="Y573" s="7"/>
      <c r="Z573" s="7"/>
      <c r="AA573" s="34"/>
      <c r="AB573" s="7"/>
      <c r="AC573" s="34"/>
      <c r="AD573" s="10"/>
    </row>
    <row r="574" spans="1:30" ht="15" customHeight="1" x14ac:dyDescent="0.25">
      <c r="A574" s="7"/>
      <c r="C574" s="70"/>
      <c r="D574" s="70"/>
      <c r="E574" s="73"/>
      <c r="F574" s="9"/>
      <c r="H574" s="9"/>
      <c r="I574" s="10"/>
      <c r="J574" s="10"/>
      <c r="K574" s="7"/>
      <c r="L574" s="10"/>
      <c r="M574" s="10"/>
      <c r="N574" s="10"/>
      <c r="O574" s="10"/>
      <c r="P574" s="10"/>
      <c r="Q574" s="10"/>
      <c r="R574" s="10"/>
      <c r="S574" s="10"/>
      <c r="T574" s="14"/>
      <c r="U574" s="10"/>
      <c r="V574" s="10"/>
      <c r="W574" s="10"/>
      <c r="X574" s="7"/>
      <c r="Y574" s="7"/>
      <c r="Z574" s="34"/>
      <c r="AA574" s="34"/>
      <c r="AB574" s="7"/>
      <c r="AC574" s="34"/>
      <c r="AD574" s="10"/>
    </row>
    <row r="575" spans="1:30" ht="15" customHeight="1" x14ac:dyDescent="0.25">
      <c r="A575" s="7"/>
      <c r="C575" s="70"/>
      <c r="D575" s="70"/>
      <c r="E575" s="73"/>
      <c r="F575" s="9"/>
      <c r="H575" s="9"/>
      <c r="I575" s="10"/>
      <c r="J575" s="7"/>
      <c r="K575" s="7"/>
      <c r="L575" s="10"/>
      <c r="M575" s="10"/>
      <c r="N575" s="10"/>
      <c r="O575" s="10"/>
      <c r="P575" s="10"/>
      <c r="Q575" s="10"/>
      <c r="R575" s="10"/>
      <c r="S575" s="10"/>
      <c r="T575" s="14"/>
      <c r="U575" s="10"/>
      <c r="V575" s="10"/>
      <c r="W575" s="10"/>
      <c r="X575" s="7"/>
      <c r="Y575" s="7"/>
      <c r="Z575" s="7"/>
      <c r="AA575" s="34"/>
      <c r="AB575" s="7"/>
      <c r="AC575" s="34"/>
      <c r="AD575" s="10"/>
    </row>
    <row r="576" spans="1:30" ht="15" customHeight="1" x14ac:dyDescent="0.25">
      <c r="A576" s="7"/>
      <c r="C576" s="70"/>
      <c r="D576" s="70"/>
      <c r="E576" s="73"/>
      <c r="F576" s="45"/>
      <c r="H576" s="9"/>
      <c r="I576" s="10"/>
      <c r="J576" s="7"/>
      <c r="K576" s="7"/>
      <c r="L576" s="10"/>
      <c r="M576" s="10"/>
      <c r="N576" s="10"/>
      <c r="O576" s="10"/>
      <c r="P576" s="10"/>
      <c r="Q576" s="10"/>
      <c r="R576" s="10"/>
      <c r="S576" s="10"/>
      <c r="T576" s="14"/>
      <c r="U576" s="10"/>
      <c r="V576" s="10"/>
      <c r="W576" s="10"/>
      <c r="X576" s="7"/>
      <c r="Y576" s="34"/>
      <c r="Z576" s="7"/>
      <c r="AA576" s="34"/>
      <c r="AB576" s="7"/>
      <c r="AC576" s="34"/>
      <c r="AD576" s="10"/>
    </row>
    <row r="577" spans="1:30" ht="15" customHeight="1" x14ac:dyDescent="0.25">
      <c r="A577" s="7"/>
      <c r="C577" s="70"/>
      <c r="D577" s="70"/>
      <c r="E577" s="73"/>
      <c r="F577" s="9"/>
      <c r="H577" s="9"/>
      <c r="I577" s="10"/>
      <c r="J577" s="7"/>
      <c r="K577" s="24"/>
      <c r="L577" s="10"/>
      <c r="M577" s="10"/>
      <c r="N577" s="10"/>
      <c r="O577" s="10"/>
      <c r="P577" s="10"/>
      <c r="Q577" s="10"/>
      <c r="R577" s="10"/>
      <c r="S577" s="10"/>
      <c r="T577" s="14"/>
      <c r="U577" s="10"/>
      <c r="V577" s="10"/>
      <c r="W577" s="10"/>
      <c r="X577" s="7"/>
      <c r="Y577" s="7"/>
      <c r="Z577" s="7"/>
      <c r="AA577" s="34"/>
      <c r="AB577" s="7"/>
      <c r="AC577" s="34"/>
      <c r="AD577" s="10"/>
    </row>
    <row r="578" spans="1:30" ht="15" customHeight="1" x14ac:dyDescent="0.25">
      <c r="A578" s="7"/>
      <c r="C578" s="70"/>
      <c r="D578" s="70"/>
      <c r="E578" s="73"/>
      <c r="F578" s="9"/>
      <c r="H578" s="9"/>
      <c r="I578" s="10"/>
      <c r="J578" s="7"/>
      <c r="K578" s="7"/>
      <c r="L578" s="10"/>
      <c r="M578" s="10"/>
      <c r="N578" s="10"/>
      <c r="O578" s="10"/>
      <c r="P578" s="10"/>
      <c r="Q578" s="10"/>
      <c r="R578" s="10"/>
      <c r="S578" s="10"/>
      <c r="T578" s="14"/>
      <c r="U578" s="10"/>
      <c r="V578" s="10"/>
      <c r="W578" s="10"/>
      <c r="X578" s="7"/>
      <c r="Y578" s="7"/>
      <c r="Z578" s="7"/>
      <c r="AA578" s="34"/>
      <c r="AB578" s="7"/>
      <c r="AC578" s="34"/>
      <c r="AD578" s="10"/>
    </row>
    <row r="579" spans="1:30" ht="15" customHeight="1" x14ac:dyDescent="0.25">
      <c r="A579" s="7"/>
      <c r="C579" s="70"/>
      <c r="D579" s="70"/>
      <c r="E579" s="73"/>
      <c r="F579" s="9"/>
      <c r="H579" s="9"/>
      <c r="I579" s="10"/>
      <c r="J579" s="7"/>
      <c r="K579" s="7"/>
      <c r="L579" s="10"/>
      <c r="M579" s="10"/>
      <c r="N579" s="10"/>
      <c r="O579" s="10"/>
      <c r="P579" s="10"/>
      <c r="Q579" s="10"/>
      <c r="R579" s="10"/>
      <c r="S579" s="10"/>
      <c r="T579" s="14"/>
      <c r="U579" s="10"/>
      <c r="V579" s="10"/>
      <c r="W579" s="10"/>
      <c r="X579" s="7"/>
      <c r="Y579" s="7"/>
      <c r="Z579" s="7"/>
      <c r="AA579" s="34"/>
      <c r="AB579" s="7"/>
      <c r="AC579" s="34"/>
      <c r="AD579" s="10"/>
    </row>
    <row r="580" spans="1:30" ht="15" customHeight="1" x14ac:dyDescent="0.25">
      <c r="A580" s="7"/>
      <c r="C580" s="70"/>
      <c r="D580" s="70"/>
      <c r="E580" s="78"/>
      <c r="F580" s="48"/>
      <c r="H580" s="9"/>
      <c r="I580" s="10"/>
      <c r="J580" s="7"/>
      <c r="K580" s="7"/>
      <c r="L580" s="10"/>
      <c r="M580" s="10"/>
      <c r="N580" s="10"/>
      <c r="O580" s="10"/>
      <c r="P580" s="10"/>
      <c r="Q580" s="10"/>
      <c r="R580" s="10"/>
      <c r="S580" s="10"/>
      <c r="T580" s="14"/>
      <c r="U580" s="10"/>
      <c r="V580" s="10"/>
      <c r="W580" s="10"/>
      <c r="X580" s="7"/>
      <c r="Y580" s="34"/>
      <c r="Z580" s="7"/>
      <c r="AA580" s="34"/>
      <c r="AB580" s="7"/>
      <c r="AC580" s="34"/>
      <c r="AD580" s="10"/>
    </row>
    <row r="581" spans="1:30" ht="15" customHeight="1" x14ac:dyDescent="0.25">
      <c r="A581" s="7"/>
      <c r="C581" s="70"/>
      <c r="D581" s="70"/>
      <c r="E581" s="73"/>
      <c r="F581" s="9"/>
      <c r="G581" s="48"/>
      <c r="H581" s="9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4"/>
      <c r="U581" s="10"/>
      <c r="V581" s="10"/>
      <c r="W581" s="10"/>
      <c r="X581" s="7"/>
      <c r="Y581" s="7"/>
      <c r="Z581" s="7"/>
      <c r="AA581" s="34"/>
      <c r="AB581" s="7"/>
      <c r="AC581" s="34"/>
      <c r="AD581" s="10"/>
    </row>
    <row r="582" spans="1:30" ht="15" customHeight="1" x14ac:dyDescent="0.25">
      <c r="A582" s="7"/>
      <c r="C582" s="70"/>
      <c r="D582" s="70"/>
      <c r="E582" s="73"/>
      <c r="F582" s="9"/>
      <c r="H582" s="9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4"/>
      <c r="U582" s="10"/>
      <c r="V582" s="10"/>
      <c r="W582" s="10"/>
      <c r="X582" s="7"/>
      <c r="Y582" s="34"/>
      <c r="Z582" s="7"/>
      <c r="AA582" s="34"/>
      <c r="AB582" s="7"/>
      <c r="AC582" s="34"/>
      <c r="AD582" s="10"/>
    </row>
    <row r="583" spans="1:30" ht="15" customHeight="1" x14ac:dyDescent="0.25">
      <c r="A583" s="7"/>
      <c r="C583" s="70"/>
      <c r="D583" s="70"/>
      <c r="E583" s="73"/>
      <c r="F583" s="9"/>
      <c r="H583" s="9"/>
      <c r="I583" s="10"/>
      <c r="J583" s="10"/>
      <c r="K583" s="7"/>
      <c r="L583" s="10"/>
      <c r="M583" s="10"/>
      <c r="N583" s="10"/>
      <c r="O583" s="10"/>
      <c r="P583" s="10"/>
      <c r="Q583" s="10"/>
      <c r="R583" s="10"/>
      <c r="S583" s="10"/>
      <c r="T583" s="14"/>
      <c r="U583" s="10"/>
      <c r="V583" s="10"/>
      <c r="W583" s="10"/>
      <c r="X583" s="7"/>
      <c r="Y583" s="34"/>
      <c r="Z583" s="7"/>
      <c r="AA583" s="34"/>
      <c r="AB583" s="7"/>
      <c r="AC583" s="34"/>
      <c r="AD583" s="10"/>
    </row>
    <row r="584" spans="1:30" ht="15" customHeight="1" x14ac:dyDescent="0.25">
      <c r="A584" s="7"/>
      <c r="C584" s="70"/>
      <c r="D584" s="70"/>
      <c r="E584" s="73"/>
      <c r="F584" s="9"/>
      <c r="H584" s="9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4"/>
      <c r="U584" s="10"/>
      <c r="V584" s="10"/>
      <c r="W584" s="10"/>
      <c r="X584" s="7"/>
      <c r="Y584" s="7"/>
      <c r="Z584" s="7"/>
      <c r="AA584" s="34"/>
      <c r="AB584" s="7"/>
      <c r="AC584" s="34"/>
      <c r="AD584" s="10"/>
    </row>
    <row r="585" spans="1:30" ht="15" customHeight="1" x14ac:dyDescent="0.25">
      <c r="A585" s="7"/>
      <c r="C585" s="70"/>
      <c r="D585" s="70"/>
      <c r="E585" s="73"/>
      <c r="F585" s="9"/>
      <c r="H585" s="9"/>
      <c r="I585" s="10"/>
      <c r="J585" s="7"/>
      <c r="K585" s="7"/>
      <c r="L585" s="10"/>
      <c r="M585" s="10"/>
      <c r="N585" s="10"/>
      <c r="O585" s="10"/>
      <c r="P585" s="10"/>
      <c r="Q585" s="10"/>
      <c r="R585" s="10"/>
      <c r="S585" s="10"/>
      <c r="T585" s="14"/>
      <c r="U585" s="10"/>
      <c r="V585" s="10"/>
      <c r="W585" s="10"/>
      <c r="X585" s="7"/>
      <c r="Y585" s="7"/>
      <c r="Z585" s="7"/>
      <c r="AA585" s="34"/>
      <c r="AB585" s="7"/>
      <c r="AC585" s="34"/>
      <c r="AD585" s="10"/>
    </row>
    <row r="586" spans="1:30" ht="15" customHeight="1" x14ac:dyDescent="0.25">
      <c r="A586" s="7"/>
      <c r="C586" s="70"/>
      <c r="D586" s="70"/>
      <c r="E586" s="73"/>
      <c r="F586" s="9"/>
      <c r="H586" s="9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4"/>
      <c r="U586" s="10"/>
      <c r="V586" s="10"/>
      <c r="W586" s="10"/>
      <c r="X586" s="7"/>
      <c r="Y586" s="7"/>
      <c r="Z586" s="34"/>
      <c r="AA586" s="34"/>
      <c r="AB586" s="7"/>
      <c r="AC586" s="34"/>
      <c r="AD586" s="10"/>
    </row>
    <row r="587" spans="1:30" ht="15" customHeight="1" x14ac:dyDescent="0.25">
      <c r="A587" s="7"/>
      <c r="C587" s="70"/>
      <c r="D587" s="70"/>
      <c r="E587" s="73"/>
      <c r="F587" s="9"/>
      <c r="H587" s="9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4"/>
      <c r="U587" s="10"/>
      <c r="V587" s="10"/>
      <c r="W587" s="10"/>
      <c r="X587" s="7"/>
      <c r="Y587" s="7"/>
      <c r="Z587" s="7"/>
      <c r="AA587" s="34"/>
      <c r="AB587" s="7"/>
      <c r="AC587" s="34"/>
      <c r="AD587" s="10"/>
    </row>
    <row r="588" spans="1:30" ht="15" customHeight="1" x14ac:dyDescent="0.25">
      <c r="A588" s="7"/>
      <c r="C588" s="70"/>
      <c r="D588" s="70"/>
      <c r="E588" s="73"/>
      <c r="F588" s="9"/>
      <c r="H588" s="9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4"/>
      <c r="U588" s="10"/>
      <c r="V588" s="10"/>
      <c r="W588" s="10"/>
      <c r="X588" s="7"/>
      <c r="Y588" s="7"/>
      <c r="Z588" s="7"/>
      <c r="AA588" s="34"/>
      <c r="AB588" s="7"/>
      <c r="AC588" s="34"/>
      <c r="AD588" s="10"/>
    </row>
    <row r="589" spans="1:30" ht="15" customHeight="1" x14ac:dyDescent="0.25">
      <c r="A589" s="43"/>
      <c r="C589" s="70"/>
      <c r="D589" s="70"/>
      <c r="E589" s="73"/>
      <c r="F589" s="9"/>
      <c r="H589" s="9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4"/>
      <c r="U589" s="10"/>
      <c r="V589" s="10"/>
      <c r="W589" s="10"/>
      <c r="X589" s="7"/>
      <c r="Y589" s="7"/>
      <c r="Z589" s="7"/>
      <c r="AA589" s="34"/>
      <c r="AB589" s="7"/>
      <c r="AC589" s="34"/>
      <c r="AD589" s="10"/>
    </row>
    <row r="590" spans="1:30" ht="15" customHeight="1" x14ac:dyDescent="0.25">
      <c r="A590" s="7"/>
      <c r="C590" s="70"/>
      <c r="D590" s="70"/>
      <c r="E590" s="73"/>
      <c r="F590" s="9"/>
      <c r="H590" s="9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4"/>
      <c r="U590" s="10"/>
      <c r="V590" s="10"/>
      <c r="W590" s="10"/>
      <c r="X590" s="7"/>
      <c r="Y590" s="7"/>
      <c r="Z590" s="7"/>
      <c r="AA590" s="34"/>
      <c r="AB590" s="7"/>
      <c r="AC590" s="34"/>
      <c r="AD590" s="10"/>
    </row>
    <row r="591" spans="1:30" ht="15" customHeight="1" x14ac:dyDescent="0.25">
      <c r="A591" s="7"/>
      <c r="C591" s="70"/>
      <c r="D591" s="70"/>
      <c r="E591" s="73"/>
      <c r="F591" s="9"/>
      <c r="H591" s="9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4"/>
      <c r="U591" s="10"/>
      <c r="V591" s="10"/>
      <c r="W591" s="10"/>
      <c r="X591" s="7"/>
      <c r="Y591" s="7"/>
      <c r="Z591" s="7"/>
      <c r="AA591" s="34"/>
      <c r="AB591" s="7"/>
      <c r="AC591" s="34"/>
      <c r="AD591" s="10"/>
    </row>
    <row r="592" spans="1:30" ht="15" customHeight="1" x14ac:dyDescent="0.25">
      <c r="A592" s="7"/>
      <c r="C592" s="70"/>
      <c r="D592" s="70"/>
      <c r="E592" s="73"/>
      <c r="F592" s="9"/>
      <c r="H592" s="9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4"/>
      <c r="U592" s="10"/>
      <c r="V592" s="10"/>
      <c r="W592" s="10"/>
      <c r="X592" s="7"/>
      <c r="Y592" s="7"/>
      <c r="Z592" s="7"/>
      <c r="AA592" s="34"/>
      <c r="AB592" s="7"/>
      <c r="AC592" s="34"/>
      <c r="AD592" s="10"/>
    </row>
    <row r="593" spans="1:30" ht="15" customHeight="1" x14ac:dyDescent="0.25">
      <c r="A593" s="7"/>
      <c r="C593" s="70"/>
      <c r="D593" s="70"/>
      <c r="E593" s="73"/>
      <c r="F593" s="9"/>
      <c r="H593" s="9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4"/>
      <c r="U593" s="10"/>
      <c r="V593" s="10"/>
      <c r="W593" s="10"/>
      <c r="X593" s="7"/>
      <c r="Y593" s="7"/>
      <c r="Z593" s="34"/>
      <c r="AA593" s="34"/>
      <c r="AB593" s="7"/>
      <c r="AC593" s="34"/>
      <c r="AD593" s="10"/>
    </row>
    <row r="594" spans="1:30" ht="15" customHeight="1" x14ac:dyDescent="0.25">
      <c r="A594" s="7"/>
      <c r="C594" s="70"/>
      <c r="D594" s="70"/>
      <c r="E594" s="73"/>
      <c r="F594" s="9"/>
      <c r="H594" s="9"/>
      <c r="I594" s="10"/>
      <c r="J594" s="7"/>
      <c r="K594" s="7"/>
      <c r="L594" s="10"/>
      <c r="M594" s="10"/>
      <c r="N594" s="10"/>
      <c r="O594" s="10"/>
      <c r="P594" s="10"/>
      <c r="Q594" s="10"/>
      <c r="R594" s="10"/>
      <c r="S594" s="10"/>
      <c r="T594" s="14"/>
      <c r="U594" s="10"/>
      <c r="V594" s="10"/>
      <c r="W594" s="10"/>
      <c r="X594" s="7"/>
      <c r="Y594" s="7"/>
      <c r="Z594" s="7"/>
      <c r="AA594" s="34"/>
      <c r="AB594" s="7"/>
      <c r="AC594" s="34"/>
      <c r="AD594" s="10"/>
    </row>
    <row r="595" spans="1:30" ht="15" customHeight="1" x14ac:dyDescent="0.25">
      <c r="A595" s="7"/>
      <c r="C595" s="70"/>
      <c r="D595" s="70"/>
      <c r="E595" s="73"/>
      <c r="F595" s="45"/>
      <c r="H595" s="9"/>
      <c r="I595" s="10"/>
      <c r="J595" s="10"/>
      <c r="K595" s="7"/>
      <c r="L595" s="10"/>
      <c r="M595" s="10"/>
      <c r="N595" s="10"/>
      <c r="O595" s="10"/>
      <c r="P595" s="10"/>
      <c r="Q595" s="10"/>
      <c r="R595" s="10"/>
      <c r="S595" s="10"/>
      <c r="T595" s="14"/>
      <c r="U595" s="10"/>
      <c r="V595" s="10"/>
      <c r="W595" s="10"/>
      <c r="X595" s="7"/>
      <c r="Y595" s="34"/>
      <c r="Z595" s="7"/>
      <c r="AA595" s="34"/>
      <c r="AB595" s="7"/>
      <c r="AC595" s="34"/>
      <c r="AD595" s="10"/>
    </row>
    <row r="596" spans="1:30" ht="15" customHeight="1" x14ac:dyDescent="0.25">
      <c r="A596" s="7"/>
      <c r="C596" s="70"/>
      <c r="D596" s="70"/>
      <c r="E596" s="73"/>
      <c r="F596" s="9"/>
      <c r="H596" s="9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4"/>
      <c r="U596" s="10"/>
      <c r="V596" s="10"/>
      <c r="W596" s="10"/>
      <c r="X596" s="7"/>
      <c r="Y596" s="7"/>
      <c r="Z596" s="34"/>
      <c r="AA596" s="34"/>
      <c r="AB596" s="7"/>
      <c r="AC596" s="34"/>
      <c r="AD596" s="10"/>
    </row>
    <row r="597" spans="1:30" x14ac:dyDescent="0.25">
      <c r="A597" s="7"/>
      <c r="C597" s="70"/>
      <c r="D597" s="70"/>
      <c r="E597" s="73"/>
      <c r="F597" s="9"/>
      <c r="H597" s="9"/>
      <c r="I597" s="10"/>
      <c r="J597" s="7"/>
      <c r="K597" s="7"/>
      <c r="L597" s="10"/>
      <c r="M597" s="10"/>
      <c r="N597" s="10"/>
      <c r="O597" s="10"/>
      <c r="P597" s="10"/>
      <c r="Q597" s="10"/>
      <c r="R597" s="10"/>
      <c r="S597" s="10"/>
      <c r="T597" s="14"/>
      <c r="U597" s="10"/>
      <c r="V597" s="10"/>
      <c r="W597" s="10"/>
      <c r="X597" s="7"/>
      <c r="Y597" s="7"/>
      <c r="Z597" s="7"/>
      <c r="AA597" s="34"/>
      <c r="AB597" s="7"/>
      <c r="AC597" s="34"/>
      <c r="AD597" s="10"/>
    </row>
    <row r="598" spans="1:30" x14ac:dyDescent="0.25">
      <c r="A598" s="7"/>
      <c r="C598" s="70"/>
      <c r="D598" s="70"/>
      <c r="E598" s="73"/>
      <c r="F598" s="9"/>
      <c r="H598" s="9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4"/>
      <c r="U598" s="10"/>
      <c r="V598" s="10"/>
      <c r="W598" s="10"/>
      <c r="X598" s="7"/>
      <c r="Y598" s="7"/>
      <c r="Z598" s="7"/>
      <c r="AA598" s="34"/>
      <c r="AB598" s="7"/>
      <c r="AC598" s="34"/>
      <c r="AD598" s="10"/>
    </row>
    <row r="599" spans="1:30" x14ac:dyDescent="0.25">
      <c r="A599" s="7"/>
      <c r="C599" s="70"/>
      <c r="D599" s="70"/>
      <c r="E599" s="73"/>
      <c r="F599" s="9"/>
      <c r="H599" s="9"/>
      <c r="I599" s="10"/>
      <c r="J599" s="10"/>
      <c r="K599" s="10"/>
      <c r="L599" s="10"/>
      <c r="M599" s="10"/>
      <c r="N599" s="10"/>
      <c r="O599" s="34"/>
      <c r="P599" s="10"/>
      <c r="Q599" s="10"/>
      <c r="R599" s="10"/>
      <c r="S599" s="10"/>
      <c r="T599" s="14"/>
      <c r="U599" s="10"/>
      <c r="V599" s="10"/>
      <c r="W599" s="10"/>
      <c r="X599" s="7"/>
      <c r="Y599" s="7"/>
      <c r="Z599" s="7"/>
      <c r="AA599"/>
      <c r="AB599" s="7"/>
      <c r="AC599" s="34"/>
      <c r="AD599" s="10"/>
    </row>
    <row r="600" spans="1:30" x14ac:dyDescent="0.25">
      <c r="A600" s="7"/>
      <c r="C600" s="70"/>
      <c r="D600" s="70"/>
      <c r="E600" s="73"/>
      <c r="F600" s="9"/>
      <c r="H600" s="9"/>
      <c r="I600" s="10"/>
      <c r="J600" s="10"/>
      <c r="K600" s="10"/>
      <c r="L600" s="10"/>
      <c r="M600" s="10"/>
      <c r="N600" s="10"/>
      <c r="O600" s="34"/>
      <c r="P600" s="10"/>
      <c r="Q600" s="10"/>
      <c r="R600" s="10"/>
      <c r="S600" s="10"/>
      <c r="T600" s="14"/>
      <c r="U600" s="10"/>
      <c r="V600" s="10"/>
      <c r="W600" s="10"/>
      <c r="X600" s="7"/>
      <c r="Y600" s="7"/>
      <c r="Z600" s="7"/>
      <c r="AA600"/>
      <c r="AB600" s="7"/>
      <c r="AC600" s="34"/>
      <c r="AD600" s="10"/>
    </row>
    <row r="601" spans="1:30" x14ac:dyDescent="0.25">
      <c r="A601" s="7"/>
      <c r="C601" s="70"/>
      <c r="D601" s="70"/>
      <c r="E601" s="73"/>
      <c r="F601" s="9"/>
      <c r="H601" s="9"/>
      <c r="I601" s="10"/>
      <c r="J601" s="10"/>
      <c r="K601" s="7"/>
      <c r="L601" s="10"/>
      <c r="M601" s="10"/>
      <c r="N601" s="10"/>
      <c r="O601" s="34"/>
      <c r="P601" s="10"/>
      <c r="Q601" s="10"/>
      <c r="R601" s="10"/>
      <c r="S601" s="10"/>
      <c r="T601" s="14"/>
      <c r="U601" s="10"/>
      <c r="V601" s="10"/>
      <c r="W601" s="10"/>
      <c r="X601" s="7"/>
      <c r="Y601" s="7"/>
      <c r="Z601" s="7"/>
      <c r="AA601"/>
      <c r="AB601" s="7"/>
      <c r="AC601" s="34"/>
      <c r="AD601" s="10"/>
    </row>
    <row r="602" spans="1:30" x14ac:dyDescent="0.25">
      <c r="A602" s="7"/>
      <c r="C602" s="70"/>
      <c r="D602" s="70"/>
      <c r="E602" s="73"/>
      <c r="F602" s="9"/>
      <c r="H602" s="9"/>
      <c r="I602" s="10"/>
      <c r="J602" s="7"/>
      <c r="K602" s="7"/>
      <c r="L602" s="10"/>
      <c r="M602" s="10"/>
      <c r="N602" s="10"/>
      <c r="O602" s="34"/>
      <c r="P602" s="10"/>
      <c r="Q602" s="10"/>
      <c r="R602" s="10"/>
      <c r="S602" s="10"/>
      <c r="T602" s="14"/>
      <c r="U602" s="10"/>
      <c r="V602" s="10"/>
      <c r="W602" s="10"/>
      <c r="X602" s="7"/>
      <c r="Y602" s="7"/>
      <c r="Z602" s="7"/>
      <c r="AA602"/>
      <c r="AB602" s="7"/>
      <c r="AC602" s="34"/>
      <c r="AD602" s="10"/>
    </row>
    <row r="603" spans="1:30" x14ac:dyDescent="0.25">
      <c r="A603" s="7"/>
      <c r="C603" s="70"/>
      <c r="D603" s="70"/>
      <c r="E603" s="73"/>
      <c r="F603" s="9"/>
      <c r="H603" s="9"/>
      <c r="I603" s="10"/>
      <c r="J603" s="7"/>
      <c r="K603" s="24"/>
      <c r="L603" s="10"/>
      <c r="M603" s="10"/>
      <c r="N603" s="10"/>
      <c r="O603" s="34"/>
      <c r="P603" s="10"/>
      <c r="Q603" s="10"/>
      <c r="R603" s="10"/>
      <c r="S603" s="10"/>
      <c r="T603" s="14"/>
      <c r="U603" s="10"/>
      <c r="V603" s="10"/>
      <c r="W603" s="10"/>
      <c r="X603" s="7"/>
      <c r="Y603" s="7"/>
      <c r="Z603" s="7"/>
      <c r="AA603"/>
      <c r="AB603" s="7"/>
      <c r="AC603" s="34"/>
      <c r="AD603" s="10"/>
    </row>
    <row r="604" spans="1:30" x14ac:dyDescent="0.25">
      <c r="A604" s="7"/>
      <c r="C604" s="70"/>
      <c r="D604" s="70"/>
      <c r="E604" s="73"/>
      <c r="F604" s="9"/>
      <c r="H604" s="9"/>
      <c r="I604" s="10"/>
      <c r="J604" s="7"/>
      <c r="K604" s="7"/>
      <c r="L604" s="10"/>
      <c r="M604" s="10"/>
      <c r="N604" s="10"/>
      <c r="O604" s="34"/>
      <c r="P604" s="10"/>
      <c r="Q604" s="10"/>
      <c r="R604" s="10"/>
      <c r="S604" s="10"/>
      <c r="T604" s="14"/>
      <c r="U604" s="10"/>
      <c r="V604" s="10"/>
      <c r="W604" s="10"/>
      <c r="X604" s="7"/>
      <c r="Y604" s="7"/>
      <c r="Z604" s="34"/>
      <c r="AA604"/>
      <c r="AB604" s="7"/>
      <c r="AC604" s="34"/>
      <c r="AD604" s="10"/>
    </row>
    <row r="605" spans="1:30" x14ac:dyDescent="0.25">
      <c r="A605" s="7"/>
      <c r="C605" s="70"/>
      <c r="D605" s="70"/>
      <c r="E605" s="73"/>
      <c r="F605" s="9"/>
      <c r="H605" s="9"/>
      <c r="I605" s="10"/>
      <c r="J605" s="7"/>
      <c r="K605" s="7"/>
      <c r="L605" s="10"/>
      <c r="M605" s="10"/>
      <c r="N605" s="10"/>
      <c r="O605" s="34"/>
      <c r="P605" s="10"/>
      <c r="Q605" s="10"/>
      <c r="R605" s="10"/>
      <c r="S605" s="10"/>
      <c r="T605" s="14"/>
      <c r="U605" s="10"/>
      <c r="V605" s="10"/>
      <c r="W605" s="10"/>
      <c r="X605" s="7"/>
      <c r="Y605" s="7"/>
      <c r="Z605" s="7"/>
      <c r="AA605"/>
      <c r="AB605" s="7"/>
      <c r="AC605" s="34"/>
      <c r="AD605" s="10"/>
    </row>
    <row r="606" spans="1:30" x14ac:dyDescent="0.25">
      <c r="A606" s="7"/>
      <c r="C606" s="70"/>
      <c r="D606" s="70"/>
      <c r="E606" s="73"/>
      <c r="F606" s="9"/>
      <c r="H606" s="9"/>
      <c r="I606" s="10"/>
      <c r="J606" s="10"/>
      <c r="K606" s="10"/>
      <c r="L606" s="10"/>
      <c r="M606" s="10"/>
      <c r="N606" s="10"/>
      <c r="O606" s="34"/>
      <c r="P606" s="10"/>
      <c r="Q606" s="10"/>
      <c r="R606" s="10"/>
      <c r="S606" s="10"/>
      <c r="T606" s="14"/>
      <c r="U606" s="10"/>
      <c r="V606" s="10"/>
      <c r="W606" s="10"/>
      <c r="X606" s="7"/>
      <c r="Y606" s="7"/>
      <c r="Z606" s="7"/>
      <c r="AA606" s="34"/>
      <c r="AB606" s="7"/>
      <c r="AC606" s="34"/>
      <c r="AD606" s="10"/>
    </row>
    <row r="607" spans="1:30" x14ac:dyDescent="0.25">
      <c r="A607" s="7"/>
      <c r="C607" s="70"/>
      <c r="D607" s="70"/>
      <c r="E607" s="73"/>
      <c r="F607" s="45"/>
      <c r="H607" s="9"/>
      <c r="I607" s="10"/>
      <c r="J607" s="10"/>
      <c r="K607" s="10"/>
      <c r="L607" s="10"/>
      <c r="M607" s="10"/>
      <c r="N607" s="10"/>
      <c r="O607" s="34"/>
      <c r="P607" s="10"/>
      <c r="Q607" s="10"/>
      <c r="R607" s="10"/>
      <c r="S607" s="10"/>
      <c r="T607" s="14"/>
      <c r="U607" s="10"/>
      <c r="V607" s="10"/>
      <c r="W607" s="10"/>
      <c r="X607" s="7"/>
      <c r="Y607" s="34"/>
      <c r="Z607" s="34"/>
      <c r="AA607"/>
      <c r="AB607" s="7"/>
      <c r="AC607" s="34"/>
      <c r="AD607" s="10"/>
    </row>
    <row r="608" spans="1:30" x14ac:dyDescent="0.25">
      <c r="A608" s="7"/>
      <c r="C608" s="70"/>
      <c r="D608" s="70"/>
      <c r="E608" s="73"/>
      <c r="F608" s="9"/>
      <c r="H608" s="9"/>
      <c r="I608" s="10"/>
      <c r="J608" s="10"/>
      <c r="K608" s="10"/>
      <c r="L608" s="10"/>
      <c r="M608" s="10"/>
      <c r="N608" s="10"/>
      <c r="O608" s="34"/>
      <c r="P608" s="10"/>
      <c r="Q608" s="10"/>
      <c r="R608" s="10"/>
      <c r="S608" s="10"/>
      <c r="T608" s="14"/>
      <c r="U608" s="10"/>
      <c r="V608" s="10"/>
      <c r="W608" s="10"/>
      <c r="X608" s="7"/>
      <c r="Y608" s="7"/>
      <c r="Z608" s="7"/>
      <c r="AA608"/>
      <c r="AB608" s="7"/>
      <c r="AC608" s="34"/>
      <c r="AD608" s="10"/>
    </row>
    <row r="609" spans="1:30" x14ac:dyDescent="0.25">
      <c r="A609" s="7"/>
      <c r="C609" s="70"/>
      <c r="D609" s="70"/>
      <c r="E609" s="73"/>
      <c r="F609" s="9"/>
      <c r="H609" s="9"/>
      <c r="I609" s="10"/>
      <c r="J609" s="10"/>
      <c r="K609" s="7"/>
      <c r="L609" s="10"/>
      <c r="M609" s="10"/>
      <c r="N609" s="10"/>
      <c r="O609" s="34"/>
      <c r="P609" s="10"/>
      <c r="Q609" s="10"/>
      <c r="R609" s="10"/>
      <c r="S609" s="10"/>
      <c r="T609" s="14"/>
      <c r="U609" s="10"/>
      <c r="V609" s="10"/>
      <c r="W609" s="10"/>
      <c r="X609" s="7"/>
      <c r="Y609" s="7"/>
      <c r="Z609" s="7"/>
      <c r="AA609" s="34"/>
      <c r="AB609" s="7"/>
      <c r="AC609" s="34"/>
      <c r="AD609" s="10"/>
    </row>
    <row r="610" spans="1:30" x14ac:dyDescent="0.25">
      <c r="A610" s="7"/>
      <c r="C610" s="70"/>
      <c r="D610" s="70"/>
      <c r="E610" s="73"/>
      <c r="F610" s="9"/>
      <c r="H610" s="9"/>
      <c r="I610" s="10"/>
      <c r="J610" s="10"/>
      <c r="K610" s="10"/>
      <c r="L610" s="10"/>
      <c r="M610" s="10"/>
      <c r="N610" s="10"/>
      <c r="O610" s="34"/>
      <c r="P610" s="10"/>
      <c r="Q610" s="10"/>
      <c r="R610" s="10"/>
      <c r="S610" s="10"/>
      <c r="T610" s="14"/>
      <c r="U610" s="10"/>
      <c r="V610" s="10"/>
      <c r="W610" s="10"/>
      <c r="X610" s="7"/>
      <c r="Y610" s="7"/>
      <c r="Z610" s="7"/>
      <c r="AA610"/>
      <c r="AB610" s="7"/>
      <c r="AC610" s="34"/>
      <c r="AD610" s="10"/>
    </row>
    <row r="611" spans="1:30" x14ac:dyDescent="0.25">
      <c r="A611" s="7"/>
      <c r="C611" s="70"/>
      <c r="D611" s="70"/>
      <c r="E611" s="73"/>
      <c r="F611" s="9"/>
      <c r="H611" s="9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4"/>
      <c r="U611" s="10"/>
      <c r="V611" s="10"/>
      <c r="W611" s="10"/>
      <c r="X611" s="7"/>
      <c r="Y611" s="7"/>
      <c r="Z611" s="7"/>
      <c r="AA611" s="34"/>
      <c r="AB611" s="7"/>
      <c r="AC611" s="34"/>
      <c r="AD611" s="10"/>
    </row>
    <row r="612" spans="1:30" x14ac:dyDescent="0.25">
      <c r="A612" s="7"/>
      <c r="C612" s="70"/>
      <c r="D612" s="70"/>
      <c r="E612" s="73"/>
      <c r="F612" s="9"/>
      <c r="H612" s="9"/>
      <c r="I612" s="10"/>
      <c r="J612" s="7"/>
      <c r="K612" s="24"/>
      <c r="L612" s="10"/>
      <c r="M612" s="10"/>
      <c r="N612" s="10"/>
      <c r="O612" s="10"/>
      <c r="P612" s="10"/>
      <c r="Q612" s="10"/>
      <c r="R612" s="10"/>
      <c r="S612" s="10"/>
      <c r="T612" s="14"/>
      <c r="U612" s="10"/>
      <c r="V612" s="10"/>
      <c r="W612" s="10"/>
      <c r="X612" s="7"/>
      <c r="Y612" s="7"/>
      <c r="Z612" s="7"/>
      <c r="AA612" s="34"/>
      <c r="AB612" s="7"/>
      <c r="AC612" s="34"/>
      <c r="AD612" s="10"/>
    </row>
    <row r="613" spans="1:30" x14ac:dyDescent="0.25">
      <c r="A613" s="7"/>
      <c r="C613" s="70"/>
      <c r="D613" s="70"/>
      <c r="E613" s="73"/>
      <c r="F613" s="9"/>
      <c r="H613" s="9"/>
      <c r="I613" s="10"/>
      <c r="J613" s="7"/>
      <c r="K613" s="24"/>
      <c r="L613" s="10"/>
      <c r="M613" s="10"/>
      <c r="N613" s="10"/>
      <c r="O613" s="10"/>
      <c r="P613" s="10"/>
      <c r="Q613" s="10"/>
      <c r="R613" s="10"/>
      <c r="S613" s="10"/>
      <c r="T613" s="14"/>
      <c r="U613" s="10"/>
      <c r="V613" s="10"/>
      <c r="W613" s="10"/>
      <c r="X613" s="7"/>
      <c r="Y613" s="7"/>
      <c r="Z613" s="7"/>
      <c r="AA613" s="34"/>
      <c r="AB613" s="7"/>
      <c r="AC613" s="34"/>
      <c r="AD613" s="10"/>
    </row>
    <row r="614" spans="1:30" x14ac:dyDescent="0.25">
      <c r="A614" s="7"/>
      <c r="C614" s="70"/>
      <c r="D614" s="70"/>
      <c r="E614" s="73"/>
      <c r="F614" s="9"/>
      <c r="H614" s="9"/>
      <c r="I614" s="10"/>
      <c r="J614" s="7"/>
      <c r="K614" s="7"/>
      <c r="L614" s="10"/>
      <c r="M614" s="10"/>
      <c r="N614" s="10"/>
      <c r="O614" s="10"/>
      <c r="P614" s="10"/>
      <c r="Q614" s="10"/>
      <c r="R614" s="10"/>
      <c r="S614" s="10"/>
      <c r="T614" s="14"/>
      <c r="U614" s="10"/>
      <c r="V614" s="10"/>
      <c r="W614" s="10"/>
      <c r="X614" s="7"/>
      <c r="Y614" s="7"/>
      <c r="Z614" s="7"/>
      <c r="AA614" s="34"/>
      <c r="AB614" s="7"/>
      <c r="AC614" s="34"/>
      <c r="AD614" s="10"/>
    </row>
    <row r="615" spans="1:30" x14ac:dyDescent="0.25">
      <c r="A615" s="7"/>
      <c r="C615" s="70"/>
      <c r="D615" s="70"/>
      <c r="E615" s="73"/>
      <c r="F615" s="9"/>
      <c r="H615" s="9"/>
      <c r="I615" s="10"/>
      <c r="J615" s="7"/>
      <c r="K615" s="7"/>
      <c r="L615" s="10"/>
      <c r="M615" s="10"/>
      <c r="N615" s="10"/>
      <c r="O615" s="10"/>
      <c r="P615" s="10"/>
      <c r="Q615" s="10"/>
      <c r="R615" s="10"/>
      <c r="S615" s="10"/>
      <c r="T615" s="14"/>
      <c r="U615" s="10"/>
      <c r="V615" s="10"/>
      <c r="W615" s="10"/>
      <c r="X615" s="7"/>
      <c r="Y615" s="7"/>
      <c r="Z615" s="7"/>
      <c r="AA615" s="34"/>
      <c r="AB615" s="7"/>
      <c r="AC615" s="34"/>
      <c r="AD615" s="10"/>
    </row>
    <row r="616" spans="1:30" x14ac:dyDescent="0.25">
      <c r="A616" s="7"/>
      <c r="C616" s="70"/>
      <c r="D616" s="70"/>
      <c r="E616" s="73"/>
      <c r="F616" s="9"/>
      <c r="H616" s="9"/>
      <c r="I616" s="10"/>
      <c r="J616" s="7"/>
      <c r="K616" s="7"/>
      <c r="L616" s="10"/>
      <c r="M616" s="10"/>
      <c r="N616" s="10"/>
      <c r="O616" s="10"/>
      <c r="P616" s="10"/>
      <c r="Q616" s="10"/>
      <c r="R616" s="10"/>
      <c r="S616" s="10"/>
      <c r="T616" s="14"/>
      <c r="U616" s="10"/>
      <c r="V616" s="10"/>
      <c r="W616" s="10"/>
      <c r="X616" s="7"/>
      <c r="Y616" s="7"/>
      <c r="Z616" s="7"/>
      <c r="AA616" s="34"/>
      <c r="AB616" s="7"/>
      <c r="AC616" s="34"/>
      <c r="AD616" s="10"/>
    </row>
    <row r="617" spans="1:30" x14ac:dyDescent="0.25">
      <c r="A617" s="7"/>
      <c r="C617" s="70"/>
      <c r="D617" s="70"/>
      <c r="E617" s="73"/>
      <c r="F617" s="45"/>
      <c r="H617" s="9"/>
      <c r="I617" s="10"/>
      <c r="J617" s="7"/>
      <c r="K617" s="7"/>
      <c r="L617" s="10"/>
      <c r="M617" s="10"/>
      <c r="N617" s="10"/>
      <c r="O617" s="10"/>
      <c r="P617" s="10"/>
      <c r="Q617" s="10"/>
      <c r="R617" s="10"/>
      <c r="S617" s="10"/>
      <c r="T617" s="14"/>
      <c r="U617" s="10"/>
      <c r="V617" s="10"/>
      <c r="W617" s="10"/>
      <c r="X617" s="7"/>
      <c r="Y617" s="34"/>
      <c r="Z617" s="7"/>
      <c r="AA617" s="34"/>
      <c r="AB617" s="7"/>
      <c r="AC617" s="34"/>
      <c r="AD617" s="10"/>
    </row>
    <row r="618" spans="1:30" x14ac:dyDescent="0.25">
      <c r="A618" s="7"/>
      <c r="C618" s="70"/>
      <c r="D618" s="70"/>
      <c r="E618" s="73"/>
      <c r="F618" s="9"/>
      <c r="H618" s="9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4"/>
      <c r="U618" s="10"/>
      <c r="V618" s="10"/>
      <c r="W618" s="10"/>
      <c r="X618" s="7"/>
      <c r="Y618" s="7"/>
      <c r="Z618" s="7"/>
      <c r="AA618" s="34"/>
      <c r="AB618" s="7"/>
      <c r="AC618" s="34"/>
      <c r="AD618" s="10"/>
    </row>
    <row r="619" spans="1:30" x14ac:dyDescent="0.25">
      <c r="A619" s="7"/>
      <c r="C619" s="70"/>
      <c r="D619" s="70"/>
      <c r="E619" s="73"/>
      <c r="F619" s="9"/>
      <c r="H619" s="9"/>
      <c r="I619" s="10"/>
      <c r="J619" s="7"/>
      <c r="K619" s="7"/>
      <c r="L619" s="10"/>
      <c r="M619" s="10"/>
      <c r="N619" s="10"/>
      <c r="O619" s="10"/>
      <c r="P619" s="10"/>
      <c r="Q619" s="10"/>
      <c r="R619" s="10"/>
      <c r="S619" s="10"/>
      <c r="T619" s="14"/>
      <c r="U619" s="10"/>
      <c r="V619" s="10"/>
      <c r="W619" s="10"/>
      <c r="X619" s="7"/>
      <c r="Y619" s="7"/>
      <c r="Z619" s="7"/>
      <c r="AA619" s="34"/>
      <c r="AB619" s="7"/>
      <c r="AC619" s="34"/>
      <c r="AD619" s="10"/>
    </row>
    <row r="620" spans="1:30" x14ac:dyDescent="0.25">
      <c r="A620" s="7"/>
      <c r="C620" s="70"/>
      <c r="D620" s="70"/>
      <c r="E620" s="73"/>
      <c r="F620" s="9"/>
      <c r="H620" s="9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4"/>
      <c r="U620" s="10"/>
      <c r="V620" s="10"/>
      <c r="W620" s="10"/>
      <c r="X620" s="7"/>
      <c r="Y620" s="34"/>
      <c r="Z620" s="34"/>
      <c r="AA620" s="34"/>
      <c r="AB620" s="7"/>
      <c r="AC620" s="34"/>
      <c r="AD620" s="10"/>
    </row>
    <row r="621" spans="1:30" x14ac:dyDescent="0.25">
      <c r="A621" s="7"/>
      <c r="C621" s="70"/>
      <c r="D621" s="70"/>
      <c r="E621" s="73"/>
      <c r="F621" s="9"/>
      <c r="H621" s="9"/>
      <c r="I621" s="10"/>
      <c r="J621" s="7"/>
      <c r="K621" s="24"/>
      <c r="L621" s="10"/>
      <c r="M621" s="10"/>
      <c r="N621" s="10"/>
      <c r="O621" s="10"/>
      <c r="P621" s="10"/>
      <c r="Q621" s="10"/>
      <c r="R621" s="10"/>
      <c r="S621" s="10"/>
      <c r="T621" s="14"/>
      <c r="U621" s="10"/>
      <c r="V621" s="10"/>
      <c r="W621" s="10"/>
      <c r="X621" s="7"/>
      <c r="Y621" s="7"/>
      <c r="Z621" s="7"/>
      <c r="AA621" s="34"/>
      <c r="AB621" s="7"/>
      <c r="AC621" s="34"/>
      <c r="AD621" s="10"/>
    </row>
    <row r="622" spans="1:30" x14ac:dyDescent="0.25">
      <c r="A622" s="7"/>
      <c r="C622" s="70"/>
      <c r="D622" s="70"/>
      <c r="E622" s="73"/>
      <c r="F622" s="9"/>
      <c r="H622" s="9"/>
      <c r="I622" s="10"/>
      <c r="J622" s="10"/>
      <c r="K622" s="7"/>
      <c r="L622" s="10"/>
      <c r="M622" s="10"/>
      <c r="N622" s="10"/>
      <c r="O622" s="10"/>
      <c r="P622" s="10"/>
      <c r="Q622" s="10"/>
      <c r="R622" s="10"/>
      <c r="S622" s="10"/>
      <c r="T622" s="14"/>
      <c r="U622" s="10"/>
      <c r="V622" s="10"/>
      <c r="W622" s="10"/>
      <c r="X622" s="7"/>
      <c r="Y622" s="7"/>
      <c r="Z622" s="34"/>
      <c r="AA622" s="34"/>
      <c r="AB622" s="7"/>
      <c r="AC622" s="34"/>
      <c r="AD622" s="10"/>
    </row>
    <row r="623" spans="1:30" x14ac:dyDescent="0.25">
      <c r="A623" s="7"/>
      <c r="C623" s="70"/>
      <c r="D623" s="70"/>
      <c r="E623" s="73"/>
      <c r="F623" s="9"/>
      <c r="H623" s="9"/>
      <c r="I623" s="10"/>
      <c r="J623" s="7"/>
      <c r="K623" s="7"/>
      <c r="L623" s="10"/>
      <c r="M623" s="10"/>
      <c r="N623" s="10"/>
      <c r="O623" s="10"/>
      <c r="P623" s="10"/>
      <c r="Q623" s="10"/>
      <c r="R623" s="10"/>
      <c r="S623" s="10"/>
      <c r="T623" s="14"/>
      <c r="U623" s="10"/>
      <c r="V623" s="10"/>
      <c r="W623" s="10"/>
      <c r="X623" s="7"/>
      <c r="Y623" s="7"/>
      <c r="Z623" s="7"/>
      <c r="AA623" s="34"/>
      <c r="AB623" s="7"/>
      <c r="AC623" s="34"/>
      <c r="AD623" s="10"/>
    </row>
    <row r="624" spans="1:30" x14ac:dyDescent="0.25">
      <c r="A624" s="7"/>
      <c r="C624" s="70"/>
      <c r="D624" s="70"/>
      <c r="E624" s="73"/>
      <c r="F624" s="9"/>
      <c r="H624" s="9"/>
      <c r="I624" s="10"/>
      <c r="J624" s="7"/>
      <c r="K624" s="24"/>
      <c r="L624" s="10"/>
      <c r="M624" s="10"/>
      <c r="N624" s="10"/>
      <c r="O624" s="10"/>
      <c r="P624" s="10"/>
      <c r="Q624" s="10"/>
      <c r="R624" s="10"/>
      <c r="S624" s="10"/>
      <c r="T624" s="14"/>
      <c r="U624" s="10"/>
      <c r="V624" s="10"/>
      <c r="W624" s="10"/>
      <c r="X624" s="7"/>
      <c r="Y624" s="7"/>
      <c r="Z624" s="7"/>
      <c r="AA624" s="34"/>
      <c r="AB624" s="7"/>
      <c r="AC624" s="34"/>
      <c r="AD624" s="10"/>
    </row>
    <row r="625" spans="1:30" x14ac:dyDescent="0.25">
      <c r="A625" s="7"/>
      <c r="C625" s="70"/>
      <c r="D625" s="70"/>
      <c r="E625" s="73"/>
      <c r="F625" s="9"/>
      <c r="H625" s="9"/>
      <c r="I625" s="10"/>
      <c r="J625" s="10"/>
      <c r="K625" s="7"/>
      <c r="L625" s="10"/>
      <c r="M625" s="10"/>
      <c r="N625" s="10"/>
      <c r="O625" s="10"/>
      <c r="P625" s="10"/>
      <c r="Q625" s="10"/>
      <c r="R625" s="10"/>
      <c r="S625" s="10"/>
      <c r="T625" s="14"/>
      <c r="U625" s="10"/>
      <c r="V625" s="10"/>
      <c r="W625" s="10"/>
      <c r="X625" s="7"/>
      <c r="Y625" s="7"/>
      <c r="Z625" s="7"/>
      <c r="AA625" s="34"/>
      <c r="AB625" s="7"/>
      <c r="AC625" s="34"/>
      <c r="AD625" s="10"/>
    </row>
    <row r="626" spans="1:30" x14ac:dyDescent="0.25">
      <c r="A626" s="7"/>
      <c r="C626" s="70"/>
      <c r="D626" s="70"/>
      <c r="E626" s="73"/>
      <c r="F626" s="9"/>
      <c r="H626" s="9"/>
      <c r="I626" s="10"/>
      <c r="J626" s="10"/>
      <c r="K626" s="7"/>
      <c r="L626" s="10"/>
      <c r="M626" s="10"/>
      <c r="N626" s="10"/>
      <c r="O626" s="10"/>
      <c r="P626" s="10"/>
      <c r="Q626" s="10"/>
      <c r="R626" s="10"/>
      <c r="S626" s="10"/>
      <c r="T626" s="14"/>
      <c r="U626" s="10"/>
      <c r="V626" s="10"/>
      <c r="W626" s="10"/>
      <c r="X626" s="7"/>
      <c r="Y626" s="7"/>
      <c r="Z626" s="7"/>
      <c r="AA626" s="34"/>
      <c r="AB626" s="7"/>
      <c r="AC626" s="34"/>
      <c r="AD626" s="10"/>
    </row>
    <row r="627" spans="1:30" x14ac:dyDescent="0.25">
      <c r="A627" s="7"/>
      <c r="C627" s="70"/>
      <c r="D627" s="70"/>
      <c r="E627" s="73"/>
      <c r="F627" s="9"/>
      <c r="H627" s="9"/>
      <c r="I627" s="10"/>
      <c r="J627" s="7"/>
      <c r="K627" s="7"/>
      <c r="L627" s="10"/>
      <c r="M627" s="10"/>
      <c r="N627" s="10"/>
      <c r="O627" s="10"/>
      <c r="P627" s="10"/>
      <c r="Q627" s="10"/>
      <c r="R627" s="10"/>
      <c r="S627" s="10"/>
      <c r="T627" s="14"/>
      <c r="U627" s="10"/>
      <c r="V627" s="10"/>
      <c r="W627" s="10"/>
      <c r="X627" s="7"/>
      <c r="Y627" s="7"/>
      <c r="Z627" s="7"/>
      <c r="AA627" s="34"/>
      <c r="AB627" s="7"/>
      <c r="AC627" s="34"/>
      <c r="AD627" s="10"/>
    </row>
    <row r="628" spans="1:30" x14ac:dyDescent="0.25">
      <c r="A628" s="7"/>
      <c r="C628" s="70"/>
      <c r="D628" s="70"/>
      <c r="E628" s="73"/>
      <c r="F628" s="9"/>
      <c r="H628" s="9"/>
      <c r="I628" s="10"/>
      <c r="J628" s="7"/>
      <c r="K628" s="24"/>
      <c r="L628" s="10"/>
      <c r="M628" s="10"/>
      <c r="N628" s="10"/>
      <c r="O628" s="10"/>
      <c r="P628" s="10"/>
      <c r="Q628" s="10"/>
      <c r="R628" s="10"/>
      <c r="S628" s="10"/>
      <c r="T628" s="14"/>
      <c r="U628" s="10"/>
      <c r="V628" s="10"/>
      <c r="W628" s="10"/>
      <c r="X628" s="7"/>
      <c r="Y628" s="7"/>
      <c r="Z628" s="7"/>
      <c r="AA628" s="34"/>
      <c r="AB628" s="7"/>
      <c r="AC628" s="34"/>
      <c r="AD628" s="10"/>
    </row>
    <row r="629" spans="1:30" x14ac:dyDescent="0.25">
      <c r="A629" s="7"/>
      <c r="C629" s="70"/>
      <c r="D629" s="70"/>
      <c r="E629" s="73"/>
      <c r="F629" s="9"/>
      <c r="H629" s="9"/>
      <c r="I629" s="10"/>
      <c r="J629" s="7"/>
      <c r="K629" s="7"/>
      <c r="L629" s="10"/>
      <c r="M629" s="10"/>
      <c r="N629" s="10"/>
      <c r="O629" s="10"/>
      <c r="P629" s="10"/>
      <c r="Q629" s="10"/>
      <c r="R629" s="10"/>
      <c r="S629" s="10"/>
      <c r="T629" s="14"/>
      <c r="U629" s="10"/>
      <c r="V629" s="10"/>
      <c r="W629" s="10"/>
      <c r="X629" s="7"/>
      <c r="Y629" s="7"/>
      <c r="Z629" s="7"/>
      <c r="AA629" s="34"/>
      <c r="AB629" s="7"/>
      <c r="AC629" s="34"/>
      <c r="AD629" s="10"/>
    </row>
    <row r="630" spans="1:30" x14ac:dyDescent="0.25">
      <c r="A630" s="7"/>
      <c r="C630" s="70"/>
      <c r="D630" s="70"/>
      <c r="E630" s="73"/>
      <c r="F630" s="9"/>
      <c r="H630" s="9"/>
      <c r="I630" s="10"/>
      <c r="J630" s="7"/>
      <c r="K630" s="7"/>
      <c r="L630" s="10"/>
      <c r="M630" s="10"/>
      <c r="N630" s="10"/>
      <c r="O630" s="10"/>
      <c r="P630" s="10"/>
      <c r="Q630" s="10"/>
      <c r="R630" s="10"/>
      <c r="S630" s="10"/>
      <c r="T630" s="14"/>
      <c r="U630" s="10"/>
      <c r="V630" s="10"/>
      <c r="W630" s="10"/>
      <c r="X630" s="7"/>
      <c r="Y630" s="7"/>
      <c r="Z630" s="7"/>
      <c r="AA630" s="34"/>
      <c r="AB630" s="7"/>
      <c r="AC630" s="34"/>
      <c r="AD630" s="10"/>
    </row>
    <row r="631" spans="1:30" x14ac:dyDescent="0.25">
      <c r="A631" s="7"/>
      <c r="C631" s="70"/>
      <c r="D631" s="70"/>
      <c r="E631" s="73"/>
      <c r="F631" s="45"/>
      <c r="H631" s="9"/>
      <c r="I631" s="10"/>
      <c r="J631" s="7"/>
      <c r="K631" s="7"/>
      <c r="L631" s="10"/>
      <c r="M631" s="10"/>
      <c r="N631" s="10"/>
      <c r="O631" s="10"/>
      <c r="P631" s="10"/>
      <c r="Q631" s="10"/>
      <c r="R631" s="10"/>
      <c r="S631" s="10"/>
      <c r="T631" s="14"/>
      <c r="U631" s="10"/>
      <c r="V631" s="10"/>
      <c r="W631" s="10"/>
      <c r="X631" s="7"/>
      <c r="Y631" s="34"/>
      <c r="Z631" s="7"/>
      <c r="AA631" s="34"/>
      <c r="AB631" s="7"/>
      <c r="AC631" s="34"/>
      <c r="AD631" s="10"/>
    </row>
    <row r="632" spans="1:30" x14ac:dyDescent="0.25">
      <c r="A632" s="7"/>
      <c r="C632" s="70"/>
      <c r="D632" s="70"/>
      <c r="E632" s="73"/>
      <c r="F632" s="9"/>
      <c r="H632" s="9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4"/>
      <c r="U632" s="10"/>
      <c r="V632" s="10"/>
      <c r="W632" s="10"/>
      <c r="X632" s="34"/>
      <c r="Y632" s="7"/>
      <c r="Z632" s="7"/>
      <c r="AA632" s="34"/>
      <c r="AB632" s="7"/>
      <c r="AC632" s="34"/>
      <c r="AD632" s="10"/>
    </row>
    <row r="633" spans="1:30" x14ac:dyDescent="0.25">
      <c r="A633" s="7"/>
      <c r="C633" s="70"/>
      <c r="D633" s="70"/>
      <c r="E633" s="73"/>
      <c r="F633" s="9"/>
      <c r="H633" s="9"/>
      <c r="I633" s="10"/>
      <c r="J633" s="7"/>
      <c r="K633" s="24"/>
      <c r="L633" s="10"/>
      <c r="M633" s="10"/>
      <c r="N633" s="10"/>
      <c r="O633" s="10"/>
      <c r="P633" s="10"/>
      <c r="Q633" s="10"/>
      <c r="R633" s="10"/>
      <c r="S633" s="10"/>
      <c r="T633" s="14"/>
      <c r="U633" s="10"/>
      <c r="V633" s="10"/>
      <c r="W633" s="10"/>
      <c r="X633" s="7"/>
      <c r="Y633" s="7"/>
      <c r="Z633" s="7"/>
      <c r="AA633" s="34"/>
      <c r="AB633" s="7"/>
      <c r="AC633" s="34"/>
      <c r="AD633" s="10"/>
    </row>
    <row r="634" spans="1:30" x14ac:dyDescent="0.25">
      <c r="A634" s="7"/>
      <c r="C634" s="70"/>
      <c r="D634" s="70"/>
      <c r="E634" s="73"/>
      <c r="F634" s="9"/>
      <c r="H634" s="9"/>
      <c r="I634" s="10"/>
      <c r="J634" s="7"/>
      <c r="K634" s="7"/>
      <c r="L634" s="10"/>
      <c r="M634" s="10"/>
      <c r="N634" s="10"/>
      <c r="O634" s="10"/>
      <c r="P634" s="10"/>
      <c r="Q634" s="10"/>
      <c r="R634" s="10"/>
      <c r="S634" s="10"/>
      <c r="T634" s="14"/>
      <c r="U634" s="10"/>
      <c r="V634" s="10"/>
      <c r="W634" s="10"/>
      <c r="X634" s="7"/>
      <c r="Y634" s="7"/>
      <c r="Z634" s="7"/>
      <c r="AA634" s="34"/>
      <c r="AB634" s="7"/>
      <c r="AC634" s="34"/>
      <c r="AD634" s="10"/>
    </row>
    <row r="635" spans="1:30" x14ac:dyDescent="0.25">
      <c r="A635" s="7"/>
      <c r="C635" s="70"/>
      <c r="D635" s="70"/>
      <c r="E635" s="73"/>
      <c r="F635" s="9"/>
      <c r="H635" s="9"/>
      <c r="I635" s="10"/>
      <c r="J635" s="7"/>
      <c r="K635" s="7"/>
      <c r="L635" s="10"/>
      <c r="M635" s="10"/>
      <c r="N635" s="10"/>
      <c r="O635" s="10"/>
      <c r="P635" s="10"/>
      <c r="Q635" s="10"/>
      <c r="R635" s="10"/>
      <c r="S635" s="10"/>
      <c r="T635" s="14"/>
      <c r="U635" s="10"/>
      <c r="V635" s="10"/>
      <c r="W635" s="10"/>
      <c r="X635" s="34"/>
      <c r="Y635" s="7"/>
      <c r="Z635" s="7"/>
      <c r="AA635" s="34"/>
      <c r="AB635" s="7"/>
      <c r="AC635" s="34"/>
      <c r="AD635" s="10"/>
    </row>
    <row r="636" spans="1:30" x14ac:dyDescent="0.25">
      <c r="A636" s="7"/>
      <c r="C636" s="70"/>
      <c r="D636" s="70"/>
      <c r="E636" s="73"/>
      <c r="F636" s="9"/>
      <c r="H636" s="9"/>
      <c r="I636" s="10"/>
      <c r="J636" s="10"/>
      <c r="K636" s="7"/>
      <c r="L636" s="10"/>
      <c r="M636" s="10"/>
      <c r="N636" s="10"/>
      <c r="O636" s="10"/>
      <c r="P636" s="10"/>
      <c r="Q636" s="10"/>
      <c r="R636" s="10"/>
      <c r="S636" s="10"/>
      <c r="T636" s="14"/>
      <c r="U636" s="10"/>
      <c r="V636" s="10"/>
      <c r="W636" s="10"/>
      <c r="X636" s="7"/>
      <c r="Y636" s="7"/>
      <c r="Z636" s="7"/>
      <c r="AA636" s="34"/>
      <c r="AB636" s="7"/>
      <c r="AC636" s="34"/>
      <c r="AD636" s="10"/>
    </row>
    <row r="637" spans="1:30" x14ac:dyDescent="0.25">
      <c r="A637" s="7"/>
      <c r="C637" s="70"/>
      <c r="D637" s="70"/>
      <c r="E637" s="73"/>
      <c r="F637" s="9"/>
      <c r="H637" s="9"/>
      <c r="I637" s="10"/>
      <c r="J637" s="7"/>
      <c r="K637" s="24"/>
      <c r="L637" s="10"/>
      <c r="M637" s="10"/>
      <c r="N637" s="10"/>
      <c r="O637" s="10"/>
      <c r="P637" s="10"/>
      <c r="Q637" s="10"/>
      <c r="R637" s="10"/>
      <c r="S637" s="10"/>
      <c r="T637" s="14"/>
      <c r="U637" s="10"/>
      <c r="V637" s="10"/>
      <c r="W637" s="10"/>
      <c r="X637" s="7"/>
      <c r="Y637" s="7"/>
      <c r="Z637" s="7"/>
      <c r="AA637" s="34"/>
      <c r="AB637" s="7"/>
      <c r="AC637" s="34"/>
      <c r="AD637" s="10"/>
    </row>
    <row r="638" spans="1:30" x14ac:dyDescent="0.25">
      <c r="A638" s="7"/>
      <c r="C638" s="70"/>
      <c r="D638" s="70"/>
      <c r="E638" s="73"/>
      <c r="F638" s="48"/>
      <c r="H638" s="9"/>
      <c r="I638" s="10"/>
      <c r="J638" s="10"/>
      <c r="K638" s="7"/>
      <c r="L638" s="10"/>
      <c r="M638" s="10"/>
      <c r="N638" s="10"/>
      <c r="O638" s="10"/>
      <c r="P638" s="10"/>
      <c r="Q638" s="10"/>
      <c r="R638" s="10"/>
      <c r="S638" s="10"/>
      <c r="T638" s="14"/>
      <c r="U638" s="10"/>
      <c r="V638" s="10"/>
      <c r="W638" s="10"/>
      <c r="X638" s="7"/>
      <c r="Y638" s="7"/>
      <c r="Z638" s="7"/>
      <c r="AA638" s="34"/>
      <c r="AB638" s="7"/>
      <c r="AC638" s="34"/>
      <c r="AD638" s="10"/>
    </row>
    <row r="639" spans="1:30" x14ac:dyDescent="0.25">
      <c r="A639" s="7"/>
      <c r="C639" s="70"/>
      <c r="D639" s="70"/>
      <c r="E639" s="73"/>
      <c r="F639" s="45"/>
      <c r="H639" s="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4"/>
      <c r="U639" s="10"/>
      <c r="V639" s="10"/>
      <c r="W639" s="10"/>
      <c r="X639" s="7"/>
      <c r="Y639" s="7"/>
      <c r="Z639" s="7"/>
      <c r="AA639" s="34"/>
      <c r="AB639" s="7"/>
      <c r="AC639" s="34"/>
      <c r="AD639" s="10"/>
    </row>
    <row r="640" spans="1:30" x14ac:dyDescent="0.25">
      <c r="A640" s="7"/>
      <c r="C640" s="70"/>
      <c r="D640" s="70"/>
      <c r="E640" s="73"/>
      <c r="F640" s="45"/>
      <c r="H640" s="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4"/>
      <c r="U640" s="10"/>
      <c r="V640" s="10"/>
      <c r="W640" s="10"/>
      <c r="X640" s="7"/>
      <c r="Y640" s="7"/>
      <c r="Z640" s="7"/>
      <c r="AA640" s="34"/>
      <c r="AB640" s="7"/>
      <c r="AC640" s="34"/>
      <c r="AD640" s="10"/>
    </row>
    <row r="641" spans="1:30" x14ac:dyDescent="0.25">
      <c r="A641" s="7"/>
      <c r="C641" s="70"/>
      <c r="D641" s="70"/>
      <c r="E641" s="73"/>
      <c r="F641" s="9"/>
      <c r="H641" s="9"/>
      <c r="I641" s="10"/>
      <c r="J641" s="7"/>
      <c r="K641" s="7"/>
      <c r="L641" s="10"/>
      <c r="M641" s="10"/>
      <c r="N641" s="10"/>
      <c r="O641" s="10"/>
      <c r="P641" s="10"/>
      <c r="Q641" s="10"/>
      <c r="R641" s="10"/>
      <c r="S641" s="10"/>
      <c r="T641" s="14"/>
      <c r="U641" s="10"/>
      <c r="V641" s="10"/>
      <c r="W641" s="10"/>
      <c r="X641" s="7"/>
      <c r="Y641" s="7"/>
      <c r="Z641" s="34"/>
      <c r="AA641" s="34"/>
      <c r="AB641" s="7"/>
      <c r="AC641" s="34"/>
      <c r="AD641" s="10"/>
    </row>
    <row r="642" spans="1:30" x14ac:dyDescent="0.25">
      <c r="A642" s="7"/>
      <c r="C642" s="70"/>
      <c r="D642" s="70"/>
      <c r="E642" s="73"/>
      <c r="F642" s="9"/>
      <c r="H642" s="9"/>
      <c r="I642" s="10"/>
      <c r="J642" s="7"/>
      <c r="K642" s="7"/>
      <c r="L642" s="10"/>
      <c r="M642" s="10"/>
      <c r="N642" s="10"/>
      <c r="O642" s="10"/>
      <c r="P642" s="10"/>
      <c r="Q642" s="10"/>
      <c r="R642" s="10"/>
      <c r="S642" s="10"/>
      <c r="T642" s="14"/>
      <c r="U642" s="10"/>
      <c r="V642" s="10"/>
      <c r="W642" s="10"/>
      <c r="X642" s="7"/>
      <c r="Y642" s="7"/>
      <c r="Z642" s="7"/>
      <c r="AA642" s="34"/>
      <c r="AB642" s="7"/>
      <c r="AC642" s="34"/>
      <c r="AD642" s="10"/>
    </row>
    <row r="643" spans="1:30" x14ac:dyDescent="0.25">
      <c r="A643" s="7"/>
      <c r="C643" s="70"/>
      <c r="D643" s="70"/>
      <c r="E643" s="73"/>
      <c r="F643" s="9"/>
      <c r="H643" s="9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4"/>
      <c r="U643" s="10"/>
      <c r="V643" s="10"/>
      <c r="W643" s="10"/>
      <c r="X643" s="7"/>
      <c r="Y643" s="7"/>
      <c r="Z643" s="7"/>
      <c r="AA643" s="34"/>
      <c r="AB643" s="7"/>
      <c r="AC643" s="34"/>
      <c r="AD643" s="10"/>
    </row>
    <row r="644" spans="1:30" x14ac:dyDescent="0.25">
      <c r="A644" s="7"/>
      <c r="C644" s="70"/>
      <c r="D644" s="70"/>
      <c r="E644" s="73"/>
      <c r="F644" s="9"/>
      <c r="H644" s="9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4"/>
      <c r="U644" s="10"/>
      <c r="V644" s="10"/>
      <c r="W644" s="10"/>
      <c r="X644" s="7"/>
      <c r="Y644" s="7"/>
      <c r="Z644" s="7"/>
      <c r="AA644" s="34"/>
      <c r="AB644" s="7"/>
      <c r="AC644" s="34"/>
      <c r="AD644" s="10"/>
    </row>
    <row r="645" spans="1:30" x14ac:dyDescent="0.25">
      <c r="A645" s="7"/>
      <c r="C645" s="70"/>
      <c r="D645" s="70"/>
      <c r="E645" s="73"/>
      <c r="F645" s="9"/>
      <c r="H645" s="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4"/>
      <c r="U645" s="10"/>
      <c r="V645" s="10"/>
      <c r="W645" s="10"/>
      <c r="X645" s="34"/>
      <c r="Y645" s="7"/>
      <c r="Z645" s="7"/>
      <c r="AA645" s="34"/>
      <c r="AB645" s="7"/>
      <c r="AC645" s="34"/>
      <c r="AD645" s="10"/>
    </row>
    <row r="646" spans="1:30" x14ac:dyDescent="0.25">
      <c r="A646" s="7"/>
      <c r="C646" s="70"/>
      <c r="D646" s="70"/>
      <c r="E646" s="73"/>
      <c r="F646" s="9"/>
      <c r="H646" s="9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4"/>
      <c r="U646" s="10"/>
      <c r="V646" s="10"/>
      <c r="W646" s="10"/>
      <c r="X646" s="7"/>
      <c r="Y646" s="7"/>
      <c r="Z646" s="34"/>
      <c r="AA646" s="34"/>
      <c r="AB646" s="7"/>
      <c r="AC646" s="34"/>
      <c r="AD646" s="10"/>
    </row>
    <row r="647" spans="1:30" x14ac:dyDescent="0.25">
      <c r="A647" s="7"/>
      <c r="C647" s="70"/>
      <c r="D647" s="70"/>
      <c r="E647" s="73"/>
      <c r="F647" s="9"/>
      <c r="H647" s="9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4"/>
      <c r="U647" s="10"/>
      <c r="V647" s="10"/>
      <c r="W647" s="10"/>
      <c r="X647" s="7"/>
      <c r="Y647" s="7"/>
      <c r="Z647" s="7"/>
      <c r="AA647" s="34"/>
      <c r="AB647" s="7"/>
      <c r="AC647" s="34"/>
      <c r="AD647" s="10"/>
    </row>
    <row r="648" spans="1:30" x14ac:dyDescent="0.25">
      <c r="A648" s="7"/>
      <c r="C648" s="70"/>
      <c r="D648" s="70"/>
      <c r="E648" s="73"/>
      <c r="F648" s="9"/>
      <c r="H648" s="9"/>
      <c r="I648" s="10"/>
      <c r="J648" s="10"/>
      <c r="K648" s="7"/>
      <c r="L648" s="10"/>
      <c r="M648" s="10"/>
      <c r="N648" s="10"/>
      <c r="O648" s="10"/>
      <c r="P648" s="10"/>
      <c r="Q648" s="10"/>
      <c r="R648" s="10"/>
      <c r="S648" s="10"/>
      <c r="T648" s="14"/>
      <c r="U648" s="10"/>
      <c r="V648" s="10"/>
      <c r="W648" s="10"/>
      <c r="X648" s="7"/>
      <c r="Y648" s="7"/>
      <c r="Z648" s="7"/>
      <c r="AA648" s="34"/>
      <c r="AB648" s="7"/>
      <c r="AC648" s="34"/>
      <c r="AD648" s="10"/>
    </row>
    <row r="649" spans="1:30" x14ac:dyDescent="0.25">
      <c r="A649" s="7"/>
      <c r="C649" s="70"/>
      <c r="D649" s="70"/>
      <c r="E649" s="73"/>
      <c r="F649" s="9"/>
      <c r="H649" s="9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4"/>
      <c r="U649" s="10"/>
      <c r="V649" s="10"/>
      <c r="W649" s="10"/>
      <c r="X649" s="7"/>
      <c r="Y649" s="7"/>
      <c r="Z649" s="34"/>
      <c r="AA649" s="34"/>
      <c r="AB649" s="7"/>
      <c r="AC649" s="34"/>
      <c r="AD649" s="10"/>
    </row>
    <row r="650" spans="1:30" x14ac:dyDescent="0.25">
      <c r="A650" s="7"/>
      <c r="C650" s="70"/>
      <c r="D650" s="70"/>
      <c r="E650" s="73"/>
      <c r="F650" s="9"/>
      <c r="H650" s="9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4"/>
      <c r="U650" s="10"/>
      <c r="V650" s="10"/>
      <c r="W650" s="10"/>
      <c r="X650" s="7"/>
      <c r="Y650" s="7"/>
      <c r="Z650" s="34"/>
      <c r="AA650" s="34"/>
      <c r="AB650" s="7"/>
      <c r="AC650" s="34"/>
      <c r="AD650" s="10"/>
    </row>
    <row r="651" spans="1:30" x14ac:dyDescent="0.25">
      <c r="A651" s="7"/>
      <c r="C651" s="70"/>
      <c r="D651" s="70"/>
      <c r="E651" s="73"/>
      <c r="F651" s="9"/>
      <c r="H651" s="9"/>
      <c r="I651" s="10"/>
      <c r="J651" s="10"/>
      <c r="K651" s="24"/>
      <c r="L651" s="10"/>
      <c r="M651" s="10"/>
      <c r="N651" s="10"/>
      <c r="O651" s="10"/>
      <c r="P651" s="10"/>
      <c r="Q651" s="10"/>
      <c r="R651" s="10"/>
      <c r="S651" s="10"/>
      <c r="T651" s="14"/>
      <c r="U651" s="10"/>
      <c r="V651" s="10"/>
      <c r="W651" s="10"/>
      <c r="X651" s="7"/>
      <c r="Y651" s="7"/>
      <c r="Z651" s="7"/>
      <c r="AA651" s="34"/>
      <c r="AB651" s="7"/>
      <c r="AC651" s="34"/>
      <c r="AD651" s="10"/>
    </row>
    <row r="652" spans="1:30" x14ac:dyDescent="0.25">
      <c r="A652" s="7"/>
      <c r="C652" s="70"/>
      <c r="D652" s="70"/>
      <c r="E652" s="73"/>
      <c r="F652" s="9"/>
      <c r="H652" s="9"/>
      <c r="I652" s="10"/>
      <c r="J652" s="7"/>
      <c r="K652" s="7"/>
      <c r="L652" s="10"/>
      <c r="M652" s="10"/>
      <c r="N652" s="10"/>
      <c r="O652" s="10"/>
      <c r="P652" s="10"/>
      <c r="Q652" s="10"/>
      <c r="R652" s="10"/>
      <c r="S652" s="10"/>
      <c r="T652" s="14"/>
      <c r="U652" s="10"/>
      <c r="V652" s="10"/>
      <c r="W652" s="10"/>
      <c r="X652" s="7"/>
      <c r="Y652" s="7"/>
      <c r="Z652" s="34"/>
      <c r="AA652" s="34"/>
      <c r="AB652" s="7"/>
      <c r="AC652" s="34"/>
      <c r="AD652" s="10"/>
    </row>
    <row r="653" spans="1:30" x14ac:dyDescent="0.25">
      <c r="A653" s="7"/>
      <c r="C653" s="70"/>
      <c r="D653" s="70"/>
      <c r="E653" s="73"/>
      <c r="F653" s="9"/>
      <c r="H653" s="9"/>
      <c r="I653" s="10"/>
      <c r="J653" s="7"/>
      <c r="K653" s="7"/>
      <c r="L653" s="10"/>
      <c r="M653" s="10"/>
      <c r="N653" s="10"/>
      <c r="O653" s="10"/>
      <c r="P653" s="10"/>
      <c r="Q653" s="10"/>
      <c r="R653" s="10"/>
      <c r="S653" s="10"/>
      <c r="T653" s="14"/>
      <c r="U653" s="10"/>
      <c r="V653" s="10"/>
      <c r="W653" s="10"/>
      <c r="X653" s="7"/>
      <c r="Y653" s="7"/>
      <c r="Z653" s="7"/>
      <c r="AA653" s="34"/>
      <c r="AB653" s="7"/>
      <c r="AC653" s="34"/>
      <c r="AD653" s="10"/>
    </row>
    <row r="654" spans="1:30" x14ac:dyDescent="0.25">
      <c r="A654" s="7"/>
      <c r="C654" s="70"/>
      <c r="D654" s="70"/>
      <c r="E654" s="73"/>
      <c r="F654" s="9"/>
      <c r="H654" s="9"/>
      <c r="I654" s="10"/>
      <c r="J654" s="7"/>
      <c r="K654" s="7"/>
      <c r="L654" s="10"/>
      <c r="M654" s="10"/>
      <c r="N654" s="10"/>
      <c r="O654" s="10"/>
      <c r="P654" s="10"/>
      <c r="Q654" s="10"/>
      <c r="R654" s="10"/>
      <c r="S654" s="10"/>
      <c r="T654" s="14"/>
      <c r="U654" s="10"/>
      <c r="V654" s="10"/>
      <c r="W654" s="10"/>
      <c r="X654" s="7"/>
      <c r="Y654" s="7"/>
      <c r="Z654" s="7"/>
      <c r="AA654" s="34"/>
      <c r="AB654" s="7"/>
      <c r="AC654" s="34"/>
      <c r="AD654" s="10"/>
    </row>
    <row r="655" spans="1:30" x14ac:dyDescent="0.25">
      <c r="A655" s="7"/>
      <c r="C655" s="70"/>
      <c r="D655" s="70"/>
      <c r="E655" s="73"/>
      <c r="F655" s="9"/>
      <c r="H655" s="9"/>
      <c r="I655" s="10"/>
      <c r="J655" s="7"/>
      <c r="K655" s="7"/>
      <c r="L655" s="10"/>
      <c r="M655" s="10"/>
      <c r="N655" s="10"/>
      <c r="O655" s="10"/>
      <c r="P655" s="10"/>
      <c r="Q655" s="10"/>
      <c r="R655" s="10"/>
      <c r="S655" s="10"/>
      <c r="T655" s="14"/>
      <c r="U655" s="10"/>
      <c r="V655" s="10"/>
      <c r="W655" s="10"/>
      <c r="X655" s="7"/>
      <c r="Y655" s="7"/>
      <c r="Z655" s="7"/>
      <c r="AA655" s="34"/>
      <c r="AB655" s="7"/>
      <c r="AC655" s="34"/>
      <c r="AD655" s="10"/>
    </row>
    <row r="656" spans="1:30" x14ac:dyDescent="0.25">
      <c r="A656" s="7"/>
      <c r="C656" s="70"/>
      <c r="D656" s="70"/>
      <c r="E656" s="73"/>
      <c r="F656" s="9"/>
      <c r="H656" s="9"/>
      <c r="I656" s="10"/>
      <c r="J656" s="7"/>
      <c r="K656" s="7"/>
      <c r="L656" s="10"/>
      <c r="M656" s="10"/>
      <c r="N656" s="10"/>
      <c r="O656" s="10"/>
      <c r="P656" s="10"/>
      <c r="Q656" s="10"/>
      <c r="R656" s="10"/>
      <c r="S656" s="10"/>
      <c r="T656" s="14"/>
      <c r="U656" s="10"/>
      <c r="V656" s="10"/>
      <c r="W656" s="10"/>
      <c r="X656" s="7"/>
      <c r="Y656" s="7"/>
      <c r="Z656" s="7"/>
      <c r="AA656" s="34"/>
      <c r="AB656" s="7"/>
      <c r="AC656" s="34"/>
      <c r="AD656" s="10"/>
    </row>
    <row r="657" spans="1:30" x14ac:dyDescent="0.25">
      <c r="A657" s="43"/>
      <c r="C657" s="70"/>
      <c r="D657" s="70"/>
      <c r="E657" s="73"/>
      <c r="F657" s="9"/>
      <c r="H657" s="9"/>
      <c r="I657" s="10"/>
      <c r="J657" s="7"/>
      <c r="K657" s="7"/>
      <c r="L657" s="10"/>
      <c r="M657" s="10"/>
      <c r="N657" s="10"/>
      <c r="O657" s="10"/>
      <c r="P657" s="10"/>
      <c r="Q657" s="10"/>
      <c r="R657" s="10"/>
      <c r="S657" s="10"/>
      <c r="T657" s="14"/>
      <c r="U657" s="10"/>
      <c r="V657" s="10"/>
      <c r="W657" s="10"/>
      <c r="X657" s="7"/>
      <c r="Y657" s="7"/>
      <c r="Z657" s="7"/>
      <c r="AA657" s="34"/>
      <c r="AB657" s="7"/>
      <c r="AC657" s="34"/>
      <c r="AD657" s="10"/>
    </row>
    <row r="658" spans="1:30" x14ac:dyDescent="0.25">
      <c r="A658" s="7"/>
      <c r="C658" s="70"/>
      <c r="D658" s="70"/>
      <c r="E658" s="73"/>
      <c r="F658" s="9"/>
      <c r="H658" s="9"/>
      <c r="I658" s="10"/>
      <c r="J658" s="10"/>
      <c r="K658" s="7"/>
      <c r="L658" s="10"/>
      <c r="M658" s="10"/>
      <c r="N658" s="10"/>
      <c r="O658" s="10"/>
      <c r="P658" s="10"/>
      <c r="Q658" s="10"/>
      <c r="R658" s="10"/>
      <c r="S658" s="10"/>
      <c r="T658" s="14"/>
      <c r="U658" s="10"/>
      <c r="V658" s="10"/>
      <c r="W658" s="10"/>
      <c r="X658" s="7"/>
      <c r="Y658" s="7"/>
      <c r="Z658" s="7"/>
      <c r="AA658" s="34"/>
      <c r="AB658" s="7"/>
      <c r="AC658" s="34"/>
      <c r="AD658" s="10"/>
    </row>
    <row r="659" spans="1:30" x14ac:dyDescent="0.25">
      <c r="A659" s="7"/>
      <c r="C659" s="70"/>
      <c r="D659" s="70"/>
      <c r="E659" s="78"/>
      <c r="F659" s="48"/>
      <c r="H659" s="9"/>
      <c r="I659" s="10"/>
      <c r="J659" s="7"/>
      <c r="K659" s="7"/>
      <c r="L659" s="10"/>
      <c r="M659" s="10"/>
      <c r="N659" s="10"/>
      <c r="O659" s="10"/>
      <c r="P659" s="10"/>
      <c r="Q659" s="10"/>
      <c r="R659" s="10"/>
      <c r="S659" s="10"/>
      <c r="T659" s="14"/>
      <c r="U659" s="10"/>
      <c r="V659" s="10"/>
      <c r="W659" s="10"/>
      <c r="X659" s="7"/>
      <c r="Y659" s="7"/>
      <c r="Z659" s="7"/>
      <c r="AA659" s="34"/>
      <c r="AB659" s="7"/>
      <c r="AC659" s="34"/>
      <c r="AD659" s="10"/>
    </row>
    <row r="660" spans="1:30" x14ac:dyDescent="0.25">
      <c r="A660" s="7"/>
      <c r="C660" s="70"/>
      <c r="D660" s="70"/>
      <c r="E660" s="73"/>
      <c r="F660" s="9"/>
      <c r="H660" s="9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4"/>
      <c r="U660" s="10"/>
      <c r="V660" s="10"/>
      <c r="W660" s="10"/>
      <c r="X660" s="7"/>
      <c r="Y660" s="7"/>
      <c r="Z660" s="7"/>
      <c r="AA660" s="34"/>
      <c r="AB660" s="7"/>
      <c r="AC660" s="34"/>
      <c r="AD660" s="10"/>
    </row>
    <row r="661" spans="1:30" x14ac:dyDescent="0.25">
      <c r="A661" s="7"/>
      <c r="C661" s="70"/>
      <c r="D661" s="70"/>
      <c r="E661" s="73"/>
      <c r="F661" s="9"/>
      <c r="H661" s="9"/>
      <c r="I661" s="10"/>
      <c r="J661" s="7"/>
      <c r="K661" s="7"/>
      <c r="L661" s="10"/>
      <c r="M661" s="10"/>
      <c r="N661" s="10"/>
      <c r="O661" s="10"/>
      <c r="P661" s="10"/>
      <c r="Q661" s="10"/>
      <c r="R661" s="10"/>
      <c r="S661" s="10"/>
      <c r="T661" s="14"/>
      <c r="U661" s="10"/>
      <c r="V661" s="10"/>
      <c r="W661" s="10"/>
      <c r="X661" s="7"/>
      <c r="Y661" s="7"/>
      <c r="Z661" s="7"/>
      <c r="AA661" s="34"/>
      <c r="AB661" s="7"/>
      <c r="AC661" s="34"/>
      <c r="AD661" s="10"/>
    </row>
    <row r="662" spans="1:30" x14ac:dyDescent="0.25">
      <c r="A662" s="7"/>
      <c r="C662" s="70"/>
      <c r="D662" s="70"/>
      <c r="E662" s="73"/>
      <c r="F662" s="9"/>
      <c r="H662" s="9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4"/>
      <c r="U662" s="10"/>
      <c r="V662" s="10"/>
      <c r="W662" s="10"/>
      <c r="X662" s="7"/>
      <c r="Y662" s="7"/>
      <c r="Z662" s="7"/>
      <c r="AA662" s="34"/>
      <c r="AB662" s="7"/>
      <c r="AC662" s="34"/>
      <c r="AD662" s="10"/>
    </row>
    <row r="663" spans="1:30" x14ac:dyDescent="0.25">
      <c r="A663" s="7"/>
      <c r="C663" s="70"/>
      <c r="D663" s="70"/>
      <c r="E663" s="73"/>
      <c r="F663" s="45"/>
      <c r="H663" s="9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4"/>
      <c r="U663" s="10"/>
      <c r="V663" s="10"/>
      <c r="W663" s="10"/>
      <c r="X663" s="7"/>
      <c r="Y663" s="7"/>
      <c r="Z663" s="7"/>
      <c r="AA663" s="34"/>
      <c r="AB663" s="7"/>
      <c r="AC663" s="34"/>
      <c r="AD663" s="10"/>
    </row>
    <row r="664" spans="1:30" x14ac:dyDescent="0.25">
      <c r="A664" s="7"/>
      <c r="C664" s="70"/>
      <c r="D664" s="70"/>
      <c r="E664" s="73"/>
      <c r="F664" s="9"/>
      <c r="H664" s="9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4"/>
      <c r="U664" s="10"/>
      <c r="V664" s="10"/>
      <c r="W664" s="10"/>
      <c r="X664" s="7"/>
      <c r="Y664" s="34"/>
      <c r="Z664" s="7"/>
      <c r="AA664" s="34"/>
      <c r="AB664" s="7"/>
      <c r="AC664" s="34"/>
      <c r="AD664" s="10"/>
    </row>
    <row r="665" spans="1:30" x14ac:dyDescent="0.25">
      <c r="A665" s="7"/>
      <c r="C665" s="70"/>
      <c r="D665" s="70"/>
      <c r="E665" s="73"/>
      <c r="F665" s="9"/>
      <c r="H665" s="9"/>
      <c r="I665" s="10"/>
      <c r="J665" s="10"/>
      <c r="K665" s="7"/>
      <c r="L665" s="10"/>
      <c r="M665" s="10"/>
      <c r="N665" s="10"/>
      <c r="O665" s="10"/>
      <c r="P665" s="10"/>
      <c r="Q665" s="10"/>
      <c r="R665" s="10"/>
      <c r="S665" s="10"/>
      <c r="T665" s="14"/>
      <c r="U665" s="10"/>
      <c r="V665" s="10"/>
      <c r="W665" s="10"/>
      <c r="X665" s="7"/>
      <c r="Y665" s="7"/>
      <c r="Z665" s="7"/>
      <c r="AA665" s="34"/>
      <c r="AB665" s="7"/>
      <c r="AC665" s="34"/>
      <c r="AD665" s="10"/>
    </row>
    <row r="666" spans="1:30" x14ac:dyDescent="0.25">
      <c r="A666" s="7"/>
      <c r="C666" s="70"/>
      <c r="D666" s="70"/>
      <c r="E666" s="73"/>
      <c r="F666" s="9"/>
      <c r="H666" s="9"/>
      <c r="I666" s="10"/>
      <c r="J666" s="10"/>
      <c r="K666" s="24"/>
      <c r="L666" s="10"/>
      <c r="M666" s="10"/>
      <c r="N666" s="10"/>
      <c r="O666" s="10"/>
      <c r="P666" s="10"/>
      <c r="Q666" s="10"/>
      <c r="R666" s="10"/>
      <c r="S666" s="10"/>
      <c r="T666" s="14"/>
      <c r="U666" s="10"/>
      <c r="V666" s="10"/>
      <c r="W666" s="10"/>
      <c r="X666" s="7"/>
      <c r="Y666" s="7"/>
      <c r="Z666" s="7"/>
      <c r="AA666" s="34"/>
      <c r="AB666" s="7"/>
      <c r="AC666" s="34"/>
      <c r="AD666" s="10"/>
    </row>
    <row r="667" spans="1:30" x14ac:dyDescent="0.25">
      <c r="A667" s="7"/>
      <c r="C667" s="70"/>
      <c r="D667" s="70"/>
      <c r="E667" s="73"/>
      <c r="F667" s="45"/>
      <c r="H667" s="9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4"/>
      <c r="U667" s="10"/>
      <c r="V667" s="10"/>
      <c r="W667" s="10"/>
      <c r="X667" s="7"/>
      <c r="Y667" s="34"/>
      <c r="Z667" s="34"/>
      <c r="AA667" s="34"/>
      <c r="AB667" s="7"/>
      <c r="AC667" s="34"/>
      <c r="AD667" s="10"/>
    </row>
    <row r="668" spans="1:30" x14ac:dyDescent="0.25">
      <c r="A668" s="7"/>
      <c r="C668" s="70"/>
      <c r="D668" s="70"/>
      <c r="E668" s="73"/>
      <c r="F668" s="45"/>
      <c r="H668" s="9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4"/>
      <c r="U668" s="10"/>
      <c r="V668" s="10"/>
      <c r="W668" s="10"/>
      <c r="X668" s="7"/>
      <c r="Y668" s="34"/>
      <c r="Z668" s="7"/>
      <c r="AA668" s="34"/>
      <c r="AB668" s="7"/>
      <c r="AC668" s="34"/>
      <c r="AD668" s="10"/>
    </row>
    <row r="669" spans="1:30" x14ac:dyDescent="0.25">
      <c r="A669" s="7"/>
      <c r="C669" s="70"/>
      <c r="D669" s="70"/>
      <c r="E669" s="73"/>
      <c r="F669" s="45"/>
      <c r="H669" s="9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4"/>
      <c r="U669" s="10"/>
      <c r="V669" s="10"/>
      <c r="W669" s="10"/>
      <c r="X669" s="7"/>
      <c r="Y669" s="34"/>
      <c r="Z669" s="7"/>
      <c r="AA669" s="34"/>
      <c r="AB669" s="7"/>
      <c r="AC669" s="34"/>
      <c r="AD669" s="10"/>
    </row>
    <row r="670" spans="1:30" x14ac:dyDescent="0.25">
      <c r="A670" s="7"/>
      <c r="C670" s="70"/>
      <c r="D670" s="70"/>
      <c r="E670" s="73"/>
      <c r="F670" s="9"/>
      <c r="H670" s="9"/>
      <c r="I670" s="10"/>
      <c r="J670" s="7"/>
      <c r="K670" s="7"/>
      <c r="L670" s="10"/>
      <c r="M670" s="10"/>
      <c r="N670" s="10"/>
      <c r="O670" s="10"/>
      <c r="P670" s="10"/>
      <c r="Q670" s="10"/>
      <c r="R670" s="10"/>
      <c r="S670" s="10"/>
      <c r="T670" s="14"/>
      <c r="U670" s="10"/>
      <c r="V670" s="10"/>
      <c r="W670" s="10"/>
      <c r="X670" s="7"/>
      <c r="Y670" s="7"/>
      <c r="Z670" s="7"/>
      <c r="AA670" s="34"/>
      <c r="AB670" s="7"/>
      <c r="AC670" s="34"/>
      <c r="AD670" s="10"/>
    </row>
    <row r="671" spans="1:30" x14ac:dyDescent="0.25">
      <c r="A671" s="7"/>
      <c r="C671" s="70"/>
      <c r="D671" s="70"/>
      <c r="E671" s="73"/>
      <c r="F671" s="9"/>
      <c r="H671" s="9"/>
      <c r="I671" s="10"/>
      <c r="J671" s="7"/>
      <c r="K671" s="7"/>
      <c r="L671" s="10"/>
      <c r="M671" s="10"/>
      <c r="N671" s="10"/>
      <c r="O671" s="10"/>
      <c r="P671" s="10"/>
      <c r="Q671" s="10"/>
      <c r="R671" s="10"/>
      <c r="S671" s="10"/>
      <c r="T671" s="14"/>
      <c r="U671" s="10"/>
      <c r="V671" s="10"/>
      <c r="W671" s="10"/>
      <c r="X671" s="7"/>
      <c r="Y671" s="7"/>
      <c r="Z671" s="34"/>
      <c r="AA671" s="34"/>
      <c r="AB671" s="7"/>
      <c r="AC671" s="34"/>
      <c r="AD671" s="10"/>
    </row>
    <row r="672" spans="1:30" x14ac:dyDescent="0.25">
      <c r="A672" s="7"/>
      <c r="C672" s="70"/>
      <c r="D672" s="70"/>
      <c r="E672" s="73"/>
      <c r="F672" s="9"/>
      <c r="H672" s="9"/>
      <c r="I672" s="10"/>
      <c r="J672" s="7"/>
      <c r="K672" s="7"/>
      <c r="L672" s="10"/>
      <c r="M672" s="10"/>
      <c r="N672" s="10"/>
      <c r="O672" s="10"/>
      <c r="P672" s="10"/>
      <c r="Q672" s="10"/>
      <c r="R672" s="10"/>
      <c r="S672" s="10"/>
      <c r="T672" s="14"/>
      <c r="U672" s="10"/>
      <c r="V672" s="10"/>
      <c r="W672" s="10"/>
      <c r="X672" s="7"/>
      <c r="Y672" s="7"/>
      <c r="Z672" s="34"/>
      <c r="AA672" s="34"/>
      <c r="AB672" s="7"/>
      <c r="AC672" s="34"/>
      <c r="AD672" s="10"/>
    </row>
    <row r="673" spans="1:30" x14ac:dyDescent="0.25">
      <c r="A673" s="7"/>
      <c r="C673" s="70"/>
      <c r="D673" s="70"/>
      <c r="E673" s="73"/>
      <c r="F673" s="45"/>
      <c r="H673" s="9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4"/>
      <c r="U673" s="10"/>
      <c r="V673" s="10"/>
      <c r="W673" s="10"/>
      <c r="X673" s="7"/>
      <c r="Y673" s="34"/>
      <c r="Z673" s="7"/>
      <c r="AA673" s="34"/>
      <c r="AB673" s="7"/>
      <c r="AC673" s="34"/>
      <c r="AD673" s="10"/>
    </row>
    <row r="674" spans="1:30" x14ac:dyDescent="0.25">
      <c r="A674" s="7"/>
      <c r="C674" s="70"/>
      <c r="D674" s="70"/>
      <c r="E674" s="73"/>
      <c r="F674" s="9"/>
      <c r="H674" s="9"/>
      <c r="I674" s="10"/>
      <c r="J674" s="10"/>
      <c r="K674" s="7"/>
      <c r="L674" s="10"/>
      <c r="M674" s="10"/>
      <c r="N674" s="10"/>
      <c r="O674" s="10"/>
      <c r="P674" s="10"/>
      <c r="Q674" s="10"/>
      <c r="R674" s="10"/>
      <c r="S674" s="10"/>
      <c r="T674" s="14"/>
      <c r="U674" s="10"/>
      <c r="V674" s="10"/>
      <c r="W674" s="10"/>
      <c r="X674" s="7"/>
      <c r="Y674" s="34"/>
      <c r="Z674" s="7"/>
      <c r="AA674" s="34"/>
      <c r="AB674" s="7"/>
      <c r="AC674" s="34"/>
      <c r="AD674" s="10"/>
    </row>
    <row r="675" spans="1:30" x14ac:dyDescent="0.25">
      <c r="A675" s="7"/>
      <c r="C675" s="70"/>
      <c r="D675" s="70"/>
      <c r="E675" s="73"/>
      <c r="F675" s="9"/>
      <c r="H675" s="9"/>
      <c r="I675" s="10"/>
      <c r="J675" s="7"/>
      <c r="K675" s="7"/>
      <c r="L675" s="10"/>
      <c r="M675" s="10"/>
      <c r="N675" s="10"/>
      <c r="O675" s="10"/>
      <c r="P675" s="10"/>
      <c r="Q675" s="10"/>
      <c r="R675" s="10"/>
      <c r="S675" s="10"/>
      <c r="T675" s="14"/>
      <c r="U675" s="10"/>
      <c r="V675" s="10"/>
      <c r="W675" s="10"/>
      <c r="X675" s="7"/>
      <c r="Y675" s="7"/>
      <c r="Z675" s="34"/>
      <c r="AA675" s="34"/>
      <c r="AB675" s="7"/>
      <c r="AC675" s="34"/>
      <c r="AD675" s="10"/>
    </row>
    <row r="676" spans="1:30" x14ac:dyDescent="0.25">
      <c r="A676" s="7"/>
      <c r="C676" s="70"/>
      <c r="D676" s="70"/>
      <c r="E676" s="73"/>
      <c r="F676" s="9"/>
      <c r="H676" s="9"/>
      <c r="I676" s="10"/>
      <c r="J676" s="7"/>
      <c r="K676" s="7"/>
      <c r="L676" s="10"/>
      <c r="M676" s="10"/>
      <c r="N676" s="10"/>
      <c r="O676" s="10"/>
      <c r="P676" s="10"/>
      <c r="Q676" s="10"/>
      <c r="R676" s="10"/>
      <c r="S676" s="10"/>
      <c r="T676" s="14"/>
      <c r="U676" s="10"/>
      <c r="V676" s="10"/>
      <c r="W676" s="10"/>
      <c r="X676" s="7"/>
      <c r="Y676" s="7"/>
      <c r="Z676" s="7"/>
      <c r="AA676" s="34"/>
      <c r="AB676" s="7"/>
      <c r="AC676" s="34"/>
      <c r="AD676" s="10"/>
    </row>
    <row r="677" spans="1:30" x14ac:dyDescent="0.25">
      <c r="A677" s="7"/>
      <c r="C677" s="70"/>
      <c r="D677" s="70"/>
      <c r="E677" s="73"/>
      <c r="F677" s="9"/>
      <c r="H677" s="9"/>
      <c r="I677" s="10"/>
      <c r="J677" s="7"/>
      <c r="K677" s="7"/>
      <c r="L677" s="10"/>
      <c r="M677" s="10"/>
      <c r="N677" s="10"/>
      <c r="O677" s="10"/>
      <c r="P677" s="10"/>
      <c r="Q677" s="10"/>
      <c r="R677" s="10"/>
      <c r="S677" s="10"/>
      <c r="T677" s="14"/>
      <c r="U677" s="10"/>
      <c r="V677" s="10"/>
      <c r="W677" s="10"/>
      <c r="X677" s="7"/>
      <c r="Y677" s="7"/>
      <c r="Z677" s="7"/>
      <c r="AA677" s="34"/>
      <c r="AB677" s="7"/>
      <c r="AC677" s="34"/>
      <c r="AD677" s="10"/>
    </row>
    <row r="678" spans="1:30" x14ac:dyDescent="0.25">
      <c r="A678" s="7"/>
      <c r="C678" s="70"/>
      <c r="D678" s="70"/>
      <c r="E678" s="73"/>
      <c r="F678" s="9"/>
      <c r="H678" s="9"/>
      <c r="I678" s="10"/>
      <c r="J678" s="7"/>
      <c r="K678" s="7"/>
      <c r="L678" s="10"/>
      <c r="M678" s="10"/>
      <c r="N678" s="10"/>
      <c r="O678" s="10"/>
      <c r="P678" s="10"/>
      <c r="Q678" s="10"/>
      <c r="R678" s="10"/>
      <c r="S678" s="10"/>
      <c r="T678" s="14"/>
      <c r="U678" s="10"/>
      <c r="V678" s="10"/>
      <c r="W678" s="10"/>
      <c r="X678" s="7"/>
      <c r="Y678" s="7"/>
      <c r="Z678" s="34"/>
      <c r="AA678" s="34"/>
      <c r="AB678" s="7"/>
      <c r="AC678" s="34"/>
      <c r="AD678" s="10"/>
    </row>
    <row r="679" spans="1:30" x14ac:dyDescent="0.25">
      <c r="A679" s="7"/>
      <c r="C679" s="70"/>
      <c r="D679" s="70"/>
      <c r="E679" s="73"/>
      <c r="F679" s="9"/>
      <c r="H679" s="9"/>
      <c r="I679" s="10"/>
      <c r="J679" s="7"/>
      <c r="K679" s="7"/>
      <c r="L679" s="10"/>
      <c r="M679" s="10"/>
      <c r="N679" s="10"/>
      <c r="O679" s="10"/>
      <c r="P679" s="10"/>
      <c r="Q679" s="10"/>
      <c r="R679" s="10"/>
      <c r="S679" s="10"/>
      <c r="T679" s="14"/>
      <c r="U679" s="10"/>
      <c r="V679" s="10"/>
      <c r="W679" s="10"/>
      <c r="X679" s="7"/>
      <c r="Y679" s="7"/>
      <c r="Z679" s="34"/>
      <c r="AA679" s="34"/>
      <c r="AB679" s="7"/>
      <c r="AC679" s="34"/>
      <c r="AD679" s="10"/>
    </row>
    <row r="680" spans="1:30" x14ac:dyDescent="0.25">
      <c r="A680" s="7"/>
      <c r="C680" s="70"/>
      <c r="D680" s="70"/>
      <c r="E680" s="73"/>
      <c r="F680" s="9"/>
      <c r="H680" s="9"/>
      <c r="I680" s="10"/>
      <c r="J680" s="61"/>
      <c r="K680" s="10"/>
      <c r="L680" s="10"/>
      <c r="M680" s="10"/>
      <c r="N680" s="10"/>
      <c r="O680" s="10"/>
      <c r="P680" s="10"/>
      <c r="Q680" s="10"/>
      <c r="R680" s="10"/>
      <c r="S680" s="10"/>
      <c r="T680" s="14"/>
      <c r="U680" s="10"/>
      <c r="V680" s="10"/>
      <c r="W680" s="10"/>
      <c r="X680" s="7"/>
      <c r="Y680" s="7"/>
      <c r="Z680" s="7"/>
      <c r="AA680" s="34"/>
      <c r="AB680" s="7"/>
      <c r="AC680" s="34"/>
      <c r="AD680" s="10"/>
    </row>
    <row r="681" spans="1:30" x14ac:dyDescent="0.25">
      <c r="A681" s="7"/>
      <c r="C681" s="70"/>
      <c r="D681" s="70"/>
      <c r="E681" s="73"/>
      <c r="F681" s="9"/>
      <c r="H681" s="9"/>
      <c r="I681" s="10"/>
      <c r="J681" s="7"/>
      <c r="K681" s="7"/>
      <c r="L681" s="10"/>
      <c r="M681" s="10"/>
      <c r="N681" s="10"/>
      <c r="O681" s="10"/>
      <c r="P681" s="10"/>
      <c r="Q681" s="10"/>
      <c r="R681" s="10"/>
      <c r="S681" s="10"/>
      <c r="T681" s="14"/>
      <c r="U681" s="10"/>
      <c r="V681" s="10"/>
      <c r="W681" s="10"/>
      <c r="X681" s="7"/>
      <c r="Y681" s="7"/>
      <c r="Z681" s="7"/>
      <c r="AA681" s="34"/>
      <c r="AB681" s="7"/>
      <c r="AC681" s="34"/>
      <c r="AD681" s="10"/>
    </row>
    <row r="682" spans="1:30" x14ac:dyDescent="0.25">
      <c r="A682" s="7"/>
      <c r="C682" s="70"/>
      <c r="D682" s="70"/>
      <c r="E682" s="73"/>
      <c r="F682" s="9"/>
      <c r="H682" s="9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4"/>
      <c r="U682" s="10"/>
      <c r="V682" s="10"/>
      <c r="W682" s="10"/>
      <c r="X682" s="7"/>
      <c r="Y682" s="7"/>
      <c r="Z682" s="7"/>
      <c r="AA682" s="34"/>
      <c r="AB682" s="7"/>
      <c r="AC682" s="34"/>
      <c r="AD682" s="10"/>
    </row>
    <row r="683" spans="1:30" x14ac:dyDescent="0.25">
      <c r="A683" s="7"/>
      <c r="C683" s="70"/>
      <c r="D683" s="70"/>
      <c r="E683" s="73"/>
      <c r="F683" s="9"/>
      <c r="H683" s="9"/>
      <c r="I683" s="10"/>
      <c r="J683" s="7"/>
      <c r="K683" s="7"/>
      <c r="L683" s="10"/>
      <c r="M683" s="10"/>
      <c r="N683" s="10"/>
      <c r="O683" s="10"/>
      <c r="P683" s="10"/>
      <c r="Q683" s="10"/>
      <c r="R683" s="10"/>
      <c r="S683" s="10"/>
      <c r="T683" s="14"/>
      <c r="U683" s="10"/>
      <c r="V683" s="10"/>
      <c r="W683" s="10"/>
      <c r="X683" s="7"/>
      <c r="Y683" s="7"/>
      <c r="Z683" s="7"/>
      <c r="AA683" s="34"/>
      <c r="AB683" s="7"/>
      <c r="AC683" s="34"/>
      <c r="AD683" s="10"/>
    </row>
    <row r="684" spans="1:30" x14ac:dyDescent="0.25">
      <c r="A684" s="7"/>
      <c r="C684" s="70"/>
      <c r="D684" s="70"/>
      <c r="E684" s="73"/>
      <c r="F684" s="9"/>
      <c r="H684" s="9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4"/>
      <c r="U684" s="10"/>
      <c r="V684" s="10"/>
      <c r="W684" s="10"/>
      <c r="X684" s="7"/>
      <c r="Y684" s="7"/>
      <c r="Z684" s="7"/>
      <c r="AA684" s="34"/>
      <c r="AB684" s="7"/>
      <c r="AC684" s="34"/>
      <c r="AD684" s="10"/>
    </row>
    <row r="685" spans="1:30" x14ac:dyDescent="0.25">
      <c r="A685" s="7"/>
      <c r="C685" s="70"/>
      <c r="D685" s="70"/>
      <c r="E685" s="73"/>
      <c r="F685" s="48"/>
      <c r="H685" s="9"/>
      <c r="I685" s="10"/>
      <c r="J685" s="7"/>
      <c r="K685" s="7"/>
      <c r="L685" s="10"/>
      <c r="M685" s="10"/>
      <c r="N685" s="10"/>
      <c r="O685" s="10"/>
      <c r="P685" s="10"/>
      <c r="Q685" s="10"/>
      <c r="R685" s="10"/>
      <c r="S685" s="10"/>
      <c r="T685" s="14"/>
      <c r="U685" s="10"/>
      <c r="V685" s="10"/>
      <c r="W685" s="10"/>
      <c r="X685" s="7"/>
      <c r="Y685" s="7"/>
      <c r="Z685" s="7"/>
      <c r="AA685" s="34"/>
      <c r="AB685" s="7"/>
      <c r="AC685" s="34"/>
      <c r="AD685" s="10"/>
    </row>
    <row r="686" spans="1:30" x14ac:dyDescent="0.25">
      <c r="A686" s="7"/>
      <c r="C686" s="70"/>
      <c r="D686" s="70"/>
      <c r="E686" s="73"/>
      <c r="F686" s="9"/>
      <c r="H686" s="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4"/>
      <c r="U686" s="10"/>
      <c r="V686" s="10"/>
      <c r="W686" s="10"/>
      <c r="X686" s="7"/>
      <c r="Y686" s="7"/>
      <c r="Z686" s="34"/>
      <c r="AA686" s="34"/>
      <c r="AB686" s="7"/>
      <c r="AC686" s="34"/>
      <c r="AD686" s="10"/>
    </row>
    <row r="687" spans="1:30" x14ac:dyDescent="0.25">
      <c r="A687" s="7"/>
      <c r="C687" s="70"/>
      <c r="D687" s="70"/>
      <c r="E687" s="73"/>
      <c r="F687" s="48"/>
      <c r="H687" s="9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4"/>
      <c r="U687" s="10"/>
      <c r="V687" s="10"/>
      <c r="W687" s="10"/>
      <c r="X687" s="7"/>
      <c r="Y687" s="34"/>
      <c r="Z687" s="7"/>
      <c r="AA687" s="34"/>
      <c r="AB687" s="7"/>
      <c r="AC687" s="34"/>
      <c r="AD687" s="10"/>
    </row>
    <row r="688" spans="1:30" x14ac:dyDescent="0.25">
      <c r="A688" s="7"/>
      <c r="C688" s="70"/>
      <c r="D688" s="70"/>
      <c r="E688" s="73"/>
      <c r="F688" s="9"/>
      <c r="H688" s="9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4"/>
      <c r="U688" s="10"/>
      <c r="V688" s="10"/>
      <c r="W688" s="10"/>
      <c r="X688" s="7"/>
      <c r="Y688" s="7"/>
      <c r="Z688" s="7"/>
      <c r="AA688" s="34"/>
      <c r="AB688" s="7"/>
      <c r="AC688" s="34"/>
      <c r="AD688" s="10"/>
    </row>
    <row r="689" spans="1:30" x14ac:dyDescent="0.25">
      <c r="A689" s="7"/>
      <c r="C689" s="70"/>
      <c r="D689" s="70"/>
      <c r="E689" s="73"/>
      <c r="F689" s="9"/>
      <c r="H689" s="9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4"/>
      <c r="U689" s="10"/>
      <c r="V689" s="10"/>
      <c r="W689" s="10"/>
      <c r="X689" s="7"/>
      <c r="Y689" s="7"/>
      <c r="Z689" s="7"/>
      <c r="AA689" s="34"/>
      <c r="AB689" s="7"/>
      <c r="AC689" s="34"/>
      <c r="AD689" s="10"/>
    </row>
    <row r="690" spans="1:30" x14ac:dyDescent="0.25">
      <c r="A690" s="7"/>
      <c r="C690" s="70"/>
      <c r="D690" s="70"/>
      <c r="E690" s="73"/>
      <c r="F690" s="9"/>
      <c r="H690" s="9"/>
      <c r="I690" s="10"/>
      <c r="J690" s="7"/>
      <c r="K690" s="7"/>
      <c r="L690" s="10"/>
      <c r="M690" s="10"/>
      <c r="N690" s="10"/>
      <c r="O690" s="10"/>
      <c r="P690" s="10"/>
      <c r="Q690" s="10"/>
      <c r="R690" s="10"/>
      <c r="S690" s="10"/>
      <c r="T690" s="14"/>
      <c r="U690" s="10"/>
      <c r="V690" s="10"/>
      <c r="W690" s="10"/>
      <c r="X690" s="7"/>
      <c r="Y690" s="7"/>
      <c r="Z690" s="7"/>
      <c r="AA690" s="34"/>
      <c r="AB690" s="7"/>
      <c r="AC690" s="34"/>
      <c r="AD690" s="10"/>
    </row>
    <row r="691" spans="1:30" x14ac:dyDescent="0.25">
      <c r="A691" s="7"/>
      <c r="C691" s="70"/>
      <c r="D691" s="70"/>
      <c r="E691" s="73"/>
      <c r="F691" s="9"/>
      <c r="H691" s="9"/>
      <c r="I691" s="10"/>
      <c r="J691" s="10"/>
      <c r="K691" s="24"/>
      <c r="L691" s="10"/>
      <c r="M691" s="10"/>
      <c r="N691" s="10"/>
      <c r="O691" s="10"/>
      <c r="P691" s="10"/>
      <c r="Q691" s="10"/>
      <c r="R691" s="10"/>
      <c r="S691" s="10"/>
      <c r="T691" s="14"/>
      <c r="U691" s="10"/>
      <c r="V691" s="10"/>
      <c r="W691" s="10"/>
      <c r="X691" s="7"/>
      <c r="Y691" s="7"/>
      <c r="Z691" s="7"/>
      <c r="AA691" s="34"/>
      <c r="AB691" s="7"/>
      <c r="AC691" s="34"/>
      <c r="AD691" s="10"/>
    </row>
    <row r="692" spans="1:30" x14ac:dyDescent="0.25">
      <c r="A692" s="7"/>
      <c r="C692" s="70"/>
      <c r="D692" s="70"/>
      <c r="E692" s="73"/>
      <c r="F692" s="9"/>
      <c r="H692" s="9"/>
      <c r="I692" s="10"/>
      <c r="J692" s="10"/>
      <c r="K692" s="7"/>
      <c r="L692" s="10"/>
      <c r="M692" s="10"/>
      <c r="N692" s="10"/>
      <c r="O692" s="10"/>
      <c r="P692" s="10"/>
      <c r="Q692" s="10"/>
      <c r="R692" s="10"/>
      <c r="S692" s="10"/>
      <c r="T692" s="14"/>
      <c r="U692" s="10"/>
      <c r="V692" s="10"/>
      <c r="W692" s="10"/>
      <c r="X692" s="7"/>
      <c r="Y692" s="7"/>
      <c r="Z692" s="7"/>
      <c r="AA692" s="34"/>
      <c r="AB692" s="7"/>
      <c r="AC692" s="34"/>
      <c r="AD692" s="10"/>
    </row>
    <row r="693" spans="1:30" x14ac:dyDescent="0.25">
      <c r="A693" s="7"/>
      <c r="C693" s="70"/>
      <c r="D693" s="70"/>
      <c r="E693" s="73"/>
      <c r="F693" s="9"/>
      <c r="H693" s="9"/>
      <c r="I693" s="10"/>
      <c r="J693" s="7"/>
      <c r="K693" s="7"/>
      <c r="L693" s="10"/>
      <c r="M693" s="10"/>
      <c r="N693" s="10"/>
      <c r="O693" s="10"/>
      <c r="P693" s="10"/>
      <c r="Q693" s="10"/>
      <c r="R693" s="10"/>
      <c r="S693" s="10"/>
      <c r="T693" s="14"/>
      <c r="U693" s="10"/>
      <c r="V693" s="10"/>
      <c r="W693" s="10"/>
      <c r="X693" s="7"/>
      <c r="Y693" s="7"/>
      <c r="Z693" s="7"/>
      <c r="AA693" s="34"/>
      <c r="AB693" s="7"/>
      <c r="AC693" s="34"/>
      <c r="AD693" s="10"/>
    </row>
    <row r="694" spans="1:30" x14ac:dyDescent="0.25">
      <c r="A694" s="7"/>
      <c r="C694" s="70"/>
      <c r="D694" s="70"/>
      <c r="E694" s="73"/>
      <c r="F694" s="9"/>
      <c r="H694" s="9"/>
      <c r="I694" s="10"/>
      <c r="J694" s="7"/>
      <c r="K694" s="7"/>
      <c r="L694" s="10"/>
      <c r="M694" s="10"/>
      <c r="N694" s="10"/>
      <c r="O694" s="10"/>
      <c r="P694" s="10"/>
      <c r="Q694" s="10"/>
      <c r="R694" s="10"/>
      <c r="S694" s="10"/>
      <c r="T694" s="14"/>
      <c r="U694" s="10"/>
      <c r="V694" s="10"/>
      <c r="W694" s="10"/>
      <c r="X694" s="7"/>
      <c r="Y694" s="7"/>
      <c r="Z694" s="7"/>
      <c r="AA694" s="34"/>
      <c r="AB694" s="7"/>
      <c r="AC694" s="34"/>
      <c r="AD694" s="10"/>
    </row>
    <row r="695" spans="1:30" x14ac:dyDescent="0.25">
      <c r="A695" s="7"/>
      <c r="C695" s="70"/>
      <c r="D695" s="70"/>
      <c r="E695" s="73"/>
      <c r="F695" s="9"/>
      <c r="H695" s="9"/>
      <c r="I695" s="10"/>
      <c r="J695" s="10"/>
      <c r="K695" s="7"/>
      <c r="L695" s="10"/>
      <c r="M695" s="10"/>
      <c r="N695" s="10"/>
      <c r="O695" s="10"/>
      <c r="P695" s="10"/>
      <c r="Q695" s="10"/>
      <c r="R695" s="10"/>
      <c r="S695" s="10"/>
      <c r="T695" s="14"/>
      <c r="U695" s="10"/>
      <c r="V695" s="10"/>
      <c r="W695" s="10"/>
      <c r="X695" s="7"/>
      <c r="Y695" s="7"/>
      <c r="Z695" s="7"/>
      <c r="AA695" s="34"/>
      <c r="AB695" s="7"/>
      <c r="AC695" s="34"/>
      <c r="AD695" s="10"/>
    </row>
    <row r="696" spans="1:30" x14ac:dyDescent="0.25">
      <c r="A696" s="7"/>
      <c r="C696" s="70"/>
      <c r="D696" s="70"/>
      <c r="E696" s="73"/>
      <c r="F696" s="9"/>
      <c r="H696" s="9"/>
      <c r="I696" s="10"/>
      <c r="J696" s="7"/>
      <c r="K696" s="7"/>
      <c r="L696" s="10"/>
      <c r="M696" s="10"/>
      <c r="N696" s="10"/>
      <c r="O696" s="10"/>
      <c r="P696" s="10"/>
      <c r="Q696" s="10"/>
      <c r="R696" s="10"/>
      <c r="S696" s="10"/>
      <c r="T696" s="14"/>
      <c r="U696" s="10"/>
      <c r="V696" s="10"/>
      <c r="W696" s="10"/>
      <c r="X696" s="7"/>
      <c r="Y696" s="7"/>
      <c r="Z696" s="34"/>
      <c r="AA696" s="34"/>
      <c r="AB696" s="7"/>
      <c r="AC696" s="34"/>
      <c r="AD696" s="10"/>
    </row>
    <row r="697" spans="1:30" x14ac:dyDescent="0.25">
      <c r="A697" s="7"/>
      <c r="C697" s="70"/>
      <c r="D697" s="70"/>
      <c r="E697" s="73"/>
      <c r="F697" s="48"/>
      <c r="H697" s="9"/>
      <c r="I697" s="10"/>
      <c r="J697" s="7"/>
      <c r="K697" s="24"/>
      <c r="L697" s="10"/>
      <c r="M697" s="10"/>
      <c r="N697" s="10"/>
      <c r="O697" s="10"/>
      <c r="P697" s="10"/>
      <c r="Q697" s="10"/>
      <c r="R697" s="10"/>
      <c r="S697" s="10"/>
      <c r="T697" s="14"/>
      <c r="U697" s="10"/>
      <c r="V697" s="10"/>
      <c r="W697" s="10"/>
      <c r="X697" s="7"/>
      <c r="Y697" s="34"/>
      <c r="Z697" s="7"/>
      <c r="AA697" s="34"/>
      <c r="AB697" s="7"/>
      <c r="AC697" s="34"/>
      <c r="AD697" s="10"/>
    </row>
    <row r="698" spans="1:30" x14ac:dyDescent="0.25">
      <c r="A698" s="7"/>
      <c r="C698" s="70"/>
      <c r="D698" s="70"/>
      <c r="E698" s="73"/>
      <c r="F698" s="9"/>
      <c r="H698" s="9"/>
      <c r="I698" s="10"/>
      <c r="J698" s="7"/>
      <c r="K698" s="24"/>
      <c r="L698" s="10"/>
      <c r="M698" s="10"/>
      <c r="N698" s="10"/>
      <c r="O698" s="10"/>
      <c r="P698" s="10"/>
      <c r="Q698" s="10"/>
      <c r="R698" s="10"/>
      <c r="S698" s="10"/>
      <c r="T698" s="14"/>
      <c r="U698" s="10"/>
      <c r="V698" s="10"/>
      <c r="W698" s="10"/>
      <c r="X698" s="7"/>
      <c r="Y698" s="7"/>
      <c r="Z698" s="7"/>
      <c r="AA698" s="34"/>
      <c r="AB698" s="7"/>
      <c r="AC698" s="34"/>
      <c r="AD698" s="10"/>
    </row>
    <row r="699" spans="1:30" x14ac:dyDescent="0.25">
      <c r="A699" s="7"/>
      <c r="C699" s="70"/>
      <c r="D699" s="70"/>
      <c r="E699" s="73"/>
      <c r="F699" s="9"/>
      <c r="H699" s="9"/>
      <c r="I699" s="10"/>
      <c r="J699" s="10"/>
      <c r="K699" s="7"/>
      <c r="L699" s="10"/>
      <c r="M699" s="10"/>
      <c r="N699" s="10"/>
      <c r="O699" s="10"/>
      <c r="P699" s="10"/>
      <c r="Q699" s="10"/>
      <c r="R699" s="10"/>
      <c r="S699" s="10"/>
      <c r="T699" s="14"/>
      <c r="U699" s="10"/>
      <c r="V699" s="10"/>
      <c r="W699" s="10"/>
      <c r="X699" s="7"/>
      <c r="Y699" s="7"/>
      <c r="Z699" s="34"/>
      <c r="AA699" s="34"/>
      <c r="AB699" s="7"/>
      <c r="AC699" s="34"/>
      <c r="AD699" s="10"/>
    </row>
    <row r="700" spans="1:30" x14ac:dyDescent="0.25">
      <c r="A700" s="7"/>
      <c r="C700" s="70"/>
      <c r="D700" s="70"/>
      <c r="E700" s="73"/>
      <c r="F700" s="9"/>
      <c r="H700" s="9"/>
      <c r="I700" s="10"/>
      <c r="J700" s="10"/>
      <c r="K700" s="7"/>
      <c r="L700" s="10"/>
      <c r="M700" s="10"/>
      <c r="N700" s="10"/>
      <c r="O700" s="10"/>
      <c r="P700" s="10"/>
      <c r="Q700" s="10"/>
      <c r="R700" s="10"/>
      <c r="S700" s="10"/>
      <c r="T700" s="14"/>
      <c r="U700" s="10"/>
      <c r="V700" s="10"/>
      <c r="W700" s="10"/>
      <c r="X700" s="7"/>
      <c r="Y700" s="7"/>
      <c r="Z700" s="7"/>
      <c r="AA700" s="34"/>
      <c r="AB700" s="7"/>
      <c r="AC700" s="34"/>
      <c r="AD700" s="10"/>
    </row>
    <row r="701" spans="1:30" x14ac:dyDescent="0.25">
      <c r="A701" s="7"/>
      <c r="C701" s="70"/>
      <c r="D701" s="70"/>
      <c r="E701" s="73"/>
      <c r="F701" s="45"/>
      <c r="H701" s="9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4"/>
      <c r="U701" s="10"/>
      <c r="V701" s="10"/>
      <c r="W701" s="10"/>
      <c r="X701" s="7"/>
      <c r="Y701" s="7"/>
      <c r="Z701" s="7"/>
      <c r="AA701" s="34"/>
      <c r="AB701" s="7"/>
      <c r="AC701" s="34"/>
      <c r="AD701" s="10"/>
    </row>
    <row r="702" spans="1:30" x14ac:dyDescent="0.25">
      <c r="A702" s="7"/>
      <c r="C702" s="70"/>
      <c r="D702" s="70"/>
      <c r="E702" s="73"/>
      <c r="F702" s="9"/>
      <c r="H702" s="9"/>
      <c r="I702" s="10"/>
      <c r="J702" s="61"/>
      <c r="K702" s="10"/>
      <c r="L702" s="10"/>
      <c r="M702" s="10"/>
      <c r="N702" s="10"/>
      <c r="O702" s="10"/>
      <c r="P702" s="10"/>
      <c r="Q702" s="10"/>
      <c r="R702" s="10"/>
      <c r="S702" s="10"/>
      <c r="T702" s="14"/>
      <c r="U702" s="10"/>
      <c r="V702" s="10"/>
      <c r="W702" s="10"/>
      <c r="X702" s="7"/>
      <c r="Y702" s="7"/>
      <c r="Z702" s="7"/>
      <c r="AA702" s="34"/>
      <c r="AB702" s="7"/>
      <c r="AC702" s="34"/>
      <c r="AD702" s="10"/>
    </row>
    <row r="703" spans="1:30" x14ac:dyDescent="0.25">
      <c r="A703" s="7"/>
      <c r="C703" s="70"/>
      <c r="D703" s="70"/>
      <c r="E703" s="73"/>
      <c r="F703" s="9"/>
      <c r="H703" s="9"/>
      <c r="I703" s="10"/>
      <c r="J703" s="61"/>
      <c r="K703" s="10"/>
      <c r="L703" s="10"/>
      <c r="M703" s="10"/>
      <c r="N703" s="10"/>
      <c r="O703" s="10"/>
      <c r="P703" s="10"/>
      <c r="Q703" s="10"/>
      <c r="R703" s="10"/>
      <c r="S703" s="10"/>
      <c r="T703" s="14"/>
      <c r="U703" s="10"/>
      <c r="V703" s="10"/>
      <c r="W703" s="10"/>
      <c r="X703" s="7"/>
      <c r="Y703" s="7"/>
      <c r="Z703" s="7"/>
      <c r="AA703" s="34"/>
      <c r="AB703" s="7"/>
      <c r="AC703" s="34"/>
      <c r="AD703" s="10"/>
    </row>
    <row r="704" spans="1:30" x14ac:dyDescent="0.25">
      <c r="A704" s="7"/>
      <c r="C704" s="70"/>
      <c r="D704" s="70"/>
      <c r="E704" s="73"/>
      <c r="F704" s="9"/>
      <c r="H704" s="9"/>
      <c r="I704" s="10"/>
      <c r="J704" s="7"/>
      <c r="K704" s="7"/>
      <c r="L704" s="10"/>
      <c r="M704" s="10"/>
      <c r="N704" s="10"/>
      <c r="O704" s="10"/>
      <c r="P704" s="10"/>
      <c r="Q704" s="10"/>
      <c r="R704" s="10"/>
      <c r="S704" s="10"/>
      <c r="T704" s="14"/>
      <c r="U704" s="10"/>
      <c r="V704" s="10"/>
      <c r="W704" s="10"/>
      <c r="X704" s="7"/>
      <c r="Y704" s="7"/>
      <c r="Z704" s="7"/>
      <c r="AA704" s="34"/>
      <c r="AB704" s="7"/>
      <c r="AC704" s="34"/>
      <c r="AD704" s="10"/>
    </row>
    <row r="705" spans="1:30" x14ac:dyDescent="0.25">
      <c r="A705" s="7"/>
      <c r="C705" s="70"/>
      <c r="D705" s="70"/>
      <c r="E705" s="73"/>
      <c r="F705" s="9"/>
      <c r="H705" s="9"/>
      <c r="I705" s="10"/>
      <c r="J705" s="10"/>
      <c r="K705" s="7"/>
      <c r="L705" s="10"/>
      <c r="M705" s="10"/>
      <c r="N705" s="10"/>
      <c r="O705" s="10"/>
      <c r="P705" s="10"/>
      <c r="Q705" s="10"/>
      <c r="R705" s="10"/>
      <c r="S705" s="10"/>
      <c r="T705" s="14"/>
      <c r="U705" s="10"/>
      <c r="V705" s="10"/>
      <c r="W705" s="10"/>
      <c r="X705" s="7"/>
      <c r="Y705" s="7"/>
      <c r="Z705" s="7"/>
      <c r="AA705" s="34"/>
      <c r="AB705" s="7"/>
      <c r="AC705" s="34"/>
      <c r="AD705" s="10"/>
    </row>
    <row r="706" spans="1:30" x14ac:dyDescent="0.25">
      <c r="A706" s="7"/>
      <c r="C706" s="70"/>
      <c r="D706" s="70"/>
      <c r="E706" s="73"/>
      <c r="F706" s="9"/>
      <c r="H706" s="9"/>
      <c r="I706" s="10"/>
      <c r="J706" s="10"/>
      <c r="K706" s="7"/>
      <c r="L706" s="10"/>
      <c r="M706" s="10"/>
      <c r="N706" s="10"/>
      <c r="O706" s="10"/>
      <c r="P706" s="10"/>
      <c r="Q706" s="10"/>
      <c r="R706" s="10"/>
      <c r="S706" s="10"/>
      <c r="T706" s="14"/>
      <c r="U706" s="10"/>
      <c r="V706" s="10"/>
      <c r="W706" s="10"/>
      <c r="X706" s="7"/>
      <c r="Y706" s="7"/>
      <c r="Z706" s="7"/>
      <c r="AA706" s="34"/>
      <c r="AB706" s="7"/>
      <c r="AC706" s="34"/>
      <c r="AD706" s="10"/>
    </row>
    <row r="707" spans="1:30" x14ac:dyDescent="0.25">
      <c r="A707" s="7"/>
      <c r="C707" s="70"/>
      <c r="D707" s="70"/>
      <c r="E707" s="73"/>
      <c r="F707" s="9"/>
      <c r="H707" s="9"/>
      <c r="I707" s="10"/>
      <c r="J707" s="7"/>
      <c r="K707" s="7"/>
      <c r="L707" s="10"/>
      <c r="M707" s="10"/>
      <c r="N707" s="10"/>
      <c r="O707" s="10"/>
      <c r="P707" s="10"/>
      <c r="Q707" s="10"/>
      <c r="R707" s="10"/>
      <c r="S707" s="10"/>
      <c r="T707" s="14"/>
      <c r="U707" s="10"/>
      <c r="V707" s="10"/>
      <c r="W707" s="10"/>
      <c r="X707" s="7"/>
      <c r="Y707" s="7"/>
      <c r="Z707" s="7"/>
      <c r="AA707" s="34"/>
      <c r="AB707" s="7"/>
      <c r="AC707" s="34"/>
      <c r="AD707" s="10"/>
    </row>
    <row r="708" spans="1:30" x14ac:dyDescent="0.25">
      <c r="A708" s="7"/>
      <c r="C708" s="70"/>
      <c r="D708" s="70"/>
      <c r="F708"/>
      <c r="H708" s="9"/>
      <c r="I708" s="10"/>
      <c r="J708" s="7"/>
      <c r="K708" s="10"/>
      <c r="L708" s="10"/>
      <c r="M708" s="10"/>
      <c r="N708" s="10"/>
      <c r="O708" s="10"/>
      <c r="P708" s="10"/>
      <c r="Q708" s="10"/>
      <c r="R708" s="10"/>
      <c r="S708" s="10"/>
      <c r="T708" s="14"/>
      <c r="U708" s="10"/>
      <c r="V708" s="10"/>
      <c r="W708" s="10"/>
      <c r="X708" s="7"/>
      <c r="Y708" s="7"/>
      <c r="Z708" s="7"/>
      <c r="AA708" s="34"/>
      <c r="AB708" s="7"/>
      <c r="AC708" s="34"/>
      <c r="AD708" s="10"/>
    </row>
    <row r="709" spans="1:30" x14ac:dyDescent="0.25">
      <c r="A709" s="7"/>
      <c r="C709" s="70"/>
      <c r="D709" s="70"/>
      <c r="E709" s="73"/>
      <c r="F709" s="9"/>
      <c r="H709" s="9"/>
      <c r="I709" s="10"/>
      <c r="J709" s="7"/>
      <c r="K709" s="7"/>
      <c r="L709" s="10"/>
      <c r="M709" s="10"/>
      <c r="N709" s="10"/>
      <c r="O709" s="10"/>
      <c r="P709" s="10"/>
      <c r="Q709" s="10"/>
      <c r="R709" s="10"/>
      <c r="S709" s="10"/>
      <c r="T709" s="14"/>
      <c r="U709" s="10"/>
      <c r="V709" s="10"/>
      <c r="W709" s="10"/>
      <c r="X709" s="7"/>
      <c r="Y709" s="7"/>
      <c r="Z709" s="7"/>
      <c r="AA709" s="34"/>
      <c r="AB709" s="7"/>
      <c r="AC709" s="34"/>
      <c r="AD709" s="10"/>
    </row>
    <row r="710" spans="1:30" x14ac:dyDescent="0.25">
      <c r="A710" s="7"/>
      <c r="C710" s="70"/>
      <c r="D710" s="70"/>
      <c r="E710" s="73"/>
      <c r="F710" s="9"/>
      <c r="H710" s="9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4"/>
      <c r="U710" s="10"/>
      <c r="V710" s="10"/>
      <c r="W710" s="10"/>
      <c r="X710" s="7"/>
      <c r="Y710" s="7"/>
      <c r="Z710" s="34"/>
      <c r="AA710" s="34"/>
      <c r="AB710" s="7"/>
      <c r="AC710" s="34"/>
      <c r="AD710" s="10"/>
    </row>
    <row r="711" spans="1:30" x14ac:dyDescent="0.25">
      <c r="A711" s="7"/>
      <c r="C711" s="70"/>
      <c r="D711" s="70"/>
      <c r="E711" s="73"/>
      <c r="F711" s="9"/>
      <c r="H711" s="9"/>
      <c r="I711" s="10"/>
      <c r="J711" s="7"/>
      <c r="K711" s="7"/>
      <c r="L711" s="10"/>
      <c r="M711" s="10"/>
      <c r="N711" s="10"/>
      <c r="O711" s="10"/>
      <c r="P711" s="10"/>
      <c r="Q711" s="10"/>
      <c r="R711" s="10"/>
      <c r="S711" s="10"/>
      <c r="T711" s="14"/>
      <c r="U711" s="10"/>
      <c r="V711" s="10"/>
      <c r="W711" s="10"/>
      <c r="X711" s="7"/>
      <c r="Y711" s="7"/>
      <c r="Z711" s="7"/>
      <c r="AA711" s="34"/>
      <c r="AB711" s="7"/>
      <c r="AC711" s="34"/>
      <c r="AD711" s="10"/>
    </row>
    <row r="712" spans="1:30" x14ac:dyDescent="0.25">
      <c r="A712" s="7"/>
      <c r="C712" s="70"/>
      <c r="D712" s="70"/>
      <c r="E712" s="73"/>
      <c r="F712" s="9"/>
      <c r="H712" s="9"/>
      <c r="I712" s="10"/>
      <c r="J712" s="7"/>
      <c r="K712" s="10"/>
      <c r="L712" s="10"/>
      <c r="M712" s="10"/>
      <c r="N712" s="10"/>
      <c r="O712" s="10"/>
      <c r="P712" s="10"/>
      <c r="Q712" s="10"/>
      <c r="R712" s="10"/>
      <c r="S712" s="10"/>
      <c r="T712" s="14"/>
      <c r="U712" s="10"/>
      <c r="V712" s="10"/>
      <c r="W712" s="10"/>
      <c r="X712" s="34"/>
      <c r="Y712" s="34"/>
      <c r="Z712" s="7"/>
      <c r="AA712" s="34"/>
      <c r="AB712" s="7"/>
      <c r="AC712" s="34"/>
      <c r="AD712" s="10"/>
    </row>
    <row r="713" spans="1:30" x14ac:dyDescent="0.25">
      <c r="A713" s="7"/>
      <c r="C713" s="70"/>
      <c r="D713" s="70"/>
      <c r="E713" s="73"/>
      <c r="F713" s="9"/>
      <c r="H713" s="9"/>
      <c r="I713" s="10"/>
      <c r="J713" s="7"/>
      <c r="K713" s="7"/>
      <c r="L713" s="10"/>
      <c r="M713" s="10"/>
      <c r="N713" s="10"/>
      <c r="O713" s="10"/>
      <c r="P713" s="10"/>
      <c r="Q713" s="10"/>
      <c r="R713" s="10"/>
      <c r="S713" s="10"/>
      <c r="T713" s="14"/>
      <c r="U713" s="10"/>
      <c r="V713" s="10"/>
      <c r="W713" s="10"/>
      <c r="X713" s="34"/>
      <c r="Y713" s="7"/>
      <c r="Z713" s="7"/>
      <c r="AA713" s="34"/>
      <c r="AB713" s="7"/>
      <c r="AC713" s="34"/>
      <c r="AD713" s="10"/>
    </row>
    <row r="714" spans="1:30" x14ac:dyDescent="0.25">
      <c r="A714" s="7"/>
      <c r="C714" s="70"/>
      <c r="D714" s="70"/>
      <c r="E714" s="73"/>
      <c r="F714" s="9"/>
      <c r="H714" s="9"/>
      <c r="I714" s="10"/>
      <c r="J714" s="7"/>
      <c r="K714" s="7"/>
      <c r="L714" s="10"/>
      <c r="M714" s="10"/>
      <c r="N714" s="10"/>
      <c r="O714" s="10"/>
      <c r="P714" s="10"/>
      <c r="Q714" s="10"/>
      <c r="R714" s="10"/>
      <c r="S714" s="10"/>
      <c r="T714" s="14"/>
      <c r="U714" s="10"/>
      <c r="V714" s="10"/>
      <c r="W714" s="10"/>
      <c r="X714" s="7"/>
      <c r="Y714" s="7"/>
      <c r="Z714" s="7"/>
      <c r="AA714" s="34"/>
      <c r="AB714" s="7"/>
      <c r="AC714" s="34"/>
      <c r="AD714" s="10"/>
    </row>
    <row r="715" spans="1:30" x14ac:dyDescent="0.25">
      <c r="A715" s="7"/>
      <c r="C715" s="70"/>
      <c r="D715" s="70"/>
      <c r="E715" s="73"/>
      <c r="F715" s="9"/>
      <c r="H715" s="9"/>
      <c r="I715" s="10"/>
      <c r="J715" s="7"/>
      <c r="K715" s="7"/>
      <c r="L715" s="10"/>
      <c r="M715" s="10"/>
      <c r="N715" s="10"/>
      <c r="O715" s="10"/>
      <c r="P715" s="10"/>
      <c r="Q715" s="10"/>
      <c r="R715" s="10"/>
      <c r="S715" s="10"/>
      <c r="T715" s="14"/>
      <c r="U715" s="10"/>
      <c r="V715" s="10"/>
      <c r="W715" s="10"/>
      <c r="X715" s="7"/>
      <c r="Y715" s="7"/>
      <c r="Z715" s="7"/>
      <c r="AA715" s="34"/>
      <c r="AB715" s="7"/>
      <c r="AC715" s="34"/>
      <c r="AD715" s="10"/>
    </row>
    <row r="716" spans="1:30" x14ac:dyDescent="0.25">
      <c r="A716" s="7"/>
      <c r="C716" s="70"/>
      <c r="D716" s="70"/>
      <c r="E716" s="73"/>
      <c r="F716" s="9"/>
      <c r="H716" s="9"/>
      <c r="I716" s="10"/>
      <c r="J716" s="7"/>
      <c r="K716" s="7"/>
      <c r="L716" s="10"/>
      <c r="M716" s="10"/>
      <c r="N716" s="10"/>
      <c r="O716" s="10"/>
      <c r="P716" s="10"/>
      <c r="Q716" s="10"/>
      <c r="R716" s="10"/>
      <c r="S716" s="10"/>
      <c r="T716" s="14"/>
      <c r="U716" s="10"/>
      <c r="V716" s="10"/>
      <c r="W716" s="10"/>
      <c r="X716" s="7"/>
      <c r="Y716" s="7"/>
      <c r="Z716" s="7"/>
      <c r="AA716" s="34"/>
      <c r="AB716" s="7"/>
      <c r="AC716" s="34"/>
      <c r="AD716" s="10"/>
    </row>
    <row r="717" spans="1:30" x14ac:dyDescent="0.25">
      <c r="A717" s="7"/>
      <c r="C717" s="70"/>
      <c r="D717" s="70"/>
      <c r="E717" s="73"/>
      <c r="F717" s="9"/>
      <c r="H717" s="9"/>
      <c r="I717" s="10"/>
      <c r="J717" s="10"/>
      <c r="K717" s="7"/>
      <c r="L717" s="10"/>
      <c r="M717" s="10"/>
      <c r="N717" s="10"/>
      <c r="O717" s="10"/>
      <c r="P717" s="10"/>
      <c r="Q717" s="10"/>
      <c r="R717" s="10"/>
      <c r="S717" s="10"/>
      <c r="T717" s="14"/>
      <c r="U717" s="10"/>
      <c r="V717" s="10"/>
      <c r="W717" s="10"/>
      <c r="X717" s="7"/>
      <c r="Y717" s="7"/>
      <c r="Z717" s="7"/>
      <c r="AA717" s="34"/>
      <c r="AB717" s="7"/>
      <c r="AC717" s="34"/>
      <c r="AD717" s="10"/>
    </row>
    <row r="718" spans="1:30" x14ac:dyDescent="0.25">
      <c r="A718" s="7"/>
      <c r="C718" s="70"/>
      <c r="D718" s="70"/>
      <c r="E718" s="73"/>
      <c r="F718" s="9"/>
      <c r="H718" s="9"/>
      <c r="I718" s="10"/>
      <c r="J718" s="10"/>
      <c r="K718" s="7"/>
      <c r="L718" s="10"/>
      <c r="M718" s="10"/>
      <c r="N718" s="10"/>
      <c r="O718" s="10"/>
      <c r="P718" s="10"/>
      <c r="Q718" s="10"/>
      <c r="R718" s="10"/>
      <c r="S718" s="10"/>
      <c r="T718" s="14"/>
      <c r="U718" s="10"/>
      <c r="V718" s="10"/>
      <c r="W718" s="10"/>
      <c r="X718" s="7"/>
      <c r="Y718" s="7"/>
      <c r="Z718" s="7"/>
      <c r="AA718" s="34"/>
      <c r="AB718" s="7"/>
      <c r="AC718" s="34"/>
      <c r="AD718" s="10"/>
    </row>
    <row r="719" spans="1:30" x14ac:dyDescent="0.25">
      <c r="A719" s="7"/>
      <c r="C719" s="70"/>
      <c r="D719" s="70"/>
      <c r="E719" s="73"/>
      <c r="F719" s="9"/>
      <c r="H719" s="9"/>
      <c r="I719" s="10"/>
      <c r="J719" s="7"/>
      <c r="K719" s="7"/>
      <c r="L719" s="10"/>
      <c r="M719" s="10"/>
      <c r="N719" s="10"/>
      <c r="O719" s="10"/>
      <c r="P719" s="10"/>
      <c r="Q719" s="10"/>
      <c r="R719" s="10"/>
      <c r="S719" s="10"/>
      <c r="T719" s="14"/>
      <c r="U719" s="10"/>
      <c r="V719" s="10"/>
      <c r="W719" s="10"/>
      <c r="X719" s="7"/>
      <c r="Y719" s="7"/>
      <c r="Z719" s="7"/>
      <c r="AA719" s="34"/>
      <c r="AB719" s="7"/>
      <c r="AC719" s="34"/>
      <c r="AD719" s="10"/>
    </row>
    <row r="720" spans="1:30" x14ac:dyDescent="0.25">
      <c r="A720" s="7"/>
      <c r="B720" s="28"/>
      <c r="C720" s="70"/>
      <c r="D720" s="73"/>
      <c r="E720" s="73"/>
      <c r="F720" s="9"/>
      <c r="H720" s="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4"/>
      <c r="U720" s="10"/>
      <c r="V720" s="10"/>
      <c r="W720" s="10"/>
      <c r="X720" s="7"/>
      <c r="Y720" s="7"/>
      <c r="Z720" s="7"/>
      <c r="AA720" s="34"/>
      <c r="AB720" s="7"/>
      <c r="AC720" s="34"/>
      <c r="AD720" s="10"/>
    </row>
    <row r="721" spans="1:30" x14ac:dyDescent="0.25">
      <c r="A721" s="7"/>
      <c r="C721" s="70"/>
      <c r="D721" s="70"/>
      <c r="E721" s="73"/>
      <c r="F721" s="9"/>
      <c r="H721" s="9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4"/>
      <c r="U721" s="10"/>
      <c r="V721" s="10"/>
      <c r="W721" s="10"/>
      <c r="X721" s="7"/>
      <c r="Y721" s="7"/>
      <c r="Z721" s="7"/>
      <c r="AA721" s="34"/>
      <c r="AB721" s="7"/>
      <c r="AC721" s="34"/>
      <c r="AD721" s="10"/>
    </row>
    <row r="722" spans="1:30" x14ac:dyDescent="0.25">
      <c r="A722" s="7"/>
      <c r="C722" s="70"/>
      <c r="D722" s="70"/>
      <c r="E722" s="73"/>
      <c r="F722" s="9"/>
      <c r="H722" s="9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4"/>
      <c r="U722" s="10"/>
      <c r="V722" s="10"/>
      <c r="W722" s="10"/>
      <c r="X722" s="7"/>
      <c r="Y722" s="7"/>
      <c r="Z722" s="7"/>
      <c r="AA722" s="34"/>
      <c r="AB722" s="7"/>
      <c r="AC722" s="34"/>
      <c r="AD722" s="10"/>
    </row>
    <row r="723" spans="1:30" x14ac:dyDescent="0.25">
      <c r="A723" s="7"/>
      <c r="C723" s="70"/>
      <c r="D723" s="70"/>
      <c r="E723" s="73"/>
      <c r="F723" s="9"/>
      <c r="H723" s="9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4"/>
      <c r="U723" s="10"/>
      <c r="V723" s="10"/>
      <c r="W723" s="10"/>
      <c r="X723" s="7"/>
      <c r="Y723" s="7"/>
      <c r="Z723" s="34"/>
      <c r="AA723" s="34"/>
      <c r="AB723" s="7"/>
      <c r="AC723" s="34"/>
      <c r="AD723" s="10"/>
    </row>
    <row r="724" spans="1:30" x14ac:dyDescent="0.25">
      <c r="A724" s="7"/>
      <c r="C724" s="70"/>
      <c r="D724" s="70"/>
      <c r="E724" s="73"/>
      <c r="F724" s="9"/>
      <c r="H724" s="9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4"/>
      <c r="U724" s="10"/>
      <c r="V724" s="10"/>
      <c r="W724" s="10"/>
      <c r="X724" s="7"/>
      <c r="Y724" s="7"/>
      <c r="Z724" s="7"/>
      <c r="AA724" s="34"/>
      <c r="AB724" s="7"/>
      <c r="AC724" s="34"/>
      <c r="AD724" s="10"/>
    </row>
    <row r="725" spans="1:30" x14ac:dyDescent="0.25">
      <c r="A725" s="7"/>
      <c r="C725" s="70"/>
      <c r="D725" s="70"/>
      <c r="E725" s="73"/>
      <c r="F725" s="9"/>
      <c r="H725" s="9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4"/>
      <c r="U725" s="10"/>
      <c r="V725" s="10"/>
      <c r="W725" s="10"/>
      <c r="X725" s="7"/>
      <c r="Y725" s="7"/>
      <c r="Z725" s="7"/>
      <c r="AA725" s="34"/>
      <c r="AB725" s="7"/>
      <c r="AC725" s="34"/>
      <c r="AD725" s="10"/>
    </row>
    <row r="726" spans="1:30" x14ac:dyDescent="0.25">
      <c r="A726" s="7"/>
      <c r="C726" s="70"/>
      <c r="D726" s="70"/>
      <c r="E726" s="73"/>
      <c r="F726" s="9"/>
      <c r="H726" s="9"/>
      <c r="I726" s="10"/>
      <c r="J726" s="10"/>
      <c r="K726" s="7"/>
      <c r="L726" s="10"/>
      <c r="M726" s="10"/>
      <c r="N726" s="10"/>
      <c r="O726" s="10"/>
      <c r="P726" s="10"/>
      <c r="Q726" s="10"/>
      <c r="R726" s="10"/>
      <c r="S726" s="10"/>
      <c r="T726" s="14"/>
      <c r="U726" s="10"/>
      <c r="V726" s="10"/>
      <c r="W726" s="10"/>
      <c r="X726" s="7"/>
      <c r="Y726" s="7"/>
      <c r="Z726" s="7"/>
      <c r="AA726" s="34"/>
      <c r="AB726" s="7"/>
      <c r="AC726" s="34"/>
      <c r="AD726" s="10"/>
    </row>
    <row r="727" spans="1:30" x14ac:dyDescent="0.25">
      <c r="A727" s="7"/>
      <c r="C727" s="70"/>
      <c r="D727" s="70"/>
      <c r="E727" s="73"/>
      <c r="F727" s="9"/>
      <c r="H727" s="9"/>
      <c r="I727" s="10"/>
      <c r="J727" s="7"/>
      <c r="K727" s="24"/>
      <c r="L727" s="10"/>
      <c r="M727" s="10"/>
      <c r="N727" s="10"/>
      <c r="O727" s="10"/>
      <c r="P727" s="10"/>
      <c r="Q727" s="10"/>
      <c r="R727" s="10"/>
      <c r="S727" s="10"/>
      <c r="T727" s="14"/>
      <c r="U727" s="10"/>
      <c r="V727" s="10"/>
      <c r="W727" s="10"/>
      <c r="X727" s="7"/>
      <c r="Y727" s="7"/>
      <c r="Z727" s="7"/>
      <c r="AA727" s="34"/>
      <c r="AB727" s="7"/>
      <c r="AC727" s="34"/>
      <c r="AD727" s="10"/>
    </row>
    <row r="728" spans="1:30" x14ac:dyDescent="0.25">
      <c r="A728" s="7"/>
      <c r="C728" s="70"/>
      <c r="D728" s="70"/>
      <c r="E728" s="73"/>
      <c r="F728" s="9"/>
      <c r="H728" s="9"/>
      <c r="I728" s="10"/>
      <c r="J728" s="7"/>
      <c r="K728" s="7"/>
      <c r="L728" s="10"/>
      <c r="M728" s="10"/>
      <c r="N728" s="10"/>
      <c r="O728" s="10"/>
      <c r="P728" s="10"/>
      <c r="Q728" s="10"/>
      <c r="R728" s="10"/>
      <c r="S728" s="10"/>
      <c r="T728" s="14"/>
      <c r="U728" s="10"/>
      <c r="V728" s="10"/>
      <c r="W728" s="10"/>
      <c r="X728" s="7"/>
      <c r="Y728" s="7"/>
      <c r="Z728" s="7"/>
      <c r="AA728" s="34"/>
      <c r="AB728" s="7"/>
      <c r="AC728" s="34"/>
      <c r="AD728" s="10"/>
    </row>
    <row r="729" spans="1:30" x14ac:dyDescent="0.25">
      <c r="A729" s="7"/>
      <c r="C729" s="70"/>
      <c r="D729" s="70"/>
      <c r="E729" s="73"/>
      <c r="F729" s="45"/>
      <c r="H729" s="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4"/>
      <c r="U729" s="10"/>
      <c r="V729" s="10"/>
      <c r="W729" s="10"/>
      <c r="X729" s="7"/>
      <c r="Y729" s="34"/>
      <c r="Z729" s="7"/>
      <c r="AA729" s="34"/>
      <c r="AB729" s="7"/>
      <c r="AC729" s="34"/>
      <c r="AD729" s="10"/>
    </row>
    <row r="730" spans="1:30" x14ac:dyDescent="0.25">
      <c r="A730" s="7"/>
      <c r="C730" s="70"/>
      <c r="D730" s="70"/>
      <c r="E730" s="73"/>
      <c r="F730" s="9"/>
      <c r="H730" s="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4"/>
      <c r="U730" s="10"/>
      <c r="V730" s="10"/>
      <c r="W730" s="10"/>
      <c r="X730" s="7"/>
      <c r="Y730" s="7"/>
      <c r="Z730" s="34"/>
      <c r="AA730" s="34"/>
      <c r="AB730" s="7"/>
      <c r="AC730" s="34"/>
      <c r="AD730" s="10"/>
    </row>
    <row r="731" spans="1:30" x14ac:dyDescent="0.25">
      <c r="A731" s="7"/>
      <c r="C731" s="70"/>
      <c r="D731" s="70"/>
      <c r="E731" s="73"/>
      <c r="F731" s="9"/>
      <c r="H731" s="9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4"/>
      <c r="U731" s="10"/>
      <c r="V731" s="10"/>
      <c r="W731" s="10"/>
      <c r="X731" s="7"/>
      <c r="Y731" s="7"/>
      <c r="Z731" s="7"/>
      <c r="AA731" s="34"/>
      <c r="AB731" s="7"/>
      <c r="AC731" s="34"/>
      <c r="AD731" s="10"/>
    </row>
    <row r="732" spans="1:30" x14ac:dyDescent="0.25">
      <c r="A732" s="7"/>
      <c r="C732" s="70"/>
      <c r="D732" s="70"/>
      <c r="E732" s="73"/>
      <c r="F732" s="9"/>
      <c r="H732" s="9"/>
      <c r="I732" s="10"/>
      <c r="J732" s="10"/>
      <c r="K732" s="24"/>
      <c r="L732" s="10"/>
      <c r="M732" s="10"/>
      <c r="N732" s="10"/>
      <c r="O732" s="10"/>
      <c r="P732" s="10"/>
      <c r="Q732" s="10"/>
      <c r="R732" s="10"/>
      <c r="S732" s="10"/>
      <c r="T732" s="14"/>
      <c r="U732" s="10"/>
      <c r="V732" s="10"/>
      <c r="W732" s="10"/>
      <c r="X732" s="7"/>
      <c r="Y732" s="7"/>
      <c r="Z732" s="7"/>
      <c r="AA732" s="34"/>
      <c r="AB732" s="7"/>
      <c r="AC732" s="34"/>
      <c r="AD732" s="10"/>
    </row>
    <row r="733" spans="1:30" x14ac:dyDescent="0.25">
      <c r="A733" s="7"/>
      <c r="C733" s="70"/>
      <c r="D733" s="70"/>
      <c r="E733" s="73"/>
      <c r="F733" s="48"/>
      <c r="H733" s="9"/>
      <c r="I733" s="10"/>
      <c r="J733" s="10"/>
      <c r="K733" s="7"/>
      <c r="L733" s="10"/>
      <c r="M733" s="10"/>
      <c r="N733" s="10"/>
      <c r="O733" s="10"/>
      <c r="P733" s="10"/>
      <c r="Q733" s="10"/>
      <c r="R733" s="10"/>
      <c r="S733" s="10"/>
      <c r="T733" s="14"/>
      <c r="U733" s="10"/>
      <c r="V733" s="10"/>
      <c r="W733" s="10"/>
      <c r="X733" s="7"/>
      <c r="Y733" s="7"/>
      <c r="Z733" s="7"/>
      <c r="AA733" s="34"/>
      <c r="AB733" s="7"/>
      <c r="AC733" s="34"/>
      <c r="AD733" s="10"/>
    </row>
    <row r="734" spans="1:30" x14ac:dyDescent="0.25">
      <c r="A734" s="7"/>
      <c r="C734" s="70"/>
      <c r="D734" s="70"/>
      <c r="E734" s="73"/>
      <c r="F734" s="45"/>
      <c r="H734" s="9"/>
      <c r="I734" s="10"/>
      <c r="J734" s="7"/>
      <c r="K734" s="7"/>
      <c r="L734" s="10"/>
      <c r="M734" s="10"/>
      <c r="N734" s="10"/>
      <c r="O734" s="10"/>
      <c r="P734" s="10"/>
      <c r="Q734" s="10"/>
      <c r="R734" s="10"/>
      <c r="S734" s="10"/>
      <c r="T734" s="14"/>
      <c r="U734" s="10"/>
      <c r="V734" s="10"/>
      <c r="W734" s="10"/>
      <c r="X734" s="7"/>
      <c r="Y734" s="34"/>
      <c r="Z734" s="7"/>
      <c r="AA734" s="34"/>
      <c r="AB734" s="7"/>
      <c r="AC734" s="34"/>
      <c r="AD734" s="10"/>
    </row>
    <row r="735" spans="1:30" x14ac:dyDescent="0.25">
      <c r="A735" s="7"/>
      <c r="C735" s="70"/>
      <c r="D735" s="70"/>
      <c r="E735" s="73"/>
      <c r="F735" s="9"/>
      <c r="H735" s="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4"/>
      <c r="U735" s="10"/>
      <c r="V735" s="10"/>
      <c r="W735" s="10"/>
      <c r="X735" s="7"/>
      <c r="Y735" s="7"/>
      <c r="Z735" s="7"/>
      <c r="AA735" s="34"/>
      <c r="AB735" s="7"/>
      <c r="AC735" s="34"/>
      <c r="AD735" s="10"/>
    </row>
    <row r="736" spans="1:30" x14ac:dyDescent="0.25">
      <c r="A736" s="7"/>
      <c r="C736" s="70"/>
      <c r="D736" s="70"/>
      <c r="E736" s="73"/>
      <c r="F736" s="9"/>
      <c r="H736" s="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4"/>
      <c r="U736" s="10"/>
      <c r="V736" s="10"/>
      <c r="W736" s="10"/>
      <c r="X736" s="7"/>
      <c r="Y736" s="7"/>
      <c r="Z736" s="7"/>
      <c r="AA736" s="34"/>
      <c r="AB736" s="7"/>
      <c r="AC736" s="34"/>
      <c r="AD736" s="10"/>
    </row>
    <row r="737" spans="1:30" x14ac:dyDescent="0.25">
      <c r="A737" s="7"/>
      <c r="C737" s="70"/>
      <c r="D737" s="70"/>
      <c r="E737" s="73"/>
      <c r="F737" s="9"/>
      <c r="H737" s="9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4"/>
      <c r="U737" s="10"/>
      <c r="V737" s="10"/>
      <c r="W737" s="10"/>
      <c r="X737" s="7"/>
      <c r="Y737" s="7"/>
      <c r="Z737" s="34"/>
      <c r="AA737" s="34"/>
      <c r="AB737" s="7"/>
      <c r="AC737" s="34"/>
      <c r="AD737" s="10"/>
    </row>
    <row r="738" spans="1:30" x14ac:dyDescent="0.25">
      <c r="A738" s="7"/>
      <c r="C738" s="70"/>
      <c r="D738" s="70"/>
      <c r="E738" s="73"/>
      <c r="F738" s="9"/>
      <c r="H738" s="9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4"/>
      <c r="U738" s="10"/>
      <c r="V738" s="10"/>
      <c r="W738" s="10"/>
      <c r="X738" s="7"/>
      <c r="Y738" s="7"/>
      <c r="Z738" s="7"/>
      <c r="AA738" s="34"/>
      <c r="AB738" s="7"/>
      <c r="AC738" s="34"/>
      <c r="AD738" s="10"/>
    </row>
    <row r="739" spans="1:30" x14ac:dyDescent="0.25">
      <c r="A739" s="43"/>
      <c r="C739" s="70"/>
      <c r="D739" s="70"/>
      <c r="E739" s="73"/>
      <c r="F739" s="9"/>
      <c r="H739" s="9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4"/>
      <c r="U739" s="10"/>
      <c r="V739" s="10"/>
      <c r="W739" s="10"/>
      <c r="X739" s="7"/>
      <c r="Y739" s="7"/>
      <c r="Z739" s="7"/>
      <c r="AA739" s="34"/>
      <c r="AB739" s="7"/>
      <c r="AC739" s="34"/>
      <c r="AD739" s="10"/>
    </row>
    <row r="740" spans="1:30" x14ac:dyDescent="0.25">
      <c r="A740" s="7"/>
      <c r="C740" s="70"/>
      <c r="D740" s="70"/>
      <c r="E740" s="73"/>
      <c r="F740" s="9"/>
      <c r="H740" s="9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4"/>
      <c r="U740" s="10"/>
      <c r="V740" s="10"/>
      <c r="W740" s="10"/>
      <c r="X740" s="7"/>
      <c r="Y740" s="7"/>
      <c r="Z740" s="7"/>
      <c r="AA740" s="34"/>
      <c r="AB740" s="7"/>
      <c r="AC740" s="34"/>
      <c r="AD740" s="10"/>
    </row>
    <row r="741" spans="1:30" x14ac:dyDescent="0.25">
      <c r="A741" s="7"/>
      <c r="C741" s="70"/>
      <c r="D741" s="70"/>
      <c r="E741" s="73"/>
      <c r="F741" s="9"/>
      <c r="H741" s="9"/>
      <c r="I741" s="10"/>
      <c r="J741" s="7"/>
      <c r="K741" s="7"/>
      <c r="L741" s="10"/>
      <c r="M741" s="10"/>
      <c r="N741" s="10"/>
      <c r="O741" s="10"/>
      <c r="P741" s="10"/>
      <c r="Q741" s="10"/>
      <c r="R741" s="10"/>
      <c r="S741" s="10"/>
      <c r="T741" s="14"/>
      <c r="U741" s="10"/>
      <c r="V741" s="10"/>
      <c r="W741" s="10"/>
      <c r="X741" s="7"/>
      <c r="Y741" s="7"/>
      <c r="Z741" s="7"/>
      <c r="AA741" s="34"/>
      <c r="AB741" s="7"/>
      <c r="AC741" s="34"/>
      <c r="AD741" s="10"/>
    </row>
    <row r="742" spans="1:30" x14ac:dyDescent="0.25">
      <c r="A742" s="7"/>
      <c r="C742" s="70"/>
      <c r="D742" s="70"/>
      <c r="E742" s="73"/>
      <c r="F742" s="9"/>
      <c r="H742" s="9"/>
      <c r="I742" s="62"/>
      <c r="J742" s="7"/>
      <c r="K742" s="7"/>
      <c r="L742" s="10"/>
      <c r="M742" s="10"/>
      <c r="N742" s="10"/>
      <c r="O742" s="10"/>
      <c r="P742" s="10"/>
      <c r="Q742" s="10"/>
      <c r="R742" s="10"/>
      <c r="S742" s="10"/>
      <c r="T742" s="14"/>
      <c r="U742" s="10"/>
      <c r="V742" s="10"/>
      <c r="W742" s="10"/>
      <c r="X742" s="7"/>
      <c r="Y742" s="7"/>
      <c r="Z742" s="7"/>
      <c r="AA742" s="34"/>
      <c r="AB742" s="7"/>
      <c r="AC742" s="34"/>
      <c r="AD742" s="10"/>
    </row>
    <row r="743" spans="1:30" x14ac:dyDescent="0.25">
      <c r="A743" s="7"/>
      <c r="C743" s="70"/>
      <c r="D743" s="70"/>
      <c r="E743" s="73"/>
      <c r="F743" s="9"/>
      <c r="H743" s="9"/>
      <c r="I743" s="10"/>
      <c r="J743" s="7"/>
      <c r="K743" s="24"/>
      <c r="L743" s="10"/>
      <c r="M743" s="10"/>
      <c r="N743" s="10"/>
      <c r="O743" s="10"/>
      <c r="P743" s="10"/>
      <c r="Q743" s="10"/>
      <c r="R743" s="10"/>
      <c r="S743" s="10"/>
      <c r="T743" s="14"/>
      <c r="U743" s="10"/>
      <c r="V743" s="10"/>
      <c r="W743" s="10"/>
      <c r="X743" s="7"/>
      <c r="Y743" s="7"/>
      <c r="Z743" s="7"/>
      <c r="AA743" s="34"/>
      <c r="AB743" s="7"/>
      <c r="AC743" s="34"/>
      <c r="AD743" s="10"/>
    </row>
    <row r="744" spans="1:30" x14ac:dyDescent="0.25">
      <c r="A744" s="7"/>
      <c r="C744" s="70"/>
      <c r="D744" s="70"/>
      <c r="E744" s="73"/>
      <c r="F744" s="9"/>
      <c r="H744" s="9"/>
      <c r="I744" s="10"/>
      <c r="J744" s="10"/>
      <c r="K744" s="7"/>
      <c r="L744" s="10"/>
      <c r="M744" s="10"/>
      <c r="N744" s="10"/>
      <c r="O744" s="10"/>
      <c r="P744" s="10"/>
      <c r="Q744" s="10"/>
      <c r="R744" s="10"/>
      <c r="S744" s="10"/>
      <c r="T744" s="14"/>
      <c r="U744" s="10"/>
      <c r="V744" s="10"/>
      <c r="W744" s="10"/>
      <c r="X744" s="7"/>
      <c r="Y744" s="7"/>
      <c r="Z744" s="7"/>
      <c r="AA744" s="34"/>
      <c r="AB744" s="7"/>
      <c r="AC744" s="34"/>
      <c r="AD744" s="10"/>
    </row>
    <row r="745" spans="1:30" x14ac:dyDescent="0.25">
      <c r="A745" s="7"/>
      <c r="C745" s="70"/>
      <c r="D745" s="70"/>
      <c r="E745" s="73"/>
      <c r="F745" s="9"/>
      <c r="H745" s="9"/>
      <c r="I745" s="10"/>
      <c r="J745" s="7"/>
      <c r="K745" s="7"/>
      <c r="L745" s="10"/>
      <c r="M745" s="10"/>
      <c r="N745" s="10"/>
      <c r="O745" s="10"/>
      <c r="P745" s="10"/>
      <c r="Q745" s="10"/>
      <c r="R745" s="10"/>
      <c r="S745" s="10"/>
      <c r="T745" s="14"/>
      <c r="U745" s="10"/>
      <c r="V745" s="10"/>
      <c r="W745" s="10"/>
      <c r="X745" s="7"/>
      <c r="Y745" s="7"/>
      <c r="Z745" s="7"/>
      <c r="AA745" s="34"/>
      <c r="AB745" s="7"/>
      <c r="AC745" s="34"/>
      <c r="AD745" s="10"/>
    </row>
    <row r="746" spans="1:30" x14ac:dyDescent="0.25">
      <c r="A746" s="7"/>
      <c r="C746" s="70"/>
      <c r="D746" s="70"/>
      <c r="E746" s="73"/>
      <c r="F746" s="9"/>
      <c r="H746" s="9"/>
      <c r="I746" s="10"/>
      <c r="J746" s="7"/>
      <c r="K746" s="7"/>
      <c r="L746" s="10"/>
      <c r="M746" s="10"/>
      <c r="N746" s="10"/>
      <c r="O746" s="10"/>
      <c r="P746" s="10"/>
      <c r="Q746" s="10"/>
      <c r="R746" s="10"/>
      <c r="S746" s="10"/>
      <c r="T746" s="14"/>
      <c r="U746" s="10"/>
      <c r="V746" s="10"/>
      <c r="W746" s="10"/>
      <c r="X746" s="7"/>
      <c r="Y746" s="7"/>
      <c r="Z746" s="7"/>
      <c r="AA746" s="34"/>
      <c r="AB746" s="7"/>
      <c r="AC746" s="34"/>
      <c r="AD746" s="10"/>
    </row>
    <row r="747" spans="1:30" x14ac:dyDescent="0.25">
      <c r="A747" s="7"/>
      <c r="C747" s="70"/>
      <c r="D747" s="70"/>
      <c r="E747" s="73"/>
      <c r="F747" s="9"/>
      <c r="H747" s="9"/>
      <c r="I747" s="10"/>
      <c r="J747" s="7"/>
      <c r="K747" s="7"/>
      <c r="L747" s="10"/>
      <c r="M747" s="10"/>
      <c r="N747" s="10"/>
      <c r="O747" s="10"/>
      <c r="P747" s="10"/>
      <c r="Q747" s="10"/>
      <c r="R747" s="10"/>
      <c r="S747" s="10"/>
      <c r="T747" s="14"/>
      <c r="U747" s="10"/>
      <c r="V747" s="10"/>
      <c r="W747" s="10"/>
      <c r="X747" s="7"/>
      <c r="Y747" s="7"/>
      <c r="Z747" s="7"/>
      <c r="AA747" s="34"/>
      <c r="AB747" s="7"/>
      <c r="AC747" s="34"/>
      <c r="AD747" s="10"/>
    </row>
    <row r="748" spans="1:30" x14ac:dyDescent="0.25">
      <c r="A748" s="7"/>
      <c r="C748" s="70"/>
      <c r="D748" s="70"/>
      <c r="E748" s="73"/>
      <c r="F748" s="45"/>
      <c r="H748" s="9"/>
      <c r="I748" s="10"/>
      <c r="J748" s="7"/>
      <c r="K748" s="7"/>
      <c r="L748" s="10"/>
      <c r="M748" s="10"/>
      <c r="N748" s="10"/>
      <c r="O748" s="10"/>
      <c r="P748" s="10"/>
      <c r="Q748" s="10"/>
      <c r="R748" s="10"/>
      <c r="S748" s="10"/>
      <c r="T748" s="14"/>
      <c r="U748" s="10"/>
      <c r="V748" s="10"/>
      <c r="W748" s="10"/>
      <c r="X748" s="34"/>
      <c r="Y748" s="34"/>
      <c r="Z748" s="7"/>
      <c r="AA748" s="34"/>
      <c r="AB748" s="7"/>
      <c r="AC748" s="34"/>
      <c r="AD748" s="10"/>
    </row>
    <row r="749" spans="1:30" x14ac:dyDescent="0.25">
      <c r="A749" s="7"/>
      <c r="C749" s="70"/>
      <c r="D749" s="70"/>
      <c r="E749" s="73"/>
      <c r="F749" s="9"/>
      <c r="H749" s="9"/>
      <c r="I749" s="10"/>
      <c r="J749" s="61"/>
      <c r="K749" s="10"/>
      <c r="L749" s="10"/>
      <c r="M749" s="10"/>
      <c r="N749" s="10"/>
      <c r="O749" s="10"/>
      <c r="P749" s="10"/>
      <c r="Q749" s="10"/>
      <c r="R749" s="10"/>
      <c r="S749" s="10"/>
      <c r="T749" s="14"/>
      <c r="U749" s="10"/>
      <c r="V749" s="10"/>
      <c r="W749" s="10"/>
      <c r="X749" s="7"/>
      <c r="Y749" s="7"/>
      <c r="Z749" s="7"/>
      <c r="AA749" s="34"/>
      <c r="AB749" s="7"/>
      <c r="AC749" s="34"/>
      <c r="AD749" s="10"/>
    </row>
    <row r="750" spans="1:30" x14ac:dyDescent="0.25">
      <c r="A750" s="7"/>
      <c r="C750" s="70"/>
      <c r="D750" s="70"/>
      <c r="E750" s="73"/>
      <c r="F750" s="9"/>
      <c r="H750" s="9"/>
      <c r="I750" s="10"/>
      <c r="J750" s="7"/>
      <c r="K750" s="7"/>
      <c r="L750" s="10"/>
      <c r="M750" s="10"/>
      <c r="N750" s="10"/>
      <c r="O750" s="10"/>
      <c r="P750" s="10"/>
      <c r="Q750" s="10"/>
      <c r="R750" s="10"/>
      <c r="S750" s="10"/>
      <c r="T750" s="14"/>
      <c r="U750" s="10"/>
      <c r="V750" s="10"/>
      <c r="W750" s="10"/>
      <c r="X750" s="7"/>
      <c r="Y750" s="7"/>
      <c r="Z750" s="7"/>
      <c r="AA750" s="34"/>
      <c r="AB750" s="7"/>
      <c r="AC750" s="34"/>
      <c r="AD750" s="10"/>
    </row>
    <row r="751" spans="1:30" x14ac:dyDescent="0.25">
      <c r="A751" s="7"/>
      <c r="C751" s="70"/>
      <c r="D751" s="70"/>
      <c r="E751" s="73"/>
      <c r="F751" s="9"/>
      <c r="H751" s="9"/>
      <c r="I751" s="10"/>
      <c r="J751" s="7"/>
      <c r="K751" s="7"/>
      <c r="L751" s="10"/>
      <c r="M751" s="10"/>
      <c r="N751" s="10"/>
      <c r="O751" s="10"/>
      <c r="P751" s="10"/>
      <c r="Q751" s="10"/>
      <c r="R751" s="10"/>
      <c r="S751" s="10"/>
      <c r="T751" s="14"/>
      <c r="U751" s="10"/>
      <c r="V751" s="10"/>
      <c r="W751" s="10"/>
      <c r="X751" s="7"/>
      <c r="Y751" s="7"/>
      <c r="Z751" s="7"/>
      <c r="AA751" s="34"/>
      <c r="AB751" s="7"/>
      <c r="AC751" s="34"/>
      <c r="AD751" s="10"/>
    </row>
    <row r="752" spans="1:30" x14ac:dyDescent="0.25">
      <c r="A752" s="7"/>
      <c r="C752" s="70"/>
      <c r="D752" s="70"/>
      <c r="E752" s="73"/>
      <c r="F752" s="9"/>
      <c r="H752" s="9"/>
      <c r="I752" s="10"/>
      <c r="J752" s="10"/>
      <c r="K752" s="24"/>
      <c r="L752" s="10"/>
      <c r="M752" s="10"/>
      <c r="N752" s="10"/>
      <c r="O752" s="10"/>
      <c r="P752" s="10"/>
      <c r="Q752" s="10"/>
      <c r="R752" s="10"/>
      <c r="S752" s="10"/>
      <c r="T752" s="14"/>
      <c r="U752" s="10"/>
      <c r="V752" s="10"/>
      <c r="W752" s="10"/>
      <c r="X752" s="7"/>
      <c r="Y752" s="7"/>
      <c r="Z752" s="7"/>
      <c r="AA752" s="34"/>
      <c r="AB752" s="7"/>
      <c r="AC752" s="34"/>
      <c r="AD752" s="10"/>
    </row>
    <row r="753" spans="1:30" x14ac:dyDescent="0.25">
      <c r="A753" s="7"/>
      <c r="C753" s="70"/>
      <c r="D753" s="70"/>
      <c r="E753" s="73"/>
      <c r="F753" s="9"/>
      <c r="H753" s="9"/>
      <c r="I753" s="10"/>
      <c r="J753" s="10"/>
      <c r="K753" s="7"/>
      <c r="L753" s="10"/>
      <c r="M753" s="10"/>
      <c r="N753" s="10"/>
      <c r="O753" s="10"/>
      <c r="P753" s="10"/>
      <c r="Q753" s="10"/>
      <c r="R753" s="10"/>
      <c r="S753" s="10"/>
      <c r="T753" s="14"/>
      <c r="U753" s="10"/>
      <c r="V753" s="10"/>
      <c r="W753" s="10"/>
      <c r="X753" s="7"/>
      <c r="Y753" s="7"/>
      <c r="Z753" s="7"/>
      <c r="AA753" s="34"/>
      <c r="AB753" s="7"/>
      <c r="AC753" s="34"/>
      <c r="AD753" s="10"/>
    </row>
    <row r="754" spans="1:30" x14ac:dyDescent="0.25">
      <c r="A754" s="7"/>
      <c r="C754" s="70"/>
      <c r="D754" s="70"/>
      <c r="E754" s="73"/>
      <c r="F754" s="9"/>
      <c r="H754" s="9"/>
      <c r="I754" s="10"/>
      <c r="J754" s="10"/>
      <c r="K754" s="7"/>
      <c r="L754" s="10"/>
      <c r="M754" s="10"/>
      <c r="N754" s="10"/>
      <c r="O754" s="10"/>
      <c r="P754" s="10"/>
      <c r="Q754" s="10"/>
      <c r="R754" s="10"/>
      <c r="S754" s="10"/>
      <c r="T754" s="14"/>
      <c r="U754" s="10"/>
      <c r="V754" s="10"/>
      <c r="W754" s="10"/>
      <c r="X754" s="7"/>
      <c r="Y754" s="7"/>
      <c r="Z754" s="7"/>
      <c r="AA754" s="34"/>
      <c r="AB754" s="7"/>
      <c r="AC754" s="34"/>
      <c r="AD754" s="10"/>
    </row>
    <row r="755" spans="1:30" x14ac:dyDescent="0.25">
      <c r="A755" s="7"/>
      <c r="C755" s="70"/>
      <c r="D755" s="70"/>
      <c r="E755" s="73"/>
      <c r="F755" s="48"/>
      <c r="H755" s="9"/>
      <c r="I755" s="10"/>
      <c r="J755" s="7"/>
      <c r="K755" s="24"/>
      <c r="L755" s="10"/>
      <c r="M755" s="10"/>
      <c r="N755" s="10"/>
      <c r="O755" s="10"/>
      <c r="P755" s="10"/>
      <c r="Q755" s="10"/>
      <c r="R755" s="10"/>
      <c r="S755" s="10"/>
      <c r="T755" s="14"/>
      <c r="U755" s="10"/>
      <c r="V755" s="10"/>
      <c r="W755" s="10"/>
      <c r="X755" s="7"/>
      <c r="Y755" s="7"/>
      <c r="Z755" s="7"/>
      <c r="AA755" s="34"/>
      <c r="AB755" s="7"/>
      <c r="AC755" s="34"/>
      <c r="AD755" s="10"/>
    </row>
    <row r="756" spans="1:30" x14ac:dyDescent="0.25">
      <c r="A756" s="7"/>
      <c r="C756" s="70"/>
      <c r="D756" s="70"/>
      <c r="E756" s="73"/>
      <c r="F756" s="48"/>
      <c r="H756" s="9"/>
      <c r="I756" s="10"/>
      <c r="J756" s="7"/>
      <c r="K756" s="24"/>
      <c r="L756" s="10"/>
      <c r="M756" s="10"/>
      <c r="N756" s="10"/>
      <c r="O756" s="10"/>
      <c r="P756" s="10"/>
      <c r="Q756" s="10"/>
      <c r="R756" s="10"/>
      <c r="S756" s="10"/>
      <c r="T756" s="14"/>
      <c r="U756" s="10"/>
      <c r="V756" s="10"/>
      <c r="W756" s="10"/>
      <c r="X756" s="7"/>
      <c r="Y756" s="7"/>
      <c r="Z756" s="7"/>
      <c r="AA756" s="34"/>
      <c r="AB756" s="7"/>
      <c r="AC756" s="34"/>
      <c r="AD756" s="10"/>
    </row>
    <row r="757" spans="1:30" x14ac:dyDescent="0.25">
      <c r="A757" s="7"/>
      <c r="C757" s="70"/>
      <c r="D757" s="70"/>
      <c r="E757" s="73"/>
      <c r="F757" s="48"/>
      <c r="H757" s="9"/>
      <c r="I757" s="10"/>
      <c r="J757" s="7"/>
      <c r="K757" s="24"/>
      <c r="L757" s="10"/>
      <c r="M757" s="10"/>
      <c r="N757" s="10"/>
      <c r="O757" s="10"/>
      <c r="P757" s="10"/>
      <c r="Q757" s="10"/>
      <c r="R757" s="10"/>
      <c r="S757" s="10"/>
      <c r="T757" s="14"/>
      <c r="U757" s="10"/>
      <c r="V757" s="10"/>
      <c r="W757" s="10"/>
      <c r="X757" s="7"/>
      <c r="Y757" s="7"/>
      <c r="Z757" s="7"/>
      <c r="AA757" s="34"/>
      <c r="AB757" s="7"/>
      <c r="AC757" s="34"/>
      <c r="AD757" s="10"/>
    </row>
    <row r="758" spans="1:30" x14ac:dyDescent="0.25">
      <c r="A758" s="7"/>
      <c r="C758" s="70"/>
      <c r="D758" s="70"/>
      <c r="E758" s="73"/>
      <c r="F758" s="9"/>
      <c r="H758" s="9"/>
      <c r="I758" s="10"/>
      <c r="J758" s="61"/>
      <c r="K758" s="10"/>
      <c r="L758" s="10"/>
      <c r="M758" s="10"/>
      <c r="N758" s="10"/>
      <c r="O758" s="10"/>
      <c r="P758" s="10"/>
      <c r="Q758" s="10"/>
      <c r="R758" s="10"/>
      <c r="S758" s="10"/>
      <c r="T758" s="14"/>
      <c r="U758" s="10"/>
      <c r="V758" s="10"/>
      <c r="W758" s="10"/>
      <c r="X758" s="7"/>
      <c r="Y758" s="7"/>
      <c r="Z758" s="7"/>
      <c r="AA758" s="34"/>
      <c r="AB758" s="7"/>
      <c r="AC758" s="34"/>
      <c r="AD758" s="10"/>
    </row>
    <row r="759" spans="1:30" x14ac:dyDescent="0.25">
      <c r="A759" s="7"/>
      <c r="C759" s="70"/>
      <c r="D759" s="70"/>
      <c r="E759" s="73"/>
      <c r="F759" s="9"/>
      <c r="H759" s="9"/>
      <c r="I759" s="10"/>
      <c r="J759" s="7"/>
      <c r="K759" s="7"/>
      <c r="L759" s="10"/>
      <c r="M759" s="10"/>
      <c r="N759" s="10"/>
      <c r="O759" s="10"/>
      <c r="P759" s="10"/>
      <c r="Q759" s="10"/>
      <c r="R759" s="10"/>
      <c r="S759" s="10"/>
      <c r="T759" s="14"/>
      <c r="U759" s="10"/>
      <c r="V759" s="10"/>
      <c r="W759" s="10"/>
      <c r="X759" s="7"/>
      <c r="Y759" s="7"/>
      <c r="Z759" s="7"/>
      <c r="AA759" s="34"/>
      <c r="AB759" s="7"/>
      <c r="AC759" s="34"/>
      <c r="AD759" s="10"/>
    </row>
    <row r="760" spans="1:30" x14ac:dyDescent="0.25">
      <c r="A760" s="7"/>
      <c r="C760" s="70"/>
      <c r="D760" s="70"/>
      <c r="E760" s="73"/>
      <c r="F760" s="9"/>
      <c r="H760" s="9"/>
      <c r="I760" s="10"/>
      <c r="J760" s="7"/>
      <c r="K760" s="7"/>
      <c r="L760" s="10"/>
      <c r="M760" s="10"/>
      <c r="N760" s="10"/>
      <c r="O760" s="10"/>
      <c r="P760" s="10"/>
      <c r="Q760" s="10"/>
      <c r="R760" s="10"/>
      <c r="S760" s="10"/>
      <c r="T760" s="14"/>
      <c r="U760" s="10"/>
      <c r="V760" s="10"/>
      <c r="W760" s="10"/>
      <c r="X760" s="7"/>
      <c r="Y760" s="7"/>
      <c r="Z760" s="7"/>
      <c r="AA760" s="34"/>
      <c r="AB760" s="7"/>
      <c r="AC760" s="34"/>
      <c r="AD760" s="10"/>
    </row>
    <row r="761" spans="1:30" x14ac:dyDescent="0.25">
      <c r="A761" s="7"/>
      <c r="C761" s="70"/>
      <c r="D761" s="70"/>
      <c r="E761" s="73"/>
      <c r="F761" s="9"/>
      <c r="H761" s="9"/>
      <c r="I761" s="10"/>
      <c r="J761" s="7"/>
      <c r="K761" s="7"/>
      <c r="L761" s="10"/>
      <c r="M761" s="10"/>
      <c r="N761" s="10"/>
      <c r="O761" s="10"/>
      <c r="P761" s="10"/>
      <c r="Q761" s="10"/>
      <c r="R761" s="10"/>
      <c r="S761" s="10"/>
      <c r="T761" s="14"/>
      <c r="U761" s="10"/>
      <c r="V761" s="10"/>
      <c r="W761" s="10"/>
      <c r="X761" s="7"/>
      <c r="Y761" s="7"/>
      <c r="Z761" s="34"/>
      <c r="AA761" s="34"/>
      <c r="AB761" s="7"/>
      <c r="AC761" s="34"/>
      <c r="AD761" s="10"/>
    </row>
    <row r="762" spans="1:30" x14ac:dyDescent="0.25">
      <c r="A762" s="7"/>
      <c r="C762" s="70"/>
      <c r="D762" s="70"/>
      <c r="E762" s="79"/>
      <c r="F762" s="41"/>
      <c r="G762" s="41"/>
      <c r="H762" s="9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4"/>
      <c r="U762" s="10"/>
      <c r="V762" s="10"/>
      <c r="W762" s="10"/>
      <c r="X762" s="7"/>
      <c r="Y762" s="7"/>
      <c r="Z762" s="34"/>
      <c r="AA762" s="34"/>
      <c r="AB762" s="7"/>
      <c r="AC762" s="34"/>
      <c r="AD762" s="10"/>
    </row>
    <row r="763" spans="1:30" x14ac:dyDescent="0.25">
      <c r="A763" s="7"/>
      <c r="C763" s="70"/>
      <c r="D763" s="70"/>
      <c r="E763" s="73"/>
      <c r="F763" s="9"/>
      <c r="H763" s="9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4"/>
      <c r="U763" s="10"/>
      <c r="V763" s="10"/>
      <c r="W763" s="10"/>
      <c r="X763" s="7"/>
      <c r="Y763" s="7"/>
      <c r="Z763" s="7"/>
      <c r="AA763" s="34"/>
      <c r="AB763" s="7"/>
      <c r="AC763" s="34"/>
      <c r="AD763" s="10"/>
    </row>
    <row r="764" spans="1:30" x14ac:dyDescent="0.25">
      <c r="A764" s="7"/>
      <c r="C764" s="70"/>
      <c r="D764" s="70"/>
      <c r="E764" s="73"/>
      <c r="F764" s="48"/>
      <c r="H764" s="9"/>
      <c r="I764" s="10"/>
      <c r="J764" s="7"/>
      <c r="K764" s="7"/>
      <c r="L764" s="10"/>
      <c r="M764" s="10"/>
      <c r="N764" s="10"/>
      <c r="O764" s="10"/>
      <c r="P764" s="10"/>
      <c r="Q764" s="10"/>
      <c r="R764" s="10"/>
      <c r="S764" s="10"/>
      <c r="T764" s="14"/>
      <c r="U764" s="10"/>
      <c r="V764" s="10"/>
      <c r="W764" s="10"/>
      <c r="X764" s="7"/>
      <c r="Y764" s="7"/>
      <c r="Z764" s="7"/>
      <c r="AA764" s="34"/>
      <c r="AB764" s="7"/>
      <c r="AC764" s="34"/>
      <c r="AD764" s="10"/>
    </row>
    <row r="765" spans="1:30" x14ac:dyDescent="0.25">
      <c r="A765" s="7"/>
      <c r="C765" s="70"/>
      <c r="D765" s="70"/>
      <c r="E765" s="73"/>
      <c r="F765" s="9"/>
      <c r="H765" s="9"/>
      <c r="I765" s="10"/>
      <c r="J765" s="7"/>
      <c r="K765" s="7"/>
      <c r="L765" s="10"/>
      <c r="M765" s="10"/>
      <c r="N765" s="10"/>
      <c r="O765" s="10"/>
      <c r="P765" s="10"/>
      <c r="Q765" s="10"/>
      <c r="R765" s="10"/>
      <c r="S765" s="10"/>
      <c r="T765" s="14"/>
      <c r="U765" s="10"/>
      <c r="V765" s="10"/>
      <c r="W765" s="10"/>
      <c r="X765" s="7"/>
      <c r="Y765" s="7"/>
      <c r="Z765" s="7"/>
      <c r="AA765" s="34"/>
      <c r="AB765" s="7"/>
      <c r="AC765" s="34"/>
      <c r="AD765" s="10"/>
    </row>
    <row r="766" spans="1:30" x14ac:dyDescent="0.25">
      <c r="A766" s="7"/>
      <c r="C766" s="70"/>
      <c r="D766" s="70"/>
      <c r="E766" s="73"/>
      <c r="F766" s="9"/>
      <c r="H766" s="9"/>
      <c r="I766" s="10"/>
      <c r="J766" s="7"/>
      <c r="K766" s="7"/>
      <c r="L766" s="10"/>
      <c r="M766" s="10"/>
      <c r="N766" s="10"/>
      <c r="O766" s="10"/>
      <c r="P766" s="10"/>
      <c r="Q766" s="10"/>
      <c r="R766" s="10"/>
      <c r="S766" s="10"/>
      <c r="T766" s="14"/>
      <c r="U766" s="10"/>
      <c r="V766" s="10"/>
      <c r="W766" s="10"/>
      <c r="X766" s="7"/>
      <c r="Y766" s="7"/>
      <c r="Z766" s="7"/>
      <c r="AA766" s="34"/>
      <c r="AB766" s="7"/>
      <c r="AC766" s="34"/>
      <c r="AD766" s="10"/>
    </row>
    <row r="767" spans="1:30" x14ac:dyDescent="0.25">
      <c r="A767" s="7"/>
      <c r="C767" s="70"/>
      <c r="D767" s="70"/>
      <c r="E767" s="73"/>
      <c r="F767" s="9"/>
      <c r="H767" s="9"/>
      <c r="I767" s="10"/>
      <c r="J767" s="7"/>
      <c r="K767" s="7"/>
      <c r="L767" s="10"/>
      <c r="M767" s="10"/>
      <c r="N767" s="10"/>
      <c r="O767" s="10"/>
      <c r="P767" s="10"/>
      <c r="Q767" s="10"/>
      <c r="R767" s="10"/>
      <c r="S767" s="10"/>
      <c r="T767" s="14"/>
      <c r="U767" s="10"/>
      <c r="V767" s="10"/>
      <c r="W767" s="10"/>
      <c r="X767" s="7"/>
      <c r="Y767" s="7"/>
      <c r="Z767" s="7"/>
      <c r="AA767" s="34"/>
      <c r="AB767" s="7"/>
      <c r="AC767" s="34"/>
      <c r="AD767" s="10"/>
    </row>
    <row r="768" spans="1:30" x14ac:dyDescent="0.25">
      <c r="A768" s="7"/>
      <c r="C768" s="70"/>
      <c r="D768" s="70"/>
      <c r="E768" s="73"/>
      <c r="F768" s="9"/>
      <c r="H768" s="9"/>
      <c r="I768" s="10"/>
      <c r="J768" s="10"/>
      <c r="K768" s="7"/>
      <c r="L768" s="10"/>
      <c r="M768" s="10"/>
      <c r="N768" s="10"/>
      <c r="O768" s="10"/>
      <c r="P768" s="10"/>
      <c r="Q768" s="10"/>
      <c r="R768" s="10"/>
      <c r="S768" s="10"/>
      <c r="T768" s="14"/>
      <c r="U768" s="10"/>
      <c r="V768" s="10"/>
      <c r="W768" s="10"/>
      <c r="X768" s="7"/>
      <c r="Y768" s="7"/>
      <c r="Z768" s="7"/>
      <c r="AA768" s="34"/>
      <c r="AB768" s="7"/>
      <c r="AC768" s="34"/>
      <c r="AD768" s="10"/>
    </row>
    <row r="769" spans="1:30" x14ac:dyDescent="0.25">
      <c r="A769" s="7"/>
      <c r="C769" s="70"/>
      <c r="D769" s="70"/>
      <c r="E769" s="73"/>
      <c r="F769" s="9"/>
      <c r="H769" s="9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4"/>
      <c r="U769" s="10"/>
      <c r="V769" s="10"/>
      <c r="W769" s="10"/>
      <c r="X769" s="7"/>
      <c r="Y769" s="7"/>
      <c r="Z769" s="7"/>
      <c r="AA769" s="34"/>
      <c r="AB769" s="7"/>
      <c r="AC769" s="34"/>
      <c r="AD769" s="10"/>
    </row>
    <row r="770" spans="1:30" x14ac:dyDescent="0.25">
      <c r="A770" s="7"/>
      <c r="C770" s="70"/>
      <c r="D770" s="70"/>
      <c r="E770" s="73"/>
      <c r="F770" s="9"/>
      <c r="H770" s="9"/>
      <c r="I770" s="10"/>
      <c r="J770" s="7"/>
      <c r="K770" s="7"/>
      <c r="L770" s="10"/>
      <c r="M770" s="10"/>
      <c r="N770" s="10"/>
      <c r="O770" s="10"/>
      <c r="P770" s="10"/>
      <c r="Q770" s="10"/>
      <c r="R770" s="10"/>
      <c r="S770" s="10"/>
      <c r="T770" s="14"/>
      <c r="U770" s="10"/>
      <c r="V770" s="10"/>
      <c r="W770" s="10"/>
      <c r="X770" s="7"/>
      <c r="Y770" s="7"/>
      <c r="Z770" s="7"/>
      <c r="AA770" s="34"/>
      <c r="AB770" s="7"/>
      <c r="AC770" s="34"/>
      <c r="AD770" s="10"/>
    </row>
    <row r="771" spans="1:30" x14ac:dyDescent="0.25">
      <c r="A771" s="7"/>
      <c r="C771" s="70"/>
      <c r="D771" s="70"/>
      <c r="E771" s="78"/>
      <c r="F771" s="48"/>
      <c r="G771" s="56"/>
      <c r="H771" s="9"/>
      <c r="I771" s="10"/>
      <c r="J771" s="7"/>
      <c r="K771" s="7"/>
      <c r="L771" s="10"/>
      <c r="M771" s="10"/>
      <c r="N771" s="10"/>
      <c r="O771" s="10"/>
      <c r="P771" s="10"/>
      <c r="Q771" s="10"/>
      <c r="R771" s="10"/>
      <c r="S771" s="10"/>
      <c r="T771" s="14"/>
      <c r="U771" s="10"/>
      <c r="V771" s="10"/>
      <c r="W771" s="10"/>
      <c r="X771" s="7"/>
      <c r="Y771" s="7"/>
      <c r="Z771" s="7"/>
      <c r="AA771" s="34"/>
      <c r="AB771" s="7"/>
      <c r="AC771" s="34"/>
      <c r="AD771" s="10"/>
    </row>
    <row r="772" spans="1:30" x14ac:dyDescent="0.25">
      <c r="A772" s="7"/>
      <c r="C772" s="70"/>
      <c r="D772" s="70"/>
      <c r="E772" s="78"/>
      <c r="F772" s="48"/>
      <c r="G772" s="56"/>
      <c r="H772" s="9"/>
      <c r="I772" s="10"/>
      <c r="J772" s="7"/>
      <c r="K772" s="7"/>
      <c r="L772" s="10"/>
      <c r="M772" s="10"/>
      <c r="N772" s="10"/>
      <c r="O772" s="10"/>
      <c r="P772" s="10"/>
      <c r="Q772" s="10"/>
      <c r="R772" s="10"/>
      <c r="S772" s="10"/>
      <c r="T772" s="14"/>
      <c r="U772" s="10"/>
      <c r="V772" s="10"/>
      <c r="W772" s="10"/>
      <c r="X772" s="7"/>
      <c r="Y772" s="7"/>
      <c r="Z772" s="7"/>
      <c r="AA772" s="34"/>
      <c r="AB772" s="7"/>
      <c r="AC772" s="34"/>
      <c r="AD772" s="10"/>
    </row>
    <row r="773" spans="1:30" x14ac:dyDescent="0.25">
      <c r="A773" s="7"/>
      <c r="C773" s="70"/>
      <c r="D773" s="70"/>
      <c r="E773" s="73"/>
      <c r="F773" s="9"/>
      <c r="H773" s="9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4"/>
      <c r="U773" s="10"/>
      <c r="V773" s="10"/>
      <c r="W773" s="10"/>
      <c r="X773" s="7"/>
      <c r="Y773" s="7"/>
      <c r="Z773" s="7"/>
      <c r="AA773" s="34"/>
      <c r="AB773" s="7"/>
      <c r="AC773" s="34"/>
      <c r="AD773" s="10"/>
    </row>
    <row r="774" spans="1:30" x14ac:dyDescent="0.25">
      <c r="A774" s="7"/>
      <c r="C774" s="70"/>
      <c r="D774" s="70"/>
      <c r="E774" s="73"/>
      <c r="F774" s="9"/>
      <c r="H774" s="9"/>
      <c r="I774" s="10"/>
      <c r="J774" s="10"/>
      <c r="K774" s="7"/>
      <c r="L774" s="10"/>
      <c r="M774" s="10"/>
      <c r="N774" s="10"/>
      <c r="O774" s="10"/>
      <c r="P774" s="10"/>
      <c r="Q774" s="10"/>
      <c r="R774" s="10"/>
      <c r="S774" s="10"/>
      <c r="T774" s="14"/>
      <c r="U774" s="10"/>
      <c r="V774" s="10"/>
      <c r="W774" s="10"/>
      <c r="X774" s="7"/>
      <c r="Y774" s="7"/>
      <c r="Z774" s="7"/>
      <c r="AA774" s="34"/>
      <c r="AB774" s="7"/>
      <c r="AC774" s="34"/>
      <c r="AD774" s="10"/>
    </row>
    <row r="775" spans="1:30" x14ac:dyDescent="0.25">
      <c r="A775" s="7"/>
      <c r="C775" s="70"/>
      <c r="D775" s="70"/>
      <c r="E775" s="73"/>
      <c r="F775" s="9"/>
      <c r="H775" s="9"/>
      <c r="I775" s="10"/>
      <c r="J775" s="10"/>
      <c r="K775" s="7"/>
      <c r="L775" s="10"/>
      <c r="M775" s="10"/>
      <c r="N775" s="10"/>
      <c r="O775" s="10"/>
      <c r="P775" s="10"/>
      <c r="Q775" s="10"/>
      <c r="R775" s="10"/>
      <c r="S775" s="10"/>
      <c r="T775" s="14"/>
      <c r="U775" s="10"/>
      <c r="V775" s="10"/>
      <c r="W775" s="10"/>
      <c r="X775" s="7"/>
      <c r="Y775" s="7"/>
      <c r="Z775" s="7"/>
      <c r="AA775" s="34"/>
      <c r="AB775" s="7"/>
      <c r="AC775" s="34"/>
      <c r="AD775" s="10"/>
    </row>
    <row r="776" spans="1:30" x14ac:dyDescent="0.25">
      <c r="A776" s="7"/>
      <c r="C776" s="70"/>
      <c r="D776" s="70"/>
      <c r="E776" s="73"/>
      <c r="F776" s="48"/>
      <c r="H776" s="9"/>
      <c r="I776" s="10"/>
      <c r="J776" s="10"/>
      <c r="K776" s="7"/>
      <c r="L776" s="10"/>
      <c r="M776" s="10"/>
      <c r="N776" s="10"/>
      <c r="O776" s="10"/>
      <c r="P776" s="10"/>
      <c r="Q776" s="10"/>
      <c r="R776" s="10"/>
      <c r="S776" s="10"/>
      <c r="T776" s="14"/>
      <c r="U776" s="10"/>
      <c r="V776" s="10"/>
      <c r="W776" s="10"/>
      <c r="X776" s="7"/>
      <c r="Y776" s="34"/>
      <c r="Z776" s="7"/>
      <c r="AA776" s="34"/>
      <c r="AB776" s="7"/>
      <c r="AC776" s="34"/>
      <c r="AD776" s="10"/>
    </row>
    <row r="777" spans="1:30" x14ac:dyDescent="0.25">
      <c r="A777" s="7"/>
      <c r="C777" s="70"/>
      <c r="D777" s="70"/>
      <c r="E777" s="73"/>
      <c r="F777" s="9"/>
      <c r="H777" s="9"/>
      <c r="I777" s="10"/>
      <c r="J777" s="7"/>
      <c r="K777" s="7"/>
      <c r="L777" s="10"/>
      <c r="M777" s="10"/>
      <c r="N777" s="10"/>
      <c r="O777" s="10"/>
      <c r="P777" s="10"/>
      <c r="Q777" s="10"/>
      <c r="R777" s="10"/>
      <c r="S777" s="10"/>
      <c r="T777" s="14"/>
      <c r="U777" s="10"/>
      <c r="V777" s="10"/>
      <c r="W777" s="10"/>
      <c r="X777" s="7"/>
      <c r="Y777" s="7"/>
      <c r="Z777" s="7"/>
      <c r="AA777" s="34"/>
      <c r="AB777" s="7"/>
      <c r="AC777" s="34"/>
      <c r="AD777" s="10"/>
    </row>
    <row r="778" spans="1:30" x14ac:dyDescent="0.25">
      <c r="A778" s="7"/>
      <c r="C778" s="70"/>
      <c r="D778" s="70"/>
      <c r="E778" s="73"/>
      <c r="F778" s="9"/>
      <c r="H778" s="9"/>
      <c r="I778" s="10"/>
      <c r="J778" s="7"/>
      <c r="K778" s="7"/>
      <c r="L778" s="34"/>
      <c r="M778" s="34"/>
      <c r="N778" s="10"/>
      <c r="O778" s="10"/>
      <c r="P778" s="10"/>
      <c r="Q778" s="10"/>
      <c r="R778" s="10"/>
      <c r="S778" s="10"/>
      <c r="T778" s="14"/>
      <c r="U778" s="10"/>
      <c r="V778" s="10"/>
      <c r="W778" s="10"/>
      <c r="X778" s="34"/>
      <c r="Y778" s="7"/>
      <c r="Z778" s="7"/>
      <c r="AA778" s="34"/>
      <c r="AB778" s="7"/>
      <c r="AC778" s="34"/>
      <c r="AD778" s="10"/>
    </row>
    <row r="779" spans="1:30" x14ac:dyDescent="0.25">
      <c r="A779" s="7"/>
      <c r="C779" s="70"/>
      <c r="D779" s="70"/>
      <c r="E779" s="73"/>
      <c r="F779" s="9"/>
      <c r="H779" s="9"/>
      <c r="I779" s="7"/>
      <c r="J779" s="7"/>
      <c r="K779" s="7"/>
      <c r="L779" s="14"/>
      <c r="M779" s="10"/>
      <c r="N779" s="10"/>
      <c r="O779" s="10"/>
      <c r="P779" s="10"/>
      <c r="Q779" s="10"/>
      <c r="R779" s="10"/>
      <c r="S779" s="10"/>
      <c r="T779" s="14"/>
      <c r="U779" s="10"/>
      <c r="V779" s="10"/>
      <c r="W779" s="10"/>
      <c r="X779" s="7"/>
      <c r="Y779" s="7"/>
      <c r="Z779" s="7"/>
      <c r="AA779" s="34"/>
      <c r="AB779" s="7"/>
      <c r="AC779" s="34"/>
      <c r="AD779" s="10"/>
    </row>
    <row r="780" spans="1:30" x14ac:dyDescent="0.25">
      <c r="A780" s="7"/>
      <c r="C780" s="70"/>
      <c r="D780" s="70"/>
      <c r="E780" s="73"/>
      <c r="F780" s="9"/>
      <c r="H780" s="9"/>
      <c r="I780" s="10"/>
      <c r="J780" s="7"/>
      <c r="K780" s="24"/>
      <c r="L780" s="10"/>
      <c r="M780" s="10"/>
      <c r="N780" s="10"/>
      <c r="O780" s="10"/>
      <c r="P780" s="10"/>
      <c r="Q780" s="10"/>
      <c r="R780" s="10"/>
      <c r="S780" s="10"/>
      <c r="T780" s="14"/>
      <c r="U780" s="10"/>
      <c r="V780" s="10"/>
      <c r="W780" s="10"/>
      <c r="X780" s="7"/>
      <c r="Y780" s="7"/>
      <c r="Z780" s="7"/>
      <c r="AA780" s="34"/>
      <c r="AB780" s="7"/>
      <c r="AC780" s="34"/>
      <c r="AD780" s="10"/>
    </row>
    <row r="781" spans="1:30" x14ac:dyDescent="0.25">
      <c r="A781" s="7"/>
      <c r="C781" s="70"/>
      <c r="D781" s="70"/>
      <c r="E781" s="73"/>
      <c r="F781" s="9"/>
      <c r="H781" s="9"/>
      <c r="I781" s="10"/>
      <c r="J781" s="7"/>
      <c r="K781" s="7"/>
      <c r="L781" s="10"/>
      <c r="M781" s="10"/>
      <c r="N781" s="10"/>
      <c r="O781" s="10"/>
      <c r="P781" s="10"/>
      <c r="Q781" s="10"/>
      <c r="R781" s="10"/>
      <c r="S781" s="10"/>
      <c r="T781" s="14"/>
      <c r="U781" s="10"/>
      <c r="V781" s="10"/>
      <c r="W781" s="10"/>
      <c r="X781" s="7"/>
      <c r="Y781" s="7"/>
      <c r="Z781" s="7"/>
      <c r="AA781" s="34"/>
      <c r="AB781" s="7"/>
      <c r="AC781" s="34"/>
      <c r="AD781" s="10"/>
    </row>
    <row r="782" spans="1:30" x14ac:dyDescent="0.25">
      <c r="A782" s="7"/>
      <c r="C782" s="70"/>
      <c r="D782" s="70"/>
      <c r="E782" s="73"/>
      <c r="F782" s="9"/>
      <c r="H782" s="9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4"/>
      <c r="U782" s="10"/>
      <c r="V782" s="10"/>
      <c r="W782" s="10"/>
      <c r="X782" s="7"/>
      <c r="Y782" s="7"/>
      <c r="Z782" s="34"/>
      <c r="AA782" s="34"/>
      <c r="AB782" s="7"/>
      <c r="AC782" s="34"/>
      <c r="AD782" s="10"/>
    </row>
    <row r="783" spans="1:30" x14ac:dyDescent="0.25">
      <c r="A783" s="7"/>
      <c r="C783" s="70"/>
      <c r="D783" s="70"/>
      <c r="E783" s="73"/>
      <c r="F783" s="9"/>
      <c r="H783" s="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4"/>
      <c r="U783" s="10"/>
      <c r="V783" s="10"/>
      <c r="W783" s="10"/>
      <c r="X783" s="7"/>
      <c r="Y783" s="7"/>
      <c r="Z783" s="7"/>
      <c r="AA783" s="34"/>
      <c r="AB783" s="7"/>
      <c r="AC783" s="34"/>
      <c r="AD783" s="10"/>
    </row>
    <row r="784" spans="1:30" x14ac:dyDescent="0.25">
      <c r="A784" s="7"/>
      <c r="C784" s="70"/>
      <c r="D784" s="70"/>
      <c r="E784" s="73"/>
      <c r="F784" s="9"/>
      <c r="H784" s="9"/>
      <c r="I784" s="10"/>
      <c r="J784" s="7"/>
      <c r="K784" s="10"/>
      <c r="L784" s="10"/>
      <c r="M784" s="10"/>
      <c r="N784" s="10"/>
      <c r="O784" s="10"/>
      <c r="P784" s="10"/>
      <c r="Q784" s="10"/>
      <c r="R784" s="10"/>
      <c r="S784" s="10"/>
      <c r="T784" s="14"/>
      <c r="U784" s="10"/>
      <c r="V784" s="10"/>
      <c r="W784" s="10"/>
      <c r="X784" s="7"/>
      <c r="Y784" s="7"/>
      <c r="Z784" s="7"/>
      <c r="AA784" s="34"/>
      <c r="AB784" s="7"/>
      <c r="AC784" s="34"/>
      <c r="AD784" s="10"/>
    </row>
    <row r="785" spans="1:30" x14ac:dyDescent="0.25">
      <c r="A785" s="7"/>
      <c r="C785" s="70"/>
      <c r="D785" s="70"/>
      <c r="E785" s="73"/>
      <c r="F785" s="9"/>
      <c r="H785" s="9"/>
      <c r="I785" s="10"/>
      <c r="J785" s="7"/>
      <c r="K785" s="7"/>
      <c r="L785" s="10"/>
      <c r="M785" s="10"/>
      <c r="N785" s="10"/>
      <c r="O785" s="10"/>
      <c r="P785" s="10"/>
      <c r="Q785" s="10"/>
      <c r="R785" s="10"/>
      <c r="S785" s="10"/>
      <c r="T785" s="14"/>
      <c r="U785" s="10"/>
      <c r="V785" s="10"/>
      <c r="W785" s="10"/>
      <c r="X785" s="7"/>
      <c r="Y785" s="7"/>
      <c r="Z785" s="7"/>
      <c r="AA785" s="34"/>
      <c r="AB785" s="7"/>
      <c r="AC785" s="34"/>
      <c r="AD785" s="10"/>
    </row>
    <row r="786" spans="1:30" x14ac:dyDescent="0.25">
      <c r="A786" s="7"/>
      <c r="C786" s="70"/>
      <c r="D786" s="70"/>
      <c r="E786" s="73"/>
      <c r="F786" s="9"/>
      <c r="H786" s="9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4"/>
      <c r="U786" s="10"/>
      <c r="V786" s="10"/>
      <c r="W786" s="10"/>
      <c r="X786" s="7"/>
      <c r="Y786" s="7"/>
      <c r="Z786" s="7"/>
      <c r="AA786" s="34"/>
      <c r="AB786" s="7"/>
      <c r="AC786" s="34"/>
      <c r="AD786" s="10"/>
    </row>
    <row r="787" spans="1:30" x14ac:dyDescent="0.25">
      <c r="A787" s="7"/>
      <c r="C787" s="70"/>
      <c r="D787" s="70"/>
      <c r="E787" s="73"/>
      <c r="F787" s="9"/>
      <c r="H787" s="9"/>
      <c r="I787" s="10"/>
      <c r="J787" s="7"/>
      <c r="K787" s="7"/>
      <c r="L787" s="10"/>
      <c r="M787" s="10"/>
      <c r="N787" s="10"/>
      <c r="O787" s="10"/>
      <c r="P787" s="10"/>
      <c r="Q787" s="10"/>
      <c r="R787" s="10"/>
      <c r="S787" s="10"/>
      <c r="T787" s="14"/>
      <c r="U787" s="10"/>
      <c r="V787" s="10"/>
      <c r="W787" s="10"/>
      <c r="X787" s="7"/>
      <c r="Y787" s="7"/>
      <c r="Z787" s="34"/>
      <c r="AA787" s="34"/>
      <c r="AB787" s="7"/>
      <c r="AC787" s="34"/>
      <c r="AD787" s="10"/>
    </row>
    <row r="788" spans="1:30" x14ac:dyDescent="0.25">
      <c r="A788" s="7"/>
      <c r="C788" s="70"/>
      <c r="D788" s="70"/>
      <c r="E788" s="73"/>
      <c r="F788" s="9"/>
      <c r="H788" s="9"/>
      <c r="I788" s="10"/>
      <c r="J788" s="10"/>
      <c r="K788" s="24"/>
      <c r="L788" s="10"/>
      <c r="M788" s="10"/>
      <c r="N788" s="10"/>
      <c r="O788" s="10"/>
      <c r="P788" s="10"/>
      <c r="Q788" s="10"/>
      <c r="R788" s="10"/>
      <c r="S788" s="10"/>
      <c r="T788" s="14"/>
      <c r="U788" s="10"/>
      <c r="V788" s="10"/>
      <c r="W788" s="10"/>
      <c r="X788" s="7"/>
      <c r="Y788" s="7"/>
      <c r="Z788" s="7"/>
      <c r="AA788" s="34"/>
      <c r="AB788" s="7"/>
      <c r="AC788" s="34"/>
      <c r="AD788" s="10"/>
    </row>
    <row r="789" spans="1:30" x14ac:dyDescent="0.25">
      <c r="A789" s="7"/>
      <c r="C789" s="70"/>
      <c r="D789" s="70"/>
      <c r="E789" s="73"/>
      <c r="F789" s="9"/>
      <c r="H789" s="9"/>
      <c r="I789" s="10"/>
      <c r="J789" s="10"/>
      <c r="K789" s="7"/>
      <c r="L789" s="10"/>
      <c r="M789" s="10"/>
      <c r="N789" s="10"/>
      <c r="O789" s="10"/>
      <c r="P789" s="10"/>
      <c r="Q789" s="10"/>
      <c r="R789" s="10"/>
      <c r="S789" s="10"/>
      <c r="T789" s="14"/>
      <c r="U789" s="10"/>
      <c r="V789" s="10"/>
      <c r="W789" s="10"/>
      <c r="X789" s="7"/>
      <c r="Y789" s="7"/>
      <c r="Z789" s="7"/>
      <c r="AA789" s="34"/>
      <c r="AB789" s="7"/>
      <c r="AC789" s="34"/>
      <c r="AD789" s="10"/>
    </row>
    <row r="790" spans="1:30" x14ac:dyDescent="0.25">
      <c r="A790" s="7"/>
      <c r="C790" s="70"/>
      <c r="D790" s="70"/>
      <c r="E790" s="73"/>
      <c r="F790" s="9"/>
      <c r="H790" s="9"/>
      <c r="I790" s="10"/>
      <c r="J790" s="7"/>
      <c r="K790" s="7"/>
      <c r="L790" s="10"/>
      <c r="M790" s="10"/>
      <c r="N790" s="10"/>
      <c r="O790" s="10"/>
      <c r="P790" s="10"/>
      <c r="Q790" s="10"/>
      <c r="R790" s="10"/>
      <c r="S790" s="10"/>
      <c r="T790" s="14"/>
      <c r="U790" s="10"/>
      <c r="V790" s="10"/>
      <c r="W790" s="10"/>
      <c r="X790" s="7"/>
      <c r="Y790" s="7"/>
      <c r="Z790" s="7"/>
      <c r="AA790" s="34"/>
      <c r="AB790" s="7"/>
      <c r="AC790" s="34"/>
      <c r="AD790" s="10"/>
    </row>
    <row r="791" spans="1:30" x14ac:dyDescent="0.25">
      <c r="A791" s="7"/>
      <c r="C791" s="70"/>
      <c r="D791" s="70"/>
      <c r="E791" s="73"/>
      <c r="F791" s="9"/>
      <c r="H791" s="9"/>
      <c r="I791" s="10"/>
      <c r="J791" s="7"/>
      <c r="K791" s="7"/>
      <c r="L791" s="10"/>
      <c r="M791" s="10"/>
      <c r="N791" s="10"/>
      <c r="O791" s="10"/>
      <c r="P791" s="10"/>
      <c r="Q791" s="10"/>
      <c r="R791" s="10"/>
      <c r="S791" s="10"/>
      <c r="T791" s="14"/>
      <c r="U791" s="10"/>
      <c r="V791" s="10"/>
      <c r="W791" s="10"/>
      <c r="X791" s="7"/>
      <c r="Y791" s="7"/>
      <c r="Z791" s="7"/>
      <c r="AA791" s="34"/>
      <c r="AB791" s="7"/>
      <c r="AC791" s="34"/>
      <c r="AD791" s="10"/>
    </row>
    <row r="792" spans="1:30" x14ac:dyDescent="0.25">
      <c r="A792" s="7"/>
      <c r="C792" s="70"/>
      <c r="D792" s="70"/>
      <c r="E792" s="73"/>
      <c r="F792" s="9"/>
      <c r="H792" s="9"/>
      <c r="I792" s="10"/>
      <c r="J792" s="7"/>
      <c r="K792" s="7"/>
      <c r="L792" s="10"/>
      <c r="M792" s="10"/>
      <c r="N792" s="10"/>
      <c r="O792" s="10"/>
      <c r="P792" s="10"/>
      <c r="Q792" s="10"/>
      <c r="R792" s="10"/>
      <c r="S792" s="10"/>
      <c r="T792" s="14"/>
      <c r="U792" s="10"/>
      <c r="V792" s="10"/>
      <c r="W792" s="10"/>
      <c r="X792" s="7"/>
      <c r="Y792" s="34"/>
      <c r="Z792" s="7"/>
      <c r="AA792" s="34"/>
      <c r="AB792" s="7"/>
      <c r="AC792" s="34"/>
      <c r="AD792" s="10"/>
    </row>
    <row r="793" spans="1:30" x14ac:dyDescent="0.25">
      <c r="A793" s="7"/>
      <c r="C793" s="70"/>
      <c r="D793" s="70"/>
      <c r="E793" s="73"/>
      <c r="F793" s="9"/>
      <c r="H793" s="9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4"/>
      <c r="U793" s="10"/>
      <c r="V793" s="10"/>
      <c r="W793" s="10"/>
      <c r="X793" s="7"/>
      <c r="Y793" s="7"/>
      <c r="Z793" s="34"/>
      <c r="AA793" s="34"/>
      <c r="AB793" s="7"/>
      <c r="AC793" s="34"/>
      <c r="AD793" s="10"/>
    </row>
    <row r="794" spans="1:30" x14ac:dyDescent="0.25">
      <c r="A794" s="7"/>
      <c r="C794" s="70"/>
      <c r="D794" s="70"/>
      <c r="E794" s="73"/>
      <c r="F794" s="9"/>
      <c r="H794" s="9"/>
      <c r="I794" s="10"/>
      <c r="J794" s="10"/>
      <c r="K794" s="7"/>
      <c r="L794" s="10"/>
      <c r="M794" s="10"/>
      <c r="N794" s="10"/>
      <c r="O794" s="10"/>
      <c r="P794" s="10"/>
      <c r="Q794" s="10"/>
      <c r="R794" s="10"/>
      <c r="S794" s="10"/>
      <c r="T794" s="14"/>
      <c r="U794" s="10"/>
      <c r="V794" s="10"/>
      <c r="W794" s="10"/>
      <c r="X794" s="7"/>
      <c r="Y794" s="7"/>
      <c r="Z794" s="7"/>
      <c r="AA794" s="34"/>
      <c r="AB794" s="7"/>
      <c r="AC794" s="34"/>
      <c r="AD794" s="10"/>
    </row>
    <row r="795" spans="1:30" x14ac:dyDescent="0.25">
      <c r="A795" s="7"/>
      <c r="C795" s="70"/>
      <c r="D795" s="70"/>
      <c r="E795" s="73"/>
      <c r="F795" s="9"/>
      <c r="H795" s="9"/>
      <c r="I795" s="10"/>
      <c r="J795" s="7"/>
      <c r="K795" s="7"/>
      <c r="L795" s="10"/>
      <c r="M795" s="10"/>
      <c r="N795" s="10"/>
      <c r="O795" s="10"/>
      <c r="P795" s="10"/>
      <c r="Q795" s="10"/>
      <c r="R795" s="10"/>
      <c r="S795" s="10"/>
      <c r="T795" s="14"/>
      <c r="U795" s="10"/>
      <c r="V795" s="10"/>
      <c r="W795" s="10"/>
      <c r="X795" s="7"/>
      <c r="Y795" s="7"/>
      <c r="Z795" s="34"/>
      <c r="AA795" s="34"/>
      <c r="AB795" s="7"/>
      <c r="AC795" s="34"/>
      <c r="AD795" s="10"/>
    </row>
    <row r="796" spans="1:30" x14ac:dyDescent="0.25">
      <c r="A796" s="7"/>
      <c r="C796" s="70"/>
      <c r="D796" s="70"/>
      <c r="E796" s="73"/>
      <c r="F796" s="9"/>
      <c r="H796" s="9"/>
      <c r="I796" s="10"/>
      <c r="J796" s="10"/>
      <c r="K796" s="7"/>
      <c r="L796" s="10"/>
      <c r="M796" s="10"/>
      <c r="N796" s="10"/>
      <c r="O796" s="10"/>
      <c r="P796" s="10"/>
      <c r="Q796" s="10"/>
      <c r="R796" s="10"/>
      <c r="S796" s="10"/>
      <c r="T796" s="14"/>
      <c r="U796" s="10"/>
      <c r="V796" s="10"/>
      <c r="W796" s="10"/>
      <c r="X796" s="7"/>
      <c r="Y796" s="7"/>
      <c r="Z796" s="34"/>
      <c r="AA796" s="34"/>
      <c r="AB796" s="7"/>
      <c r="AC796" s="34"/>
      <c r="AD796" s="10"/>
    </row>
    <row r="797" spans="1:30" x14ac:dyDescent="0.25">
      <c r="A797" s="7"/>
      <c r="C797" s="70"/>
      <c r="D797" s="70"/>
      <c r="E797" s="73"/>
      <c r="F797" s="45"/>
      <c r="H797" s="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4"/>
      <c r="U797" s="10"/>
      <c r="V797" s="10"/>
      <c r="W797" s="10"/>
      <c r="X797" s="7"/>
      <c r="Y797" s="7"/>
      <c r="Z797" s="34"/>
      <c r="AA797" s="34"/>
      <c r="AB797" s="7"/>
      <c r="AC797" s="34"/>
      <c r="AD797" s="10"/>
    </row>
    <row r="798" spans="1:30" x14ac:dyDescent="0.25">
      <c r="A798" s="7"/>
      <c r="C798" s="70"/>
      <c r="D798" s="70"/>
      <c r="E798" s="73"/>
      <c r="F798" s="9"/>
      <c r="H798" s="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4"/>
      <c r="U798" s="10"/>
      <c r="V798" s="10"/>
      <c r="W798" s="10"/>
      <c r="X798" s="7"/>
      <c r="Y798" s="7"/>
      <c r="Z798" s="7"/>
      <c r="AA798" s="34"/>
      <c r="AB798" s="7"/>
      <c r="AC798" s="34"/>
      <c r="AD798" s="10"/>
    </row>
    <row r="799" spans="1:30" x14ac:dyDescent="0.25">
      <c r="A799" s="7"/>
      <c r="C799" s="70"/>
      <c r="D799" s="70"/>
      <c r="E799" s="73"/>
      <c r="F799" s="9"/>
      <c r="H799" s="9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4"/>
      <c r="U799" s="10"/>
      <c r="V799" s="10"/>
      <c r="W799" s="10"/>
      <c r="X799" s="7"/>
      <c r="Y799" s="7"/>
      <c r="Z799" s="7"/>
      <c r="AA799" s="34"/>
      <c r="AB799" s="7"/>
      <c r="AC799" s="34"/>
      <c r="AD799" s="10"/>
    </row>
    <row r="800" spans="1:30" x14ac:dyDescent="0.25">
      <c r="A800" s="7"/>
      <c r="C800" s="70"/>
      <c r="D800" s="70"/>
      <c r="E800" s="73"/>
      <c r="F800" s="9"/>
      <c r="H800" s="9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4"/>
      <c r="U800" s="10"/>
      <c r="V800" s="10"/>
      <c r="W800" s="10"/>
      <c r="X800" s="7"/>
      <c r="Y800" s="7"/>
      <c r="Z800" s="7"/>
      <c r="AA800" s="34"/>
      <c r="AB800" s="7"/>
      <c r="AC800" s="34"/>
      <c r="AD800" s="10"/>
    </row>
    <row r="801" spans="1:30" x14ac:dyDescent="0.25">
      <c r="A801" s="7"/>
      <c r="C801" s="70"/>
      <c r="D801" s="70"/>
      <c r="E801" s="73"/>
      <c r="F801" s="9"/>
      <c r="H801" s="9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4"/>
      <c r="U801" s="10"/>
      <c r="V801" s="10"/>
      <c r="W801" s="10"/>
      <c r="X801" s="7"/>
      <c r="Y801" s="7"/>
      <c r="Z801" s="7"/>
      <c r="AA801" s="34"/>
      <c r="AB801" s="7"/>
      <c r="AC801" s="34"/>
      <c r="AD801" s="10"/>
    </row>
    <row r="802" spans="1:30" x14ac:dyDescent="0.25">
      <c r="A802" s="7"/>
      <c r="C802" s="70"/>
      <c r="D802" s="70"/>
      <c r="E802" s="73"/>
      <c r="F802" s="9"/>
      <c r="H802" s="9"/>
      <c r="I802" s="10"/>
      <c r="J802" s="10"/>
      <c r="K802" s="7"/>
      <c r="L802" s="10"/>
      <c r="M802" s="10"/>
      <c r="N802" s="10"/>
      <c r="O802" s="10"/>
      <c r="P802" s="10"/>
      <c r="Q802" s="10"/>
      <c r="R802" s="10"/>
      <c r="S802" s="10"/>
      <c r="T802" s="14"/>
      <c r="U802" s="10"/>
      <c r="V802" s="10"/>
      <c r="W802" s="10"/>
      <c r="X802" s="7"/>
      <c r="Y802" s="7"/>
      <c r="Z802" s="7"/>
      <c r="AA802" s="34"/>
      <c r="AB802" s="7"/>
      <c r="AC802" s="34"/>
      <c r="AD802" s="10"/>
    </row>
    <row r="803" spans="1:30" x14ac:dyDescent="0.25">
      <c r="A803" s="7"/>
      <c r="C803" s="70"/>
      <c r="D803" s="70"/>
      <c r="E803" s="73"/>
      <c r="F803" s="9"/>
      <c r="H803" s="9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4"/>
      <c r="U803" s="10"/>
      <c r="V803" s="10"/>
      <c r="W803" s="10"/>
      <c r="X803" s="7"/>
      <c r="Y803" s="7"/>
      <c r="Z803" s="7"/>
      <c r="AA803" s="34"/>
      <c r="AB803" s="7"/>
      <c r="AC803" s="34"/>
      <c r="AD803" s="10"/>
    </row>
    <row r="804" spans="1:30" x14ac:dyDescent="0.25">
      <c r="A804" s="7"/>
      <c r="C804" s="70"/>
      <c r="D804" s="70"/>
      <c r="E804" s="73"/>
      <c r="F804" s="9"/>
      <c r="H804" s="9"/>
      <c r="I804" s="10"/>
      <c r="J804" s="10"/>
      <c r="K804" s="7"/>
      <c r="L804" s="10"/>
      <c r="M804" s="10"/>
      <c r="N804" s="10"/>
      <c r="O804" s="10"/>
      <c r="P804" s="10"/>
      <c r="Q804" s="10"/>
      <c r="R804" s="10"/>
      <c r="S804" s="10"/>
      <c r="T804" s="14"/>
      <c r="U804" s="10"/>
      <c r="V804" s="10"/>
      <c r="W804" s="10"/>
      <c r="X804" s="7"/>
      <c r="Y804" s="7"/>
      <c r="Z804" s="34"/>
      <c r="AA804" s="34"/>
      <c r="AB804" s="7"/>
      <c r="AC804" s="34"/>
      <c r="AD804" s="10"/>
    </row>
    <row r="805" spans="1:30" x14ac:dyDescent="0.25">
      <c r="A805" s="7"/>
      <c r="C805" s="70"/>
      <c r="D805" s="70"/>
      <c r="E805" s="73"/>
      <c r="F805" s="9"/>
      <c r="H805" s="9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4"/>
      <c r="U805" s="10"/>
      <c r="V805" s="10"/>
      <c r="W805" s="10"/>
      <c r="X805" s="7"/>
      <c r="Y805" s="7"/>
      <c r="Z805" s="34"/>
      <c r="AA805" s="34"/>
      <c r="AB805" s="7"/>
      <c r="AC805" s="34"/>
      <c r="AD805" s="10"/>
    </row>
    <row r="806" spans="1:30" x14ac:dyDescent="0.25">
      <c r="A806" s="7"/>
      <c r="C806" s="70"/>
      <c r="D806" s="70"/>
      <c r="E806" s="73"/>
      <c r="F806" s="9"/>
      <c r="H806" s="9"/>
      <c r="I806" s="10"/>
      <c r="J806" s="7"/>
      <c r="K806" s="24"/>
      <c r="L806" s="10"/>
      <c r="M806" s="10"/>
      <c r="N806" s="10"/>
      <c r="O806" s="10"/>
      <c r="P806" s="10"/>
      <c r="Q806" s="10"/>
      <c r="R806" s="10"/>
      <c r="S806" s="10"/>
      <c r="T806" s="14"/>
      <c r="U806" s="10"/>
      <c r="V806" s="10"/>
      <c r="W806" s="10"/>
      <c r="X806" s="7"/>
      <c r="Y806" s="7"/>
      <c r="Z806" s="7"/>
      <c r="AA806" s="34"/>
      <c r="AB806" s="7"/>
      <c r="AC806" s="34"/>
      <c r="AD806" s="10"/>
    </row>
    <row r="807" spans="1:30" x14ac:dyDescent="0.25">
      <c r="A807" s="7"/>
      <c r="C807" s="70"/>
      <c r="D807" s="70"/>
      <c r="E807" s="73"/>
      <c r="F807" s="9"/>
      <c r="H807" s="9"/>
      <c r="I807" s="10"/>
      <c r="J807" s="7"/>
      <c r="K807" s="7"/>
      <c r="L807" s="10"/>
      <c r="M807" s="10"/>
      <c r="N807" s="10"/>
      <c r="O807" s="10"/>
      <c r="P807" s="10"/>
      <c r="Q807" s="10"/>
      <c r="R807" s="10"/>
      <c r="S807" s="10"/>
      <c r="T807" s="14"/>
      <c r="U807" s="10"/>
      <c r="V807" s="10"/>
      <c r="W807" s="10"/>
      <c r="X807" s="7"/>
      <c r="Y807" s="7"/>
      <c r="Z807" s="7"/>
      <c r="AA807" s="34"/>
      <c r="AB807" s="7"/>
      <c r="AC807" s="34"/>
      <c r="AD807" s="10"/>
    </row>
    <row r="808" spans="1:30" x14ac:dyDescent="0.25">
      <c r="A808" s="7"/>
      <c r="C808" s="70"/>
      <c r="D808" s="70"/>
      <c r="E808" s="73"/>
      <c r="F808" s="9"/>
      <c r="H808" s="9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4"/>
      <c r="U808" s="10"/>
      <c r="V808" s="10"/>
      <c r="W808" s="10"/>
      <c r="X808" s="7"/>
      <c r="Y808" s="7"/>
      <c r="Z808" s="7"/>
      <c r="AA808" s="34"/>
      <c r="AB808" s="7"/>
      <c r="AC808" s="34"/>
      <c r="AD808" s="10"/>
    </row>
    <row r="809" spans="1:30" x14ac:dyDescent="0.25">
      <c r="A809" s="7"/>
      <c r="C809" s="70"/>
      <c r="D809" s="70"/>
      <c r="E809" s="73"/>
      <c r="F809" s="9"/>
      <c r="H809" s="9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4"/>
      <c r="U809" s="10"/>
      <c r="V809" s="10"/>
      <c r="W809" s="10"/>
      <c r="X809" s="7"/>
      <c r="Y809" s="7"/>
      <c r="Z809" s="7"/>
      <c r="AA809" s="34"/>
      <c r="AB809" s="7"/>
      <c r="AC809" s="34"/>
      <c r="AD809" s="10"/>
    </row>
    <row r="810" spans="1:30" x14ac:dyDescent="0.25">
      <c r="A810" s="7"/>
      <c r="C810" s="70"/>
      <c r="D810" s="70"/>
      <c r="E810" s="73"/>
      <c r="F810" s="9"/>
      <c r="H810" s="9"/>
      <c r="I810" s="10"/>
      <c r="J810" s="7"/>
      <c r="K810" s="24"/>
      <c r="L810" s="10"/>
      <c r="M810" s="10"/>
      <c r="N810" s="10"/>
      <c r="O810" s="10"/>
      <c r="P810" s="10"/>
      <c r="Q810" s="10"/>
      <c r="R810" s="10"/>
      <c r="S810" s="10"/>
      <c r="T810" s="14"/>
      <c r="U810" s="10"/>
      <c r="V810" s="10"/>
      <c r="W810" s="10"/>
      <c r="X810" s="7"/>
      <c r="Y810" s="7"/>
      <c r="Z810" s="7"/>
      <c r="AA810" s="34"/>
      <c r="AB810" s="7"/>
      <c r="AC810" s="34"/>
      <c r="AD810" s="10"/>
    </row>
    <row r="811" spans="1:30" x14ac:dyDescent="0.25">
      <c r="A811" s="7"/>
      <c r="C811" s="70"/>
      <c r="D811" s="70"/>
      <c r="E811" s="73"/>
      <c r="F811" s="9"/>
      <c r="H811" s="9"/>
      <c r="I811" s="10"/>
      <c r="J811" s="7"/>
      <c r="K811" s="24"/>
      <c r="L811" s="10"/>
      <c r="M811" s="10"/>
      <c r="N811" s="10"/>
      <c r="O811" s="10"/>
      <c r="P811" s="10"/>
      <c r="Q811" s="10"/>
      <c r="R811" s="10"/>
      <c r="S811" s="10"/>
      <c r="T811" s="14"/>
      <c r="U811" s="10"/>
      <c r="V811" s="10"/>
      <c r="W811" s="10"/>
      <c r="X811" s="7"/>
      <c r="Y811" s="7"/>
      <c r="Z811" s="7"/>
      <c r="AA811" s="34"/>
      <c r="AB811" s="7"/>
      <c r="AC811" s="34"/>
      <c r="AD811" s="10"/>
    </row>
    <row r="812" spans="1:30" x14ac:dyDescent="0.25">
      <c r="A812" s="7"/>
      <c r="C812" s="70"/>
      <c r="D812" s="70"/>
      <c r="E812" s="73"/>
      <c r="F812" s="9"/>
      <c r="H812" s="9"/>
      <c r="I812" s="10"/>
      <c r="J812" s="10"/>
      <c r="K812" s="7"/>
      <c r="L812" s="10"/>
      <c r="M812" s="10"/>
      <c r="N812" s="10"/>
      <c r="O812" s="10"/>
      <c r="P812" s="10"/>
      <c r="Q812" s="10"/>
      <c r="R812" s="10"/>
      <c r="S812" s="10"/>
      <c r="T812" s="14"/>
      <c r="U812" s="10"/>
      <c r="V812" s="10"/>
      <c r="W812" s="10"/>
      <c r="X812" s="7"/>
      <c r="Y812" s="7"/>
      <c r="Z812" s="34"/>
      <c r="AA812" s="34"/>
      <c r="AB812" s="7"/>
      <c r="AC812" s="34"/>
      <c r="AD812" s="10"/>
    </row>
    <row r="813" spans="1:30" x14ac:dyDescent="0.25">
      <c r="A813" s="7"/>
      <c r="C813" s="70"/>
      <c r="D813" s="70"/>
      <c r="E813" s="73"/>
      <c r="F813" s="9"/>
      <c r="H813" s="9"/>
      <c r="I813" s="10"/>
      <c r="J813" s="7"/>
      <c r="K813" s="7"/>
      <c r="L813" s="10"/>
      <c r="M813" s="10"/>
      <c r="N813" s="10"/>
      <c r="O813" s="10"/>
      <c r="P813" s="10"/>
      <c r="Q813" s="10"/>
      <c r="R813" s="10"/>
      <c r="S813" s="10"/>
      <c r="T813" s="14"/>
      <c r="U813" s="10"/>
      <c r="V813" s="10"/>
      <c r="W813" s="10"/>
      <c r="X813" s="7"/>
      <c r="Y813" s="7"/>
      <c r="Z813" s="34"/>
      <c r="AA813" s="34"/>
      <c r="AB813" s="7"/>
      <c r="AC813" s="34"/>
      <c r="AD813" s="10"/>
    </row>
    <row r="814" spans="1:30" x14ac:dyDescent="0.25">
      <c r="A814" s="7"/>
      <c r="C814" s="70"/>
      <c r="D814" s="70"/>
      <c r="E814" s="73"/>
      <c r="F814" s="9"/>
      <c r="H814" s="9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4"/>
      <c r="U814" s="10"/>
      <c r="V814" s="10"/>
      <c r="W814" s="10"/>
      <c r="X814" s="7"/>
      <c r="Y814" s="7"/>
      <c r="Z814" s="7"/>
      <c r="AA814" s="34"/>
      <c r="AB814" s="7"/>
      <c r="AC814" s="34"/>
      <c r="AD814" s="10"/>
    </row>
    <row r="815" spans="1:30" x14ac:dyDescent="0.25">
      <c r="A815" s="7"/>
      <c r="C815" s="70"/>
      <c r="D815" s="70"/>
      <c r="E815" s="73"/>
      <c r="F815" s="9"/>
      <c r="I815" s="10"/>
      <c r="J815" s="10"/>
      <c r="K815" s="10"/>
      <c r="L815" s="34"/>
      <c r="M815" s="34"/>
      <c r="N815" s="10"/>
      <c r="O815" s="10"/>
      <c r="P815" s="10"/>
      <c r="Q815" s="10"/>
      <c r="R815" s="10"/>
      <c r="S815" s="10"/>
      <c r="T815" s="14"/>
      <c r="U815" s="10"/>
      <c r="V815" s="10"/>
      <c r="W815" s="10"/>
      <c r="X815" s="7"/>
      <c r="Y815" s="7"/>
      <c r="Z815" s="7"/>
      <c r="AA815" s="34"/>
      <c r="AB815" s="7"/>
      <c r="AC815" s="34"/>
      <c r="AD815" s="10"/>
    </row>
    <row r="816" spans="1:30" x14ac:dyDescent="0.25">
      <c r="A816" s="7"/>
      <c r="C816" s="70"/>
      <c r="D816" s="70"/>
      <c r="E816" s="73"/>
      <c r="F816" s="9"/>
      <c r="H816" s="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4"/>
      <c r="U816" s="10"/>
      <c r="V816" s="10"/>
      <c r="W816" s="10"/>
      <c r="X816" s="7"/>
      <c r="Y816" s="7"/>
      <c r="Z816" s="7"/>
      <c r="AA816" s="34"/>
      <c r="AB816" s="7"/>
      <c r="AC816" s="34"/>
      <c r="AD816" s="10"/>
    </row>
    <row r="817" spans="1:30" x14ac:dyDescent="0.25">
      <c r="A817" s="7"/>
      <c r="C817" s="70"/>
      <c r="D817" s="70"/>
      <c r="E817" s="73"/>
      <c r="F817" s="9"/>
      <c r="H817" s="9"/>
      <c r="I817" s="10"/>
      <c r="J817" s="10"/>
      <c r="K817" s="7"/>
      <c r="L817" s="10"/>
      <c r="M817" s="10"/>
      <c r="N817" s="10"/>
      <c r="O817" s="10"/>
      <c r="P817" s="10"/>
      <c r="Q817" s="10"/>
      <c r="R817" s="10"/>
      <c r="S817" s="10"/>
      <c r="T817" s="14"/>
      <c r="U817" s="10"/>
      <c r="V817" s="10"/>
      <c r="W817" s="10"/>
      <c r="X817" s="7"/>
      <c r="Y817" s="7"/>
      <c r="Z817" s="7"/>
      <c r="AA817" s="34"/>
      <c r="AB817" s="7"/>
      <c r="AC817" s="34"/>
      <c r="AD817" s="10"/>
    </row>
    <row r="818" spans="1:30" x14ac:dyDescent="0.25">
      <c r="A818" s="7"/>
      <c r="C818" s="70"/>
      <c r="D818" s="70"/>
      <c r="E818" s="73"/>
      <c r="F818" s="9"/>
      <c r="H818" s="9"/>
      <c r="I818" s="10"/>
      <c r="J818" s="10"/>
      <c r="K818" s="7"/>
      <c r="L818" s="10"/>
      <c r="M818" s="10"/>
      <c r="N818" s="10"/>
      <c r="O818" s="10"/>
      <c r="P818" s="10"/>
      <c r="Q818" s="10"/>
      <c r="R818" s="10"/>
      <c r="S818" s="10"/>
      <c r="T818" s="14"/>
      <c r="U818" s="10"/>
      <c r="V818" s="10"/>
      <c r="W818" s="10"/>
      <c r="X818" s="7"/>
      <c r="Y818" s="34"/>
      <c r="Z818" s="7"/>
      <c r="AA818" s="34"/>
      <c r="AB818" s="7"/>
      <c r="AC818" s="34"/>
      <c r="AD818" s="10"/>
    </row>
    <row r="819" spans="1:30" x14ac:dyDescent="0.25">
      <c r="A819" s="7"/>
      <c r="C819" s="70"/>
      <c r="D819" s="70"/>
      <c r="E819" s="73"/>
      <c r="F819" s="9"/>
      <c r="H819" s="9"/>
      <c r="I819" s="10"/>
      <c r="J819" s="10"/>
      <c r="K819" s="7"/>
      <c r="L819" s="10"/>
      <c r="M819" s="10"/>
      <c r="N819" s="10"/>
      <c r="O819" s="10"/>
      <c r="P819" s="10"/>
      <c r="Q819" s="10"/>
      <c r="R819" s="10"/>
      <c r="S819" s="10"/>
      <c r="T819" s="14"/>
      <c r="U819" s="10"/>
      <c r="V819" s="10"/>
      <c r="W819" s="10"/>
      <c r="X819" s="7"/>
      <c r="Y819" s="34"/>
      <c r="Z819" s="7"/>
      <c r="AA819" s="34"/>
      <c r="AB819" s="7"/>
      <c r="AC819" s="34"/>
      <c r="AD819" s="10"/>
    </row>
    <row r="820" spans="1:30" x14ac:dyDescent="0.25">
      <c r="A820" s="43"/>
      <c r="C820" s="70"/>
      <c r="D820" s="70"/>
      <c r="E820" s="73"/>
      <c r="F820" s="9"/>
      <c r="H820" s="9"/>
      <c r="I820" s="10"/>
      <c r="J820" s="10"/>
      <c r="K820" s="7"/>
      <c r="L820" s="10"/>
      <c r="M820" s="10"/>
      <c r="N820" s="10"/>
      <c r="O820" s="10"/>
      <c r="P820" s="10"/>
      <c r="Q820" s="10"/>
      <c r="R820" s="10"/>
      <c r="S820" s="10"/>
      <c r="T820" s="14"/>
      <c r="U820" s="10"/>
      <c r="V820" s="10"/>
      <c r="W820" s="10"/>
      <c r="X820" s="7"/>
      <c r="Y820" s="34"/>
      <c r="Z820" s="7"/>
      <c r="AA820" s="34"/>
      <c r="AB820" s="7"/>
      <c r="AC820" s="34"/>
      <c r="AD820" s="10"/>
    </row>
    <row r="821" spans="1:30" x14ac:dyDescent="0.25">
      <c r="A821" s="7"/>
      <c r="B821" s="47"/>
      <c r="C821" s="70"/>
      <c r="D821" s="70"/>
      <c r="E821" s="73"/>
      <c r="F821" s="9"/>
      <c r="H821" s="9"/>
      <c r="I821" s="10"/>
      <c r="J821" s="10"/>
      <c r="K821" s="7"/>
      <c r="L821" s="10"/>
      <c r="M821" s="10"/>
      <c r="N821" s="10"/>
      <c r="O821" s="10"/>
      <c r="P821" s="10"/>
      <c r="Q821" s="10"/>
      <c r="R821" s="10"/>
      <c r="S821" s="10"/>
      <c r="T821" s="14"/>
      <c r="U821" s="10"/>
      <c r="V821" s="10"/>
      <c r="W821" s="10"/>
      <c r="X821" s="7"/>
      <c r="Y821" s="7"/>
      <c r="Z821" s="7"/>
      <c r="AA821" s="34"/>
      <c r="AB821" s="7"/>
      <c r="AC821" s="34"/>
      <c r="AD821" s="10"/>
    </row>
    <row r="822" spans="1:30" x14ac:dyDescent="0.25">
      <c r="A822" s="7"/>
      <c r="B822" s="47"/>
      <c r="C822" s="70"/>
      <c r="D822" s="70"/>
      <c r="E822" s="73"/>
      <c r="F822" s="9"/>
      <c r="H822" s="9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4"/>
      <c r="U822" s="10"/>
      <c r="V822" s="10"/>
      <c r="W822" s="10"/>
      <c r="X822" s="7"/>
      <c r="Y822" s="7"/>
      <c r="Z822" s="34"/>
      <c r="AA822" s="34"/>
      <c r="AB822" s="7"/>
      <c r="AC822" s="34"/>
      <c r="AD822" s="10"/>
    </row>
    <row r="823" spans="1:30" x14ac:dyDescent="0.25">
      <c r="A823" s="7"/>
      <c r="C823" s="70"/>
      <c r="D823" s="70"/>
      <c r="E823" s="73"/>
      <c r="F823" s="9"/>
      <c r="H823" s="9"/>
      <c r="I823" s="10"/>
      <c r="J823" s="10"/>
      <c r="K823" s="7"/>
      <c r="L823" s="10"/>
      <c r="M823" s="10"/>
      <c r="N823" s="10"/>
      <c r="O823" s="10"/>
      <c r="P823" s="10"/>
      <c r="Q823" s="10"/>
      <c r="R823" s="10"/>
      <c r="S823" s="10"/>
      <c r="T823" s="14"/>
      <c r="U823" s="10"/>
      <c r="V823" s="10"/>
      <c r="W823" s="10"/>
      <c r="X823" s="7"/>
      <c r="Y823" s="7"/>
      <c r="Z823" s="7"/>
      <c r="AA823" s="34"/>
      <c r="AB823" s="7"/>
      <c r="AC823" s="34"/>
      <c r="AD823" s="10"/>
    </row>
    <row r="824" spans="1:30" x14ac:dyDescent="0.25">
      <c r="A824" s="7"/>
      <c r="C824" s="70"/>
      <c r="D824" s="70"/>
      <c r="E824" s="73"/>
      <c r="F824" s="9"/>
      <c r="H824" s="9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4"/>
      <c r="U824" s="10"/>
      <c r="V824" s="10"/>
      <c r="W824" s="10"/>
      <c r="X824" s="7"/>
      <c r="Y824" s="7"/>
      <c r="Z824" s="34"/>
      <c r="AA824" s="34"/>
      <c r="AB824" s="7"/>
      <c r="AC824" s="34"/>
      <c r="AD824" s="10"/>
    </row>
    <row r="825" spans="1:30" x14ac:dyDescent="0.25">
      <c r="A825" s="7"/>
      <c r="C825" s="70"/>
      <c r="D825" s="70"/>
      <c r="E825" s="73"/>
      <c r="F825" s="9"/>
      <c r="H825" s="9"/>
      <c r="I825" s="10"/>
      <c r="J825" s="7"/>
      <c r="K825" s="7"/>
      <c r="L825" s="10"/>
      <c r="M825" s="10"/>
      <c r="N825" s="10"/>
      <c r="O825" s="10"/>
      <c r="P825" s="10"/>
      <c r="Q825" s="10"/>
      <c r="R825" s="10"/>
      <c r="S825" s="10"/>
      <c r="T825" s="14"/>
      <c r="U825" s="10"/>
      <c r="V825" s="10"/>
      <c r="W825" s="10"/>
      <c r="X825" s="7"/>
      <c r="Y825" s="7"/>
      <c r="Z825" s="7"/>
      <c r="AA825" s="34"/>
      <c r="AB825" s="7"/>
      <c r="AC825" s="34"/>
      <c r="AD825" s="10"/>
    </row>
    <row r="826" spans="1:30" x14ac:dyDescent="0.25">
      <c r="A826" s="7"/>
      <c r="C826" s="70"/>
      <c r="D826" s="70"/>
      <c r="E826" s="73"/>
      <c r="F826" s="9"/>
      <c r="H826" s="9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4"/>
      <c r="U826" s="10"/>
      <c r="V826" s="10"/>
      <c r="W826" s="10"/>
      <c r="X826" s="7"/>
      <c r="Y826" s="7"/>
      <c r="Z826" s="7"/>
      <c r="AA826" s="34"/>
      <c r="AB826" s="7"/>
      <c r="AC826" s="34"/>
      <c r="AD826" s="10"/>
    </row>
    <row r="827" spans="1:30" x14ac:dyDescent="0.25">
      <c r="A827" s="7"/>
      <c r="C827" s="70"/>
      <c r="D827" s="70"/>
      <c r="E827" s="73"/>
      <c r="F827" s="9"/>
      <c r="H827" s="9"/>
      <c r="I827" s="10"/>
      <c r="J827" s="7"/>
      <c r="K827" s="24"/>
      <c r="L827" s="10"/>
      <c r="M827" s="10"/>
      <c r="N827" s="10"/>
      <c r="O827" s="10"/>
      <c r="P827" s="10"/>
      <c r="Q827" s="10"/>
      <c r="R827" s="10"/>
      <c r="S827" s="10"/>
      <c r="T827" s="14"/>
      <c r="U827" s="10"/>
      <c r="V827" s="10"/>
      <c r="W827" s="10"/>
      <c r="X827" s="7"/>
      <c r="Y827" s="7"/>
      <c r="Z827" s="7"/>
      <c r="AA827" s="34"/>
      <c r="AB827" s="7"/>
      <c r="AC827" s="34"/>
      <c r="AD827" s="10"/>
    </row>
    <row r="828" spans="1:30" x14ac:dyDescent="0.25">
      <c r="A828" s="7"/>
      <c r="C828" s="70"/>
      <c r="D828" s="70"/>
      <c r="E828" s="73"/>
      <c r="F828" s="9"/>
      <c r="H828" s="9"/>
      <c r="I828" s="10"/>
      <c r="J828" s="7"/>
      <c r="K828" s="24"/>
      <c r="L828" s="10"/>
      <c r="M828" s="10"/>
      <c r="N828" s="10"/>
      <c r="O828" s="10"/>
      <c r="P828" s="10"/>
      <c r="Q828" s="10"/>
      <c r="R828" s="10"/>
      <c r="S828" s="10"/>
      <c r="T828" s="14"/>
      <c r="U828" s="10"/>
      <c r="V828" s="10"/>
      <c r="W828" s="10"/>
      <c r="X828" s="7"/>
      <c r="Y828" s="7"/>
      <c r="Z828" s="7"/>
      <c r="AA828" s="34"/>
      <c r="AB828" s="7"/>
      <c r="AC828" s="34"/>
      <c r="AD828" s="10"/>
    </row>
    <row r="829" spans="1:30" x14ac:dyDescent="0.25">
      <c r="A829" s="7"/>
      <c r="C829" s="70"/>
      <c r="D829" s="70"/>
      <c r="E829" s="73"/>
      <c r="F829" s="9"/>
      <c r="H829" s="9"/>
      <c r="I829" s="10"/>
      <c r="J829" s="7"/>
      <c r="K829" s="7"/>
      <c r="L829" s="10"/>
      <c r="M829" s="10"/>
      <c r="N829" s="10"/>
      <c r="O829" s="10"/>
      <c r="P829" s="10"/>
      <c r="Q829" s="10"/>
      <c r="R829" s="10"/>
      <c r="S829" s="10"/>
      <c r="T829" s="14"/>
      <c r="U829" s="10"/>
      <c r="V829" s="10"/>
      <c r="W829" s="10"/>
      <c r="X829" s="7"/>
      <c r="Y829" s="7"/>
      <c r="Z829" s="7"/>
      <c r="AA829" s="34"/>
      <c r="AB829" s="7"/>
      <c r="AC829" s="34"/>
      <c r="AD829" s="10"/>
    </row>
    <row r="830" spans="1:30" x14ac:dyDescent="0.25">
      <c r="A830" s="7"/>
      <c r="C830" s="70"/>
      <c r="D830" s="70"/>
      <c r="E830" s="73"/>
      <c r="F830" s="9"/>
      <c r="H830" s="9"/>
      <c r="I830" s="10"/>
      <c r="J830" s="10"/>
      <c r="K830" s="24"/>
      <c r="L830" s="10"/>
      <c r="M830" s="10"/>
      <c r="N830" s="10"/>
      <c r="O830" s="10"/>
      <c r="P830" s="10"/>
      <c r="Q830" s="10"/>
      <c r="R830" s="10"/>
      <c r="S830" s="10"/>
      <c r="T830" s="14"/>
      <c r="U830" s="10"/>
      <c r="V830" s="10"/>
      <c r="W830" s="10"/>
      <c r="X830" s="7"/>
      <c r="Y830" s="7"/>
      <c r="Z830" s="34"/>
      <c r="AA830" s="34"/>
      <c r="AB830" s="7"/>
      <c r="AC830" s="34"/>
      <c r="AD830" s="10"/>
    </row>
    <row r="831" spans="1:30" x14ac:dyDescent="0.25">
      <c r="A831" s="7"/>
      <c r="C831" s="70"/>
      <c r="D831" s="70"/>
      <c r="E831" s="73"/>
      <c r="F831" s="7"/>
      <c r="G831" s="7"/>
      <c r="H831" s="9"/>
      <c r="I831" s="10"/>
      <c r="J831" s="7"/>
      <c r="K831" s="7"/>
      <c r="L831" s="7"/>
      <c r="M831" s="7"/>
      <c r="N831" s="10"/>
      <c r="O831" s="10"/>
      <c r="P831" s="10"/>
      <c r="Q831" s="10"/>
      <c r="R831" s="10"/>
      <c r="S831" s="10"/>
      <c r="T831" s="14"/>
      <c r="U831" s="10"/>
      <c r="V831" s="10"/>
      <c r="W831" s="10"/>
      <c r="X831" s="7"/>
      <c r="Y831" s="7"/>
      <c r="Z831" s="34"/>
      <c r="AA831" s="34"/>
      <c r="AB831" s="7"/>
      <c r="AC831" s="34"/>
      <c r="AD831" s="10"/>
    </row>
    <row r="832" spans="1:30" x14ac:dyDescent="0.25">
      <c r="A832" s="7"/>
      <c r="C832" s="70"/>
      <c r="D832" s="70"/>
      <c r="E832" s="73"/>
      <c r="F832" s="9"/>
      <c r="H832" s="9"/>
      <c r="I832" s="10"/>
      <c r="J832" s="7"/>
      <c r="K832" s="7"/>
      <c r="L832" s="10"/>
      <c r="M832" s="10"/>
      <c r="N832" s="10"/>
      <c r="O832" s="10"/>
      <c r="P832" s="10"/>
      <c r="Q832" s="10"/>
      <c r="R832" s="10"/>
      <c r="S832" s="10"/>
      <c r="T832" s="14"/>
      <c r="U832" s="10"/>
      <c r="V832" s="10"/>
      <c r="W832" s="10"/>
      <c r="X832" s="7"/>
      <c r="Y832" s="7"/>
      <c r="Z832" s="7"/>
      <c r="AA832" s="34"/>
      <c r="AB832" s="7"/>
      <c r="AC832" s="34"/>
      <c r="AD832" s="10"/>
    </row>
    <row r="833" spans="1:30" x14ac:dyDescent="0.25">
      <c r="A833" s="7"/>
      <c r="C833" s="70"/>
      <c r="D833" s="70"/>
      <c r="E833" s="73"/>
      <c r="F833" s="9"/>
      <c r="H833" s="9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4"/>
      <c r="U833" s="10"/>
      <c r="V833" s="10"/>
      <c r="W833" s="10"/>
      <c r="X833" s="7"/>
      <c r="Y833" s="7"/>
      <c r="Z833" s="7"/>
      <c r="AA833" s="34"/>
      <c r="AB833" s="7"/>
      <c r="AC833" s="34"/>
      <c r="AD833" s="10"/>
    </row>
    <row r="834" spans="1:30" x14ac:dyDescent="0.25">
      <c r="A834" s="7"/>
      <c r="C834" s="70"/>
      <c r="D834" s="70"/>
      <c r="E834" s="73"/>
      <c r="F834" s="9"/>
      <c r="H834" s="9"/>
      <c r="I834" s="10"/>
      <c r="J834" s="7"/>
      <c r="K834" s="7"/>
      <c r="L834" s="10"/>
      <c r="M834" s="10"/>
      <c r="N834" s="10"/>
      <c r="O834" s="10"/>
      <c r="P834" s="10"/>
      <c r="Q834" s="10"/>
      <c r="R834" s="10"/>
      <c r="S834" s="10"/>
      <c r="T834" s="14"/>
      <c r="U834" s="10"/>
      <c r="V834" s="10"/>
      <c r="W834" s="10"/>
      <c r="X834" s="7"/>
      <c r="Y834" s="7"/>
      <c r="Z834" s="7"/>
      <c r="AA834" s="34"/>
      <c r="AB834" s="7"/>
      <c r="AC834" s="34"/>
      <c r="AD834" s="10"/>
    </row>
    <row r="835" spans="1:30" x14ac:dyDescent="0.25">
      <c r="A835" s="7"/>
      <c r="C835" s="70"/>
      <c r="D835" s="70"/>
      <c r="E835" s="73"/>
      <c r="F835" s="9"/>
      <c r="H835" s="9"/>
      <c r="I835" s="10"/>
      <c r="J835" s="7"/>
      <c r="K835" s="7"/>
      <c r="L835" s="10"/>
      <c r="M835" s="10"/>
      <c r="N835" s="10"/>
      <c r="O835" s="10"/>
      <c r="P835" s="10"/>
      <c r="Q835" s="10"/>
      <c r="R835" s="10"/>
      <c r="S835" s="10"/>
      <c r="T835" s="14"/>
      <c r="U835" s="10"/>
      <c r="V835" s="10"/>
      <c r="W835" s="10"/>
      <c r="X835" s="7"/>
      <c r="Y835" s="7"/>
      <c r="Z835" s="7"/>
      <c r="AA835" s="34"/>
      <c r="AB835" s="7"/>
      <c r="AC835" s="34"/>
      <c r="AD835" s="10"/>
    </row>
    <row r="836" spans="1:30" x14ac:dyDescent="0.25">
      <c r="A836" s="7"/>
      <c r="C836" s="70"/>
      <c r="D836" s="70"/>
      <c r="E836" s="73"/>
      <c r="F836" s="9"/>
      <c r="H836" s="9"/>
      <c r="I836" s="10"/>
      <c r="J836" s="7"/>
      <c r="K836" s="7"/>
      <c r="L836" s="10"/>
      <c r="M836" s="10"/>
      <c r="N836" s="10"/>
      <c r="O836" s="10"/>
      <c r="P836" s="10"/>
      <c r="Q836" s="10"/>
      <c r="R836" s="10"/>
      <c r="S836" s="10"/>
      <c r="T836" s="14"/>
      <c r="U836" s="10"/>
      <c r="V836" s="10"/>
      <c r="W836" s="10"/>
      <c r="X836" s="7"/>
      <c r="Y836" s="7"/>
      <c r="Z836" s="7"/>
      <c r="AA836" s="34"/>
      <c r="AB836" s="7"/>
      <c r="AC836" s="34"/>
      <c r="AD836" s="10"/>
    </row>
    <row r="837" spans="1:30" x14ac:dyDescent="0.25">
      <c r="A837" s="7"/>
      <c r="C837" s="70"/>
      <c r="D837" s="70"/>
      <c r="E837" s="73"/>
      <c r="F837" s="9"/>
      <c r="H837" s="9"/>
      <c r="I837" s="10"/>
      <c r="J837" s="10"/>
      <c r="K837" s="7"/>
      <c r="L837" s="10"/>
      <c r="M837" s="10"/>
      <c r="N837" s="10"/>
      <c r="O837" s="10"/>
      <c r="P837" s="10"/>
      <c r="Q837" s="10"/>
      <c r="R837" s="10"/>
      <c r="S837" s="10"/>
      <c r="T837" s="14"/>
      <c r="U837" s="10"/>
      <c r="V837" s="10"/>
      <c r="W837" s="10"/>
      <c r="X837" s="7"/>
      <c r="Y837" s="7"/>
      <c r="Z837" s="7"/>
      <c r="AA837" s="34"/>
      <c r="AB837" s="7"/>
      <c r="AC837" s="34"/>
      <c r="AD837" s="10"/>
    </row>
    <row r="838" spans="1:30" x14ac:dyDescent="0.25">
      <c r="A838" s="7"/>
      <c r="C838" s="70"/>
      <c r="D838" s="70"/>
      <c r="E838" s="73"/>
      <c r="F838" s="9"/>
      <c r="H838" s="9"/>
      <c r="I838" s="10"/>
      <c r="J838" s="10"/>
      <c r="K838" s="7"/>
      <c r="L838" s="10"/>
      <c r="M838" s="10"/>
      <c r="N838" s="10"/>
      <c r="O838" s="10"/>
      <c r="P838" s="10"/>
      <c r="Q838" s="10"/>
      <c r="R838" s="10"/>
      <c r="S838" s="10"/>
      <c r="T838" s="14"/>
      <c r="U838" s="10"/>
      <c r="V838" s="10"/>
      <c r="W838" s="10"/>
      <c r="X838" s="7"/>
      <c r="Y838" s="7"/>
      <c r="Z838" s="7"/>
      <c r="AA838" s="34"/>
      <c r="AB838" s="7"/>
      <c r="AC838" s="34"/>
      <c r="AD838" s="10"/>
    </row>
    <row r="839" spans="1:30" x14ac:dyDescent="0.25">
      <c r="A839" s="7"/>
      <c r="C839" s="70"/>
      <c r="D839" s="70"/>
      <c r="E839" s="73"/>
      <c r="F839" s="9"/>
      <c r="H839" s="9"/>
      <c r="I839" s="10"/>
      <c r="J839" s="10"/>
      <c r="K839" s="7"/>
      <c r="L839" s="10"/>
      <c r="M839" s="10"/>
      <c r="N839" s="10"/>
      <c r="O839" s="10"/>
      <c r="P839" s="10"/>
      <c r="Q839" s="10"/>
      <c r="R839" s="10"/>
      <c r="S839" s="10"/>
      <c r="T839" s="14"/>
      <c r="U839" s="10"/>
      <c r="V839" s="10"/>
      <c r="W839" s="10"/>
      <c r="X839" s="7"/>
      <c r="Y839" s="7"/>
      <c r="Z839" s="7"/>
      <c r="AA839" s="34"/>
      <c r="AB839" s="7"/>
      <c r="AC839" s="34"/>
      <c r="AD839" s="10"/>
    </row>
    <row r="840" spans="1:30" x14ac:dyDescent="0.25">
      <c r="A840" s="7"/>
      <c r="C840" s="70"/>
      <c r="D840" s="70"/>
      <c r="E840" s="73"/>
      <c r="F840" s="9"/>
      <c r="H840" s="9"/>
      <c r="I840" s="10"/>
      <c r="J840" s="10"/>
      <c r="K840" s="7"/>
      <c r="L840" s="10"/>
      <c r="M840" s="10"/>
      <c r="N840" s="10"/>
      <c r="O840" s="10"/>
      <c r="P840" s="10"/>
      <c r="Q840" s="10"/>
      <c r="R840" s="10"/>
      <c r="S840" s="10"/>
      <c r="T840" s="14"/>
      <c r="U840" s="10"/>
      <c r="V840" s="10"/>
      <c r="W840" s="10"/>
      <c r="X840" s="7"/>
      <c r="Y840" s="7"/>
      <c r="Z840" s="7"/>
      <c r="AA840" s="34"/>
      <c r="AB840" s="7"/>
      <c r="AC840" s="34"/>
      <c r="AD840" s="10"/>
    </row>
    <row r="841" spans="1:30" x14ac:dyDescent="0.25">
      <c r="A841" s="7"/>
      <c r="C841" s="70"/>
      <c r="D841" s="70"/>
      <c r="E841" s="73"/>
      <c r="F841" s="9"/>
      <c r="H841" s="9"/>
      <c r="I841" s="10"/>
      <c r="J841" s="7"/>
      <c r="K841" s="7"/>
      <c r="L841" s="10"/>
      <c r="M841" s="10"/>
      <c r="N841" s="10"/>
      <c r="O841" s="10"/>
      <c r="P841" s="10"/>
      <c r="Q841" s="10"/>
      <c r="R841" s="10"/>
      <c r="S841" s="10"/>
      <c r="T841" s="14"/>
      <c r="U841" s="10"/>
      <c r="V841" s="10"/>
      <c r="W841" s="10"/>
      <c r="X841" s="7"/>
      <c r="Y841" s="7"/>
      <c r="Z841" s="7"/>
      <c r="AA841" s="34"/>
      <c r="AB841" s="7"/>
      <c r="AC841" s="34"/>
      <c r="AD841" s="10"/>
    </row>
    <row r="842" spans="1:30" x14ac:dyDescent="0.25">
      <c r="A842" s="7"/>
      <c r="C842" s="70"/>
      <c r="D842" s="70"/>
      <c r="E842" s="73"/>
      <c r="F842" s="9"/>
      <c r="H842" s="9"/>
      <c r="I842" s="10"/>
      <c r="J842" s="7"/>
      <c r="K842" s="10"/>
      <c r="L842" s="10"/>
      <c r="M842" s="10"/>
      <c r="N842" s="10"/>
      <c r="O842" s="10"/>
      <c r="P842" s="10"/>
      <c r="Q842" s="10"/>
      <c r="R842" s="10"/>
      <c r="S842" s="10"/>
      <c r="T842" s="14"/>
      <c r="U842" s="10"/>
      <c r="V842" s="10"/>
      <c r="W842" s="10"/>
      <c r="X842" s="7"/>
      <c r="Y842" s="7"/>
      <c r="Z842" s="34"/>
      <c r="AA842" s="34"/>
      <c r="AB842" s="7"/>
      <c r="AC842" s="34"/>
      <c r="AD842" s="10"/>
    </row>
    <row r="843" spans="1:30" x14ac:dyDescent="0.25">
      <c r="A843" s="7"/>
      <c r="C843" s="70"/>
      <c r="D843" s="70"/>
      <c r="E843" s="73"/>
      <c r="F843" s="9"/>
      <c r="H843" s="9"/>
      <c r="I843" s="10"/>
      <c r="J843" s="7"/>
      <c r="K843" s="10"/>
      <c r="L843" s="10"/>
      <c r="M843" s="10"/>
      <c r="N843" s="10"/>
      <c r="O843" s="10"/>
      <c r="P843" s="10"/>
      <c r="Q843" s="10"/>
      <c r="R843" s="10"/>
      <c r="S843" s="10"/>
      <c r="T843" s="14"/>
      <c r="U843" s="10"/>
      <c r="V843" s="10"/>
      <c r="W843" s="10"/>
      <c r="X843" s="7"/>
      <c r="Y843" s="7"/>
      <c r="Z843" s="34"/>
      <c r="AA843" s="34"/>
      <c r="AB843" s="7"/>
      <c r="AC843" s="34"/>
      <c r="AD843" s="10"/>
    </row>
    <row r="844" spans="1:30" x14ac:dyDescent="0.25">
      <c r="A844" s="7"/>
      <c r="C844" s="70"/>
      <c r="D844" s="70"/>
      <c r="E844" s="73"/>
      <c r="F844" s="9"/>
      <c r="H844" s="9"/>
      <c r="I844" s="10"/>
      <c r="J844" s="7"/>
      <c r="K844" s="7"/>
      <c r="L844" s="10"/>
      <c r="M844" s="10"/>
      <c r="N844" s="10"/>
      <c r="O844" s="10"/>
      <c r="P844" s="10"/>
      <c r="Q844" s="10"/>
      <c r="R844" s="10"/>
      <c r="S844" s="10"/>
      <c r="T844" s="14"/>
      <c r="U844" s="10"/>
      <c r="V844" s="10"/>
      <c r="W844" s="10"/>
      <c r="X844" s="7"/>
      <c r="Y844" s="7"/>
      <c r="Z844" s="7"/>
      <c r="AA844" s="34"/>
      <c r="AB844" s="7"/>
      <c r="AC844" s="34"/>
      <c r="AD844" s="10"/>
    </row>
    <row r="845" spans="1:30" x14ac:dyDescent="0.25">
      <c r="A845" s="7"/>
      <c r="C845" s="70"/>
      <c r="D845" s="70"/>
      <c r="E845" s="73"/>
      <c r="F845" s="9"/>
      <c r="H845" s="9"/>
      <c r="I845" s="10"/>
      <c r="J845" s="61"/>
      <c r="K845" s="10"/>
      <c r="L845" s="10"/>
      <c r="M845" s="10"/>
      <c r="N845" s="10"/>
      <c r="O845" s="10"/>
      <c r="P845" s="10"/>
      <c r="Q845" s="10"/>
      <c r="R845" s="10"/>
      <c r="S845" s="10"/>
      <c r="T845" s="14"/>
      <c r="U845" s="10"/>
      <c r="V845" s="10"/>
      <c r="W845" s="10"/>
      <c r="X845" s="7"/>
      <c r="Y845" s="7"/>
      <c r="Z845" s="7"/>
      <c r="AA845" s="34"/>
      <c r="AB845" s="7"/>
      <c r="AC845" s="34"/>
      <c r="AD845" s="10"/>
    </row>
    <row r="846" spans="1:30" x14ac:dyDescent="0.25">
      <c r="A846" s="7"/>
      <c r="C846" s="70"/>
      <c r="D846" s="70"/>
      <c r="E846" s="73"/>
      <c r="F846" s="9"/>
      <c r="H846" s="9"/>
      <c r="I846" s="10"/>
      <c r="J846" s="7"/>
      <c r="K846" s="7"/>
      <c r="L846" s="10"/>
      <c r="M846" s="10"/>
      <c r="N846" s="10"/>
      <c r="O846" s="10"/>
      <c r="P846" s="10"/>
      <c r="Q846" s="10"/>
      <c r="R846" s="10"/>
      <c r="S846" s="10"/>
      <c r="T846" s="14"/>
      <c r="U846" s="10"/>
      <c r="V846" s="10"/>
      <c r="W846" s="10"/>
      <c r="X846" s="34"/>
      <c r="Y846" s="7"/>
      <c r="Z846" s="7"/>
      <c r="AA846" s="34"/>
      <c r="AB846" s="7"/>
      <c r="AC846" s="34"/>
      <c r="AD846" s="10"/>
    </row>
    <row r="847" spans="1:30" x14ac:dyDescent="0.25">
      <c r="A847" s="7"/>
      <c r="C847" s="70"/>
      <c r="D847" s="70"/>
      <c r="E847" s="73"/>
      <c r="F847" s="45"/>
      <c r="H847" s="9"/>
      <c r="I847" s="10"/>
      <c r="J847" s="7"/>
      <c r="K847" s="7"/>
      <c r="L847" s="10"/>
      <c r="M847" s="10"/>
      <c r="N847" s="10"/>
      <c r="O847" s="10"/>
      <c r="P847" s="10"/>
      <c r="Q847" s="10"/>
      <c r="R847" s="10"/>
      <c r="S847" s="10"/>
      <c r="T847" s="14"/>
      <c r="U847" s="10"/>
      <c r="V847" s="10"/>
      <c r="W847" s="10"/>
      <c r="X847" s="7"/>
      <c r="Y847" s="7"/>
      <c r="Z847" s="7"/>
      <c r="AA847" s="34"/>
      <c r="AB847" s="7"/>
      <c r="AC847" s="34"/>
      <c r="AD847" s="10"/>
    </row>
    <row r="848" spans="1:30" x14ac:dyDescent="0.25">
      <c r="A848" s="7"/>
      <c r="C848" s="70"/>
      <c r="D848" s="70"/>
      <c r="E848" s="73"/>
      <c r="F848" s="9"/>
      <c r="H848" s="9"/>
      <c r="I848" s="10"/>
      <c r="J848" s="7"/>
      <c r="K848" s="7"/>
      <c r="L848" s="10"/>
      <c r="M848" s="10"/>
      <c r="N848" s="10"/>
      <c r="O848" s="10"/>
      <c r="P848" s="10"/>
      <c r="Q848" s="10"/>
      <c r="R848" s="10"/>
      <c r="S848" s="10"/>
      <c r="T848" s="14"/>
      <c r="U848" s="10"/>
      <c r="V848" s="10"/>
      <c r="W848" s="10"/>
      <c r="X848" s="7"/>
      <c r="Y848" s="7"/>
      <c r="Z848" s="34"/>
      <c r="AA848" s="34"/>
      <c r="AB848" s="7"/>
      <c r="AC848" s="34"/>
      <c r="AD848" s="10"/>
    </row>
    <row r="849" spans="1:30" x14ac:dyDescent="0.25">
      <c r="A849" s="7"/>
      <c r="C849" s="70"/>
      <c r="D849" s="70"/>
      <c r="E849" s="73"/>
      <c r="F849" s="9"/>
      <c r="H849" s="9"/>
      <c r="I849" s="10"/>
      <c r="J849" s="7"/>
      <c r="K849" s="7"/>
      <c r="L849" s="10"/>
      <c r="M849" s="10"/>
      <c r="N849" s="10"/>
      <c r="O849" s="10"/>
      <c r="P849" s="10"/>
      <c r="Q849" s="10"/>
      <c r="R849" s="10"/>
      <c r="S849" s="10"/>
      <c r="T849" s="14"/>
      <c r="U849" s="10"/>
      <c r="V849" s="10"/>
      <c r="W849" s="10"/>
      <c r="X849" s="7"/>
      <c r="Y849" s="7"/>
      <c r="Z849" s="7"/>
      <c r="AA849" s="34"/>
      <c r="AB849" s="7"/>
      <c r="AC849" s="34"/>
      <c r="AD849" s="10"/>
    </row>
    <row r="850" spans="1:30" x14ac:dyDescent="0.25">
      <c r="A850" s="7"/>
      <c r="C850" s="70"/>
      <c r="D850" s="70"/>
      <c r="E850" s="73"/>
      <c r="F850" s="48"/>
      <c r="H850" s="9"/>
      <c r="I850" s="10"/>
      <c r="J850" s="7"/>
      <c r="K850" s="7"/>
      <c r="L850" s="10"/>
      <c r="M850" s="10"/>
      <c r="N850" s="10"/>
      <c r="O850" s="10"/>
      <c r="P850" s="10"/>
      <c r="Q850" s="10"/>
      <c r="R850" s="10"/>
      <c r="S850" s="10"/>
      <c r="T850" s="14"/>
      <c r="U850" s="10"/>
      <c r="V850" s="10"/>
      <c r="W850" s="10"/>
      <c r="X850" s="7"/>
      <c r="Y850" s="34"/>
      <c r="Z850" s="7"/>
      <c r="AA850" s="34"/>
      <c r="AB850" s="7"/>
      <c r="AC850" s="34"/>
      <c r="AD850" s="10"/>
    </row>
    <row r="851" spans="1:30" x14ac:dyDescent="0.25">
      <c r="A851" s="7"/>
      <c r="C851" s="70"/>
      <c r="D851" s="70"/>
      <c r="E851" s="73"/>
      <c r="F851" s="9"/>
      <c r="H851" s="9"/>
      <c r="I851" s="10"/>
      <c r="J851" s="7"/>
      <c r="K851" s="7"/>
      <c r="L851" s="10"/>
      <c r="M851" s="10"/>
      <c r="N851" s="10"/>
      <c r="O851" s="10"/>
      <c r="P851" s="10"/>
      <c r="Q851" s="10"/>
      <c r="R851" s="10"/>
      <c r="S851" s="10"/>
      <c r="T851" s="14"/>
      <c r="U851" s="10"/>
      <c r="V851" s="10"/>
      <c r="W851" s="10"/>
      <c r="X851" s="7"/>
      <c r="Y851" s="7"/>
      <c r="Z851" s="7"/>
      <c r="AA851" s="34"/>
      <c r="AB851" s="7"/>
      <c r="AC851" s="34"/>
      <c r="AD851" s="10"/>
    </row>
    <row r="852" spans="1:30" x14ac:dyDescent="0.25">
      <c r="A852" s="7"/>
      <c r="C852" s="70"/>
      <c r="D852" s="70"/>
      <c r="E852" s="73"/>
      <c r="F852" s="9"/>
      <c r="H852" s="9"/>
      <c r="I852" s="10"/>
      <c r="J852" s="10"/>
      <c r="K852" s="7"/>
      <c r="L852" s="10"/>
      <c r="M852" s="10"/>
      <c r="N852" s="10"/>
      <c r="O852" s="10"/>
      <c r="P852" s="10"/>
      <c r="Q852" s="10"/>
      <c r="R852" s="10"/>
      <c r="S852" s="10"/>
      <c r="T852" s="14"/>
      <c r="U852" s="10"/>
      <c r="V852" s="10"/>
      <c r="W852" s="10"/>
      <c r="X852" s="7"/>
      <c r="Y852" s="7"/>
      <c r="Z852" s="7"/>
      <c r="AA852" s="34"/>
      <c r="AB852" s="7"/>
      <c r="AC852" s="34"/>
      <c r="AD852" s="10"/>
    </row>
    <row r="853" spans="1:30" x14ac:dyDescent="0.25">
      <c r="A853" s="7"/>
      <c r="C853" s="70"/>
      <c r="D853" s="70"/>
      <c r="E853" s="73"/>
      <c r="F853" s="9"/>
      <c r="H853" s="9"/>
      <c r="I853" s="10"/>
      <c r="J853" s="10"/>
      <c r="K853" s="7"/>
      <c r="L853" s="10"/>
      <c r="M853" s="10"/>
      <c r="N853" s="10"/>
      <c r="O853" s="10"/>
      <c r="P853" s="10"/>
      <c r="Q853" s="10"/>
      <c r="R853" s="10"/>
      <c r="S853" s="10"/>
      <c r="T853" s="14"/>
      <c r="U853" s="10"/>
      <c r="V853" s="10"/>
      <c r="W853" s="10"/>
      <c r="X853" s="7"/>
      <c r="Y853" s="7"/>
      <c r="Z853" s="7"/>
      <c r="AA853" s="34"/>
      <c r="AB853" s="7"/>
      <c r="AC853" s="34"/>
      <c r="AD853" s="10"/>
    </row>
    <row r="854" spans="1:30" x14ac:dyDescent="0.25">
      <c r="A854" s="7"/>
      <c r="C854" s="70"/>
      <c r="D854" s="70"/>
      <c r="E854" s="73"/>
      <c r="F854" s="9"/>
      <c r="H854" s="9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4"/>
      <c r="U854" s="10"/>
      <c r="V854" s="10"/>
      <c r="W854" s="10"/>
      <c r="X854" s="7"/>
      <c r="Y854" s="7"/>
      <c r="Z854" s="7"/>
      <c r="AA854" s="34"/>
      <c r="AB854" s="7"/>
      <c r="AC854" s="34"/>
      <c r="AD854" s="10"/>
    </row>
    <row r="855" spans="1:30" x14ac:dyDescent="0.25">
      <c r="A855" s="7"/>
      <c r="C855" s="70"/>
      <c r="D855" s="70"/>
      <c r="E855" s="73"/>
      <c r="F855" s="9"/>
      <c r="H855" s="9"/>
      <c r="I855" s="10"/>
      <c r="J855" s="7"/>
      <c r="K855" s="7"/>
      <c r="L855" s="10"/>
      <c r="M855" s="10"/>
      <c r="N855" s="10"/>
      <c r="O855" s="10"/>
      <c r="P855" s="10"/>
      <c r="Q855" s="10"/>
      <c r="R855" s="10"/>
      <c r="S855" s="10"/>
      <c r="T855" s="14"/>
      <c r="U855" s="10"/>
      <c r="V855" s="10"/>
      <c r="W855" s="10"/>
      <c r="X855" s="34"/>
      <c r="Y855" s="7"/>
      <c r="Z855" s="7"/>
      <c r="AA855" s="34"/>
      <c r="AB855" s="7"/>
      <c r="AC855" s="34"/>
      <c r="AD855" s="10"/>
    </row>
    <row r="856" spans="1:30" x14ac:dyDescent="0.25">
      <c r="A856" s="7"/>
      <c r="C856" s="70"/>
      <c r="D856" s="70"/>
      <c r="E856" s="73"/>
      <c r="F856" s="9"/>
      <c r="H856" s="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4"/>
      <c r="U856" s="10"/>
      <c r="V856" s="10"/>
      <c r="W856" s="10"/>
      <c r="X856" s="7"/>
      <c r="Y856" s="7"/>
      <c r="Z856" s="7"/>
      <c r="AA856" s="34"/>
      <c r="AB856" s="7"/>
      <c r="AC856" s="34"/>
      <c r="AD856" s="10"/>
    </row>
    <row r="857" spans="1:30" x14ac:dyDescent="0.25">
      <c r="A857" s="7"/>
      <c r="C857" s="70"/>
      <c r="D857" s="70"/>
      <c r="E857" s="73"/>
      <c r="F857" s="9"/>
      <c r="H857" s="9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4"/>
      <c r="U857" s="10"/>
      <c r="V857" s="10"/>
      <c r="W857" s="10"/>
      <c r="X857" s="34"/>
      <c r="Y857" s="7"/>
      <c r="Z857" s="7"/>
      <c r="AA857" s="34"/>
      <c r="AB857" s="7"/>
      <c r="AC857" s="34"/>
      <c r="AD857" s="10"/>
    </row>
    <row r="858" spans="1:30" x14ac:dyDescent="0.25">
      <c r="A858" s="7"/>
      <c r="C858" s="70"/>
      <c r="D858" s="70"/>
      <c r="E858" s="73"/>
      <c r="F858" s="9"/>
      <c r="H858" s="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4"/>
      <c r="U858" s="10"/>
      <c r="V858" s="10"/>
      <c r="W858" s="10"/>
      <c r="X858" s="7"/>
      <c r="Y858" s="7"/>
      <c r="Z858" s="7"/>
      <c r="AA858" s="34"/>
      <c r="AB858" s="7"/>
      <c r="AC858" s="34"/>
      <c r="AD858" s="10"/>
    </row>
    <row r="859" spans="1:30" x14ac:dyDescent="0.25">
      <c r="A859" s="7"/>
      <c r="C859" s="70"/>
      <c r="D859" s="70"/>
      <c r="E859" s="73"/>
      <c r="F859" s="9"/>
      <c r="H859" s="9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4"/>
      <c r="U859" s="10"/>
      <c r="V859" s="10"/>
      <c r="W859" s="10"/>
      <c r="X859" s="7"/>
      <c r="Y859" s="7"/>
      <c r="Z859" s="7"/>
      <c r="AA859" s="34"/>
      <c r="AB859" s="7"/>
      <c r="AC859" s="34"/>
      <c r="AD859" s="10"/>
    </row>
    <row r="860" spans="1:30" x14ac:dyDescent="0.25">
      <c r="A860" s="7"/>
      <c r="C860" s="70"/>
      <c r="D860" s="70"/>
      <c r="E860" s="73"/>
      <c r="F860" s="48"/>
      <c r="H860" s="9"/>
      <c r="I860" s="10"/>
      <c r="J860" s="7"/>
      <c r="K860" s="24"/>
      <c r="L860" s="10"/>
      <c r="M860" s="10"/>
      <c r="N860" s="10"/>
      <c r="O860" s="10"/>
      <c r="P860" s="10"/>
      <c r="Q860" s="10"/>
      <c r="R860" s="10"/>
      <c r="S860" s="10"/>
      <c r="T860" s="14"/>
      <c r="U860" s="10"/>
      <c r="V860" s="10"/>
      <c r="W860" s="10"/>
      <c r="X860" s="7"/>
      <c r="Y860" s="7"/>
      <c r="Z860" s="7"/>
      <c r="AA860" s="34"/>
      <c r="AB860" s="7"/>
      <c r="AC860" s="34"/>
      <c r="AD860" s="10"/>
    </row>
    <row r="861" spans="1:30" x14ac:dyDescent="0.25">
      <c r="A861" s="7"/>
      <c r="C861" s="70"/>
      <c r="D861" s="70"/>
      <c r="E861" s="73"/>
      <c r="F861" s="9"/>
      <c r="H861" s="9"/>
      <c r="I861" s="10"/>
      <c r="J861" s="7"/>
      <c r="K861" s="7"/>
      <c r="L861" s="10"/>
      <c r="M861" s="10"/>
      <c r="N861" s="10"/>
      <c r="O861" s="10"/>
      <c r="P861" s="10"/>
      <c r="Q861" s="10"/>
      <c r="R861" s="10"/>
      <c r="S861" s="10"/>
      <c r="T861" s="14"/>
      <c r="U861" s="10"/>
      <c r="V861" s="10"/>
      <c r="W861" s="10"/>
      <c r="X861" s="7"/>
      <c r="Y861" s="7"/>
      <c r="Z861" s="7"/>
      <c r="AA861" s="34"/>
      <c r="AB861" s="7"/>
      <c r="AC861" s="34"/>
      <c r="AD861" s="10"/>
    </row>
    <row r="862" spans="1:30" x14ac:dyDescent="0.25">
      <c r="A862" s="7"/>
      <c r="C862" s="70"/>
      <c r="D862" s="70"/>
      <c r="E862" s="73"/>
      <c r="F862" s="9"/>
      <c r="H862" s="9"/>
      <c r="I862" s="10"/>
      <c r="J862" s="10"/>
      <c r="K862" s="7"/>
      <c r="L862" s="10"/>
      <c r="M862" s="10"/>
      <c r="N862" s="10"/>
      <c r="O862" s="10"/>
      <c r="P862" s="10"/>
      <c r="Q862" s="10"/>
      <c r="R862" s="10"/>
      <c r="S862" s="10"/>
      <c r="T862" s="14"/>
      <c r="U862" s="10"/>
      <c r="V862" s="10"/>
      <c r="W862" s="10"/>
      <c r="X862" s="7"/>
      <c r="Y862" s="7"/>
      <c r="Z862" s="7"/>
      <c r="AA862" s="34"/>
      <c r="AB862" s="7"/>
      <c r="AC862" s="34"/>
      <c r="AD862" s="10"/>
    </row>
    <row r="863" spans="1:30" x14ac:dyDescent="0.25">
      <c r="A863" s="7"/>
      <c r="C863" s="70"/>
      <c r="D863" s="70"/>
      <c r="E863" s="73"/>
      <c r="F863" s="9"/>
      <c r="H863" s="9"/>
      <c r="I863" s="10"/>
      <c r="J863" s="10"/>
      <c r="K863" s="7"/>
      <c r="L863" s="10"/>
      <c r="M863" s="10"/>
      <c r="N863" s="10"/>
      <c r="O863" s="10"/>
      <c r="P863" s="10"/>
      <c r="Q863" s="10"/>
      <c r="R863" s="10"/>
      <c r="S863" s="10"/>
      <c r="T863" s="14"/>
      <c r="U863" s="10"/>
      <c r="V863" s="10"/>
      <c r="W863" s="10"/>
      <c r="X863" s="7"/>
      <c r="Y863" s="7"/>
      <c r="Z863" s="7"/>
      <c r="AA863" s="34"/>
      <c r="AB863" s="7"/>
      <c r="AC863" s="34"/>
      <c r="AD863" s="10"/>
    </row>
    <row r="864" spans="1:30" x14ac:dyDescent="0.25">
      <c r="A864" s="7"/>
      <c r="C864" s="70"/>
      <c r="D864" s="70"/>
      <c r="E864" s="73"/>
      <c r="F864" s="9"/>
      <c r="H864" s="9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4"/>
      <c r="U864" s="10"/>
      <c r="V864" s="10"/>
      <c r="W864" s="10"/>
      <c r="X864" s="7"/>
      <c r="Y864" s="7"/>
      <c r="Z864" s="34"/>
      <c r="AA864" s="34"/>
      <c r="AB864" s="7"/>
      <c r="AC864" s="34"/>
      <c r="AD864" s="10"/>
    </row>
    <row r="865" spans="1:30" x14ac:dyDescent="0.25">
      <c r="A865" s="7"/>
      <c r="C865" s="70"/>
      <c r="D865" s="70"/>
      <c r="E865" s="73"/>
      <c r="F865" s="9"/>
      <c r="H865" s="9"/>
      <c r="I865" s="10"/>
      <c r="J865" s="7"/>
      <c r="K865" s="24"/>
      <c r="L865" s="10"/>
      <c r="M865" s="10"/>
      <c r="N865" s="10"/>
      <c r="O865" s="10"/>
      <c r="P865" s="10"/>
      <c r="Q865" s="10"/>
      <c r="R865" s="10"/>
      <c r="S865" s="10"/>
      <c r="T865" s="14"/>
      <c r="U865" s="10"/>
      <c r="V865" s="10"/>
      <c r="W865" s="10"/>
      <c r="X865" s="7"/>
      <c r="Y865" s="7"/>
      <c r="Z865" s="7"/>
      <c r="AA865" s="34"/>
      <c r="AB865" s="7"/>
      <c r="AC865" s="34"/>
      <c r="AD865" s="10"/>
    </row>
    <row r="866" spans="1:30" x14ac:dyDescent="0.25">
      <c r="A866" s="7"/>
      <c r="C866" s="70"/>
      <c r="D866" s="70"/>
      <c r="E866" s="73"/>
      <c r="F866" s="9"/>
      <c r="H866" s="9"/>
      <c r="I866" s="52"/>
      <c r="J866" s="10"/>
      <c r="K866" s="7"/>
      <c r="L866" s="10"/>
      <c r="M866" s="10"/>
      <c r="N866" s="10"/>
      <c r="O866" s="10"/>
      <c r="P866" s="10"/>
      <c r="Q866" s="10"/>
      <c r="R866" s="10"/>
      <c r="S866" s="10"/>
      <c r="T866" s="14"/>
      <c r="U866" s="10"/>
      <c r="V866" s="10"/>
      <c r="W866" s="10"/>
      <c r="X866" s="7"/>
      <c r="Y866" s="7"/>
      <c r="Z866" s="7"/>
      <c r="AA866" s="34"/>
      <c r="AB866" s="7"/>
      <c r="AC866" s="34"/>
      <c r="AD866" s="10"/>
    </row>
    <row r="867" spans="1:30" x14ac:dyDescent="0.25">
      <c r="A867" s="7"/>
      <c r="C867" s="70"/>
      <c r="D867" s="70"/>
      <c r="E867" s="73"/>
      <c r="F867" s="9"/>
      <c r="H867" s="9"/>
      <c r="I867" s="52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4"/>
      <c r="U867" s="10"/>
      <c r="V867" s="10"/>
      <c r="W867" s="10"/>
      <c r="X867" s="7"/>
      <c r="Y867" s="7"/>
      <c r="Z867" s="7"/>
      <c r="AA867" s="34"/>
      <c r="AB867" s="7"/>
      <c r="AC867" s="34"/>
      <c r="AD867" s="10"/>
    </row>
    <row r="868" spans="1:30" x14ac:dyDescent="0.25">
      <c r="A868" s="7"/>
      <c r="C868" s="70"/>
      <c r="D868" s="70"/>
      <c r="E868" s="73"/>
      <c r="F868" s="48"/>
      <c r="H868" s="9"/>
      <c r="I868" s="52"/>
      <c r="J868" s="10"/>
      <c r="K868" s="7"/>
      <c r="L868" s="10"/>
      <c r="M868" s="10"/>
      <c r="N868" s="10"/>
      <c r="O868" s="10"/>
      <c r="P868" s="10"/>
      <c r="Q868" s="10"/>
      <c r="R868" s="10"/>
      <c r="S868" s="10"/>
      <c r="T868" s="14"/>
      <c r="U868" s="10"/>
      <c r="V868" s="10"/>
      <c r="W868" s="10"/>
      <c r="X868" s="7"/>
      <c r="Y868" s="7"/>
      <c r="Z868" s="7"/>
      <c r="AA868" s="34"/>
      <c r="AB868" s="7"/>
      <c r="AC868" s="34"/>
      <c r="AD868" s="10"/>
    </row>
    <row r="869" spans="1:30" x14ac:dyDescent="0.25">
      <c r="A869" s="7"/>
      <c r="C869" s="70"/>
      <c r="D869" s="70"/>
      <c r="E869" s="73"/>
      <c r="F869" s="9"/>
      <c r="H869" s="9"/>
      <c r="I869" s="10"/>
      <c r="J869" s="10"/>
      <c r="K869" s="7"/>
      <c r="L869" s="10"/>
      <c r="M869" s="10"/>
      <c r="N869" s="10"/>
      <c r="O869" s="10"/>
      <c r="P869" s="10"/>
      <c r="Q869" s="10"/>
      <c r="R869" s="10"/>
      <c r="S869" s="10"/>
      <c r="T869" s="14"/>
      <c r="U869" s="10"/>
      <c r="V869" s="10"/>
      <c r="W869" s="10"/>
      <c r="X869" s="7"/>
      <c r="Y869" s="7"/>
      <c r="Z869" s="7"/>
      <c r="AA869" s="34"/>
      <c r="AB869" s="7"/>
      <c r="AC869" s="34"/>
      <c r="AD869" s="10"/>
    </row>
    <row r="870" spans="1:30" x14ac:dyDescent="0.25">
      <c r="A870" s="7"/>
      <c r="C870" s="70"/>
      <c r="D870" s="70"/>
      <c r="E870" s="73"/>
      <c r="F870" s="9"/>
      <c r="H870" s="9"/>
      <c r="I870" s="10"/>
      <c r="J870" s="7"/>
      <c r="K870" s="7"/>
      <c r="L870" s="10"/>
      <c r="M870" s="10"/>
      <c r="N870" s="10"/>
      <c r="O870" s="10"/>
      <c r="P870" s="10"/>
      <c r="Q870" s="10"/>
      <c r="R870" s="10"/>
      <c r="S870" s="10"/>
      <c r="T870" s="14"/>
      <c r="U870" s="10"/>
      <c r="V870" s="10"/>
      <c r="W870" s="10"/>
      <c r="X870" s="7"/>
      <c r="Y870" s="7"/>
      <c r="Z870" s="7"/>
      <c r="AA870" s="34"/>
      <c r="AB870" s="7"/>
      <c r="AC870" s="34"/>
      <c r="AD870" s="10"/>
    </row>
    <row r="871" spans="1:30" x14ac:dyDescent="0.25">
      <c r="A871" s="7"/>
      <c r="C871" s="70"/>
      <c r="D871" s="70"/>
      <c r="E871" s="73"/>
      <c r="F871" s="9"/>
      <c r="H871" s="9"/>
      <c r="I871" s="10"/>
      <c r="J871" s="10"/>
      <c r="K871" s="7"/>
      <c r="L871" s="10"/>
      <c r="M871" s="10"/>
      <c r="N871" s="10"/>
      <c r="O871" s="10"/>
      <c r="P871" s="10"/>
      <c r="Q871" s="10"/>
      <c r="R871" s="10"/>
      <c r="S871" s="10"/>
      <c r="T871" s="14"/>
      <c r="U871" s="10"/>
      <c r="V871" s="10"/>
      <c r="W871" s="10"/>
      <c r="X871" s="7"/>
      <c r="Y871" s="7"/>
      <c r="Z871" s="34"/>
      <c r="AA871" s="34"/>
      <c r="AB871" s="7"/>
      <c r="AC871" s="34"/>
      <c r="AD871" s="10"/>
    </row>
    <row r="872" spans="1:30" x14ac:dyDescent="0.25">
      <c r="A872" s="7"/>
      <c r="C872" s="70"/>
      <c r="D872" s="70"/>
      <c r="E872" s="73"/>
      <c r="F872" s="45"/>
      <c r="H872" s="9"/>
      <c r="I872" s="10"/>
      <c r="J872" s="10"/>
      <c r="K872" s="24"/>
      <c r="L872" s="10"/>
      <c r="M872" s="10"/>
      <c r="N872" s="10"/>
      <c r="O872" s="10"/>
      <c r="P872" s="10"/>
      <c r="Q872" s="10"/>
      <c r="R872" s="10"/>
      <c r="S872" s="10"/>
      <c r="T872" s="14"/>
      <c r="U872" s="10"/>
      <c r="V872" s="10"/>
      <c r="W872" s="10"/>
      <c r="X872" s="7"/>
      <c r="Y872" s="34"/>
      <c r="Z872" s="7"/>
      <c r="AA872" s="34"/>
      <c r="AB872" s="7"/>
      <c r="AC872" s="34"/>
      <c r="AD872" s="10"/>
    </row>
    <row r="873" spans="1:30" x14ac:dyDescent="0.25">
      <c r="A873" s="7"/>
      <c r="C873" s="70"/>
      <c r="D873" s="70"/>
      <c r="E873" s="73"/>
      <c r="F873" s="9"/>
      <c r="H873" s="9"/>
      <c r="I873" s="10"/>
      <c r="J873" s="60"/>
      <c r="K873" s="42"/>
      <c r="L873" s="10"/>
      <c r="M873" s="10"/>
      <c r="N873" s="10"/>
      <c r="O873" s="10"/>
      <c r="P873" s="10"/>
      <c r="Q873" s="10"/>
      <c r="R873" s="10"/>
      <c r="S873" s="10"/>
      <c r="T873" s="14"/>
      <c r="U873" s="10"/>
      <c r="V873" s="10"/>
      <c r="W873" s="10"/>
      <c r="X873" s="7"/>
      <c r="Y873" s="7"/>
      <c r="Z873" s="7"/>
      <c r="AA873" s="34"/>
      <c r="AB873" s="7"/>
      <c r="AC873" s="34"/>
      <c r="AD873" s="10"/>
    </row>
    <row r="874" spans="1:30" x14ac:dyDescent="0.25">
      <c r="A874" s="7"/>
      <c r="C874" s="70"/>
      <c r="D874" s="70"/>
      <c r="E874" s="73"/>
      <c r="F874" s="9"/>
      <c r="H874" s="45"/>
      <c r="I874" s="10"/>
      <c r="J874" s="7"/>
      <c r="K874" s="24"/>
      <c r="L874" s="10"/>
      <c r="M874" s="10"/>
      <c r="N874" s="10"/>
      <c r="O874" s="10"/>
      <c r="P874" s="10"/>
      <c r="Q874" s="10"/>
      <c r="R874" s="10"/>
      <c r="S874" s="10"/>
      <c r="T874" s="14"/>
      <c r="U874" s="10"/>
      <c r="V874" s="10"/>
      <c r="W874" s="10"/>
      <c r="X874" s="7"/>
      <c r="Y874" s="7"/>
      <c r="Z874" s="7"/>
      <c r="AA874" s="34"/>
      <c r="AB874" s="7"/>
      <c r="AC874" s="34"/>
      <c r="AD874" s="10"/>
    </row>
    <row r="875" spans="1:30" x14ac:dyDescent="0.25">
      <c r="A875" s="7"/>
      <c r="C875" s="70"/>
      <c r="D875" s="70"/>
      <c r="E875" s="73"/>
      <c r="F875" s="9"/>
      <c r="H875" s="9"/>
      <c r="I875" s="10"/>
      <c r="J875" s="10"/>
      <c r="K875" s="24"/>
      <c r="L875" s="10"/>
      <c r="M875" s="10"/>
      <c r="N875" s="10"/>
      <c r="O875" s="10"/>
      <c r="P875" s="10"/>
      <c r="Q875" s="10"/>
      <c r="R875" s="10"/>
      <c r="S875" s="10"/>
      <c r="T875" s="14"/>
      <c r="U875" s="10"/>
      <c r="V875" s="10"/>
      <c r="W875" s="10"/>
      <c r="X875" s="7"/>
      <c r="Y875" s="7"/>
      <c r="Z875" s="7"/>
      <c r="AA875" s="34"/>
      <c r="AB875" s="7"/>
      <c r="AC875" s="34"/>
      <c r="AD875" s="10"/>
    </row>
    <row r="876" spans="1:30" x14ac:dyDescent="0.25">
      <c r="A876" s="7"/>
      <c r="C876" s="70"/>
      <c r="D876" s="70"/>
      <c r="E876" s="73"/>
      <c r="F876" s="9"/>
      <c r="H876" s="9"/>
      <c r="I876" s="10"/>
      <c r="J876" s="10"/>
      <c r="K876" s="7"/>
      <c r="L876" s="10"/>
      <c r="M876" s="10"/>
      <c r="N876" s="10"/>
      <c r="O876" s="10"/>
      <c r="P876" s="10"/>
      <c r="Q876" s="10"/>
      <c r="R876" s="10"/>
      <c r="S876" s="10"/>
      <c r="T876" s="14"/>
      <c r="U876" s="10"/>
      <c r="V876" s="10"/>
      <c r="W876" s="10"/>
      <c r="X876" s="7"/>
      <c r="Y876" s="7"/>
      <c r="Z876" s="7"/>
      <c r="AA876" s="34"/>
      <c r="AB876" s="7"/>
      <c r="AC876" s="34"/>
      <c r="AD876" s="10"/>
    </row>
    <row r="877" spans="1:30" x14ac:dyDescent="0.25">
      <c r="A877" s="7"/>
      <c r="C877" s="70"/>
      <c r="D877" s="70"/>
      <c r="E877" s="73"/>
      <c r="F877" s="9"/>
      <c r="H877" s="9"/>
      <c r="I877" s="10"/>
      <c r="J877" s="10"/>
      <c r="K877" s="7"/>
      <c r="L877" s="10"/>
      <c r="M877" s="10"/>
      <c r="N877" s="10"/>
      <c r="O877" s="10"/>
      <c r="P877" s="10"/>
      <c r="Q877" s="10"/>
      <c r="R877" s="10"/>
      <c r="S877" s="10"/>
      <c r="T877" s="14"/>
      <c r="U877" s="10"/>
      <c r="V877" s="10"/>
      <c r="W877" s="10"/>
      <c r="X877" s="7"/>
      <c r="Y877" s="7"/>
      <c r="Z877" s="7"/>
      <c r="AA877" s="34"/>
      <c r="AB877" s="7"/>
      <c r="AC877" s="34"/>
      <c r="AD877" s="10"/>
    </row>
    <row r="878" spans="1:30" x14ac:dyDescent="0.25">
      <c r="A878" s="7"/>
      <c r="C878" s="70"/>
      <c r="D878" s="70"/>
      <c r="E878" s="73"/>
      <c r="F878" s="9"/>
      <c r="H878" s="9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4"/>
      <c r="U878" s="10"/>
      <c r="V878" s="10"/>
      <c r="W878" s="10"/>
      <c r="X878" s="7"/>
      <c r="Y878" s="7"/>
      <c r="Z878" s="34"/>
      <c r="AA878" s="34"/>
      <c r="AB878" s="7"/>
      <c r="AC878" s="34"/>
      <c r="AD878" s="10"/>
    </row>
    <row r="879" spans="1:30" x14ac:dyDescent="0.25">
      <c r="A879" s="7"/>
      <c r="C879" s="70"/>
      <c r="D879" s="70"/>
      <c r="E879" s="73"/>
      <c r="F879" s="9"/>
      <c r="H879" s="9"/>
      <c r="I879" s="10"/>
      <c r="J879" s="7"/>
      <c r="K879" s="7"/>
      <c r="L879" s="10"/>
      <c r="M879" s="10"/>
      <c r="N879" s="10"/>
      <c r="O879" s="10"/>
      <c r="P879" s="10"/>
      <c r="Q879" s="10"/>
      <c r="R879" s="10"/>
      <c r="S879" s="10"/>
      <c r="T879" s="14"/>
      <c r="U879" s="10"/>
      <c r="V879" s="10"/>
      <c r="W879" s="10"/>
      <c r="X879" s="7"/>
      <c r="Y879" s="7"/>
      <c r="Z879" s="7"/>
      <c r="AA879" s="34"/>
      <c r="AB879" s="7"/>
      <c r="AC879" s="34"/>
      <c r="AD879" s="10"/>
    </row>
    <row r="880" spans="1:30" x14ac:dyDescent="0.25">
      <c r="A880" s="7"/>
      <c r="C880" s="70"/>
      <c r="D880" s="70"/>
      <c r="E880" s="73"/>
      <c r="F880" s="9"/>
      <c r="H880" s="9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4"/>
      <c r="U880" s="10"/>
      <c r="V880" s="10"/>
      <c r="W880" s="10"/>
      <c r="X880" s="7"/>
      <c r="Y880" s="7"/>
      <c r="Z880" s="7"/>
      <c r="AA880" s="34"/>
      <c r="AB880" s="7"/>
      <c r="AC880" s="34"/>
      <c r="AD880" s="10"/>
    </row>
    <row r="881" spans="1:30" x14ac:dyDescent="0.25">
      <c r="A881" s="7"/>
      <c r="C881" s="70"/>
      <c r="D881" s="70"/>
      <c r="E881" s="73"/>
      <c r="F881" s="9"/>
      <c r="H881" s="9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4"/>
      <c r="U881" s="10"/>
      <c r="V881" s="10"/>
      <c r="W881" s="10"/>
      <c r="X881" s="7"/>
      <c r="Y881" s="7"/>
      <c r="Z881" s="7"/>
      <c r="AA881" s="34"/>
      <c r="AB881" s="7"/>
      <c r="AC881" s="34"/>
      <c r="AD881" s="10"/>
    </row>
    <row r="882" spans="1:30" x14ac:dyDescent="0.25">
      <c r="A882" s="7"/>
      <c r="C882" s="70"/>
      <c r="D882" s="70"/>
      <c r="E882" s="73"/>
      <c r="F882" s="9"/>
      <c r="H882" s="9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4"/>
      <c r="U882" s="10"/>
      <c r="V882" s="10"/>
      <c r="W882" s="10"/>
      <c r="X882" s="7"/>
      <c r="Y882" s="7"/>
      <c r="Z882" s="7"/>
      <c r="AA882" s="34"/>
      <c r="AB882" s="7"/>
      <c r="AC882" s="34"/>
      <c r="AD882" s="10"/>
    </row>
    <row r="883" spans="1:30" x14ac:dyDescent="0.25">
      <c r="A883" s="7"/>
      <c r="C883" s="70"/>
      <c r="D883" s="70"/>
      <c r="E883" s="73"/>
      <c r="F883" s="9"/>
      <c r="H883" s="9"/>
      <c r="I883" s="10"/>
      <c r="J883" s="7"/>
      <c r="K883" s="7"/>
      <c r="L883" s="10"/>
      <c r="M883" s="10"/>
      <c r="N883" s="10"/>
      <c r="O883" s="10"/>
      <c r="P883" s="10"/>
      <c r="Q883" s="10"/>
      <c r="R883" s="10"/>
      <c r="S883" s="10"/>
      <c r="T883" s="14"/>
      <c r="U883" s="10"/>
      <c r="V883" s="10"/>
      <c r="W883" s="10"/>
      <c r="X883" s="7"/>
      <c r="Y883" s="7"/>
      <c r="Z883" s="34"/>
      <c r="AA883" s="34"/>
      <c r="AB883" s="7"/>
      <c r="AC883" s="34"/>
      <c r="AD883" s="10"/>
    </row>
    <row r="884" spans="1:30" x14ac:dyDescent="0.25">
      <c r="A884" s="7"/>
      <c r="C884" s="70"/>
      <c r="D884" s="70"/>
      <c r="E884" s="73"/>
      <c r="F884" s="9"/>
      <c r="H884" s="9"/>
      <c r="I884" s="10"/>
      <c r="J884" s="7"/>
      <c r="K884" s="7"/>
      <c r="L884" s="10"/>
      <c r="M884" s="10"/>
      <c r="N884" s="10"/>
      <c r="O884" s="10"/>
      <c r="P884" s="10"/>
      <c r="Q884" s="10"/>
      <c r="R884" s="10"/>
      <c r="S884" s="10"/>
      <c r="T884" s="14"/>
      <c r="U884" s="10"/>
      <c r="V884" s="10"/>
      <c r="W884" s="10"/>
      <c r="X884" s="7"/>
      <c r="Y884" s="7"/>
      <c r="Z884" s="34"/>
      <c r="AA884" s="34"/>
      <c r="AB884" s="7"/>
      <c r="AC884" s="34"/>
      <c r="AD884" s="10"/>
    </row>
    <row r="885" spans="1:30" x14ac:dyDescent="0.25">
      <c r="A885" s="7"/>
      <c r="C885" s="70"/>
      <c r="D885" s="70"/>
      <c r="E885" s="73"/>
      <c r="F885" s="9"/>
      <c r="H885" s="9"/>
      <c r="I885" s="10"/>
      <c r="J885" s="7"/>
      <c r="K885" s="7"/>
      <c r="L885" s="10"/>
      <c r="M885" s="10"/>
      <c r="N885" s="10"/>
      <c r="O885" s="10"/>
      <c r="P885" s="10"/>
      <c r="Q885" s="10"/>
      <c r="R885" s="10"/>
      <c r="S885" s="10"/>
      <c r="T885" s="14"/>
      <c r="U885" s="10"/>
      <c r="V885" s="10"/>
      <c r="W885" s="10"/>
      <c r="X885" s="7"/>
      <c r="Y885" s="7"/>
      <c r="Z885" s="34"/>
      <c r="AA885" s="34"/>
      <c r="AB885" s="7"/>
      <c r="AC885" s="34"/>
      <c r="AD885" s="10"/>
    </row>
    <row r="886" spans="1:30" x14ac:dyDescent="0.25">
      <c r="A886" s="7"/>
      <c r="C886" s="70"/>
      <c r="D886" s="70"/>
      <c r="E886" s="73"/>
      <c r="F886" s="9"/>
      <c r="H886" s="9"/>
      <c r="I886" s="10"/>
      <c r="J886" s="7"/>
      <c r="K886" s="7"/>
      <c r="L886" s="10"/>
      <c r="M886" s="10"/>
      <c r="N886" s="10"/>
      <c r="O886" s="10"/>
      <c r="P886" s="10"/>
      <c r="Q886" s="10"/>
      <c r="R886" s="10"/>
      <c r="S886" s="10"/>
      <c r="T886" s="14"/>
      <c r="U886" s="10"/>
      <c r="V886" s="10"/>
      <c r="W886" s="10"/>
      <c r="X886" s="7"/>
      <c r="Y886" s="7"/>
      <c r="Z886" s="7"/>
      <c r="AA886" s="34"/>
      <c r="AB886" s="7"/>
      <c r="AC886" s="34"/>
      <c r="AD886" s="10"/>
    </row>
    <row r="887" spans="1:30" x14ac:dyDescent="0.25">
      <c r="A887" s="7"/>
      <c r="C887" s="70"/>
      <c r="D887" s="70"/>
      <c r="E887" s="73"/>
      <c r="F887" s="9"/>
      <c r="H887" s="9"/>
      <c r="I887" s="10"/>
      <c r="J887" s="60"/>
      <c r="K887" s="42"/>
      <c r="L887" s="10"/>
      <c r="M887" s="10"/>
      <c r="N887" s="10"/>
      <c r="O887" s="10"/>
      <c r="P887" s="10"/>
      <c r="Q887" s="10"/>
      <c r="R887" s="10"/>
      <c r="S887" s="10"/>
      <c r="T887" s="14"/>
      <c r="U887" s="10"/>
      <c r="V887" s="10"/>
      <c r="W887" s="10"/>
      <c r="X887" s="7"/>
      <c r="Y887" s="7"/>
      <c r="Z887" s="7"/>
      <c r="AA887" s="34"/>
      <c r="AB887" s="7"/>
      <c r="AC887" s="34"/>
      <c r="AD887" s="10"/>
    </row>
    <row r="888" spans="1:30" x14ac:dyDescent="0.25">
      <c r="A888" s="7"/>
      <c r="C888" s="70"/>
      <c r="D888" s="70"/>
      <c r="E888" s="73"/>
      <c r="F888" s="48"/>
      <c r="H888" s="9"/>
      <c r="I888" s="10"/>
      <c r="J888" s="10"/>
      <c r="K888" s="7"/>
      <c r="L888" s="10"/>
      <c r="M888" s="10"/>
      <c r="N888" s="10"/>
      <c r="O888" s="10"/>
      <c r="P888" s="10"/>
      <c r="Q888" s="10"/>
      <c r="R888" s="10"/>
      <c r="S888" s="10"/>
      <c r="T888" s="14"/>
      <c r="U888" s="10"/>
      <c r="V888" s="10"/>
      <c r="W888" s="10"/>
      <c r="X888" s="7"/>
      <c r="Y888" s="34"/>
      <c r="Z888" s="7"/>
      <c r="AA888" s="34"/>
      <c r="AB888" s="7"/>
      <c r="AC888" s="34"/>
      <c r="AD888" s="10"/>
    </row>
    <row r="889" spans="1:30" x14ac:dyDescent="0.25">
      <c r="A889" s="7"/>
      <c r="C889" s="70"/>
      <c r="D889" s="70"/>
      <c r="E889" s="73"/>
      <c r="F889" s="9"/>
      <c r="H889" s="9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4"/>
      <c r="U889" s="10"/>
      <c r="V889" s="10"/>
      <c r="W889" s="10"/>
      <c r="X889" s="7"/>
      <c r="Y889" s="7"/>
      <c r="Z889" s="7"/>
      <c r="AA889" s="34"/>
      <c r="AB889" s="7"/>
      <c r="AC889" s="34"/>
      <c r="AD889" s="10"/>
    </row>
    <row r="890" spans="1:30" x14ac:dyDescent="0.25">
      <c r="A890" s="7"/>
      <c r="C890" s="70"/>
      <c r="D890" s="70"/>
      <c r="E890" s="73"/>
      <c r="F890" s="9"/>
      <c r="H890" s="9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4"/>
      <c r="U890" s="10"/>
      <c r="V890" s="10"/>
      <c r="W890" s="10"/>
      <c r="X890" s="7"/>
      <c r="Y890" s="7"/>
      <c r="Z890" s="7"/>
      <c r="AA890" s="34"/>
      <c r="AB890" s="7"/>
      <c r="AC890" s="34"/>
      <c r="AD890" s="10"/>
    </row>
    <row r="891" spans="1:30" x14ac:dyDescent="0.25">
      <c r="A891" s="7"/>
      <c r="C891" s="70"/>
      <c r="D891" s="70"/>
      <c r="E891" s="73"/>
      <c r="F891" s="9"/>
      <c r="H891" s="9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4"/>
      <c r="U891" s="10"/>
      <c r="V891" s="10"/>
      <c r="W891" s="10"/>
      <c r="X891" s="7"/>
      <c r="Y891" s="7"/>
      <c r="Z891" s="7"/>
      <c r="AA891" s="34"/>
      <c r="AB891" s="7"/>
      <c r="AC891" s="34"/>
      <c r="AD891" s="10"/>
    </row>
    <row r="892" spans="1:30" x14ac:dyDescent="0.25">
      <c r="A892" s="7"/>
      <c r="C892" s="70"/>
      <c r="D892" s="70"/>
      <c r="E892" s="73"/>
      <c r="F892" s="9"/>
      <c r="H892" s="9"/>
      <c r="I892" s="10"/>
      <c r="J892" s="7"/>
      <c r="K892" s="7"/>
      <c r="L892" s="10"/>
      <c r="M892" s="10"/>
      <c r="N892" s="10"/>
      <c r="O892" s="10"/>
      <c r="P892" s="10"/>
      <c r="Q892" s="10"/>
      <c r="R892" s="10"/>
      <c r="S892" s="10"/>
      <c r="T892" s="14"/>
      <c r="U892" s="10"/>
      <c r="V892" s="10"/>
      <c r="W892" s="10"/>
      <c r="X892" s="7"/>
      <c r="Y892" s="7"/>
      <c r="Z892" s="34"/>
      <c r="AA892" s="34"/>
      <c r="AB892" s="7"/>
      <c r="AC892" s="34"/>
      <c r="AD892" s="10"/>
    </row>
    <row r="893" spans="1:30" x14ac:dyDescent="0.25">
      <c r="A893" s="7"/>
      <c r="C893" s="70"/>
      <c r="D893" s="70"/>
      <c r="E893" s="73"/>
      <c r="F893" s="9"/>
      <c r="H893" s="9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4"/>
      <c r="U893" s="10"/>
      <c r="V893" s="10"/>
      <c r="W893" s="10"/>
      <c r="X893" s="7"/>
      <c r="Y893" s="7"/>
      <c r="Z893" s="34"/>
      <c r="AA893" s="34"/>
      <c r="AB893" s="7"/>
      <c r="AC893" s="34"/>
      <c r="AD893" s="10"/>
    </row>
    <row r="894" spans="1:30" x14ac:dyDescent="0.25">
      <c r="A894" s="7"/>
      <c r="C894" s="70"/>
      <c r="D894" s="70"/>
      <c r="E894" s="79"/>
      <c r="F894" s="55"/>
      <c r="G894" s="55"/>
      <c r="H894" s="55"/>
      <c r="I894" s="10"/>
      <c r="J894" s="10"/>
      <c r="K894" s="24"/>
      <c r="L894" s="10"/>
      <c r="M894" s="10"/>
      <c r="N894" s="10"/>
      <c r="O894" s="10"/>
      <c r="P894" s="10"/>
      <c r="Q894" s="10"/>
      <c r="R894" s="10"/>
      <c r="S894" s="10"/>
      <c r="T894" s="14"/>
      <c r="U894" s="10"/>
      <c r="V894" s="10"/>
      <c r="W894" s="10"/>
      <c r="X894" s="7"/>
      <c r="Y894" s="7"/>
      <c r="Z894" s="7"/>
      <c r="AA894" s="34"/>
      <c r="AB894" s="7"/>
      <c r="AC894" s="34"/>
      <c r="AD894" s="10"/>
    </row>
    <row r="895" spans="1:30" x14ac:dyDescent="0.25">
      <c r="A895" s="7"/>
      <c r="C895" s="70"/>
      <c r="D895" s="70"/>
      <c r="E895" s="73"/>
      <c r="F895" s="9"/>
      <c r="H895" s="9"/>
      <c r="I895" s="10"/>
      <c r="J895" s="7"/>
      <c r="K895" s="7"/>
      <c r="L895" s="10"/>
      <c r="M895" s="10"/>
      <c r="N895" s="10"/>
      <c r="O895" s="10"/>
      <c r="P895" s="10"/>
      <c r="Q895" s="10"/>
      <c r="R895" s="10"/>
      <c r="S895" s="10"/>
      <c r="T895" s="14"/>
      <c r="U895" s="10"/>
      <c r="V895" s="10"/>
      <c r="W895" s="10"/>
      <c r="X895" s="7"/>
      <c r="Y895" s="7"/>
      <c r="Z895" s="7"/>
      <c r="AA895" s="34"/>
      <c r="AB895" s="7"/>
      <c r="AC895" s="34"/>
      <c r="AD895" s="10"/>
    </row>
    <row r="896" spans="1:30" x14ac:dyDescent="0.25">
      <c r="A896" s="7"/>
      <c r="C896" s="70"/>
      <c r="D896" s="70"/>
      <c r="E896" s="73"/>
      <c r="F896" s="9"/>
      <c r="H896" s="9"/>
      <c r="I896" s="10"/>
      <c r="J896" s="7"/>
      <c r="K896" s="7"/>
      <c r="L896" s="10"/>
      <c r="M896" s="10"/>
      <c r="N896" s="10"/>
      <c r="O896" s="10"/>
      <c r="P896" s="10"/>
      <c r="Q896" s="10"/>
      <c r="R896" s="10"/>
      <c r="S896" s="10"/>
      <c r="T896" s="14"/>
      <c r="U896" s="10"/>
      <c r="V896" s="10"/>
      <c r="W896" s="10"/>
      <c r="X896" s="7"/>
      <c r="Y896" s="7"/>
      <c r="Z896" s="7"/>
      <c r="AA896" s="34"/>
      <c r="AB896" s="7"/>
      <c r="AC896" s="34"/>
      <c r="AD896" s="10"/>
    </row>
    <row r="897" spans="1:30" x14ac:dyDescent="0.25">
      <c r="A897" s="7"/>
      <c r="C897" s="70"/>
      <c r="D897" s="70"/>
      <c r="E897" s="73"/>
      <c r="F897" s="9"/>
      <c r="H897" s="9"/>
      <c r="I897" s="10"/>
      <c r="J897" s="7"/>
      <c r="K897" s="7"/>
      <c r="L897" s="10"/>
      <c r="M897" s="34"/>
      <c r="N897" s="10"/>
      <c r="O897" s="10"/>
      <c r="P897" s="10"/>
      <c r="Q897" s="10"/>
      <c r="R897" s="10"/>
      <c r="S897" s="10"/>
      <c r="T897" s="14"/>
      <c r="U897" s="10"/>
      <c r="V897" s="10"/>
      <c r="W897" s="10"/>
      <c r="X897" s="7"/>
      <c r="Y897" s="7"/>
      <c r="Z897" s="7"/>
      <c r="AA897" s="34"/>
      <c r="AB897" s="7"/>
      <c r="AC897" s="34"/>
      <c r="AD897" s="10"/>
    </row>
    <row r="898" spans="1:30" x14ac:dyDescent="0.25">
      <c r="A898" s="7"/>
      <c r="C898" s="70"/>
      <c r="D898" s="70"/>
      <c r="E898" s="73"/>
      <c r="F898" s="9"/>
      <c r="H898" s="9"/>
      <c r="I898" s="10"/>
      <c r="J898" s="10"/>
      <c r="K898" s="7"/>
      <c r="L898" s="10"/>
      <c r="M898" s="10"/>
      <c r="N898" s="10"/>
      <c r="O898" s="10"/>
      <c r="P898" s="10"/>
      <c r="Q898" s="10"/>
      <c r="R898" s="10"/>
      <c r="S898" s="10"/>
      <c r="T898" s="14"/>
      <c r="U898" s="10"/>
      <c r="V898" s="10"/>
      <c r="W898" s="10"/>
      <c r="X898" s="7"/>
      <c r="Y898" s="7"/>
      <c r="Z898" s="7"/>
      <c r="AA898" s="34"/>
      <c r="AB898" s="7"/>
      <c r="AC898" s="34"/>
      <c r="AD898" s="10"/>
    </row>
    <row r="899" spans="1:30" x14ac:dyDescent="0.25">
      <c r="A899" s="7"/>
      <c r="C899" s="70"/>
      <c r="D899" s="70"/>
      <c r="E899" s="73"/>
      <c r="F899" s="9"/>
      <c r="H899" s="9"/>
      <c r="I899" s="10"/>
      <c r="J899" s="10"/>
      <c r="K899" s="7"/>
      <c r="L899" s="10"/>
      <c r="M899" s="10"/>
      <c r="N899" s="10"/>
      <c r="O899" s="10"/>
      <c r="P899" s="10"/>
      <c r="Q899" s="10"/>
      <c r="R899" s="10"/>
      <c r="S899" s="10"/>
      <c r="T899" s="14"/>
      <c r="U899" s="10"/>
      <c r="V899" s="10"/>
      <c r="W899" s="10"/>
      <c r="X899" s="7"/>
      <c r="Y899" s="7"/>
      <c r="Z899" s="7"/>
      <c r="AA899" s="34"/>
      <c r="AB899" s="7"/>
      <c r="AC899" s="34"/>
      <c r="AD899" s="10"/>
    </row>
    <row r="900" spans="1:30" x14ac:dyDescent="0.25">
      <c r="A900" s="7"/>
      <c r="C900" s="70"/>
      <c r="D900" s="70"/>
      <c r="E900" s="73"/>
      <c r="F900" s="9"/>
      <c r="H900" s="9"/>
      <c r="I900" s="10"/>
      <c r="J900" s="10"/>
      <c r="K900" s="7"/>
      <c r="L900" s="10"/>
      <c r="M900" s="10"/>
      <c r="N900" s="10"/>
      <c r="O900" s="10"/>
      <c r="P900" s="10"/>
      <c r="Q900" s="10"/>
      <c r="R900" s="10"/>
      <c r="S900" s="10"/>
      <c r="T900" s="14"/>
      <c r="U900" s="10"/>
      <c r="V900" s="10"/>
      <c r="W900" s="10"/>
      <c r="X900" s="7"/>
      <c r="Y900" s="7"/>
      <c r="Z900" s="7"/>
      <c r="AA900" s="34"/>
      <c r="AB900" s="7"/>
      <c r="AC900" s="34"/>
      <c r="AD900" s="10"/>
    </row>
    <row r="901" spans="1:30" x14ac:dyDescent="0.25">
      <c r="A901" s="7"/>
      <c r="C901" s="70"/>
      <c r="D901" s="70"/>
      <c r="E901" s="73"/>
      <c r="F901" s="9"/>
      <c r="H901" s="9"/>
      <c r="I901" s="10"/>
      <c r="J901" s="7"/>
      <c r="K901" s="7"/>
      <c r="L901" s="10"/>
      <c r="M901" s="10"/>
      <c r="N901" s="10"/>
      <c r="O901" s="10"/>
      <c r="P901" s="10"/>
      <c r="Q901" s="10"/>
      <c r="R901" s="10"/>
      <c r="S901" s="10"/>
      <c r="T901" s="14"/>
      <c r="U901" s="10"/>
      <c r="V901" s="10"/>
      <c r="W901" s="10"/>
      <c r="X901" s="7"/>
      <c r="Y901" s="7"/>
      <c r="Z901" s="7"/>
      <c r="AA901" s="34"/>
      <c r="AB901" s="7"/>
      <c r="AC901" s="34"/>
      <c r="AD901" s="10"/>
    </row>
    <row r="902" spans="1:30" x14ac:dyDescent="0.25">
      <c r="A902" s="7"/>
      <c r="C902" s="70"/>
      <c r="D902" s="70"/>
      <c r="E902" s="73"/>
      <c r="F902" s="9"/>
      <c r="H902" s="9"/>
      <c r="I902" s="10"/>
      <c r="J902" s="7"/>
      <c r="K902" s="24"/>
      <c r="L902" s="10"/>
      <c r="M902" s="10"/>
      <c r="N902" s="10"/>
      <c r="O902" s="10"/>
      <c r="P902" s="10"/>
      <c r="Q902" s="10"/>
      <c r="R902" s="10"/>
      <c r="S902" s="10"/>
      <c r="T902" s="14"/>
      <c r="U902" s="10"/>
      <c r="V902" s="10"/>
      <c r="W902" s="10"/>
      <c r="X902" s="7"/>
      <c r="Y902" s="7"/>
      <c r="Z902" s="7"/>
      <c r="AA902" s="34"/>
      <c r="AB902" s="7"/>
      <c r="AC902" s="34"/>
      <c r="AD902" s="10"/>
    </row>
    <row r="903" spans="1:30" x14ac:dyDescent="0.25">
      <c r="A903" s="7"/>
      <c r="C903" s="70"/>
      <c r="D903" s="70"/>
      <c r="E903" s="73"/>
      <c r="F903" s="9"/>
      <c r="H903" s="9"/>
      <c r="I903" s="10"/>
      <c r="J903" s="7"/>
      <c r="K903" s="7"/>
      <c r="L903" s="10"/>
      <c r="M903" s="10"/>
      <c r="N903" s="10"/>
      <c r="O903" s="10"/>
      <c r="P903" s="10"/>
      <c r="Q903" s="10"/>
      <c r="R903" s="10"/>
      <c r="S903" s="10"/>
      <c r="T903" s="14"/>
      <c r="U903" s="10"/>
      <c r="V903" s="10"/>
      <c r="W903" s="10"/>
      <c r="X903" s="7"/>
      <c r="Y903" s="7"/>
      <c r="Z903" s="7"/>
      <c r="AA903" s="34"/>
      <c r="AB903" s="7"/>
      <c r="AC903" s="34"/>
      <c r="AD903" s="10"/>
    </row>
    <row r="904" spans="1:30" x14ac:dyDescent="0.25">
      <c r="A904" s="7"/>
      <c r="C904" s="70"/>
      <c r="D904" s="70"/>
      <c r="E904" s="73"/>
      <c r="F904" s="9"/>
      <c r="H904" s="9"/>
      <c r="I904" s="10"/>
      <c r="J904" s="7"/>
      <c r="K904" s="7"/>
      <c r="L904" s="10"/>
      <c r="M904" s="10"/>
      <c r="N904" s="10"/>
      <c r="O904" s="10"/>
      <c r="P904" s="10"/>
      <c r="Q904" s="10"/>
      <c r="R904" s="10"/>
      <c r="S904" s="10"/>
      <c r="T904" s="14"/>
      <c r="U904" s="10"/>
      <c r="V904" s="10"/>
      <c r="W904" s="10"/>
      <c r="X904" s="7"/>
      <c r="Y904" s="34"/>
      <c r="Z904" s="34"/>
      <c r="AA904" s="34"/>
      <c r="AB904" s="7"/>
      <c r="AC904" s="34"/>
      <c r="AD904" s="10"/>
    </row>
    <row r="905" spans="1:30" x14ac:dyDescent="0.25">
      <c r="A905" s="7"/>
      <c r="C905" s="70"/>
      <c r="D905" s="70"/>
      <c r="E905" s="73"/>
      <c r="F905" s="9"/>
      <c r="H905" s="9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4"/>
      <c r="U905" s="10"/>
      <c r="V905" s="10"/>
      <c r="W905" s="10"/>
      <c r="X905" s="7"/>
      <c r="Y905" s="34"/>
      <c r="Z905" s="7"/>
      <c r="AA905" s="34"/>
      <c r="AB905" s="7"/>
      <c r="AC905" s="34"/>
      <c r="AD905" s="10"/>
    </row>
    <row r="906" spans="1:30" x14ac:dyDescent="0.25">
      <c r="A906" s="7"/>
      <c r="C906" s="70"/>
      <c r="D906" s="70"/>
      <c r="E906" s="73"/>
      <c r="F906" s="9"/>
      <c r="H906" s="9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4"/>
      <c r="U906" s="10"/>
      <c r="V906" s="10"/>
      <c r="W906" s="10"/>
      <c r="X906" s="7"/>
      <c r="Y906" s="7"/>
      <c r="Z906" s="7"/>
      <c r="AA906" s="34"/>
      <c r="AB906" s="7"/>
      <c r="AC906" s="34"/>
      <c r="AD906" s="10"/>
    </row>
    <row r="907" spans="1:30" x14ac:dyDescent="0.25">
      <c r="A907" s="43"/>
      <c r="C907" s="70"/>
      <c r="D907" s="70"/>
      <c r="E907" s="73"/>
      <c r="F907" s="9"/>
      <c r="H907" s="9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4"/>
      <c r="U907" s="10"/>
      <c r="V907" s="10"/>
      <c r="W907" s="10"/>
      <c r="X907" s="7"/>
      <c r="Y907" s="7"/>
      <c r="Z907" s="7"/>
      <c r="AA907" s="34"/>
      <c r="AB907" s="7"/>
      <c r="AC907" s="34"/>
      <c r="AD907" s="10"/>
    </row>
    <row r="908" spans="1:30" x14ac:dyDescent="0.25">
      <c r="A908" s="7"/>
      <c r="C908" s="70"/>
      <c r="D908" s="70"/>
      <c r="E908" s="73"/>
      <c r="F908" s="9"/>
      <c r="H908" s="9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4"/>
      <c r="U908" s="10"/>
      <c r="V908" s="10"/>
      <c r="W908" s="10"/>
      <c r="X908" s="7"/>
      <c r="Y908" s="7"/>
      <c r="Z908" s="34"/>
      <c r="AA908" s="34"/>
      <c r="AB908" s="7"/>
      <c r="AC908" s="34"/>
      <c r="AD908" s="10"/>
    </row>
    <row r="909" spans="1:30" x14ac:dyDescent="0.25">
      <c r="A909" s="7"/>
      <c r="C909" s="70"/>
      <c r="D909" s="70"/>
      <c r="E909" s="73"/>
      <c r="F909" s="45"/>
      <c r="H909" s="9"/>
      <c r="I909" s="10"/>
      <c r="J909" s="7"/>
      <c r="K909" s="7"/>
      <c r="L909" s="10"/>
      <c r="M909" s="10"/>
      <c r="N909" s="10"/>
      <c r="O909" s="10"/>
      <c r="P909" s="10"/>
      <c r="Q909" s="10"/>
      <c r="R909" s="10"/>
      <c r="S909" s="10"/>
      <c r="T909" s="14"/>
      <c r="U909" s="10"/>
      <c r="V909" s="10"/>
      <c r="W909" s="10"/>
      <c r="X909" s="7"/>
      <c r="Y909" s="34"/>
      <c r="Z909" s="7"/>
      <c r="AA909" s="34"/>
      <c r="AB909" s="7"/>
      <c r="AC909" s="34"/>
      <c r="AD909" s="10"/>
    </row>
    <row r="910" spans="1:30" x14ac:dyDescent="0.25">
      <c r="A910" s="7"/>
      <c r="C910" s="70"/>
      <c r="D910" s="70"/>
      <c r="E910" s="73"/>
      <c r="F910" s="9"/>
      <c r="H910" s="9"/>
      <c r="I910" s="10"/>
      <c r="J910" s="7"/>
      <c r="K910" s="7"/>
      <c r="L910" s="10"/>
      <c r="M910" s="10"/>
      <c r="N910" s="10"/>
      <c r="O910" s="10"/>
      <c r="P910" s="10"/>
      <c r="Q910" s="10"/>
      <c r="R910" s="10"/>
      <c r="S910" s="10"/>
      <c r="T910" s="14"/>
      <c r="U910" s="10"/>
      <c r="V910" s="10"/>
      <c r="W910" s="10"/>
      <c r="X910" s="7"/>
      <c r="Y910" s="7"/>
      <c r="Z910" s="7"/>
      <c r="AA910" s="34"/>
      <c r="AB910" s="7"/>
      <c r="AC910" s="34"/>
      <c r="AD910" s="10"/>
    </row>
    <row r="911" spans="1:30" x14ac:dyDescent="0.25">
      <c r="A911" s="7"/>
      <c r="C911" s="70"/>
      <c r="D911" s="70"/>
      <c r="E911" s="73"/>
      <c r="F911" s="9"/>
      <c r="H911" s="9"/>
      <c r="I911" s="10"/>
      <c r="J911" s="10"/>
      <c r="K911" s="7"/>
      <c r="L911" s="10"/>
      <c r="M911" s="10"/>
      <c r="N911" s="10"/>
      <c r="O911" s="10"/>
      <c r="P911" s="10"/>
      <c r="Q911" s="10"/>
      <c r="R911" s="10"/>
      <c r="S911" s="10"/>
      <c r="T911" s="14"/>
      <c r="U911" s="10"/>
      <c r="V911" s="10"/>
      <c r="W911" s="10"/>
      <c r="X911" s="7"/>
      <c r="Y911" s="7"/>
      <c r="Z911" s="7"/>
      <c r="AA911" s="34"/>
      <c r="AB911" s="7"/>
      <c r="AC911" s="34"/>
      <c r="AD911" s="10"/>
    </row>
    <row r="912" spans="1:30" x14ac:dyDescent="0.25">
      <c r="A912" s="7"/>
      <c r="C912" s="70"/>
      <c r="D912" s="70"/>
      <c r="E912" s="73"/>
      <c r="F912" s="9"/>
      <c r="H912" s="9"/>
      <c r="I912" s="10"/>
      <c r="J912" s="10"/>
      <c r="K912" s="7"/>
      <c r="L912" s="10"/>
      <c r="M912" s="10"/>
      <c r="N912" s="10"/>
      <c r="O912" s="10"/>
      <c r="P912" s="10"/>
      <c r="Q912" s="10"/>
      <c r="R912" s="10"/>
      <c r="S912" s="10"/>
      <c r="T912" s="14"/>
      <c r="U912" s="10"/>
      <c r="V912" s="10"/>
      <c r="W912" s="10"/>
      <c r="X912" s="7"/>
      <c r="Y912" s="7"/>
      <c r="Z912" s="7"/>
      <c r="AA912" s="34"/>
      <c r="AB912" s="7"/>
      <c r="AC912" s="34"/>
      <c r="AD912" s="10"/>
    </row>
    <row r="913" spans="1:30" x14ac:dyDescent="0.25">
      <c r="A913" s="7"/>
      <c r="C913" s="70"/>
      <c r="D913" s="70"/>
      <c r="E913" s="73"/>
      <c r="F913" s="9"/>
      <c r="H913" s="9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4"/>
      <c r="U913" s="10"/>
      <c r="V913" s="10"/>
      <c r="W913" s="10"/>
      <c r="X913" s="7"/>
      <c r="Y913" s="7"/>
      <c r="Z913" s="7"/>
      <c r="AA913" s="34"/>
      <c r="AB913" s="7"/>
      <c r="AC913" s="34"/>
      <c r="AD913" s="10"/>
    </row>
    <row r="914" spans="1:30" x14ac:dyDescent="0.25">
      <c r="A914" s="7"/>
      <c r="C914" s="70"/>
      <c r="D914" s="70"/>
      <c r="E914" s="73"/>
      <c r="F914" s="9"/>
      <c r="H914" s="9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4"/>
      <c r="U914" s="10"/>
      <c r="V914" s="10"/>
      <c r="W914" s="10"/>
      <c r="X914" s="7"/>
      <c r="Y914" s="7"/>
      <c r="Z914" s="7"/>
      <c r="AA914" s="34"/>
      <c r="AB914" s="7"/>
      <c r="AC914" s="34"/>
      <c r="AD914" s="10"/>
    </row>
    <row r="915" spans="1:30" x14ac:dyDescent="0.25">
      <c r="A915" s="7"/>
      <c r="C915" s="70"/>
      <c r="D915" s="70"/>
      <c r="E915" s="73"/>
      <c r="F915" s="9"/>
      <c r="H915" s="9"/>
      <c r="I915" s="10"/>
      <c r="J915" s="7"/>
      <c r="K915" s="7"/>
      <c r="L915" s="10"/>
      <c r="M915" s="10"/>
      <c r="N915" s="10"/>
      <c r="O915" s="10"/>
      <c r="P915" s="10"/>
      <c r="Q915" s="10"/>
      <c r="R915" s="10"/>
      <c r="S915" s="10"/>
      <c r="T915" s="14"/>
      <c r="U915" s="10"/>
      <c r="V915" s="10"/>
      <c r="W915" s="10"/>
      <c r="X915" s="7"/>
      <c r="Y915" s="7"/>
      <c r="Z915" s="7"/>
      <c r="AA915" s="34"/>
      <c r="AB915" s="7"/>
      <c r="AC915" s="34"/>
      <c r="AD915" s="10"/>
    </row>
    <row r="916" spans="1:30" x14ac:dyDescent="0.25">
      <c r="A916" s="7"/>
      <c r="C916" s="70"/>
      <c r="D916" s="70"/>
      <c r="E916" s="73"/>
      <c r="F916" s="9"/>
      <c r="H916" s="9"/>
      <c r="I916" s="10"/>
      <c r="J916" s="7"/>
      <c r="K916" s="24"/>
      <c r="L916" s="10"/>
      <c r="M916" s="10"/>
      <c r="N916" s="10"/>
      <c r="O916" s="10"/>
      <c r="P916" s="10"/>
      <c r="Q916" s="10"/>
      <c r="R916" s="10"/>
      <c r="S916" s="10"/>
      <c r="T916" s="14"/>
      <c r="U916" s="10"/>
      <c r="V916" s="10"/>
      <c r="W916" s="10"/>
      <c r="X916" s="7"/>
      <c r="Y916" s="7"/>
      <c r="Z916" s="7"/>
      <c r="AA916" s="34"/>
      <c r="AB916" s="7"/>
      <c r="AC916" s="34"/>
      <c r="AD916" s="10"/>
    </row>
    <row r="917" spans="1:30" x14ac:dyDescent="0.25">
      <c r="A917" s="7"/>
      <c r="C917" s="70"/>
      <c r="D917" s="70"/>
      <c r="E917" s="73"/>
      <c r="F917" s="9"/>
      <c r="H917" s="9"/>
      <c r="I917" s="10"/>
      <c r="J917" s="7"/>
      <c r="K917" s="24"/>
      <c r="L917" s="10"/>
      <c r="M917" s="10"/>
      <c r="N917" s="10"/>
      <c r="O917" s="10"/>
      <c r="P917" s="10"/>
      <c r="Q917" s="10"/>
      <c r="R917" s="10"/>
      <c r="S917" s="10"/>
      <c r="T917" s="14"/>
      <c r="U917" s="10"/>
      <c r="V917" s="10"/>
      <c r="W917" s="10"/>
      <c r="X917" s="7"/>
      <c r="Y917" s="7"/>
      <c r="Z917" s="7"/>
      <c r="AA917" s="34"/>
      <c r="AB917" s="7"/>
      <c r="AC917" s="34"/>
      <c r="AD917" s="10"/>
    </row>
    <row r="918" spans="1:30" x14ac:dyDescent="0.25">
      <c r="A918" s="7"/>
      <c r="C918" s="70"/>
      <c r="D918" s="70"/>
      <c r="E918" s="73"/>
      <c r="F918" s="9"/>
      <c r="H918" s="9"/>
      <c r="I918" s="10"/>
      <c r="J918" s="7"/>
      <c r="K918" s="7"/>
      <c r="L918" s="10"/>
      <c r="M918" s="10"/>
      <c r="N918" s="10"/>
      <c r="O918" s="10"/>
      <c r="P918" s="10"/>
      <c r="Q918" s="10"/>
      <c r="R918" s="10"/>
      <c r="S918" s="10"/>
      <c r="T918" s="14"/>
      <c r="U918" s="10"/>
      <c r="V918" s="10"/>
      <c r="W918" s="10"/>
      <c r="X918" s="7"/>
      <c r="Y918" s="7"/>
      <c r="Z918" s="7"/>
      <c r="AA918" s="34"/>
      <c r="AB918" s="7"/>
      <c r="AC918" s="34"/>
      <c r="AD918" s="10"/>
    </row>
    <row r="919" spans="1:30" x14ac:dyDescent="0.25">
      <c r="A919" s="7"/>
      <c r="C919" s="70"/>
      <c r="D919" s="70"/>
      <c r="E919" s="73"/>
      <c r="F919" s="48"/>
      <c r="H919" s="9"/>
      <c r="I919" s="10"/>
      <c r="J919" s="7"/>
      <c r="K919" s="7"/>
      <c r="L919" s="10"/>
      <c r="M919" s="10"/>
      <c r="N919" s="10"/>
      <c r="O919" s="10"/>
      <c r="P919" s="10"/>
      <c r="Q919" s="10"/>
      <c r="R919" s="10"/>
      <c r="S919" s="10"/>
      <c r="T919" s="14"/>
      <c r="U919" s="10"/>
      <c r="V919" s="10"/>
      <c r="W919" s="10"/>
      <c r="X919" s="7"/>
      <c r="Y919" s="34"/>
      <c r="Z919" s="7"/>
      <c r="AA919" s="34"/>
      <c r="AB919" s="7"/>
      <c r="AC919" s="34"/>
      <c r="AD919" s="10"/>
    </row>
    <row r="920" spans="1:30" x14ac:dyDescent="0.25">
      <c r="A920" s="7"/>
      <c r="C920" s="70"/>
      <c r="D920" s="70"/>
      <c r="E920" s="73"/>
      <c r="F920" s="9"/>
      <c r="H920" s="9"/>
      <c r="I920" s="10"/>
      <c r="J920" s="7"/>
      <c r="K920" s="7"/>
      <c r="L920" s="10"/>
      <c r="M920" s="10"/>
      <c r="N920" s="10"/>
      <c r="O920" s="10"/>
      <c r="P920" s="10"/>
      <c r="Q920" s="10"/>
      <c r="R920" s="10"/>
      <c r="S920" s="10"/>
      <c r="T920" s="14"/>
      <c r="U920" s="10"/>
      <c r="V920" s="10"/>
      <c r="W920" s="10"/>
      <c r="X920" s="7"/>
      <c r="Y920" s="7"/>
      <c r="Z920" s="7"/>
      <c r="AA920" s="34"/>
      <c r="AB920" s="7"/>
      <c r="AC920" s="34"/>
      <c r="AD920" s="10"/>
    </row>
    <row r="921" spans="1:30" x14ac:dyDescent="0.25">
      <c r="A921" s="7"/>
      <c r="C921" s="70"/>
      <c r="D921" s="70"/>
      <c r="E921" s="73"/>
      <c r="F921" s="9"/>
      <c r="H921" s="9"/>
      <c r="I921" s="10"/>
      <c r="J921" s="7"/>
      <c r="K921" s="7"/>
      <c r="L921" s="10"/>
      <c r="M921" s="10"/>
      <c r="N921" s="10"/>
      <c r="O921" s="10"/>
      <c r="P921" s="10"/>
      <c r="Q921" s="10"/>
      <c r="R921" s="10"/>
      <c r="S921" s="10"/>
      <c r="T921" s="14"/>
      <c r="U921" s="10"/>
      <c r="V921" s="10"/>
      <c r="W921" s="10"/>
      <c r="X921" s="7"/>
      <c r="Y921" s="7"/>
      <c r="Z921" s="7"/>
      <c r="AA921" s="34"/>
      <c r="AB921" s="7"/>
      <c r="AC921" s="34"/>
      <c r="AD921" s="10"/>
    </row>
    <row r="922" spans="1:30" x14ac:dyDescent="0.25">
      <c r="A922" s="7"/>
      <c r="C922" s="70"/>
      <c r="D922" s="70"/>
      <c r="E922" s="73"/>
      <c r="F922" s="9"/>
      <c r="H922" s="9"/>
      <c r="I922" s="10"/>
      <c r="J922" s="10"/>
      <c r="K922" s="7"/>
      <c r="L922" s="10"/>
      <c r="M922" s="10"/>
      <c r="N922" s="10"/>
      <c r="O922" s="10"/>
      <c r="P922" s="10"/>
      <c r="Q922" s="10"/>
      <c r="R922" s="10"/>
      <c r="S922" s="10"/>
      <c r="T922" s="14"/>
      <c r="U922" s="10"/>
      <c r="V922" s="10"/>
      <c r="W922" s="10"/>
      <c r="X922" s="7"/>
      <c r="Y922" s="7"/>
      <c r="Z922" s="7"/>
      <c r="AA922" s="34"/>
      <c r="AB922" s="7"/>
      <c r="AC922" s="34"/>
      <c r="AD922" s="10"/>
    </row>
    <row r="923" spans="1:30" x14ac:dyDescent="0.25">
      <c r="A923" s="7"/>
      <c r="C923" s="70"/>
      <c r="D923" s="70"/>
      <c r="E923" s="73"/>
      <c r="F923" s="9"/>
      <c r="H923" s="9"/>
      <c r="I923" s="10"/>
      <c r="J923" s="7"/>
      <c r="K923" s="7"/>
      <c r="L923" s="10"/>
      <c r="M923" s="10"/>
      <c r="N923" s="10"/>
      <c r="O923" s="10"/>
      <c r="P923" s="10"/>
      <c r="Q923" s="10"/>
      <c r="R923" s="10"/>
      <c r="S923" s="10"/>
      <c r="T923" s="14"/>
      <c r="U923" s="10"/>
      <c r="V923" s="10"/>
      <c r="W923" s="10"/>
      <c r="X923" s="7"/>
      <c r="Y923" s="7"/>
      <c r="Z923" s="7"/>
      <c r="AA923" s="34"/>
      <c r="AB923" s="7"/>
      <c r="AC923" s="34"/>
      <c r="AD923" s="10"/>
    </row>
    <row r="924" spans="1:30" x14ac:dyDescent="0.25">
      <c r="A924" s="7"/>
      <c r="C924" s="70"/>
      <c r="D924" s="70"/>
      <c r="E924" s="73"/>
      <c r="F924" s="9"/>
      <c r="H924" s="9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4"/>
      <c r="U924" s="10"/>
      <c r="V924" s="10"/>
      <c r="W924" s="10"/>
      <c r="X924" s="7"/>
      <c r="Y924" s="7"/>
      <c r="Z924" s="7"/>
      <c r="AA924" s="34"/>
      <c r="AB924" s="7"/>
      <c r="AC924" s="34"/>
      <c r="AD924" s="10"/>
    </row>
    <row r="925" spans="1:30" x14ac:dyDescent="0.25">
      <c r="A925" s="7"/>
      <c r="C925" s="70"/>
      <c r="D925" s="70"/>
      <c r="E925" s="73"/>
      <c r="F925" s="9"/>
      <c r="H925" s="9"/>
      <c r="I925" s="10"/>
      <c r="J925" s="7"/>
      <c r="K925" s="7"/>
      <c r="L925" s="10"/>
      <c r="M925" s="10"/>
      <c r="N925" s="10"/>
      <c r="O925" s="10"/>
      <c r="P925" s="10"/>
      <c r="Q925" s="10"/>
      <c r="R925" s="10"/>
      <c r="S925" s="10"/>
      <c r="T925" s="14"/>
      <c r="U925" s="10"/>
      <c r="V925" s="10"/>
      <c r="W925" s="10"/>
      <c r="X925" s="7"/>
      <c r="Y925" s="7"/>
      <c r="Z925" s="7"/>
      <c r="AA925" s="34"/>
      <c r="AB925" s="7"/>
      <c r="AC925" s="34"/>
      <c r="AD925" s="10"/>
    </row>
    <row r="926" spans="1:30" x14ac:dyDescent="0.25">
      <c r="A926" s="7"/>
      <c r="C926" s="70"/>
      <c r="D926" s="70"/>
      <c r="E926" s="73"/>
      <c r="F926" s="9"/>
      <c r="H926" s="9"/>
      <c r="I926" s="10"/>
      <c r="J926" s="7"/>
      <c r="K926" s="10"/>
      <c r="L926" s="10"/>
      <c r="M926" s="10"/>
      <c r="N926" s="10"/>
      <c r="O926" s="10"/>
      <c r="P926" s="10"/>
      <c r="Q926" s="10"/>
      <c r="R926" s="10"/>
      <c r="S926" s="10"/>
      <c r="T926" s="14"/>
      <c r="U926" s="10"/>
      <c r="V926" s="10"/>
      <c r="W926" s="10"/>
      <c r="X926" s="7"/>
      <c r="Y926" s="7"/>
      <c r="Z926" s="34"/>
      <c r="AA926" s="34"/>
      <c r="AB926" s="7"/>
      <c r="AC926" s="34"/>
      <c r="AD926" s="10"/>
    </row>
    <row r="927" spans="1:30" x14ac:dyDescent="0.25">
      <c r="A927" s="7"/>
      <c r="C927" s="70"/>
      <c r="D927" s="70"/>
      <c r="E927" s="73"/>
      <c r="F927" s="9"/>
      <c r="H927" s="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4"/>
      <c r="U927" s="10"/>
      <c r="V927" s="10"/>
      <c r="W927" s="10"/>
      <c r="X927" s="7"/>
      <c r="Y927" s="7"/>
      <c r="Z927" s="34"/>
      <c r="AA927" s="34"/>
      <c r="AB927" s="7"/>
      <c r="AC927" s="34"/>
      <c r="AD927" s="10"/>
    </row>
    <row r="928" spans="1:30" x14ac:dyDescent="0.25">
      <c r="A928" s="7"/>
      <c r="C928" s="70"/>
      <c r="D928" s="70"/>
      <c r="E928" s="73"/>
      <c r="F928" s="45"/>
      <c r="H928" s="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4"/>
      <c r="U928" s="10"/>
      <c r="V928" s="10"/>
      <c r="W928" s="10"/>
      <c r="X928" s="7"/>
      <c r="Y928" s="34"/>
      <c r="Z928" s="7"/>
      <c r="AA928" s="34"/>
      <c r="AB928" s="7"/>
      <c r="AC928" s="34"/>
      <c r="AD928" s="10"/>
    </row>
    <row r="929" spans="1:30" x14ac:dyDescent="0.25">
      <c r="A929" s="7"/>
      <c r="C929" s="70"/>
      <c r="D929" s="70"/>
      <c r="E929" s="73"/>
      <c r="F929" s="45"/>
      <c r="H929" s="9"/>
      <c r="I929" s="10"/>
      <c r="J929" s="7"/>
      <c r="K929" s="7"/>
      <c r="L929" s="10"/>
      <c r="M929" s="10"/>
      <c r="N929" s="10"/>
      <c r="O929" s="10"/>
      <c r="P929" s="10"/>
      <c r="Q929" s="10"/>
      <c r="R929" s="10"/>
      <c r="S929" s="10"/>
      <c r="T929" s="14"/>
      <c r="U929" s="10"/>
      <c r="V929" s="10"/>
      <c r="W929" s="10"/>
      <c r="X929" s="7"/>
      <c r="Y929" s="34"/>
      <c r="Z929" s="34"/>
      <c r="AA929" s="34"/>
      <c r="AB929" s="7"/>
      <c r="AC929" s="34"/>
      <c r="AD929" s="10"/>
    </row>
    <row r="930" spans="1:30" x14ac:dyDescent="0.25">
      <c r="A930" s="7"/>
      <c r="C930" s="70"/>
      <c r="D930" s="70"/>
      <c r="E930" s="73"/>
      <c r="F930" s="9"/>
      <c r="H930" s="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4"/>
      <c r="U930" s="10"/>
      <c r="V930" s="10"/>
      <c r="W930" s="10"/>
      <c r="X930" s="7"/>
      <c r="Y930" s="7"/>
      <c r="Z930" s="34"/>
      <c r="AA930" s="34"/>
      <c r="AB930" s="7"/>
      <c r="AC930" s="34"/>
      <c r="AD930" s="10"/>
    </row>
    <row r="931" spans="1:30" x14ac:dyDescent="0.25">
      <c r="A931" s="7"/>
      <c r="C931" s="70"/>
      <c r="D931" s="70"/>
      <c r="E931" s="73"/>
      <c r="F931" s="45"/>
      <c r="H931" s="9"/>
      <c r="I931" s="10"/>
      <c r="J931" s="10"/>
      <c r="K931" s="7"/>
      <c r="L931" s="10"/>
      <c r="M931" s="10"/>
      <c r="N931" s="10"/>
      <c r="O931" s="10"/>
      <c r="P931" s="10"/>
      <c r="Q931" s="10"/>
      <c r="R931" s="10"/>
      <c r="S931" s="10"/>
      <c r="T931" s="14"/>
      <c r="U931" s="10"/>
      <c r="V931" s="10"/>
      <c r="W931" s="10"/>
      <c r="X931" s="7"/>
      <c r="Y931" s="34"/>
      <c r="Z931" s="7"/>
      <c r="AA931" s="34"/>
      <c r="AB931" s="7"/>
      <c r="AC931" s="34"/>
      <c r="AD931" s="10"/>
    </row>
    <row r="932" spans="1:30" x14ac:dyDescent="0.25">
      <c r="A932" s="7"/>
      <c r="C932" s="70"/>
      <c r="D932" s="70"/>
      <c r="E932" s="73"/>
      <c r="F932" s="9"/>
      <c r="H932" s="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4"/>
      <c r="U932" s="10"/>
      <c r="V932" s="10"/>
      <c r="W932" s="10"/>
      <c r="X932" s="7"/>
      <c r="Y932" s="34"/>
      <c r="Z932" s="34"/>
      <c r="AA932" s="34"/>
      <c r="AB932" s="7"/>
      <c r="AC932" s="34"/>
      <c r="AD932" s="10"/>
    </row>
    <row r="933" spans="1:30" x14ac:dyDescent="0.25">
      <c r="A933" s="7"/>
      <c r="C933" s="70"/>
      <c r="D933" s="70"/>
      <c r="E933" s="73"/>
      <c r="F933" s="9"/>
      <c r="H933" s="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4"/>
      <c r="U933" s="10"/>
      <c r="V933" s="10"/>
      <c r="W933" s="10"/>
      <c r="X933" s="7"/>
      <c r="Y933" s="7"/>
      <c r="Z933" s="34"/>
      <c r="AA933" s="34"/>
      <c r="AB933" s="7"/>
      <c r="AC933" s="34"/>
      <c r="AD933" s="10"/>
    </row>
    <row r="934" spans="1:30" x14ac:dyDescent="0.25">
      <c r="A934" s="7"/>
      <c r="C934" s="70"/>
      <c r="D934" s="70"/>
      <c r="E934" s="73"/>
      <c r="F934" s="9"/>
      <c r="H934" s="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4"/>
      <c r="U934" s="10"/>
      <c r="V934" s="10"/>
      <c r="W934" s="10"/>
      <c r="X934" s="7"/>
      <c r="Y934" s="7"/>
      <c r="Z934" s="7"/>
      <c r="AA934" s="34"/>
      <c r="AB934" s="7"/>
      <c r="AC934" s="34"/>
      <c r="AD934" s="10"/>
    </row>
    <row r="935" spans="1:30" x14ac:dyDescent="0.25">
      <c r="A935" s="7"/>
      <c r="C935" s="70"/>
      <c r="D935" s="70"/>
      <c r="E935" s="73"/>
      <c r="F935" s="9"/>
      <c r="H935" s="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4"/>
      <c r="U935" s="10"/>
      <c r="V935" s="10"/>
      <c r="W935" s="10"/>
      <c r="X935" s="7"/>
      <c r="Y935" s="7"/>
      <c r="Z935" s="34"/>
      <c r="AA935" s="34"/>
      <c r="AB935" s="7"/>
      <c r="AC935" s="34"/>
      <c r="AD935" s="10"/>
    </row>
    <row r="936" spans="1:30" x14ac:dyDescent="0.25">
      <c r="A936" s="7"/>
      <c r="C936" s="70"/>
      <c r="D936" s="70"/>
      <c r="E936" s="73"/>
      <c r="F936" s="9"/>
      <c r="H936" s="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4"/>
      <c r="U936" s="10"/>
      <c r="V936" s="10"/>
      <c r="W936" s="10"/>
      <c r="X936" s="7"/>
      <c r="Y936" s="7"/>
      <c r="Z936" s="34"/>
      <c r="AA936" s="34"/>
      <c r="AB936" s="7"/>
      <c r="AC936" s="34"/>
      <c r="AD936" s="10"/>
    </row>
    <row r="937" spans="1:30" x14ac:dyDescent="0.25">
      <c r="A937" s="7"/>
      <c r="C937" s="70"/>
      <c r="D937" s="70"/>
      <c r="E937" s="73"/>
      <c r="F937" s="9"/>
      <c r="H937" s="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4"/>
      <c r="U937" s="10"/>
      <c r="V937" s="10"/>
      <c r="W937" s="10"/>
      <c r="X937" s="7"/>
      <c r="Y937" s="7"/>
      <c r="Z937" s="7"/>
      <c r="AA937" s="34"/>
      <c r="AB937" s="7"/>
      <c r="AC937" s="34"/>
      <c r="AD937" s="10"/>
    </row>
    <row r="938" spans="1:30" x14ac:dyDescent="0.25">
      <c r="A938" s="7"/>
      <c r="C938" s="70"/>
      <c r="D938" s="70"/>
      <c r="E938" s="73"/>
      <c r="F938" s="9"/>
      <c r="H938" s="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4"/>
      <c r="U938" s="10"/>
      <c r="V938" s="10"/>
      <c r="W938" s="10"/>
      <c r="X938" s="7"/>
      <c r="Y938" s="7"/>
      <c r="Z938" s="34"/>
      <c r="AA938" s="34"/>
      <c r="AB938" s="7"/>
      <c r="AC938" s="34"/>
      <c r="AD938" s="10"/>
    </row>
    <row r="939" spans="1:30" x14ac:dyDescent="0.25">
      <c r="A939" s="7"/>
      <c r="C939" s="70"/>
      <c r="D939" s="70"/>
      <c r="E939" s="73"/>
      <c r="F939" s="45"/>
      <c r="H939" s="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4"/>
      <c r="U939" s="10"/>
      <c r="V939" s="10"/>
      <c r="W939" s="10"/>
      <c r="X939" s="7"/>
      <c r="Y939" s="7"/>
      <c r="Z939" s="7"/>
      <c r="AA939" s="34"/>
      <c r="AB939" s="7"/>
      <c r="AC939" s="34"/>
      <c r="AD939" s="10"/>
    </row>
    <row r="940" spans="1:30" x14ac:dyDescent="0.25">
      <c r="A940" s="7"/>
      <c r="C940" s="70"/>
      <c r="D940" s="70"/>
      <c r="E940" s="73"/>
      <c r="F940" s="9"/>
      <c r="H940" s="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4"/>
      <c r="U940" s="10"/>
      <c r="V940" s="10"/>
      <c r="W940" s="10"/>
      <c r="X940" s="7"/>
      <c r="Y940" s="7"/>
      <c r="Z940" s="7"/>
      <c r="AA940" s="34"/>
      <c r="AB940" s="7"/>
      <c r="AC940" s="34"/>
      <c r="AD940" s="10"/>
    </row>
    <row r="941" spans="1:30" x14ac:dyDescent="0.25">
      <c r="A941" s="7"/>
      <c r="C941" s="70"/>
      <c r="D941" s="70"/>
      <c r="E941" s="73"/>
      <c r="F941" s="9"/>
      <c r="H941" s="9"/>
      <c r="I941" s="10"/>
      <c r="J941" s="7"/>
      <c r="K941" s="24"/>
      <c r="L941" s="10"/>
      <c r="M941" s="10"/>
      <c r="N941" s="10"/>
      <c r="O941" s="10"/>
      <c r="P941" s="10"/>
      <c r="Q941" s="10"/>
      <c r="R941" s="10"/>
      <c r="S941" s="10"/>
      <c r="T941" s="14"/>
      <c r="U941" s="10"/>
      <c r="V941" s="10"/>
      <c r="W941" s="10"/>
      <c r="X941" s="7"/>
      <c r="Y941" s="7"/>
      <c r="Z941" s="7"/>
      <c r="AA941" s="34"/>
      <c r="AB941" s="7"/>
      <c r="AC941" s="34"/>
      <c r="AD941" s="10"/>
    </row>
    <row r="942" spans="1:30" x14ac:dyDescent="0.25">
      <c r="A942" s="7"/>
      <c r="C942" s="70"/>
      <c r="D942" s="70"/>
      <c r="E942" s="73"/>
      <c r="F942" s="9"/>
      <c r="H942" s="9"/>
      <c r="I942" s="10"/>
      <c r="J942" s="7"/>
      <c r="K942" s="24"/>
      <c r="L942" s="10"/>
      <c r="M942" s="10"/>
      <c r="N942" s="10"/>
      <c r="O942" s="10"/>
      <c r="P942" s="10"/>
      <c r="Q942" s="10"/>
      <c r="R942" s="10"/>
      <c r="S942" s="10"/>
      <c r="T942" s="14"/>
      <c r="U942" s="10"/>
      <c r="V942" s="10"/>
      <c r="W942" s="10"/>
      <c r="X942" s="7"/>
      <c r="Y942" s="7"/>
      <c r="Z942" s="34"/>
      <c r="AA942" s="34"/>
      <c r="AB942" s="7"/>
      <c r="AC942" s="34"/>
      <c r="AD942" s="10"/>
    </row>
    <row r="943" spans="1:30" x14ac:dyDescent="0.25">
      <c r="A943" s="7"/>
      <c r="C943" s="70"/>
      <c r="D943" s="70"/>
      <c r="E943" s="73"/>
      <c r="F943" s="9"/>
      <c r="H943" s="9"/>
      <c r="I943" s="10"/>
      <c r="J943" s="7"/>
      <c r="K943" s="7"/>
      <c r="L943" s="10"/>
      <c r="M943" s="10"/>
      <c r="N943" s="10"/>
      <c r="O943" s="10"/>
      <c r="P943" s="10"/>
      <c r="Q943" s="10"/>
      <c r="R943" s="10"/>
      <c r="S943" s="10"/>
      <c r="T943" s="14"/>
      <c r="U943" s="10"/>
      <c r="V943" s="10"/>
      <c r="W943" s="10"/>
      <c r="X943" s="7"/>
      <c r="Y943" s="7"/>
      <c r="Z943" s="7"/>
      <c r="AA943" s="34"/>
      <c r="AB943" s="7"/>
      <c r="AC943" s="34"/>
      <c r="AD943" s="10"/>
    </row>
    <row r="944" spans="1:30" x14ac:dyDescent="0.25">
      <c r="A944" s="7"/>
      <c r="C944" s="70"/>
      <c r="D944" s="70"/>
      <c r="E944" s="73"/>
      <c r="F944" s="9"/>
      <c r="H944" s="9"/>
      <c r="I944" s="10"/>
      <c r="J944" s="7"/>
      <c r="K944" s="7"/>
      <c r="L944" s="10"/>
      <c r="M944" s="10"/>
      <c r="N944" s="10"/>
      <c r="O944" s="10"/>
      <c r="P944" s="10"/>
      <c r="Q944" s="10"/>
      <c r="R944" s="10"/>
      <c r="S944" s="10"/>
      <c r="T944" s="14"/>
      <c r="U944" s="10"/>
      <c r="V944" s="10"/>
      <c r="W944" s="10"/>
      <c r="X944" s="7"/>
      <c r="Y944" s="7"/>
      <c r="Z944" s="7"/>
      <c r="AA944" s="34"/>
      <c r="AB944" s="7"/>
      <c r="AC944" s="34"/>
      <c r="AD944" s="10"/>
    </row>
    <row r="945" spans="1:30" x14ac:dyDescent="0.25">
      <c r="A945" s="7"/>
      <c r="C945" s="70"/>
      <c r="D945" s="70"/>
      <c r="E945" s="73"/>
      <c r="F945" s="9"/>
      <c r="H945" s="9"/>
      <c r="I945" s="10"/>
      <c r="J945" s="7"/>
      <c r="K945" s="7"/>
      <c r="L945" s="10"/>
      <c r="M945" s="10"/>
      <c r="N945" s="10"/>
      <c r="O945" s="10"/>
      <c r="P945" s="10"/>
      <c r="Q945" s="10"/>
      <c r="R945" s="10"/>
      <c r="S945" s="10"/>
      <c r="T945" s="14"/>
      <c r="U945" s="10"/>
      <c r="V945" s="10"/>
      <c r="W945" s="10"/>
      <c r="X945" s="7"/>
      <c r="Y945" s="7"/>
      <c r="Z945" s="34"/>
      <c r="AA945" s="34"/>
      <c r="AB945" s="7"/>
      <c r="AC945" s="34"/>
      <c r="AD945" s="10"/>
    </row>
    <row r="946" spans="1:30" x14ac:dyDescent="0.25">
      <c r="A946" s="7"/>
      <c r="C946" s="70"/>
      <c r="D946" s="70"/>
      <c r="E946" s="79"/>
      <c r="F946" s="45"/>
      <c r="G946" s="45"/>
      <c r="H946" s="9"/>
      <c r="I946" s="10"/>
      <c r="J946" s="7"/>
      <c r="K946" s="7"/>
      <c r="L946" s="14"/>
      <c r="M946" s="10"/>
      <c r="N946" s="10"/>
      <c r="O946" s="10"/>
      <c r="P946" s="10"/>
      <c r="Q946" s="10"/>
      <c r="R946" s="10"/>
      <c r="S946" s="10"/>
      <c r="T946" s="14"/>
      <c r="U946" s="10"/>
      <c r="V946" s="10"/>
      <c r="W946" s="10"/>
      <c r="X946" s="7"/>
      <c r="Y946" s="7"/>
      <c r="Z946" s="34"/>
      <c r="AA946" s="34"/>
      <c r="AB946" s="7"/>
      <c r="AC946" s="34"/>
      <c r="AD946" s="10"/>
    </row>
    <row r="947" spans="1:30" x14ac:dyDescent="0.25">
      <c r="A947" s="7"/>
      <c r="C947" s="70"/>
      <c r="D947" s="70"/>
      <c r="E947" s="73"/>
      <c r="F947" s="9"/>
      <c r="H947" s="9"/>
      <c r="I947" s="10"/>
      <c r="J947" s="7"/>
      <c r="K947" s="7"/>
      <c r="L947" s="10"/>
      <c r="M947" s="10"/>
      <c r="N947" s="10"/>
      <c r="O947" s="10"/>
      <c r="P947" s="10"/>
      <c r="Q947" s="10"/>
      <c r="R947" s="10"/>
      <c r="S947" s="10"/>
      <c r="T947" s="14"/>
      <c r="U947" s="10"/>
      <c r="V947" s="10"/>
      <c r="W947" s="10"/>
      <c r="X947" s="7"/>
      <c r="Y947" s="7"/>
      <c r="Z947" s="34"/>
      <c r="AA947" s="34"/>
      <c r="AB947" s="7"/>
      <c r="AC947" s="34"/>
      <c r="AD947" s="10"/>
    </row>
    <row r="948" spans="1:30" x14ac:dyDescent="0.25">
      <c r="A948" s="7"/>
      <c r="C948" s="70"/>
      <c r="D948" s="70"/>
      <c r="E948" s="73"/>
      <c r="F948" s="9"/>
      <c r="H948" s="9"/>
      <c r="I948" s="10"/>
      <c r="J948" s="7"/>
      <c r="K948" s="7"/>
      <c r="L948" s="10"/>
      <c r="M948" s="10"/>
      <c r="N948" s="10"/>
      <c r="O948" s="10"/>
      <c r="P948" s="10"/>
      <c r="Q948" s="10"/>
      <c r="R948" s="10"/>
      <c r="S948" s="10"/>
      <c r="T948" s="14"/>
      <c r="U948" s="10"/>
      <c r="V948" s="10"/>
      <c r="W948" s="10"/>
      <c r="X948" s="7"/>
      <c r="Y948" s="7"/>
      <c r="Z948" s="34"/>
      <c r="AA948" s="34"/>
      <c r="AB948" s="7"/>
      <c r="AC948" s="34"/>
      <c r="AD948" s="10"/>
    </row>
    <row r="949" spans="1:30" x14ac:dyDescent="0.25">
      <c r="A949" s="7"/>
      <c r="C949" s="70"/>
      <c r="D949" s="70"/>
      <c r="E949" s="73"/>
      <c r="F949" s="9"/>
      <c r="H949" s="9"/>
      <c r="I949" s="10"/>
      <c r="J949" s="7"/>
      <c r="K949" s="7"/>
      <c r="L949" s="10"/>
      <c r="M949" s="10"/>
      <c r="N949" s="10"/>
      <c r="O949" s="10"/>
      <c r="P949" s="10"/>
      <c r="Q949" s="10"/>
      <c r="R949" s="10"/>
      <c r="S949" s="10"/>
      <c r="T949" s="14"/>
      <c r="U949" s="10"/>
      <c r="V949" s="10"/>
      <c r="W949" s="10"/>
      <c r="X949" s="7"/>
      <c r="Y949" s="7"/>
      <c r="Z949" s="34"/>
      <c r="AA949" s="34"/>
      <c r="AB949" s="7"/>
      <c r="AC949" s="34"/>
      <c r="AD949" s="10"/>
    </row>
    <row r="950" spans="1:30" x14ac:dyDescent="0.25">
      <c r="A950" s="7"/>
      <c r="C950" s="70"/>
      <c r="D950" s="70"/>
      <c r="E950" s="73"/>
      <c r="F950" s="9"/>
      <c r="H950" s="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4"/>
      <c r="U950" s="10"/>
      <c r="V950" s="10"/>
      <c r="W950" s="10"/>
      <c r="X950" s="7"/>
      <c r="Y950" s="7"/>
      <c r="Z950" s="7"/>
      <c r="AA950" s="34"/>
      <c r="AB950" s="7"/>
      <c r="AC950" s="34"/>
      <c r="AD950" s="10"/>
    </row>
    <row r="951" spans="1:30" x14ac:dyDescent="0.25">
      <c r="A951" s="7"/>
      <c r="C951" s="70"/>
      <c r="D951" s="70"/>
      <c r="E951" s="73"/>
      <c r="F951" s="9"/>
      <c r="H951" s="9"/>
      <c r="I951" s="10"/>
      <c r="J951" s="7"/>
      <c r="K951" s="24"/>
      <c r="L951" s="10"/>
      <c r="M951" s="10"/>
      <c r="N951" s="10"/>
      <c r="O951" s="10"/>
      <c r="P951" s="10"/>
      <c r="Q951" s="10"/>
      <c r="R951" s="10"/>
      <c r="S951" s="10"/>
      <c r="T951" s="14"/>
      <c r="U951" s="10"/>
      <c r="V951" s="10"/>
      <c r="W951" s="10"/>
      <c r="X951" s="7"/>
      <c r="Y951" s="7"/>
      <c r="Z951" s="7"/>
      <c r="AA951" s="34"/>
      <c r="AB951" s="7"/>
      <c r="AC951" s="34"/>
      <c r="AD951" s="10"/>
    </row>
    <row r="952" spans="1:30" x14ac:dyDescent="0.25">
      <c r="A952" s="7"/>
      <c r="C952" s="70"/>
      <c r="D952" s="70"/>
      <c r="E952" s="73"/>
      <c r="F952" s="9"/>
      <c r="H952" s="9"/>
      <c r="I952" s="10"/>
      <c r="J952" s="7"/>
      <c r="K952" s="7"/>
      <c r="L952" s="10"/>
      <c r="M952" s="10"/>
      <c r="N952" s="10"/>
      <c r="O952" s="10"/>
      <c r="P952" s="10"/>
      <c r="Q952" s="10"/>
      <c r="R952" s="10"/>
      <c r="S952" s="10"/>
      <c r="T952" s="14"/>
      <c r="U952" s="10"/>
      <c r="V952" s="10"/>
      <c r="W952" s="10"/>
      <c r="X952" s="7"/>
      <c r="Y952" s="7"/>
      <c r="Z952" s="34"/>
      <c r="AA952" s="34"/>
      <c r="AB952" s="7"/>
      <c r="AC952" s="34"/>
      <c r="AD952" s="10"/>
    </row>
    <row r="953" spans="1:30" x14ac:dyDescent="0.25">
      <c r="A953" s="7"/>
      <c r="C953" s="70"/>
      <c r="D953" s="70"/>
      <c r="E953" s="73"/>
      <c r="F953" s="9"/>
      <c r="H953" s="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4"/>
      <c r="U953" s="10"/>
      <c r="V953" s="10"/>
      <c r="W953" s="10"/>
      <c r="X953" s="7"/>
      <c r="Y953" s="7"/>
      <c r="Z953" s="7"/>
      <c r="AA953" s="34"/>
      <c r="AB953" s="7"/>
      <c r="AC953" s="34"/>
      <c r="AD953" s="10"/>
    </row>
    <row r="954" spans="1:30" x14ac:dyDescent="0.25">
      <c r="A954" s="7"/>
      <c r="C954" s="70"/>
      <c r="D954" s="70"/>
      <c r="E954" s="73"/>
      <c r="F954" s="45"/>
      <c r="H954" s="9"/>
      <c r="I954" s="10"/>
      <c r="J954" s="7"/>
      <c r="K954" s="7"/>
      <c r="L954" s="10"/>
      <c r="M954" s="10"/>
      <c r="N954" s="10"/>
      <c r="O954" s="10"/>
      <c r="P954" s="10"/>
      <c r="Q954" s="10"/>
      <c r="R954" s="10"/>
      <c r="S954" s="10"/>
      <c r="T954" s="14"/>
      <c r="U954" s="10"/>
      <c r="V954" s="10"/>
      <c r="W954" s="10"/>
      <c r="X954" s="7"/>
      <c r="Y954" s="34"/>
      <c r="Z954" s="7"/>
      <c r="AA954" s="34"/>
      <c r="AB954" s="7"/>
      <c r="AC954" s="34"/>
      <c r="AD954" s="10"/>
    </row>
    <row r="955" spans="1:30" x14ac:dyDescent="0.25">
      <c r="A955" s="7"/>
      <c r="C955" s="70"/>
      <c r="D955" s="70"/>
      <c r="E955" s="73"/>
      <c r="F955" s="9"/>
      <c r="H955" s="9"/>
      <c r="I955" s="10"/>
      <c r="J955" s="7"/>
      <c r="K955" s="10"/>
      <c r="L955" s="10"/>
      <c r="M955" s="10"/>
      <c r="N955" s="10"/>
      <c r="O955" s="10"/>
      <c r="P955" s="10"/>
      <c r="Q955" s="10"/>
      <c r="R955" s="10"/>
      <c r="S955" s="10"/>
      <c r="T955" s="14"/>
      <c r="U955" s="10"/>
      <c r="V955" s="10"/>
      <c r="W955" s="10"/>
      <c r="X955" s="7"/>
      <c r="Y955" s="7"/>
      <c r="Z955" s="7"/>
      <c r="AA955" s="34"/>
      <c r="AB955" s="7"/>
      <c r="AC955" s="34"/>
      <c r="AD955" s="10"/>
    </row>
    <row r="956" spans="1:30" x14ac:dyDescent="0.25">
      <c r="A956" s="7"/>
      <c r="C956" s="70"/>
      <c r="D956" s="70"/>
      <c r="E956" s="73"/>
      <c r="F956" s="9"/>
      <c r="H956" s="9"/>
      <c r="I956" s="10"/>
      <c r="J956" s="7"/>
      <c r="K956" s="7"/>
      <c r="L956" s="10"/>
      <c r="M956" s="10"/>
      <c r="N956" s="10"/>
      <c r="O956" s="10"/>
      <c r="P956" s="10"/>
      <c r="Q956" s="10"/>
      <c r="R956" s="10"/>
      <c r="S956" s="10"/>
      <c r="T956" s="14"/>
      <c r="U956" s="10"/>
      <c r="V956" s="10"/>
      <c r="W956" s="10"/>
      <c r="X956" s="7"/>
      <c r="Y956" s="7"/>
      <c r="Z956" s="7"/>
      <c r="AA956" s="34"/>
      <c r="AB956" s="7"/>
      <c r="AC956" s="34"/>
      <c r="AD956" s="10"/>
    </row>
    <row r="957" spans="1:30" x14ac:dyDescent="0.25">
      <c r="A957" s="7"/>
      <c r="C957" s="70"/>
      <c r="D957" s="70"/>
      <c r="E957" s="73"/>
      <c r="F957" s="9"/>
      <c r="H957" s="9"/>
      <c r="I957" s="10"/>
      <c r="J957" s="10"/>
      <c r="K957" s="7"/>
      <c r="L957" s="10"/>
      <c r="M957" s="10"/>
      <c r="N957" s="10"/>
      <c r="O957" s="10"/>
      <c r="P957" s="10"/>
      <c r="Q957" s="10"/>
      <c r="R957" s="10"/>
      <c r="S957" s="10"/>
      <c r="T957" s="14"/>
      <c r="U957" s="10"/>
      <c r="V957" s="10"/>
      <c r="W957" s="10"/>
      <c r="X957" s="7"/>
      <c r="Y957" s="7"/>
      <c r="Z957" s="34"/>
      <c r="AA957" s="34"/>
      <c r="AB957" s="7"/>
      <c r="AC957" s="34"/>
      <c r="AD957" s="10"/>
    </row>
    <row r="958" spans="1:30" x14ac:dyDescent="0.25">
      <c r="A958" s="7"/>
      <c r="C958" s="70"/>
      <c r="D958" s="70"/>
      <c r="E958" s="73"/>
      <c r="F958" s="47"/>
      <c r="H958" s="9"/>
      <c r="I958" s="10"/>
      <c r="J958" s="10"/>
      <c r="K958" s="7"/>
      <c r="L958" s="10"/>
      <c r="M958" s="10"/>
      <c r="N958" s="10"/>
      <c r="O958" s="10"/>
      <c r="P958" s="10"/>
      <c r="Q958" s="10"/>
      <c r="R958" s="10"/>
      <c r="S958" s="10"/>
      <c r="T958" s="14"/>
      <c r="U958" s="10"/>
      <c r="V958" s="10"/>
      <c r="W958" s="10"/>
      <c r="X958" s="7"/>
      <c r="Y958" s="7"/>
      <c r="Z958" s="7"/>
      <c r="AA958" s="34"/>
      <c r="AB958" s="7"/>
      <c r="AC958" s="34"/>
      <c r="AD958" s="10"/>
    </row>
    <row r="959" spans="1:30" x14ac:dyDescent="0.25">
      <c r="A959" s="7"/>
      <c r="C959" s="70"/>
      <c r="D959" s="70"/>
      <c r="E959" s="73"/>
      <c r="F959" s="9"/>
      <c r="G959" s="42"/>
      <c r="H959" s="9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4"/>
      <c r="U959" s="10"/>
      <c r="V959" s="10"/>
      <c r="W959" s="10"/>
      <c r="X959" s="7"/>
      <c r="Y959" s="7"/>
      <c r="Z959" s="7"/>
      <c r="AA959" s="34"/>
      <c r="AB959" s="7"/>
      <c r="AC959" s="34"/>
      <c r="AD959" s="10"/>
    </row>
    <row r="960" spans="1:30" x14ac:dyDescent="0.25">
      <c r="A960" s="7"/>
      <c r="C960" s="70"/>
      <c r="D960" s="70"/>
      <c r="E960" s="73"/>
      <c r="F960" s="9"/>
      <c r="H960" s="9"/>
      <c r="I960" s="10"/>
      <c r="J960" s="7"/>
      <c r="K960" s="7"/>
      <c r="L960" s="10"/>
      <c r="M960" s="10"/>
      <c r="N960" s="10"/>
      <c r="O960" s="10"/>
      <c r="P960" s="10"/>
      <c r="Q960" s="10"/>
      <c r="R960" s="10"/>
      <c r="S960" s="10"/>
      <c r="T960" s="14"/>
      <c r="U960" s="10"/>
      <c r="V960" s="10"/>
      <c r="W960" s="10"/>
      <c r="X960" s="7"/>
      <c r="Y960" s="7"/>
      <c r="Z960" s="7"/>
      <c r="AA960" s="34"/>
      <c r="AB960" s="7"/>
      <c r="AC960" s="34"/>
      <c r="AD960" s="10"/>
    </row>
    <row r="961" spans="1:30" x14ac:dyDescent="0.25">
      <c r="A961" s="7"/>
      <c r="C961" s="70"/>
      <c r="D961" s="70"/>
      <c r="E961" s="73"/>
      <c r="F961" s="9"/>
      <c r="H961" s="9"/>
      <c r="I961" s="10"/>
      <c r="J961" s="10"/>
      <c r="K961" s="24"/>
      <c r="L961" s="10"/>
      <c r="M961" s="10"/>
      <c r="N961" s="10"/>
      <c r="O961" s="10"/>
      <c r="P961" s="10"/>
      <c r="Q961" s="10"/>
      <c r="R961" s="10"/>
      <c r="S961" s="10"/>
      <c r="T961" s="14"/>
      <c r="U961" s="10"/>
      <c r="V961" s="10"/>
      <c r="W961" s="10"/>
      <c r="X961" s="7"/>
      <c r="Y961" s="7"/>
      <c r="Z961" s="7"/>
      <c r="AA961" s="34"/>
      <c r="AB961" s="7"/>
      <c r="AC961" s="34"/>
      <c r="AD961" s="10"/>
    </row>
    <row r="962" spans="1:30" x14ac:dyDescent="0.25">
      <c r="A962" s="7"/>
      <c r="C962" s="70"/>
      <c r="D962" s="70"/>
      <c r="E962" s="73"/>
      <c r="F962" s="9"/>
      <c r="H962" s="9"/>
      <c r="I962" s="10"/>
      <c r="J962" s="10"/>
      <c r="K962" s="24"/>
      <c r="L962" s="10"/>
      <c r="M962" s="10"/>
      <c r="N962" s="10"/>
      <c r="O962" s="10"/>
      <c r="P962" s="10"/>
      <c r="Q962" s="10"/>
      <c r="R962" s="10"/>
      <c r="S962" s="10"/>
      <c r="T962" s="14"/>
      <c r="U962" s="10"/>
      <c r="V962" s="10"/>
      <c r="W962" s="10"/>
      <c r="X962" s="7"/>
      <c r="Y962" s="7"/>
      <c r="Z962" s="7"/>
      <c r="AA962" s="34"/>
      <c r="AB962" s="7"/>
      <c r="AC962" s="34"/>
      <c r="AD962" s="10"/>
    </row>
    <row r="963" spans="1:30" x14ac:dyDescent="0.25">
      <c r="A963" s="7"/>
      <c r="C963" s="70"/>
      <c r="D963" s="70"/>
      <c r="E963" s="73"/>
      <c r="F963" s="9"/>
      <c r="H963" s="9"/>
      <c r="I963" s="10"/>
      <c r="J963" s="10"/>
      <c r="K963" s="7"/>
      <c r="L963" s="10"/>
      <c r="M963" s="10"/>
      <c r="N963" s="10"/>
      <c r="O963" s="10"/>
      <c r="P963" s="10"/>
      <c r="Q963" s="10"/>
      <c r="R963" s="10"/>
      <c r="S963" s="10"/>
      <c r="T963" s="14"/>
      <c r="U963" s="10"/>
      <c r="V963" s="10"/>
      <c r="W963" s="10"/>
      <c r="X963" s="7"/>
      <c r="Y963" s="7"/>
      <c r="Z963" s="34"/>
      <c r="AA963" s="34"/>
      <c r="AB963" s="7"/>
      <c r="AC963" s="34"/>
      <c r="AD963" s="10"/>
    </row>
    <row r="964" spans="1:30" x14ac:dyDescent="0.25">
      <c r="A964" s="7"/>
      <c r="C964" s="70"/>
      <c r="D964" s="70"/>
      <c r="E964" s="73"/>
      <c r="F964" s="9"/>
      <c r="H964" s="9"/>
      <c r="I964" s="10"/>
      <c r="J964" s="7"/>
      <c r="K964" s="7"/>
      <c r="L964" s="10"/>
      <c r="M964" s="10"/>
      <c r="N964" s="10"/>
      <c r="O964" s="10"/>
      <c r="P964" s="10"/>
      <c r="Q964" s="10"/>
      <c r="R964" s="10"/>
      <c r="S964" s="10"/>
      <c r="T964" s="14"/>
      <c r="U964" s="10"/>
      <c r="V964" s="10"/>
      <c r="W964" s="10"/>
      <c r="X964" s="7"/>
      <c r="Y964" s="7"/>
      <c r="Z964" s="7"/>
      <c r="AA964" s="34"/>
      <c r="AB964" s="7"/>
      <c r="AC964" s="34"/>
      <c r="AD964" s="10"/>
    </row>
    <row r="965" spans="1:30" x14ac:dyDescent="0.25">
      <c r="A965" s="7"/>
      <c r="C965" s="70"/>
      <c r="D965" s="70"/>
      <c r="E965" s="73"/>
      <c r="F965" s="9"/>
      <c r="H965" s="9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4"/>
      <c r="U965" s="10"/>
      <c r="V965" s="10"/>
      <c r="W965" s="10"/>
      <c r="X965" s="7"/>
      <c r="Y965" s="7"/>
      <c r="Z965" s="7"/>
      <c r="AA965" s="34"/>
      <c r="AB965" s="7"/>
      <c r="AC965" s="34"/>
      <c r="AD965" s="10"/>
    </row>
    <row r="966" spans="1:30" x14ac:dyDescent="0.25">
      <c r="A966" s="7"/>
      <c r="C966" s="70"/>
      <c r="D966" s="70"/>
      <c r="E966" s="73"/>
      <c r="F966" s="9"/>
      <c r="H966" s="9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4"/>
      <c r="U966" s="10"/>
      <c r="V966" s="10"/>
      <c r="W966" s="10"/>
      <c r="X966" s="7"/>
      <c r="Y966" s="7"/>
      <c r="Z966" s="34"/>
      <c r="AA966" s="34"/>
      <c r="AB966" s="7"/>
      <c r="AC966" s="34"/>
      <c r="AD966" s="10"/>
    </row>
    <row r="967" spans="1:30" x14ac:dyDescent="0.25">
      <c r="A967" s="7"/>
      <c r="C967" s="70"/>
      <c r="D967" s="70"/>
      <c r="E967" s="73"/>
      <c r="F967" s="9"/>
      <c r="H967" s="9"/>
      <c r="I967" s="10"/>
      <c r="J967" s="7"/>
      <c r="K967" s="7"/>
      <c r="L967" s="10"/>
      <c r="M967" s="10"/>
      <c r="N967" s="10"/>
      <c r="O967" s="10"/>
      <c r="P967" s="10"/>
      <c r="Q967" s="10"/>
      <c r="R967" s="10"/>
      <c r="S967" s="10"/>
      <c r="T967" s="14"/>
      <c r="U967" s="10"/>
      <c r="V967" s="10"/>
      <c r="W967" s="10"/>
      <c r="X967" s="7"/>
      <c r="Y967" s="7"/>
      <c r="Z967" s="34"/>
      <c r="AA967" s="34"/>
      <c r="AB967" s="7"/>
      <c r="AC967" s="34"/>
      <c r="AD967" s="10"/>
    </row>
    <row r="968" spans="1:30" x14ac:dyDescent="0.25">
      <c r="A968" s="7"/>
      <c r="C968" s="70"/>
      <c r="D968" s="70"/>
      <c r="E968" s="73"/>
      <c r="F968" s="9"/>
      <c r="H968" s="9"/>
      <c r="I968" s="10"/>
      <c r="J968" s="7"/>
      <c r="K968" s="7"/>
      <c r="L968" s="10"/>
      <c r="M968" s="10"/>
      <c r="N968" s="10"/>
      <c r="O968" s="10"/>
      <c r="P968" s="10"/>
      <c r="Q968" s="10"/>
      <c r="R968" s="10"/>
      <c r="S968" s="10"/>
      <c r="T968" s="14"/>
      <c r="U968" s="10"/>
      <c r="V968" s="10"/>
      <c r="W968" s="10"/>
      <c r="X968" s="7"/>
      <c r="Y968" s="7"/>
      <c r="Z968" s="7"/>
      <c r="AA968" s="34"/>
      <c r="AB968" s="7"/>
      <c r="AC968" s="10"/>
      <c r="AD968" s="10"/>
    </row>
    <row r="969" spans="1:30" x14ac:dyDescent="0.25">
      <c r="A969" s="7"/>
      <c r="C969" s="70"/>
      <c r="D969" s="70"/>
      <c r="E969" s="73"/>
      <c r="F969" s="9"/>
      <c r="H969" s="9"/>
      <c r="I969" s="10"/>
      <c r="J969" s="10"/>
      <c r="K969" s="24"/>
      <c r="L969" s="10"/>
      <c r="M969" s="10"/>
      <c r="N969" s="10"/>
      <c r="O969" s="10"/>
      <c r="P969" s="10"/>
      <c r="Q969" s="10"/>
      <c r="R969" s="10"/>
      <c r="S969" s="10"/>
      <c r="T969" s="14"/>
      <c r="U969" s="10"/>
      <c r="V969" s="10"/>
      <c r="W969" s="10"/>
      <c r="X969" s="7"/>
      <c r="Y969" s="7"/>
      <c r="Z969" s="7"/>
      <c r="AA969" s="34"/>
      <c r="AB969" s="7"/>
      <c r="AC969" s="34"/>
      <c r="AD969" s="10"/>
    </row>
    <row r="970" spans="1:30" x14ac:dyDescent="0.25">
      <c r="A970" s="7"/>
      <c r="C970" s="70"/>
      <c r="D970" s="70"/>
      <c r="E970" s="78"/>
      <c r="F970" s="48"/>
      <c r="G970" s="45"/>
      <c r="H970" s="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4"/>
      <c r="U970" s="10"/>
      <c r="V970" s="10"/>
      <c r="W970" s="10"/>
      <c r="X970" s="7"/>
      <c r="Y970" s="7"/>
      <c r="Z970" s="34"/>
      <c r="AA970" s="34"/>
      <c r="AB970" s="7"/>
      <c r="AC970" s="34"/>
      <c r="AD970" s="10"/>
    </row>
    <row r="971" spans="1:30" x14ac:dyDescent="0.25">
      <c r="A971" s="7"/>
      <c r="C971" s="70"/>
      <c r="D971" s="70"/>
      <c r="E971" s="73"/>
      <c r="F971" s="9"/>
      <c r="H971" s="9"/>
      <c r="I971" s="10"/>
      <c r="J971" s="7"/>
      <c r="K971" s="7"/>
      <c r="L971" s="10"/>
      <c r="M971" s="10"/>
      <c r="N971" s="10"/>
      <c r="O971" s="10"/>
      <c r="P971" s="10"/>
      <c r="Q971" s="10"/>
      <c r="R971" s="10"/>
      <c r="S971" s="10"/>
      <c r="T971" s="14"/>
      <c r="U971" s="10"/>
      <c r="V971" s="10"/>
      <c r="W971" s="10"/>
      <c r="X971" s="7"/>
      <c r="Y971" s="7"/>
      <c r="Z971" s="7"/>
      <c r="AA971" s="34"/>
      <c r="AB971" s="7"/>
      <c r="AC971" s="34"/>
      <c r="AD971" s="10"/>
    </row>
    <row r="972" spans="1:30" x14ac:dyDescent="0.25">
      <c r="A972" s="7"/>
      <c r="C972" s="70"/>
      <c r="D972" s="70"/>
      <c r="E972" s="79"/>
      <c r="F972" s="45"/>
      <c r="H972" s="9"/>
      <c r="I972" s="10"/>
      <c r="J972" s="7"/>
      <c r="K972" s="7"/>
      <c r="L972" s="10"/>
      <c r="M972" s="10"/>
      <c r="N972" s="10"/>
      <c r="O972" s="10"/>
      <c r="P972" s="10"/>
      <c r="Q972" s="10"/>
      <c r="R972" s="10"/>
      <c r="S972" s="10"/>
      <c r="T972" s="14"/>
      <c r="U972" s="10"/>
      <c r="V972" s="10"/>
      <c r="W972" s="10"/>
      <c r="X972" s="7"/>
      <c r="Y972" s="7"/>
      <c r="Z972" s="34"/>
      <c r="AA972" s="34"/>
      <c r="AB972" s="7"/>
      <c r="AC972" s="34"/>
      <c r="AD972" s="10"/>
    </row>
    <row r="973" spans="1:30" x14ac:dyDescent="0.25">
      <c r="A973" s="7"/>
      <c r="C973" s="70"/>
      <c r="D973" s="70"/>
      <c r="E973" s="73"/>
      <c r="F973" s="9"/>
      <c r="H973" s="9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4"/>
      <c r="U973" s="10"/>
      <c r="V973" s="10"/>
      <c r="W973" s="10"/>
      <c r="X973" s="7"/>
      <c r="Y973" s="7"/>
      <c r="Z973" s="7"/>
      <c r="AA973" s="34"/>
      <c r="AB973" s="7"/>
      <c r="AC973" s="34"/>
      <c r="AD973" s="10"/>
    </row>
    <row r="974" spans="1:30" x14ac:dyDescent="0.25">
      <c r="A974" s="7"/>
      <c r="C974" s="70"/>
      <c r="D974" s="70"/>
      <c r="E974" s="73"/>
      <c r="F974" s="9"/>
      <c r="H974" s="9"/>
      <c r="I974" s="10"/>
      <c r="J974" s="10"/>
      <c r="K974" s="7"/>
      <c r="L974" s="10"/>
      <c r="M974" s="10"/>
      <c r="N974" s="10"/>
      <c r="O974" s="10"/>
      <c r="P974" s="10"/>
      <c r="Q974" s="10"/>
      <c r="R974" s="10"/>
      <c r="S974" s="10"/>
      <c r="T974" s="14"/>
      <c r="U974" s="10"/>
      <c r="V974" s="10"/>
      <c r="W974" s="10"/>
      <c r="X974" s="7"/>
      <c r="Y974" s="7"/>
      <c r="Z974" s="7"/>
      <c r="AA974" s="34"/>
      <c r="AB974" s="7"/>
      <c r="AC974" s="34"/>
      <c r="AD974" s="10"/>
    </row>
    <row r="975" spans="1:30" x14ac:dyDescent="0.25">
      <c r="A975" s="7"/>
      <c r="C975" s="70"/>
      <c r="D975" s="70"/>
      <c r="E975" s="73"/>
      <c r="F975" s="9"/>
      <c r="H975" s="9"/>
      <c r="I975" s="10"/>
      <c r="J975" s="7"/>
      <c r="K975" s="7"/>
      <c r="L975" s="10"/>
      <c r="M975" s="10"/>
      <c r="N975" s="10"/>
      <c r="O975" s="10"/>
      <c r="P975" s="10"/>
      <c r="Q975" s="10"/>
      <c r="R975" s="10"/>
      <c r="S975" s="10"/>
      <c r="T975" s="14"/>
      <c r="U975" s="10"/>
      <c r="V975" s="10"/>
      <c r="W975" s="10"/>
      <c r="X975" s="7"/>
      <c r="Y975" s="7"/>
      <c r="Z975" s="7"/>
      <c r="AA975" s="34"/>
      <c r="AB975" s="7"/>
      <c r="AC975" s="34"/>
      <c r="AD975" s="10"/>
    </row>
    <row r="976" spans="1:30" x14ac:dyDescent="0.25">
      <c r="A976" s="7"/>
      <c r="C976" s="70"/>
      <c r="D976" s="70"/>
      <c r="E976" s="73"/>
      <c r="F976" s="45"/>
      <c r="H976" s="9"/>
      <c r="I976" s="10"/>
      <c r="J976" s="10"/>
      <c r="K976" s="7"/>
      <c r="L976" s="10"/>
      <c r="M976" s="10"/>
      <c r="N976" s="10"/>
      <c r="O976" s="10"/>
      <c r="P976" s="10"/>
      <c r="Q976" s="10"/>
      <c r="R976" s="10"/>
      <c r="S976" s="10"/>
      <c r="T976" s="14"/>
      <c r="U976" s="10"/>
      <c r="V976" s="10"/>
      <c r="W976" s="10"/>
      <c r="X976" s="7"/>
      <c r="Y976" s="34"/>
      <c r="Z976" s="7"/>
      <c r="AA976" s="34"/>
      <c r="AB976" s="7"/>
      <c r="AC976" s="34"/>
      <c r="AD976" s="10"/>
    </row>
    <row r="977" spans="1:30" x14ac:dyDescent="0.25">
      <c r="A977" s="7"/>
      <c r="C977" s="70"/>
      <c r="D977" s="70"/>
      <c r="E977" s="73"/>
      <c r="F977" s="48"/>
      <c r="G977" s="49"/>
      <c r="H977" s="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4"/>
      <c r="U977" s="10"/>
      <c r="V977" s="10"/>
      <c r="W977" s="10"/>
      <c r="X977" s="7"/>
      <c r="Y977" s="7"/>
      <c r="Z977" s="34"/>
      <c r="AA977" s="34"/>
      <c r="AB977" s="7"/>
      <c r="AC977" s="34"/>
      <c r="AD977" s="10"/>
    </row>
    <row r="978" spans="1:30" x14ac:dyDescent="0.25">
      <c r="A978" s="7"/>
      <c r="C978" s="70"/>
      <c r="D978" s="70"/>
      <c r="E978" s="73"/>
      <c r="F978" s="9"/>
      <c r="H978" s="9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4"/>
      <c r="U978" s="10"/>
      <c r="V978" s="10"/>
      <c r="W978" s="10"/>
      <c r="X978" s="7"/>
      <c r="Y978" s="34"/>
      <c r="Z978" s="7"/>
      <c r="AA978" s="34"/>
      <c r="AB978" s="7"/>
      <c r="AC978" s="34"/>
      <c r="AD978" s="10"/>
    </row>
    <row r="979" spans="1:30" x14ac:dyDescent="0.25">
      <c r="A979" s="7"/>
      <c r="C979" s="70"/>
      <c r="D979" s="70"/>
      <c r="E979" s="73"/>
      <c r="F979" s="9"/>
      <c r="H979" s="9"/>
      <c r="I979" s="10"/>
      <c r="J979" s="10"/>
      <c r="K979" s="7"/>
      <c r="L979" s="10"/>
      <c r="M979" s="10"/>
      <c r="N979" s="10"/>
      <c r="O979" s="10"/>
      <c r="P979" s="10"/>
      <c r="Q979" s="10"/>
      <c r="R979" s="10"/>
      <c r="S979" s="10"/>
      <c r="T979" s="14"/>
      <c r="U979" s="10"/>
      <c r="V979" s="10"/>
      <c r="W979" s="10"/>
      <c r="X979" s="7"/>
      <c r="Y979" s="7"/>
      <c r="Z979" s="7"/>
      <c r="AA979" s="34"/>
      <c r="AB979" s="7"/>
      <c r="AC979" s="34"/>
      <c r="AD979" s="10"/>
    </row>
    <row r="980" spans="1:30" x14ac:dyDescent="0.25">
      <c r="A980" s="7"/>
      <c r="C980" s="70"/>
      <c r="D980" s="70"/>
      <c r="E980" s="73"/>
      <c r="F980" s="9"/>
      <c r="H980" s="9"/>
      <c r="I980" s="10"/>
      <c r="J980" s="10"/>
      <c r="K980" s="10"/>
      <c r="L980" s="34"/>
      <c r="M980" s="10"/>
      <c r="N980" s="10"/>
      <c r="O980" s="10"/>
      <c r="P980" s="10"/>
      <c r="Q980" s="10"/>
      <c r="R980" s="10"/>
      <c r="S980" s="10"/>
      <c r="T980" s="14"/>
      <c r="U980" s="10"/>
      <c r="V980" s="10"/>
      <c r="W980" s="10"/>
      <c r="X980" s="34"/>
      <c r="Y980" s="7"/>
      <c r="Z980" s="7"/>
      <c r="AA980" s="34"/>
      <c r="AB980" s="7"/>
      <c r="AC980" s="34"/>
      <c r="AD980" s="10"/>
    </row>
    <row r="981" spans="1:30" x14ac:dyDescent="0.25">
      <c r="A981" s="7"/>
      <c r="C981" s="70"/>
      <c r="D981" s="70"/>
      <c r="E981" s="73"/>
      <c r="F981" s="9"/>
      <c r="H981" s="9"/>
      <c r="I981" s="10"/>
      <c r="J981" s="7"/>
      <c r="K981" s="7"/>
      <c r="L981" s="10"/>
      <c r="M981" s="10"/>
      <c r="N981" s="10"/>
      <c r="O981" s="10"/>
      <c r="P981" s="10"/>
      <c r="Q981" s="10"/>
      <c r="R981" s="10"/>
      <c r="S981" s="10"/>
      <c r="T981" s="14"/>
      <c r="U981" s="10"/>
      <c r="V981" s="10"/>
      <c r="W981" s="10"/>
      <c r="X981" s="7"/>
      <c r="Y981" s="7"/>
      <c r="Z981" s="34"/>
      <c r="AA981" s="34"/>
      <c r="AB981" s="7"/>
      <c r="AC981" s="34"/>
      <c r="AD981" s="10"/>
    </row>
    <row r="982" spans="1:30" ht="19.5" thickBot="1" x14ac:dyDescent="0.35">
      <c r="A982" s="64" t="s">
        <v>8</v>
      </c>
      <c r="B982" s="67"/>
      <c r="C982" s="74"/>
      <c r="D982" s="74"/>
      <c r="E982" s="80"/>
      <c r="F982" s="66"/>
      <c r="G982" s="66"/>
      <c r="H982" s="66"/>
      <c r="I982" s="63"/>
      <c r="J982" s="63"/>
      <c r="K982" s="63"/>
      <c r="L982" s="63">
        <f t="shared" ref="L982:AA982" si="9">SUM(L12:L981)</f>
        <v>1188658.1799999997</v>
      </c>
      <c r="M982" s="63">
        <f t="shared" si="9"/>
        <v>8728511.5199999996</v>
      </c>
      <c r="N982" s="63">
        <f t="shared" si="9"/>
        <v>1028233.4199999999</v>
      </c>
      <c r="O982" s="63">
        <f t="shared" si="9"/>
        <v>0</v>
      </c>
      <c r="P982" s="63">
        <f t="shared" si="9"/>
        <v>712000</v>
      </c>
      <c r="Q982" s="63">
        <f t="shared" si="9"/>
        <v>1733546.78</v>
      </c>
      <c r="R982" s="63">
        <f t="shared" si="9"/>
        <v>195369.3</v>
      </c>
      <c r="S982" s="63">
        <f t="shared" si="9"/>
        <v>437445.37999999989</v>
      </c>
      <c r="T982" s="63">
        <f t="shared" si="9"/>
        <v>479089.05999999994</v>
      </c>
      <c r="U982" s="63">
        <f t="shared" si="9"/>
        <v>0</v>
      </c>
      <c r="V982" s="63">
        <f t="shared" si="9"/>
        <v>496008</v>
      </c>
      <c r="W982" s="63">
        <f t="shared" si="9"/>
        <v>2615892.52</v>
      </c>
      <c r="X982" s="63">
        <f t="shared" si="9"/>
        <v>99104.8</v>
      </c>
      <c r="Y982" s="63">
        <f t="shared" si="9"/>
        <v>0</v>
      </c>
      <c r="Z982" s="63">
        <f t="shared" si="9"/>
        <v>13415730.92</v>
      </c>
      <c r="AA982" s="63">
        <f t="shared" si="9"/>
        <v>2359981.98</v>
      </c>
      <c r="AB982" s="63"/>
      <c r="AC982" s="63">
        <f>SUM(AC12:AC981)</f>
        <v>33568903.800000012</v>
      </c>
      <c r="AD982" s="10">
        <f>SUM(AB982:AC982)-SUM(L982:AA982)</f>
        <v>79331.940000008792</v>
      </c>
    </row>
    <row r="983" spans="1:30" ht="15.75" thickTop="1" x14ac:dyDescent="0.25">
      <c r="A983" s="7"/>
      <c r="C983" s="70"/>
      <c r="D983" s="70"/>
      <c r="E983" s="73"/>
      <c r="F983" s="9"/>
      <c r="H983" s="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4"/>
      <c r="U983" s="10"/>
      <c r="V983" s="10"/>
      <c r="W983" s="10"/>
      <c r="X983" s="7"/>
      <c r="Y983" s="7"/>
      <c r="Z983" s="7"/>
      <c r="AA983" s="34"/>
      <c r="AB983" s="7"/>
      <c r="AC983" s="34"/>
      <c r="AD983" s="10"/>
    </row>
    <row r="984" spans="1:30" x14ac:dyDescent="0.25">
      <c r="A984" s="7"/>
      <c r="C984" s="70"/>
      <c r="D984" s="70"/>
      <c r="E984" s="73"/>
      <c r="F984" s="9"/>
      <c r="H984" s="9"/>
      <c r="I984" s="10"/>
      <c r="J984" s="7"/>
      <c r="K984" s="7"/>
      <c r="L984" s="10"/>
      <c r="M984" s="10"/>
      <c r="N984" s="10"/>
      <c r="O984" s="10"/>
      <c r="P984" s="10"/>
      <c r="Q984" s="10"/>
      <c r="R984" s="10"/>
      <c r="S984" s="10"/>
      <c r="T984" s="14"/>
      <c r="U984" s="10"/>
      <c r="V984" s="10"/>
      <c r="W984" s="10"/>
      <c r="X984" s="7"/>
      <c r="Y984" s="7"/>
      <c r="Z984" s="7"/>
      <c r="AA984" s="34"/>
      <c r="AB984" s="7"/>
      <c r="AC984" s="34"/>
      <c r="AD984" s="10"/>
    </row>
    <row r="985" spans="1:30" x14ac:dyDescent="0.25">
      <c r="A985" s="16"/>
      <c r="C985" s="70"/>
      <c r="D985" s="70"/>
      <c r="E985" s="73"/>
      <c r="F985" s="9"/>
      <c r="H985" s="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4"/>
      <c r="U985" s="10"/>
      <c r="V985" s="10"/>
      <c r="W985" s="10"/>
      <c r="X985" s="7"/>
      <c r="Y985" s="7"/>
      <c r="Z985" s="7"/>
      <c r="AA985" s="34"/>
      <c r="AB985" s="7"/>
      <c r="AC985" s="34"/>
      <c r="AD985" s="10"/>
    </row>
    <row r="986" spans="1:30" x14ac:dyDescent="0.25">
      <c r="A986" s="16"/>
      <c r="C986" s="70"/>
      <c r="D986" s="70"/>
      <c r="E986" s="73"/>
      <c r="F986" s="9"/>
      <c r="H986" s="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4"/>
      <c r="U986" s="10"/>
      <c r="V986" s="10"/>
      <c r="W986" s="10"/>
      <c r="X986" s="7"/>
      <c r="Y986" s="7"/>
      <c r="Z986" s="7"/>
      <c r="AA986" s="34"/>
      <c r="AB986" s="7"/>
      <c r="AC986" s="34"/>
      <c r="AD986" s="10"/>
    </row>
    <row r="987" spans="1:30" x14ac:dyDescent="0.25">
      <c r="A987" s="16"/>
      <c r="C987" s="70"/>
      <c r="D987" s="70"/>
      <c r="E987" s="73"/>
      <c r="F987" s="9"/>
      <c r="H987" s="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4"/>
      <c r="U987" s="10"/>
      <c r="V987" s="10"/>
      <c r="W987" s="10"/>
      <c r="X987" s="7"/>
      <c r="Y987" s="7"/>
      <c r="Z987" s="7"/>
      <c r="AA987" s="34"/>
      <c r="AB987" s="7"/>
      <c r="AC987" s="34"/>
      <c r="AD987" s="10"/>
    </row>
    <row r="988" spans="1:30" x14ac:dyDescent="0.25">
      <c r="A988" s="16"/>
      <c r="C988" s="70"/>
      <c r="D988" s="70"/>
      <c r="E988" s="73"/>
      <c r="F988" s="9"/>
      <c r="H988" s="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4"/>
      <c r="U988" s="10"/>
      <c r="V988" s="10"/>
      <c r="W988" s="10"/>
      <c r="X988" s="7"/>
      <c r="Y988" s="7"/>
      <c r="Z988" s="7"/>
      <c r="AA988" s="34"/>
      <c r="AB988" s="7"/>
      <c r="AC988" s="34"/>
      <c r="AD988" s="10"/>
    </row>
    <row r="989" spans="1:30" x14ac:dyDescent="0.25">
      <c r="A989" s="16"/>
      <c r="C989" s="70"/>
      <c r="D989" s="70"/>
      <c r="E989" s="73"/>
      <c r="F989" s="9"/>
      <c r="H989" s="45"/>
      <c r="I989" s="10"/>
      <c r="J989" s="7"/>
      <c r="K989" s="7"/>
      <c r="L989" s="10"/>
      <c r="M989" s="10"/>
      <c r="N989" s="10"/>
      <c r="O989" s="10"/>
      <c r="P989" s="10"/>
      <c r="Q989" s="10"/>
      <c r="R989" s="10"/>
      <c r="S989" s="10"/>
      <c r="T989" s="14"/>
      <c r="U989" s="10"/>
      <c r="V989" s="10"/>
      <c r="W989" s="10"/>
      <c r="X989" s="7"/>
      <c r="Y989" s="7"/>
      <c r="Z989" s="7"/>
      <c r="AA989" s="34"/>
      <c r="AB989" s="7"/>
      <c r="AC989" s="34"/>
      <c r="AD989" s="10"/>
    </row>
    <row r="990" spans="1:30" x14ac:dyDescent="0.25">
      <c r="A990" s="16"/>
      <c r="C990" s="70"/>
      <c r="D990" s="70"/>
      <c r="E990" s="73"/>
      <c r="F990" s="9"/>
      <c r="H990" s="45"/>
      <c r="I990" s="10"/>
      <c r="J990" s="7"/>
      <c r="K990" s="7"/>
      <c r="L990" s="10"/>
      <c r="M990" s="10"/>
      <c r="N990" s="10"/>
      <c r="O990" s="10"/>
      <c r="P990" s="10"/>
      <c r="Q990" s="10"/>
      <c r="R990" s="10"/>
      <c r="S990" s="10"/>
      <c r="T990" s="14"/>
      <c r="U990" s="10"/>
      <c r="V990" s="10"/>
      <c r="W990" s="10"/>
      <c r="X990" s="7"/>
      <c r="Y990" s="7"/>
      <c r="Z990" s="7"/>
      <c r="AA990" s="34"/>
      <c r="AB990" s="7"/>
      <c r="AC990" s="34"/>
      <c r="AD990" s="10"/>
    </row>
    <row r="991" spans="1:30" x14ac:dyDescent="0.25">
      <c r="A991" s="16"/>
      <c r="C991" s="70"/>
      <c r="D991" s="70"/>
      <c r="E991" s="73"/>
      <c r="F991" s="9"/>
      <c r="H991" s="9"/>
      <c r="I991" s="10"/>
      <c r="J991" s="7"/>
      <c r="K991" s="7"/>
      <c r="L991" s="10"/>
      <c r="M991" s="10"/>
      <c r="N991" s="10"/>
      <c r="O991" s="10"/>
      <c r="P991" s="10"/>
      <c r="Q991" s="10"/>
      <c r="R991" s="10"/>
      <c r="S991" s="10"/>
      <c r="T991" s="14"/>
      <c r="U991" s="10"/>
      <c r="V991" s="10"/>
      <c r="W991" s="10"/>
      <c r="X991" s="7"/>
      <c r="Y991" s="7"/>
      <c r="Z991" s="7"/>
      <c r="AA991" s="34"/>
      <c r="AB991" s="7"/>
      <c r="AC991" s="34"/>
      <c r="AD991" s="10"/>
    </row>
    <row r="992" spans="1:30" x14ac:dyDescent="0.25">
      <c r="A992" s="16"/>
      <c r="C992" s="70"/>
      <c r="D992" s="70"/>
      <c r="E992" s="73"/>
      <c r="F992" s="9"/>
      <c r="H992" s="9"/>
      <c r="I992" s="10"/>
      <c r="J992" s="7"/>
      <c r="K992" s="7"/>
      <c r="L992" s="10"/>
      <c r="M992" s="10"/>
      <c r="N992" s="10"/>
      <c r="O992" s="10"/>
      <c r="P992" s="10"/>
      <c r="Q992" s="10"/>
      <c r="R992" s="10"/>
      <c r="S992" s="10"/>
      <c r="T992" s="14"/>
      <c r="U992" s="10"/>
      <c r="V992" s="10"/>
      <c r="W992" s="10"/>
      <c r="X992" s="7"/>
      <c r="Y992" s="7"/>
      <c r="Z992" s="7"/>
      <c r="AA992" s="34"/>
      <c r="AB992" s="7"/>
      <c r="AC992" s="34"/>
      <c r="AD992" s="10"/>
    </row>
    <row r="993" spans="1:30" x14ac:dyDescent="0.25">
      <c r="A993" s="16"/>
      <c r="C993" s="70"/>
      <c r="D993" s="70"/>
      <c r="E993" s="73"/>
      <c r="F993" s="9"/>
      <c r="H993" s="9"/>
      <c r="I993" s="10"/>
      <c r="J993" s="7"/>
      <c r="K993" s="7"/>
      <c r="L993" s="10"/>
      <c r="M993" s="10"/>
      <c r="N993" s="10"/>
      <c r="O993" s="10"/>
      <c r="P993" s="10"/>
      <c r="Q993" s="10"/>
      <c r="R993" s="10"/>
      <c r="S993" s="10"/>
      <c r="T993" s="14"/>
      <c r="U993" s="10"/>
      <c r="V993" s="10"/>
      <c r="W993" s="10"/>
      <c r="X993" s="7"/>
      <c r="Y993" s="7"/>
      <c r="Z993" s="7"/>
      <c r="AA993" s="34"/>
      <c r="AB993" s="7"/>
      <c r="AC993" s="34"/>
      <c r="AD993" s="10"/>
    </row>
    <row r="994" spans="1:30" x14ac:dyDescent="0.25">
      <c r="A994" s="16"/>
      <c r="C994" s="70"/>
      <c r="D994" s="70"/>
      <c r="E994" s="73"/>
      <c r="F994" s="9"/>
      <c r="H994" s="9"/>
      <c r="I994" s="10"/>
      <c r="J994" s="7"/>
      <c r="K994" s="7"/>
      <c r="L994" s="10"/>
      <c r="M994" s="10"/>
      <c r="N994" s="10"/>
      <c r="O994" s="10"/>
      <c r="P994" s="10"/>
      <c r="Q994" s="10"/>
      <c r="R994" s="10"/>
      <c r="S994" s="10"/>
      <c r="T994" s="14"/>
      <c r="U994" s="10"/>
      <c r="V994" s="10"/>
      <c r="W994" s="10"/>
      <c r="X994" s="7"/>
      <c r="Y994" s="7"/>
      <c r="Z994" s="7"/>
      <c r="AA994" s="34"/>
      <c r="AB994" s="7"/>
      <c r="AC994" s="34"/>
      <c r="AD994" s="10"/>
    </row>
    <row r="995" spans="1:30" x14ac:dyDescent="0.25">
      <c r="A995" s="16"/>
      <c r="C995" s="70"/>
      <c r="D995" s="70"/>
      <c r="E995" s="73"/>
      <c r="F995" s="9"/>
      <c r="H995" s="9"/>
      <c r="I995" s="10"/>
      <c r="J995" s="7"/>
      <c r="K995" s="7"/>
      <c r="L995" s="10"/>
      <c r="M995" s="10"/>
      <c r="N995" s="10"/>
      <c r="O995" s="10"/>
      <c r="P995" s="10"/>
      <c r="Q995" s="10"/>
      <c r="R995" s="10"/>
      <c r="S995" s="10"/>
      <c r="T995" s="14"/>
      <c r="U995" s="10"/>
      <c r="V995" s="10"/>
      <c r="W995" s="10"/>
      <c r="X995" s="7"/>
      <c r="Y995" s="7"/>
      <c r="Z995" s="7"/>
      <c r="AA995" s="34"/>
      <c r="AB995" s="7"/>
      <c r="AC995" s="34"/>
      <c r="AD995" s="10"/>
    </row>
    <row r="996" spans="1:30" x14ac:dyDescent="0.25">
      <c r="A996" s="16"/>
      <c r="C996" s="70"/>
      <c r="D996" s="70"/>
      <c r="E996" s="73"/>
      <c r="F996" s="9"/>
      <c r="H996" s="9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4"/>
      <c r="U996" s="10"/>
      <c r="V996" s="10"/>
      <c r="W996" s="10"/>
      <c r="X996" s="7"/>
      <c r="Y996" s="7"/>
      <c r="Z996" s="7"/>
      <c r="AA996" s="34"/>
      <c r="AB996" s="7"/>
      <c r="AC996" s="34"/>
      <c r="AD996" s="10"/>
    </row>
    <row r="997" spans="1:30" x14ac:dyDescent="0.25">
      <c r="A997" s="16"/>
      <c r="C997" s="70"/>
      <c r="D997" s="70"/>
      <c r="E997" s="73"/>
      <c r="F997" s="9"/>
      <c r="H997" s="9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4"/>
      <c r="U997" s="10"/>
      <c r="V997" s="10"/>
      <c r="W997" s="10"/>
      <c r="X997" s="7"/>
      <c r="Y997" s="7"/>
      <c r="Z997" s="7"/>
      <c r="AA997" s="34"/>
      <c r="AB997" s="7"/>
      <c r="AC997" s="34"/>
      <c r="AD997" s="10"/>
    </row>
    <row r="998" spans="1:30" x14ac:dyDescent="0.25">
      <c r="A998" s="16"/>
      <c r="C998" s="70"/>
      <c r="D998" s="70"/>
      <c r="E998" s="73"/>
      <c r="F998" s="9"/>
      <c r="H998" s="9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4"/>
      <c r="U998" s="10"/>
      <c r="V998" s="10"/>
      <c r="W998" s="10"/>
      <c r="X998" s="7"/>
      <c r="Y998" s="7"/>
      <c r="Z998" s="7"/>
      <c r="AA998" s="34"/>
      <c r="AB998" s="7"/>
      <c r="AC998" s="34"/>
      <c r="AD998" s="10"/>
    </row>
    <row r="999" spans="1:30" x14ac:dyDescent="0.25">
      <c r="A999" s="16"/>
      <c r="C999" s="70"/>
      <c r="D999" s="70"/>
      <c r="E999" s="73"/>
      <c r="F999" s="9"/>
      <c r="H999" s="9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4"/>
      <c r="U999" s="10"/>
      <c r="V999" s="10"/>
      <c r="W999" s="10"/>
      <c r="X999" s="7"/>
      <c r="Y999" s="7"/>
      <c r="Z999" s="7"/>
      <c r="AA999" s="34"/>
      <c r="AB999" s="7"/>
      <c r="AC999" s="34"/>
      <c r="AD999" s="10"/>
    </row>
    <row r="1000" spans="1:30" x14ac:dyDescent="0.25">
      <c r="A1000" s="16"/>
      <c r="C1000" s="70"/>
      <c r="D1000" s="70"/>
      <c r="E1000" s="73"/>
      <c r="F1000" s="9"/>
      <c r="H1000" s="9"/>
      <c r="I1000" s="10"/>
      <c r="J1000" s="7"/>
      <c r="K1000" s="7"/>
      <c r="L1000" s="10"/>
      <c r="M1000" s="10"/>
      <c r="N1000" s="10"/>
      <c r="O1000" s="10"/>
      <c r="P1000" s="10"/>
      <c r="Q1000" s="10"/>
      <c r="R1000" s="10"/>
      <c r="S1000" s="10"/>
      <c r="T1000" s="14"/>
      <c r="U1000" s="10"/>
      <c r="V1000" s="10"/>
      <c r="W1000" s="10"/>
      <c r="X1000" s="7"/>
      <c r="Y1000" s="7"/>
      <c r="Z1000" s="7"/>
      <c r="AA1000" s="34"/>
      <c r="AB1000" s="7"/>
      <c r="AC1000" s="34"/>
      <c r="AD1000" s="10"/>
    </row>
    <row r="1001" spans="1:30" x14ac:dyDescent="0.25">
      <c r="A1001" s="16"/>
      <c r="C1001" s="70"/>
      <c r="D1001" s="70"/>
      <c r="E1001" s="73"/>
      <c r="F1001" s="9"/>
      <c r="H1001" s="9"/>
      <c r="I1001" s="10"/>
      <c r="J1001" s="7"/>
      <c r="K1001" s="7"/>
      <c r="L1001" s="10"/>
      <c r="M1001" s="10"/>
      <c r="N1001" s="10"/>
      <c r="O1001" s="10"/>
      <c r="P1001" s="10"/>
      <c r="Q1001" s="10"/>
      <c r="R1001" s="10"/>
      <c r="S1001" s="10"/>
      <c r="T1001" s="14"/>
      <c r="U1001" s="10"/>
      <c r="V1001" s="10"/>
      <c r="W1001" s="10"/>
      <c r="X1001" s="7"/>
      <c r="Y1001" s="7"/>
      <c r="Z1001" s="7"/>
      <c r="AA1001" s="34"/>
      <c r="AB1001" s="7"/>
      <c r="AC1001" s="34"/>
      <c r="AD1001" s="10"/>
    </row>
    <row r="1002" spans="1:30" x14ac:dyDescent="0.25">
      <c r="A1002" s="16"/>
      <c r="C1002" s="70"/>
      <c r="D1002" s="70"/>
      <c r="E1002" s="73"/>
      <c r="F1002" s="9"/>
      <c r="H1002" s="9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4"/>
      <c r="U1002" s="10"/>
      <c r="V1002" s="10"/>
      <c r="W1002" s="10"/>
      <c r="X1002" s="7"/>
      <c r="Y1002" s="7"/>
      <c r="Z1002" s="7"/>
      <c r="AA1002" s="34"/>
      <c r="AB1002" s="7"/>
      <c r="AC1002" s="34"/>
      <c r="AD1002" s="10"/>
    </row>
    <row r="1003" spans="1:30" x14ac:dyDescent="0.25">
      <c r="A1003" s="16"/>
      <c r="C1003" s="70"/>
      <c r="D1003" s="70"/>
      <c r="E1003" s="73"/>
      <c r="F1003" s="9"/>
      <c r="H1003" s="9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4"/>
      <c r="U1003" s="10"/>
      <c r="V1003" s="10"/>
      <c r="W1003" s="10"/>
      <c r="X1003" s="7"/>
      <c r="Y1003" s="7"/>
      <c r="Z1003" s="7"/>
      <c r="AA1003" s="34"/>
      <c r="AB1003" s="7"/>
      <c r="AC1003" s="34"/>
      <c r="AD1003" s="10"/>
    </row>
    <row r="1004" spans="1:30" x14ac:dyDescent="0.25">
      <c r="A1004" s="16"/>
      <c r="C1004" s="70"/>
      <c r="D1004" s="70"/>
      <c r="E1004" s="73"/>
      <c r="F1004" s="9"/>
      <c r="H1004" s="9"/>
      <c r="I1004" s="10"/>
      <c r="J1004" s="7"/>
      <c r="K1004" s="7"/>
      <c r="L1004" s="10"/>
      <c r="M1004" s="10"/>
      <c r="N1004" s="10"/>
      <c r="O1004" s="10"/>
      <c r="P1004" s="10"/>
      <c r="Q1004" s="10"/>
      <c r="R1004" s="10"/>
      <c r="S1004" s="10"/>
      <c r="T1004" s="14"/>
      <c r="U1004" s="10"/>
      <c r="V1004" s="10"/>
      <c r="W1004" s="10"/>
      <c r="X1004" s="7"/>
      <c r="Y1004" s="7"/>
      <c r="Z1004" s="7"/>
      <c r="AA1004" s="34"/>
      <c r="AB1004" s="7"/>
      <c r="AC1004" s="34"/>
      <c r="AD1004" s="10"/>
    </row>
    <row r="1005" spans="1:30" x14ac:dyDescent="0.25">
      <c r="A1005" s="16"/>
      <c r="C1005" s="70"/>
      <c r="D1005" s="70"/>
      <c r="E1005" s="73"/>
      <c r="F1005" s="9"/>
      <c r="H1005" s="9"/>
      <c r="I1005" s="10"/>
      <c r="J1005" s="7"/>
      <c r="K1005" s="7"/>
      <c r="L1005" s="10"/>
      <c r="M1005" s="10"/>
      <c r="N1005" s="10"/>
      <c r="O1005" s="10"/>
      <c r="P1005" s="10"/>
      <c r="Q1005" s="10"/>
      <c r="R1005" s="10"/>
      <c r="S1005" s="10"/>
      <c r="T1005" s="14"/>
      <c r="U1005" s="10"/>
      <c r="V1005" s="10"/>
      <c r="W1005" s="10"/>
      <c r="X1005" s="7"/>
      <c r="Y1005" s="7"/>
      <c r="Z1005" s="7"/>
      <c r="AA1005" s="34"/>
      <c r="AB1005" s="7"/>
      <c r="AC1005" s="34"/>
      <c r="AD1005" s="10"/>
    </row>
    <row r="1006" spans="1:30" x14ac:dyDescent="0.25">
      <c r="A1006" s="16"/>
      <c r="C1006" s="70"/>
      <c r="D1006" s="70"/>
      <c r="E1006" s="73"/>
      <c r="F1006" s="9"/>
      <c r="H1006" s="9"/>
      <c r="I1006" s="10"/>
      <c r="J1006" s="10"/>
      <c r="K1006" s="10"/>
      <c r="L1006" s="10"/>
      <c r="M1006" s="34"/>
      <c r="N1006" s="10"/>
      <c r="O1006" s="10"/>
      <c r="P1006" s="10"/>
      <c r="Q1006" s="10"/>
      <c r="R1006" s="10"/>
      <c r="S1006" s="10"/>
      <c r="T1006" s="14"/>
      <c r="U1006" s="10"/>
      <c r="V1006" s="10"/>
      <c r="W1006" s="10"/>
      <c r="X1006" s="7"/>
      <c r="Y1006" s="7"/>
      <c r="Z1006" s="7"/>
      <c r="AA1006" s="34"/>
      <c r="AB1006" s="7"/>
      <c r="AC1006" s="34"/>
      <c r="AD1006" s="10"/>
    </row>
    <row r="1007" spans="1:30" x14ac:dyDescent="0.25">
      <c r="A1007" s="16"/>
      <c r="C1007" s="70"/>
      <c r="D1007" s="70"/>
      <c r="E1007" s="73"/>
      <c r="F1007" s="9"/>
      <c r="H1007" s="9"/>
      <c r="I1007" s="10"/>
      <c r="J1007" s="7"/>
      <c r="K1007" s="7"/>
      <c r="L1007" s="10"/>
      <c r="M1007" s="10"/>
      <c r="N1007" s="10"/>
      <c r="O1007" s="10"/>
      <c r="P1007" s="10"/>
      <c r="Q1007" s="10"/>
      <c r="R1007" s="10"/>
      <c r="S1007" s="10"/>
      <c r="T1007" s="14"/>
      <c r="U1007" s="10"/>
      <c r="V1007" s="10"/>
      <c r="W1007" s="10"/>
      <c r="X1007" s="7"/>
      <c r="Y1007" s="7"/>
      <c r="Z1007" s="7"/>
      <c r="AA1007" s="34"/>
      <c r="AB1007" s="7"/>
      <c r="AC1007" s="34"/>
      <c r="AD1007" s="10"/>
    </row>
    <row r="1008" spans="1:30" x14ac:dyDescent="0.25">
      <c r="A1008" s="16"/>
      <c r="C1008" s="70"/>
      <c r="D1008" s="70"/>
      <c r="E1008" s="73"/>
      <c r="F1008" s="9"/>
      <c r="H1008" s="9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4"/>
      <c r="U1008" s="10"/>
      <c r="V1008" s="10"/>
      <c r="W1008" s="10"/>
      <c r="X1008" s="7"/>
      <c r="Y1008" s="7"/>
      <c r="Z1008" s="34"/>
      <c r="AA1008" s="34"/>
      <c r="AB1008" s="7"/>
      <c r="AC1008" s="34"/>
      <c r="AD1008" s="10"/>
    </row>
    <row r="1009" spans="1:30" x14ac:dyDescent="0.25">
      <c r="A1009" s="16"/>
      <c r="C1009" s="70"/>
      <c r="D1009" s="70"/>
      <c r="E1009" s="73"/>
      <c r="F1009" s="9"/>
      <c r="H1009" s="9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34"/>
      <c r="T1009" s="14"/>
      <c r="U1009" s="10"/>
      <c r="V1009" s="10"/>
      <c r="W1009" s="10"/>
      <c r="X1009" s="7"/>
      <c r="Y1009" s="7"/>
      <c r="Z1009" s="7"/>
      <c r="AA1009" s="34"/>
      <c r="AB1009" s="7"/>
      <c r="AC1009" s="34"/>
      <c r="AD1009" s="10"/>
    </row>
    <row r="1010" spans="1:30" x14ac:dyDescent="0.25">
      <c r="A1010" s="16"/>
      <c r="C1010" s="70"/>
      <c r="D1010" s="70"/>
      <c r="E1010" s="73"/>
      <c r="F1010" s="9"/>
      <c r="H1010" s="9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4"/>
      <c r="U1010" s="10"/>
      <c r="V1010" s="10"/>
      <c r="W1010" s="10"/>
      <c r="X1010" s="7"/>
      <c r="Y1010" s="7"/>
      <c r="Z1010" s="7"/>
      <c r="AA1010" s="34"/>
      <c r="AB1010" s="7"/>
      <c r="AC1010" s="34"/>
      <c r="AD1010" s="10"/>
    </row>
    <row r="1011" spans="1:30" x14ac:dyDescent="0.25">
      <c r="A1011" s="16"/>
      <c r="C1011" s="70"/>
      <c r="D1011" s="70"/>
      <c r="E1011" s="73"/>
      <c r="F1011" s="9"/>
      <c r="H1011" s="9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4"/>
      <c r="U1011" s="10"/>
      <c r="V1011" s="10"/>
      <c r="W1011" s="10"/>
      <c r="X1011" s="7"/>
      <c r="Y1011" s="7"/>
      <c r="Z1011" s="7"/>
      <c r="AA1011" s="34"/>
      <c r="AB1011" s="7"/>
      <c r="AC1011" s="34"/>
      <c r="AD1011" s="10"/>
    </row>
    <row r="1012" spans="1:30" x14ac:dyDescent="0.25">
      <c r="A1012" s="16"/>
      <c r="C1012" s="70"/>
      <c r="D1012" s="70"/>
      <c r="E1012" s="73"/>
      <c r="F1012" s="9"/>
      <c r="H1012" s="9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4"/>
      <c r="U1012" s="10"/>
      <c r="V1012" s="10"/>
      <c r="W1012" s="10"/>
      <c r="X1012" s="7"/>
      <c r="Y1012" s="7"/>
      <c r="Z1012" s="7"/>
      <c r="AA1012" s="34"/>
      <c r="AB1012" s="7"/>
      <c r="AC1012" s="34"/>
      <c r="AD1012" s="10"/>
    </row>
    <row r="1013" spans="1:30" x14ac:dyDescent="0.25">
      <c r="A1013" s="16"/>
      <c r="C1013" s="70"/>
      <c r="D1013" s="70"/>
      <c r="E1013" s="73"/>
      <c r="F1013" s="9"/>
      <c r="H1013" s="9"/>
      <c r="I1013" s="10"/>
      <c r="J1013" s="7"/>
      <c r="K1013" s="7"/>
      <c r="L1013" s="10"/>
      <c r="M1013" s="10"/>
      <c r="N1013" s="10"/>
      <c r="O1013" s="10"/>
      <c r="P1013" s="10"/>
      <c r="Q1013" s="10"/>
      <c r="R1013" s="10"/>
      <c r="S1013" s="10"/>
      <c r="T1013" s="14"/>
      <c r="U1013" s="10"/>
      <c r="V1013" s="10"/>
      <c r="W1013" s="10"/>
      <c r="X1013" s="7"/>
      <c r="Y1013" s="7"/>
      <c r="Z1013" s="7"/>
      <c r="AA1013" s="34"/>
      <c r="AB1013" s="7"/>
      <c r="AC1013" s="34"/>
      <c r="AD1013" s="10"/>
    </row>
    <row r="1014" spans="1:30" x14ac:dyDescent="0.25">
      <c r="A1014" s="16"/>
      <c r="C1014" s="70"/>
      <c r="D1014" s="70"/>
      <c r="E1014" s="73"/>
      <c r="F1014" s="9"/>
      <c r="H1014" s="9"/>
      <c r="I1014" s="10"/>
      <c r="J1014" s="7"/>
      <c r="K1014" s="7"/>
      <c r="L1014" s="10"/>
      <c r="M1014" s="10"/>
      <c r="N1014" s="10"/>
      <c r="O1014" s="10"/>
      <c r="P1014" s="10"/>
      <c r="Q1014" s="10"/>
      <c r="R1014" s="10"/>
      <c r="S1014" s="10"/>
      <c r="T1014" s="14"/>
      <c r="U1014" s="10"/>
      <c r="V1014" s="10"/>
      <c r="W1014" s="10"/>
      <c r="X1014" s="7"/>
      <c r="Y1014" s="7"/>
      <c r="Z1014" s="7"/>
      <c r="AA1014" s="34"/>
      <c r="AB1014" s="7"/>
      <c r="AC1014" s="34"/>
      <c r="AD1014" s="10"/>
    </row>
    <row r="1015" spans="1:30" x14ac:dyDescent="0.25">
      <c r="A1015" s="16"/>
      <c r="C1015" s="70"/>
      <c r="D1015" s="70"/>
      <c r="E1015" s="73"/>
      <c r="F1015" s="9"/>
      <c r="H1015" s="9"/>
      <c r="I1015" s="10"/>
      <c r="J1015" s="7"/>
      <c r="K1015" s="7"/>
      <c r="L1015" s="10"/>
      <c r="M1015" s="10"/>
      <c r="N1015" s="10"/>
      <c r="O1015" s="10"/>
      <c r="P1015" s="10"/>
      <c r="Q1015" s="10"/>
      <c r="R1015" s="10"/>
      <c r="S1015" s="10"/>
      <c r="T1015" s="14"/>
      <c r="U1015" s="10"/>
      <c r="V1015" s="10"/>
      <c r="W1015" s="10"/>
      <c r="X1015" s="7"/>
      <c r="Y1015" s="7"/>
      <c r="Z1015" s="7"/>
      <c r="AA1015" s="34"/>
      <c r="AB1015" s="7"/>
      <c r="AC1015" s="34"/>
      <c r="AD1015" s="10"/>
    </row>
    <row r="1016" spans="1:30" x14ac:dyDescent="0.25">
      <c r="A1016" s="16"/>
      <c r="C1016" s="70"/>
      <c r="D1016" s="70"/>
      <c r="E1016" s="73"/>
      <c r="F1016" s="9"/>
      <c r="H1016" s="9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4"/>
      <c r="U1016" s="10"/>
      <c r="V1016" s="10"/>
      <c r="W1016" s="10"/>
      <c r="X1016" s="7"/>
      <c r="Y1016" s="7"/>
      <c r="Z1016" s="7"/>
      <c r="AA1016" s="34"/>
      <c r="AB1016" s="7"/>
      <c r="AC1016" s="34"/>
      <c r="AD1016" s="10"/>
    </row>
    <row r="1017" spans="1:30" x14ac:dyDescent="0.25">
      <c r="A1017" s="16"/>
      <c r="C1017" s="70"/>
      <c r="D1017" s="70"/>
      <c r="E1017" s="79"/>
      <c r="F1017" s="45"/>
      <c r="H1017" s="45"/>
      <c r="I1017" s="10"/>
      <c r="J1017" s="7"/>
      <c r="K1017" s="7"/>
      <c r="L1017" s="10"/>
      <c r="M1017" s="10"/>
      <c r="N1017" s="10"/>
      <c r="O1017" s="10"/>
      <c r="P1017" s="10"/>
      <c r="Q1017" s="10"/>
      <c r="R1017" s="10"/>
      <c r="S1017" s="10"/>
      <c r="T1017" s="14"/>
      <c r="U1017" s="10"/>
      <c r="V1017" s="10"/>
      <c r="W1017" s="10"/>
      <c r="X1017" s="7"/>
      <c r="Y1017" s="7"/>
      <c r="Z1017" s="7"/>
      <c r="AA1017" s="34"/>
      <c r="AB1017" s="7"/>
      <c r="AC1017" s="34"/>
      <c r="AD1017" s="10"/>
    </row>
    <row r="1018" spans="1:30" x14ac:dyDescent="0.25">
      <c r="A1018" s="16"/>
      <c r="C1018" s="70"/>
      <c r="D1018" s="70"/>
      <c r="E1018" s="73"/>
      <c r="F1018" s="9"/>
      <c r="H1018" s="9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4"/>
      <c r="U1018" s="10"/>
      <c r="V1018" s="10"/>
      <c r="W1018" s="10"/>
      <c r="X1018" s="7"/>
      <c r="Y1018" s="7"/>
      <c r="Z1018" s="7"/>
      <c r="AA1018" s="34"/>
      <c r="AB1018" s="7"/>
      <c r="AC1018" s="34"/>
      <c r="AD1018" s="10"/>
    </row>
    <row r="1019" spans="1:30" x14ac:dyDescent="0.25">
      <c r="A1019" s="16"/>
      <c r="C1019" s="70"/>
      <c r="D1019" s="70"/>
      <c r="E1019" s="73"/>
      <c r="F1019" s="9"/>
      <c r="H1019" s="9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4"/>
      <c r="U1019" s="10"/>
      <c r="V1019" s="10"/>
      <c r="W1019" s="10"/>
      <c r="X1019" s="7"/>
      <c r="Y1019" s="7"/>
      <c r="Z1019" s="7"/>
      <c r="AA1019" s="34"/>
      <c r="AB1019" s="7"/>
      <c r="AC1019" s="34"/>
      <c r="AD1019" s="10"/>
    </row>
    <row r="1020" spans="1:30" x14ac:dyDescent="0.25">
      <c r="A1020" s="16"/>
      <c r="C1020" s="70"/>
      <c r="D1020" s="70"/>
      <c r="E1020" s="73"/>
      <c r="F1020" s="9"/>
      <c r="H1020" s="9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4"/>
      <c r="U1020" s="10"/>
      <c r="V1020" s="10"/>
      <c r="W1020" s="10"/>
      <c r="X1020" s="7"/>
      <c r="Y1020" s="7"/>
      <c r="Z1020" s="7"/>
      <c r="AA1020" s="34"/>
      <c r="AB1020" s="7"/>
      <c r="AC1020" s="34"/>
      <c r="AD1020" s="10"/>
    </row>
    <row r="1021" spans="1:30" x14ac:dyDescent="0.25">
      <c r="A1021" s="43"/>
      <c r="C1021" s="70"/>
      <c r="D1021" s="70"/>
      <c r="E1021" s="73"/>
      <c r="F1021" s="9"/>
      <c r="H1021" s="9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4"/>
      <c r="U1021" s="10"/>
      <c r="V1021" s="10"/>
      <c r="W1021" s="10"/>
      <c r="X1021" s="7"/>
      <c r="Y1021" s="7"/>
      <c r="Z1021" s="7"/>
      <c r="AA1021" s="34"/>
      <c r="AB1021" s="7"/>
      <c r="AC1021" s="34"/>
      <c r="AD1021" s="10"/>
    </row>
    <row r="1022" spans="1:30" x14ac:dyDescent="0.25">
      <c r="A1022" s="16"/>
      <c r="C1022" s="70"/>
      <c r="D1022" s="70"/>
      <c r="E1022" s="73"/>
      <c r="F1022" s="45"/>
      <c r="G1022" s="49"/>
      <c r="H1022" s="9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4"/>
      <c r="U1022" s="10"/>
      <c r="V1022" s="10"/>
      <c r="W1022" s="10"/>
      <c r="X1022" s="7"/>
      <c r="Y1022" s="7"/>
      <c r="Z1022" s="7"/>
      <c r="AA1022" s="34"/>
      <c r="AB1022" s="7"/>
      <c r="AC1022" s="34"/>
      <c r="AD1022" s="10"/>
    </row>
    <row r="1023" spans="1:30" x14ac:dyDescent="0.25">
      <c r="A1023" s="16"/>
      <c r="C1023" s="70"/>
      <c r="D1023" s="70"/>
      <c r="E1023" s="73"/>
      <c r="F1023" s="9"/>
      <c r="H1023" s="9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4"/>
      <c r="U1023" s="10"/>
      <c r="V1023" s="10"/>
      <c r="W1023" s="10"/>
      <c r="X1023" s="7"/>
      <c r="Y1023" s="7"/>
      <c r="Z1023" s="7"/>
      <c r="AA1023" s="34"/>
      <c r="AB1023" s="7"/>
      <c r="AC1023" s="34"/>
      <c r="AD1023" s="10"/>
    </row>
    <row r="1024" spans="1:30" x14ac:dyDescent="0.25">
      <c r="A1024" s="16"/>
      <c r="C1024" s="70"/>
      <c r="D1024" s="70"/>
      <c r="E1024" s="73"/>
      <c r="F1024" s="9"/>
      <c r="H1024" s="9"/>
      <c r="I1024" s="10"/>
      <c r="J1024" s="7"/>
      <c r="K1024" s="7"/>
      <c r="L1024" s="34"/>
      <c r="M1024" s="34"/>
      <c r="N1024" s="10"/>
      <c r="O1024" s="10"/>
      <c r="P1024" s="10"/>
      <c r="Q1024" s="10"/>
      <c r="R1024" s="10"/>
      <c r="S1024" s="10"/>
      <c r="T1024" s="14"/>
      <c r="U1024" s="10"/>
      <c r="V1024" s="10"/>
      <c r="W1024" s="10"/>
      <c r="X1024" s="7"/>
      <c r="Y1024" s="7"/>
      <c r="Z1024" s="7"/>
      <c r="AA1024" s="34"/>
      <c r="AB1024" s="7"/>
      <c r="AC1024" s="34"/>
      <c r="AD1024" s="10"/>
    </row>
    <row r="1025" spans="1:30" x14ac:dyDescent="0.25">
      <c r="A1025" s="16"/>
      <c r="C1025" s="70"/>
      <c r="D1025" s="70"/>
      <c r="E1025" s="73"/>
      <c r="F1025" s="45"/>
      <c r="H1025" s="9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4"/>
      <c r="U1025" s="10"/>
      <c r="V1025" s="10"/>
      <c r="W1025" s="10"/>
      <c r="X1025" s="7"/>
      <c r="Y1025" s="34"/>
      <c r="Z1025" s="7"/>
      <c r="AA1025" s="34"/>
      <c r="AB1025" s="7"/>
      <c r="AC1025" s="34"/>
      <c r="AD1025" s="10"/>
    </row>
    <row r="1026" spans="1:30" x14ac:dyDescent="0.25">
      <c r="A1026" s="16"/>
      <c r="C1026" s="70"/>
      <c r="D1026" s="70"/>
      <c r="E1026" s="73"/>
      <c r="F1026" s="9"/>
      <c r="H1026" s="9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4"/>
      <c r="U1026" s="10"/>
      <c r="V1026" s="10"/>
      <c r="W1026" s="10"/>
      <c r="X1026" s="7"/>
      <c r="Y1026" s="7"/>
      <c r="Z1026" s="7"/>
      <c r="AA1026" s="34"/>
      <c r="AB1026" s="7"/>
      <c r="AC1026" s="34"/>
      <c r="AD1026" s="10"/>
    </row>
    <row r="1027" spans="1:30" x14ac:dyDescent="0.25">
      <c r="A1027" s="16"/>
      <c r="C1027" s="70"/>
      <c r="D1027" s="70"/>
      <c r="E1027" s="73"/>
      <c r="F1027" s="9"/>
      <c r="H1027" s="9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4"/>
      <c r="U1027" s="10"/>
      <c r="V1027" s="10"/>
      <c r="W1027" s="10"/>
      <c r="X1027" s="7"/>
      <c r="Y1027" s="7"/>
      <c r="Z1027" s="7"/>
      <c r="AA1027" s="34"/>
      <c r="AB1027" s="7"/>
      <c r="AC1027" s="34"/>
      <c r="AD1027" s="10"/>
    </row>
    <row r="1028" spans="1:30" x14ac:dyDescent="0.25">
      <c r="A1028" s="16"/>
      <c r="C1028" s="70"/>
      <c r="D1028" s="70"/>
      <c r="E1028" s="73"/>
      <c r="F1028" s="9"/>
      <c r="H1028" s="9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4"/>
      <c r="U1028" s="10"/>
      <c r="V1028" s="10"/>
      <c r="W1028" s="10"/>
      <c r="X1028" s="7"/>
      <c r="Y1028" s="7"/>
      <c r="Z1028" s="7"/>
      <c r="AA1028" s="34"/>
      <c r="AB1028" s="7"/>
      <c r="AC1028" s="34"/>
      <c r="AD1028" s="10"/>
    </row>
    <row r="1029" spans="1:30" x14ac:dyDescent="0.25">
      <c r="A1029" s="16"/>
      <c r="C1029" s="70"/>
      <c r="D1029" s="70"/>
      <c r="E1029" s="73"/>
      <c r="F1029" s="9"/>
      <c r="H1029" s="9"/>
      <c r="I1029" s="10"/>
      <c r="J1029" s="7"/>
      <c r="K1029" s="7"/>
      <c r="L1029" s="10"/>
      <c r="M1029" s="10"/>
      <c r="N1029" s="10"/>
      <c r="O1029" s="10"/>
      <c r="P1029" s="10"/>
      <c r="Q1029" s="10"/>
      <c r="R1029" s="10"/>
      <c r="S1029" s="10"/>
      <c r="T1029" s="14"/>
      <c r="U1029" s="10"/>
      <c r="V1029" s="10"/>
      <c r="W1029" s="10"/>
      <c r="X1029" s="7"/>
      <c r="Y1029" s="7"/>
      <c r="Z1029" s="7"/>
      <c r="AA1029" s="34"/>
      <c r="AB1029" s="7"/>
      <c r="AC1029" s="34"/>
      <c r="AD1029" s="10"/>
    </row>
    <row r="1030" spans="1:30" x14ac:dyDescent="0.25">
      <c r="A1030" s="16"/>
      <c r="C1030" s="70"/>
      <c r="D1030" s="70"/>
      <c r="E1030" s="73"/>
      <c r="F1030" s="9"/>
      <c r="H1030" s="9"/>
      <c r="I1030" s="10"/>
      <c r="J1030" s="7"/>
      <c r="K1030" s="7"/>
      <c r="L1030" s="10"/>
      <c r="M1030" s="10"/>
      <c r="N1030" s="10"/>
      <c r="O1030" s="10"/>
      <c r="P1030" s="10"/>
      <c r="Q1030" s="10"/>
      <c r="R1030" s="10"/>
      <c r="S1030" s="10"/>
      <c r="T1030" s="14"/>
      <c r="U1030" s="10"/>
      <c r="V1030" s="10"/>
      <c r="W1030" s="10"/>
      <c r="X1030" s="7"/>
      <c r="Y1030" s="7"/>
      <c r="Z1030" s="7"/>
      <c r="AA1030" s="34"/>
      <c r="AB1030" s="7"/>
      <c r="AC1030" s="34"/>
      <c r="AD1030" s="10"/>
    </row>
    <row r="1031" spans="1:30" x14ac:dyDescent="0.25">
      <c r="A1031" s="16"/>
      <c r="C1031" s="70"/>
      <c r="D1031" s="70"/>
      <c r="E1031" s="73"/>
      <c r="F1031" s="9"/>
      <c r="H1031" s="9"/>
      <c r="I1031" s="10"/>
      <c r="J1031" s="7"/>
      <c r="K1031" s="7"/>
      <c r="L1031" s="10"/>
      <c r="M1031" s="10"/>
      <c r="N1031" s="10"/>
      <c r="O1031" s="10"/>
      <c r="P1031" s="10"/>
      <c r="Q1031" s="10"/>
      <c r="R1031" s="10"/>
      <c r="S1031" s="10"/>
      <c r="T1031" s="14"/>
      <c r="U1031" s="10"/>
      <c r="V1031" s="10"/>
      <c r="W1031" s="10"/>
      <c r="X1031" s="7"/>
      <c r="Y1031" s="7"/>
      <c r="Z1031" s="7"/>
      <c r="AA1031" s="34"/>
      <c r="AB1031" s="7"/>
      <c r="AC1031" s="34"/>
      <c r="AD1031" s="10"/>
    </row>
    <row r="1032" spans="1:30" x14ac:dyDescent="0.25">
      <c r="A1032" s="16"/>
      <c r="C1032" s="70"/>
      <c r="D1032" s="70"/>
      <c r="E1032" s="73"/>
      <c r="F1032" s="9"/>
      <c r="H1032" s="9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4"/>
      <c r="U1032" s="10"/>
      <c r="V1032" s="10"/>
      <c r="W1032" s="10"/>
      <c r="X1032" s="7"/>
      <c r="Y1032" s="7"/>
      <c r="Z1032" s="34"/>
      <c r="AA1032" s="34"/>
      <c r="AB1032" s="7"/>
      <c r="AC1032" s="34"/>
      <c r="AD1032" s="10"/>
    </row>
    <row r="1033" spans="1:30" x14ac:dyDescent="0.25">
      <c r="A1033" s="16"/>
      <c r="C1033" s="70"/>
      <c r="D1033" s="70"/>
      <c r="E1033" s="73"/>
      <c r="F1033" s="9"/>
      <c r="H1033" s="9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4"/>
      <c r="U1033" s="10"/>
      <c r="V1033" s="10"/>
      <c r="W1033" s="10"/>
      <c r="X1033" s="7"/>
      <c r="Y1033" s="7"/>
      <c r="Z1033" s="7"/>
      <c r="AA1033" s="34"/>
      <c r="AB1033" s="7"/>
      <c r="AC1033" s="34"/>
      <c r="AD1033" s="10"/>
    </row>
    <row r="1034" spans="1:30" x14ac:dyDescent="0.25">
      <c r="A1034" s="16"/>
      <c r="C1034" s="70"/>
      <c r="D1034" s="70"/>
      <c r="E1034" s="73"/>
      <c r="F1034" s="9"/>
      <c r="H1034" s="9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4"/>
      <c r="U1034" s="10"/>
      <c r="V1034" s="10"/>
      <c r="W1034" s="10"/>
      <c r="X1034" s="7"/>
      <c r="Y1034" s="7"/>
      <c r="Z1034" s="7"/>
      <c r="AA1034" s="34"/>
      <c r="AB1034" s="7"/>
      <c r="AC1034" s="34"/>
      <c r="AD1034" s="10"/>
    </row>
    <row r="1035" spans="1:30" x14ac:dyDescent="0.25">
      <c r="A1035" s="16"/>
      <c r="C1035" s="70"/>
      <c r="D1035" s="70"/>
      <c r="E1035" s="73"/>
      <c r="F1035" s="9"/>
      <c r="H1035" s="9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4"/>
      <c r="U1035" s="10"/>
      <c r="V1035" s="10"/>
      <c r="W1035" s="10"/>
      <c r="X1035" s="7"/>
      <c r="Y1035" s="7"/>
      <c r="Z1035" s="7"/>
      <c r="AA1035" s="34"/>
      <c r="AB1035" s="7"/>
      <c r="AC1035" s="34"/>
      <c r="AD1035" s="10"/>
    </row>
    <row r="1036" spans="1:30" x14ac:dyDescent="0.25">
      <c r="A1036" s="16"/>
      <c r="C1036" s="70"/>
      <c r="D1036" s="70"/>
      <c r="E1036" s="73"/>
      <c r="F1036" s="9"/>
      <c r="H1036" s="9"/>
      <c r="I1036" s="10"/>
      <c r="J1036" s="7"/>
      <c r="K1036" s="7"/>
      <c r="L1036" s="10"/>
      <c r="M1036" s="10"/>
      <c r="N1036" s="10"/>
      <c r="O1036" s="10"/>
      <c r="P1036" s="10"/>
      <c r="Q1036" s="10"/>
      <c r="R1036" s="10"/>
      <c r="S1036" s="10"/>
      <c r="T1036" s="14"/>
      <c r="U1036" s="10"/>
      <c r="V1036" s="10"/>
      <c r="W1036" s="10"/>
      <c r="X1036" s="7"/>
      <c r="Y1036" s="7"/>
      <c r="Z1036" s="7"/>
      <c r="AA1036" s="34"/>
      <c r="AB1036" s="7"/>
      <c r="AC1036" s="34"/>
      <c r="AD1036" s="10"/>
    </row>
    <row r="1037" spans="1:30" x14ac:dyDescent="0.25">
      <c r="A1037" s="16"/>
      <c r="C1037" s="70"/>
      <c r="D1037" s="70"/>
      <c r="E1037" s="73"/>
      <c r="F1037" s="9"/>
      <c r="H1037" s="9"/>
      <c r="I1037" s="10"/>
      <c r="J1037" s="7"/>
      <c r="K1037" s="7"/>
      <c r="L1037" s="10"/>
      <c r="M1037" s="10"/>
      <c r="N1037" s="10"/>
      <c r="O1037" s="10"/>
      <c r="P1037" s="10"/>
      <c r="Q1037" s="10"/>
      <c r="R1037" s="10"/>
      <c r="S1037" s="10"/>
      <c r="T1037" s="14"/>
      <c r="U1037" s="10"/>
      <c r="V1037" s="10"/>
      <c r="W1037" s="10"/>
      <c r="X1037" s="7"/>
      <c r="Y1037" s="7"/>
      <c r="Z1037" s="7"/>
      <c r="AA1037" s="34"/>
      <c r="AB1037" s="7"/>
      <c r="AC1037" s="34"/>
      <c r="AD1037" s="10"/>
    </row>
    <row r="1038" spans="1:30" x14ac:dyDescent="0.25">
      <c r="A1038" s="16"/>
      <c r="C1038" s="70"/>
      <c r="D1038" s="70"/>
      <c r="E1038" s="73"/>
      <c r="F1038" s="9"/>
      <c r="H1038" s="9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4"/>
      <c r="U1038" s="10"/>
      <c r="V1038" s="10"/>
      <c r="W1038" s="10"/>
      <c r="X1038" s="7"/>
      <c r="Y1038" s="7"/>
      <c r="Z1038" s="7"/>
      <c r="AA1038" s="34"/>
      <c r="AB1038" s="7"/>
      <c r="AC1038" s="34"/>
      <c r="AD1038" s="10"/>
    </row>
    <row r="1039" spans="1:30" x14ac:dyDescent="0.25">
      <c r="A1039" s="16"/>
      <c r="C1039" s="70"/>
      <c r="D1039" s="70"/>
      <c r="E1039" s="73"/>
      <c r="F1039" s="9"/>
      <c r="H1039" s="9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4"/>
      <c r="U1039" s="10"/>
      <c r="V1039" s="10"/>
      <c r="W1039" s="10"/>
      <c r="X1039" s="7"/>
      <c r="Y1039" s="7"/>
      <c r="Z1039" s="7"/>
      <c r="AA1039" s="34"/>
      <c r="AB1039" s="7"/>
      <c r="AC1039" s="34"/>
      <c r="AD1039" s="10"/>
    </row>
    <row r="1040" spans="1:30" x14ac:dyDescent="0.25">
      <c r="A1040" s="16"/>
      <c r="C1040" s="70"/>
      <c r="D1040" s="70"/>
      <c r="E1040" s="73"/>
      <c r="F1040" s="9"/>
      <c r="H1040" s="9"/>
      <c r="I1040" s="10"/>
      <c r="J1040" s="7"/>
      <c r="K1040" s="7"/>
      <c r="L1040" s="10"/>
      <c r="M1040" s="10"/>
      <c r="N1040" s="10"/>
      <c r="O1040" s="10"/>
      <c r="P1040" s="10"/>
      <c r="Q1040" s="10"/>
      <c r="R1040" s="10"/>
      <c r="S1040" s="10"/>
      <c r="T1040" s="14"/>
      <c r="U1040" s="10"/>
      <c r="V1040" s="10"/>
      <c r="W1040" s="10"/>
      <c r="X1040" s="7"/>
      <c r="Y1040" s="7"/>
      <c r="Z1040" s="7"/>
      <c r="AA1040" s="34"/>
      <c r="AB1040" s="7"/>
      <c r="AC1040" s="34"/>
      <c r="AD1040" s="10"/>
    </row>
    <row r="1041" spans="1:30" x14ac:dyDescent="0.25">
      <c r="A1041" s="16"/>
      <c r="C1041" s="70"/>
      <c r="D1041" s="70"/>
      <c r="E1041" s="73"/>
      <c r="F1041" s="9"/>
      <c r="H1041" s="9"/>
      <c r="I1041" s="10"/>
      <c r="J1041" s="7"/>
      <c r="K1041" s="7"/>
      <c r="L1041" s="10"/>
      <c r="M1041" s="10"/>
      <c r="N1041" s="10"/>
      <c r="O1041" s="10"/>
      <c r="P1041" s="10"/>
      <c r="Q1041" s="10"/>
      <c r="R1041" s="10"/>
      <c r="S1041" s="10"/>
      <c r="T1041" s="14"/>
      <c r="U1041" s="10"/>
      <c r="V1041" s="10"/>
      <c r="W1041" s="10"/>
      <c r="X1041" s="7"/>
      <c r="Y1041" s="7"/>
      <c r="Z1041" s="7"/>
      <c r="AA1041" s="34"/>
      <c r="AB1041" s="7"/>
      <c r="AC1041" s="34"/>
      <c r="AD1041" s="10"/>
    </row>
    <row r="1042" spans="1:30" x14ac:dyDescent="0.25">
      <c r="A1042" s="16"/>
      <c r="C1042" s="70"/>
      <c r="D1042" s="70"/>
      <c r="E1042" s="73"/>
      <c r="F1042" s="9"/>
      <c r="H1042" s="9"/>
      <c r="I1042" s="10"/>
      <c r="J1042" s="7"/>
      <c r="K1042" s="7"/>
      <c r="L1042" s="10"/>
      <c r="M1042" s="10"/>
      <c r="N1042" s="10"/>
      <c r="O1042" s="10"/>
      <c r="P1042" s="10"/>
      <c r="Q1042" s="10"/>
      <c r="R1042" s="10"/>
      <c r="S1042" s="10"/>
      <c r="T1042" s="14"/>
      <c r="U1042" s="10"/>
      <c r="V1042" s="10"/>
      <c r="W1042" s="10"/>
      <c r="X1042" s="7"/>
      <c r="Y1042" s="7"/>
      <c r="Z1042" s="7"/>
      <c r="AA1042" s="34"/>
      <c r="AB1042" s="7"/>
      <c r="AC1042" s="34"/>
      <c r="AD1042" s="10"/>
    </row>
    <row r="1043" spans="1:30" x14ac:dyDescent="0.25">
      <c r="A1043" s="16"/>
      <c r="C1043" s="70"/>
      <c r="D1043" s="70"/>
      <c r="E1043" s="73"/>
      <c r="F1043" s="9"/>
      <c r="H1043" s="9"/>
      <c r="I1043" s="10"/>
      <c r="J1043" s="7"/>
      <c r="K1043" s="7"/>
      <c r="L1043" s="10"/>
      <c r="M1043" s="10"/>
      <c r="N1043" s="10"/>
      <c r="O1043" s="10"/>
      <c r="P1043" s="10"/>
      <c r="Q1043" s="10"/>
      <c r="R1043" s="10"/>
      <c r="S1043" s="10"/>
      <c r="T1043" s="14"/>
      <c r="U1043" s="10"/>
      <c r="V1043" s="10"/>
      <c r="W1043" s="10"/>
      <c r="X1043" s="7"/>
      <c r="Y1043" s="7"/>
      <c r="Z1043" s="7"/>
      <c r="AA1043" s="34"/>
      <c r="AB1043" s="7"/>
      <c r="AC1043" s="34"/>
      <c r="AD1043" s="10"/>
    </row>
    <row r="1044" spans="1:30" x14ac:dyDescent="0.25">
      <c r="A1044" s="16"/>
      <c r="C1044" s="70"/>
      <c r="D1044" s="70"/>
      <c r="E1044" s="73"/>
      <c r="F1044" s="9"/>
      <c r="H1044" s="9"/>
      <c r="I1044" s="10"/>
      <c r="J1044" s="7"/>
      <c r="K1044" s="7"/>
      <c r="L1044" s="10"/>
      <c r="M1044" s="10"/>
      <c r="N1044" s="10"/>
      <c r="O1044" s="10"/>
      <c r="P1044" s="10"/>
      <c r="Q1044" s="10"/>
      <c r="R1044" s="10"/>
      <c r="S1044" s="10"/>
      <c r="T1044" s="14"/>
      <c r="U1044" s="10"/>
      <c r="V1044" s="10"/>
      <c r="W1044" s="10"/>
      <c r="X1044" s="7"/>
      <c r="Y1044" s="7"/>
      <c r="Z1044" s="7"/>
      <c r="AA1044" s="34"/>
      <c r="AB1044" s="7"/>
      <c r="AC1044" s="34"/>
      <c r="AD1044" s="10"/>
    </row>
    <row r="1045" spans="1:30" x14ac:dyDescent="0.25">
      <c r="A1045" s="16"/>
      <c r="C1045" s="70"/>
      <c r="D1045" s="70"/>
      <c r="E1045" s="73"/>
      <c r="F1045" s="9"/>
      <c r="H1045" s="9"/>
      <c r="I1045" s="10"/>
      <c r="J1045" s="60"/>
      <c r="K1045" s="42"/>
      <c r="L1045" s="10"/>
      <c r="M1045" s="10"/>
      <c r="N1045" s="10"/>
      <c r="O1045" s="10"/>
      <c r="P1045" s="10"/>
      <c r="Q1045" s="10"/>
      <c r="R1045" s="10"/>
      <c r="S1045" s="10"/>
      <c r="T1045" s="14"/>
      <c r="U1045" s="10"/>
      <c r="V1045" s="10"/>
      <c r="W1045" s="10"/>
      <c r="X1045" s="7"/>
      <c r="Y1045" s="7"/>
      <c r="Z1045" s="7"/>
      <c r="AA1045" s="34"/>
      <c r="AB1045" s="7"/>
      <c r="AC1045" s="34"/>
      <c r="AD1045" s="10"/>
    </row>
    <row r="1046" spans="1:30" x14ac:dyDescent="0.25">
      <c r="A1046" s="16"/>
      <c r="C1046" s="70"/>
      <c r="D1046" s="70"/>
      <c r="E1046" s="73"/>
      <c r="F1046" s="9"/>
      <c r="H1046" s="9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4"/>
      <c r="U1046" s="10"/>
      <c r="V1046" s="10"/>
      <c r="W1046" s="10"/>
      <c r="X1046" s="7"/>
      <c r="Y1046" s="7"/>
      <c r="Z1046" s="7"/>
      <c r="AA1046" s="34"/>
      <c r="AB1046" s="7"/>
      <c r="AC1046" s="34"/>
      <c r="AD1046" s="10"/>
    </row>
    <row r="1047" spans="1:30" x14ac:dyDescent="0.25">
      <c r="A1047" s="16"/>
      <c r="C1047" s="70"/>
      <c r="D1047" s="70"/>
      <c r="E1047" s="73"/>
      <c r="F1047" s="9"/>
      <c r="H1047" s="9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4"/>
      <c r="U1047" s="10"/>
      <c r="V1047" s="10"/>
      <c r="W1047" s="10"/>
      <c r="X1047" s="7"/>
      <c r="Y1047" s="7"/>
      <c r="Z1047" s="7"/>
      <c r="AA1047" s="34"/>
      <c r="AB1047" s="7"/>
      <c r="AC1047" s="34"/>
      <c r="AD1047" s="10"/>
    </row>
    <row r="1048" spans="1:30" x14ac:dyDescent="0.25">
      <c r="A1048" s="16"/>
      <c r="C1048" s="70"/>
      <c r="D1048" s="70"/>
      <c r="E1048" s="73"/>
      <c r="F1048" s="9"/>
      <c r="H1048" s="9"/>
      <c r="I1048" s="10"/>
      <c r="J1048" s="7"/>
      <c r="K1048" s="7"/>
      <c r="L1048" s="10"/>
      <c r="M1048" s="10"/>
      <c r="N1048" s="10"/>
      <c r="O1048" s="10"/>
      <c r="P1048" s="10"/>
      <c r="Q1048" s="10"/>
      <c r="R1048" s="10"/>
      <c r="S1048" s="10"/>
      <c r="T1048" s="14"/>
      <c r="U1048" s="10"/>
      <c r="V1048" s="10"/>
      <c r="W1048" s="10"/>
      <c r="X1048" s="7"/>
      <c r="Y1048" s="7"/>
      <c r="Z1048" s="7"/>
      <c r="AA1048" s="34"/>
      <c r="AB1048" s="7"/>
      <c r="AC1048" s="34"/>
      <c r="AD1048" s="10"/>
    </row>
    <row r="1049" spans="1:30" x14ac:dyDescent="0.25">
      <c r="A1049" s="16"/>
      <c r="C1049" s="70"/>
      <c r="D1049" s="70"/>
      <c r="E1049" s="73"/>
      <c r="F1049" s="9"/>
      <c r="H1049" s="9"/>
      <c r="I1049" s="10"/>
      <c r="J1049" s="7"/>
      <c r="K1049" s="7"/>
      <c r="L1049" s="10"/>
      <c r="M1049" s="10"/>
      <c r="N1049" s="10"/>
      <c r="O1049" s="10"/>
      <c r="P1049" s="10"/>
      <c r="Q1049" s="10"/>
      <c r="R1049" s="10"/>
      <c r="S1049" s="10"/>
      <c r="T1049" s="14"/>
      <c r="U1049" s="10"/>
      <c r="V1049" s="10"/>
      <c r="W1049" s="10"/>
      <c r="X1049" s="7"/>
      <c r="Y1049" s="7"/>
      <c r="Z1049" s="7"/>
      <c r="AA1049" s="34"/>
      <c r="AB1049" s="7"/>
      <c r="AC1049" s="34"/>
      <c r="AD1049" s="10"/>
    </row>
    <row r="1050" spans="1:30" x14ac:dyDescent="0.25">
      <c r="A1050" s="16"/>
      <c r="C1050" s="70"/>
      <c r="D1050" s="70"/>
      <c r="E1050" s="73"/>
      <c r="F1050" s="9"/>
      <c r="H1050" s="9"/>
      <c r="I1050" s="10"/>
      <c r="J1050" s="7"/>
      <c r="K1050" s="7"/>
      <c r="L1050" s="10"/>
      <c r="M1050" s="10"/>
      <c r="N1050" s="10"/>
      <c r="O1050" s="10"/>
      <c r="P1050" s="10"/>
      <c r="Q1050" s="10"/>
      <c r="R1050" s="10"/>
      <c r="S1050" s="10"/>
      <c r="T1050" s="14"/>
      <c r="U1050" s="10"/>
      <c r="V1050" s="10"/>
      <c r="W1050" s="10"/>
      <c r="X1050" s="7"/>
      <c r="Y1050" s="7"/>
      <c r="Z1050" s="7"/>
      <c r="AA1050" s="34"/>
      <c r="AB1050" s="7"/>
      <c r="AC1050" s="34"/>
      <c r="AD1050" s="10"/>
    </row>
    <row r="1051" spans="1:30" x14ac:dyDescent="0.25">
      <c r="A1051" s="16"/>
      <c r="C1051" s="70"/>
      <c r="D1051" s="70"/>
      <c r="E1051" s="73"/>
      <c r="F1051" s="9"/>
      <c r="H1051" s="9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4"/>
      <c r="U1051" s="10"/>
      <c r="V1051" s="10"/>
      <c r="W1051" s="10"/>
      <c r="X1051" s="7"/>
      <c r="Y1051" s="7"/>
      <c r="Z1051" s="7"/>
      <c r="AA1051" s="34"/>
      <c r="AB1051" s="7"/>
      <c r="AC1051" s="34"/>
      <c r="AD1051" s="10"/>
    </row>
    <row r="1052" spans="1:30" x14ac:dyDescent="0.25">
      <c r="A1052" s="16"/>
      <c r="C1052" s="70"/>
      <c r="D1052" s="70"/>
      <c r="E1052" s="73"/>
      <c r="F1052" s="9"/>
      <c r="H1052" s="9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4"/>
      <c r="U1052" s="10"/>
      <c r="V1052" s="10"/>
      <c r="W1052" s="10"/>
      <c r="X1052" s="7"/>
      <c r="Y1052" s="7"/>
      <c r="Z1052" s="7"/>
      <c r="AA1052" s="34"/>
      <c r="AB1052" s="7"/>
      <c r="AC1052" s="34"/>
      <c r="AD1052" s="10"/>
    </row>
    <row r="1053" spans="1:30" x14ac:dyDescent="0.25">
      <c r="A1053" s="16"/>
      <c r="C1053" s="70"/>
      <c r="D1053" s="70"/>
      <c r="E1053" s="73"/>
      <c r="F1053" s="9"/>
      <c r="H1053" s="9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4"/>
      <c r="U1053" s="10"/>
      <c r="V1053" s="10"/>
      <c r="W1053" s="10"/>
      <c r="X1053" s="7"/>
      <c r="Y1053" s="7"/>
      <c r="Z1053" s="7"/>
      <c r="AA1053" s="34"/>
      <c r="AB1053" s="7"/>
      <c r="AC1053" s="34"/>
      <c r="AD1053" s="10"/>
    </row>
    <row r="1054" spans="1:30" x14ac:dyDescent="0.25">
      <c r="A1054" s="16"/>
      <c r="C1054" s="70"/>
      <c r="D1054" s="70"/>
      <c r="E1054" s="73"/>
      <c r="F1054" s="9"/>
      <c r="H1054" s="9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4"/>
      <c r="U1054" s="10"/>
      <c r="V1054" s="10"/>
      <c r="W1054" s="10"/>
      <c r="X1054" s="7"/>
      <c r="Y1054" s="7"/>
      <c r="Z1054" s="7"/>
      <c r="AA1054" s="34"/>
      <c r="AB1054" s="7"/>
      <c r="AC1054" s="34"/>
      <c r="AD1054" s="10"/>
    </row>
    <row r="1055" spans="1:30" x14ac:dyDescent="0.25">
      <c r="A1055" s="16"/>
      <c r="C1055" s="70"/>
      <c r="D1055" s="70"/>
      <c r="E1055" s="73"/>
      <c r="F1055" s="9"/>
      <c r="H1055" s="9"/>
      <c r="I1055" s="10"/>
      <c r="J1055" s="7"/>
      <c r="K1055" s="7"/>
      <c r="L1055" s="10"/>
      <c r="M1055" s="10"/>
      <c r="N1055" s="10"/>
      <c r="O1055" s="10"/>
      <c r="P1055" s="10"/>
      <c r="Q1055" s="10"/>
      <c r="R1055" s="10"/>
      <c r="S1055" s="10"/>
      <c r="T1055" s="14"/>
      <c r="U1055" s="10"/>
      <c r="V1055" s="10"/>
      <c r="W1055" s="10"/>
      <c r="X1055" s="7"/>
      <c r="Y1055" s="7"/>
      <c r="Z1055" s="7"/>
      <c r="AA1055" s="34"/>
      <c r="AB1055" s="7"/>
      <c r="AC1055" s="34"/>
      <c r="AD1055" s="10"/>
    </row>
    <row r="1056" spans="1:30" x14ac:dyDescent="0.25">
      <c r="A1056" s="16"/>
      <c r="C1056" s="70"/>
      <c r="D1056" s="70"/>
      <c r="E1056" s="73"/>
      <c r="F1056" s="9"/>
      <c r="H1056" s="9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4"/>
      <c r="U1056" s="10"/>
      <c r="V1056" s="10"/>
      <c r="W1056" s="10"/>
      <c r="X1056" s="7"/>
      <c r="Y1056" s="7"/>
      <c r="Z1056" s="7"/>
      <c r="AA1056" s="34"/>
      <c r="AB1056" s="7"/>
      <c r="AC1056" s="34"/>
      <c r="AD1056" s="10"/>
    </row>
    <row r="1057" spans="1:30" x14ac:dyDescent="0.25">
      <c r="A1057" s="16"/>
      <c r="C1057" s="70"/>
      <c r="D1057" s="70"/>
      <c r="E1057" s="73"/>
      <c r="F1057" s="9"/>
      <c r="H1057" s="9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4"/>
      <c r="U1057" s="10"/>
      <c r="V1057" s="10"/>
      <c r="W1057" s="10"/>
      <c r="X1057" s="7"/>
      <c r="Y1057" s="34"/>
      <c r="Z1057" s="7"/>
      <c r="AA1057" s="34"/>
      <c r="AB1057" s="7"/>
      <c r="AC1057" s="34"/>
      <c r="AD1057" s="10"/>
    </row>
    <row r="1058" spans="1:30" x14ac:dyDescent="0.25">
      <c r="A1058" s="16"/>
      <c r="C1058" s="70"/>
      <c r="D1058" s="70"/>
      <c r="E1058" s="73"/>
      <c r="F1058" s="9"/>
      <c r="H1058" s="9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4"/>
      <c r="U1058" s="10"/>
      <c r="V1058" s="10"/>
      <c r="W1058" s="10"/>
      <c r="X1058" s="7"/>
      <c r="Y1058" s="7"/>
      <c r="Z1058" s="7"/>
      <c r="AA1058" s="34"/>
      <c r="AB1058" s="7"/>
      <c r="AC1058" s="34"/>
      <c r="AD1058" s="10"/>
    </row>
    <row r="1059" spans="1:30" x14ac:dyDescent="0.25">
      <c r="A1059" s="16"/>
      <c r="C1059" s="70"/>
      <c r="D1059" s="70"/>
      <c r="E1059" s="73"/>
      <c r="F1059" s="9"/>
      <c r="H1059" s="9"/>
      <c r="I1059" s="10"/>
      <c r="J1059" s="7"/>
      <c r="K1059" s="7"/>
      <c r="L1059" s="10"/>
      <c r="M1059" s="10"/>
      <c r="N1059" s="10"/>
      <c r="O1059" s="10"/>
      <c r="P1059" s="10"/>
      <c r="Q1059" s="10"/>
      <c r="R1059" s="10"/>
      <c r="S1059" s="10"/>
      <c r="T1059" s="14"/>
      <c r="U1059" s="10"/>
      <c r="V1059" s="10"/>
      <c r="W1059" s="10"/>
      <c r="X1059" s="7"/>
      <c r="Y1059" s="7"/>
      <c r="Z1059" s="7"/>
      <c r="AA1059" s="34"/>
      <c r="AB1059" s="7"/>
      <c r="AC1059" s="34"/>
      <c r="AD1059" s="10"/>
    </row>
    <row r="1060" spans="1:30" x14ac:dyDescent="0.25">
      <c r="A1060" s="16"/>
      <c r="C1060" s="70"/>
      <c r="D1060" s="70"/>
      <c r="E1060" s="73"/>
      <c r="F1060" s="9"/>
      <c r="H1060" s="9"/>
      <c r="I1060" s="10"/>
      <c r="J1060" s="7"/>
      <c r="K1060" s="7"/>
      <c r="L1060" s="10"/>
      <c r="M1060" s="10"/>
      <c r="N1060" s="10"/>
      <c r="O1060" s="10"/>
      <c r="P1060" s="10"/>
      <c r="Q1060" s="10"/>
      <c r="R1060" s="10"/>
      <c r="S1060" s="10"/>
      <c r="T1060" s="14"/>
      <c r="U1060" s="10"/>
      <c r="V1060" s="10"/>
      <c r="W1060" s="10"/>
      <c r="X1060" s="7"/>
      <c r="Y1060" s="7"/>
      <c r="Z1060" s="7"/>
      <c r="AA1060" s="34"/>
      <c r="AB1060" s="7"/>
      <c r="AC1060" s="34"/>
      <c r="AD1060" s="10"/>
    </row>
    <row r="1061" spans="1:30" x14ac:dyDescent="0.25">
      <c r="A1061" s="16"/>
      <c r="C1061" s="70"/>
      <c r="D1061" s="70"/>
      <c r="E1061" s="73"/>
      <c r="F1061" s="9"/>
      <c r="H1061" s="9"/>
      <c r="I1061" s="10"/>
      <c r="J1061" s="60"/>
      <c r="K1061" s="42"/>
      <c r="L1061" s="10"/>
      <c r="M1061" s="10"/>
      <c r="N1061" s="10"/>
      <c r="O1061" s="10"/>
      <c r="P1061" s="10"/>
      <c r="Q1061" s="10"/>
      <c r="R1061" s="10"/>
      <c r="S1061" s="10"/>
      <c r="T1061" s="14"/>
      <c r="U1061" s="10"/>
      <c r="V1061" s="10"/>
      <c r="W1061" s="10"/>
      <c r="X1061" s="7"/>
      <c r="Y1061" s="7"/>
      <c r="Z1061" s="7"/>
      <c r="AA1061" s="34"/>
      <c r="AB1061" s="7"/>
      <c r="AC1061" s="34"/>
      <c r="AD1061" s="10"/>
    </row>
    <row r="1062" spans="1:30" x14ac:dyDescent="0.25">
      <c r="A1062" s="16"/>
      <c r="C1062" s="70"/>
      <c r="D1062" s="70"/>
      <c r="E1062" s="73"/>
      <c r="F1062" s="9"/>
      <c r="H1062" s="9"/>
      <c r="I1062" s="10"/>
      <c r="J1062" s="7"/>
      <c r="K1062" s="7"/>
      <c r="L1062" s="10"/>
      <c r="M1062" s="10"/>
      <c r="N1062" s="10"/>
      <c r="O1062" s="10"/>
      <c r="P1062" s="10"/>
      <c r="Q1062" s="10"/>
      <c r="R1062" s="10"/>
      <c r="S1062" s="10"/>
      <c r="T1062" s="14"/>
      <c r="U1062" s="10"/>
      <c r="V1062" s="10"/>
      <c r="W1062" s="10"/>
      <c r="X1062" s="7"/>
      <c r="Y1062" s="7"/>
      <c r="Z1062" s="7"/>
      <c r="AA1062" s="34"/>
      <c r="AB1062" s="7"/>
      <c r="AC1062" s="34"/>
      <c r="AD1062" s="10"/>
    </row>
    <row r="1063" spans="1:30" x14ac:dyDescent="0.25">
      <c r="A1063" s="16"/>
      <c r="C1063" s="70"/>
      <c r="D1063" s="70"/>
      <c r="E1063" s="73"/>
      <c r="F1063" s="9"/>
      <c r="H1063" s="9"/>
      <c r="I1063" s="10"/>
      <c r="J1063" s="60"/>
      <c r="K1063" s="42"/>
      <c r="L1063" s="10"/>
      <c r="M1063" s="10"/>
      <c r="N1063" s="10"/>
      <c r="O1063" s="10"/>
      <c r="P1063" s="10"/>
      <c r="Q1063" s="10"/>
      <c r="R1063" s="10"/>
      <c r="S1063" s="10"/>
      <c r="T1063" s="14"/>
      <c r="U1063" s="10"/>
      <c r="V1063" s="10"/>
      <c r="W1063" s="10"/>
      <c r="X1063" s="7"/>
      <c r="Y1063" s="7"/>
      <c r="Z1063" s="7"/>
      <c r="AA1063" s="34"/>
      <c r="AB1063" s="7"/>
      <c r="AC1063" s="34"/>
      <c r="AD1063" s="10"/>
    </row>
    <row r="1064" spans="1:30" x14ac:dyDescent="0.25">
      <c r="A1064" s="16"/>
      <c r="C1064" s="70"/>
      <c r="D1064" s="70"/>
      <c r="E1064" s="73"/>
      <c r="F1064" s="9"/>
      <c r="H1064" s="9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4"/>
      <c r="U1064" s="10"/>
      <c r="V1064" s="10"/>
      <c r="W1064" s="10"/>
      <c r="X1064" s="7"/>
      <c r="Y1064" s="7"/>
      <c r="Z1064" s="7"/>
      <c r="AA1064" s="34"/>
      <c r="AB1064" s="7"/>
      <c r="AC1064" s="34"/>
      <c r="AD1064" s="10"/>
    </row>
    <row r="1065" spans="1:30" x14ac:dyDescent="0.25">
      <c r="A1065" s="16"/>
      <c r="C1065" s="70"/>
      <c r="D1065" s="70"/>
      <c r="E1065" s="73"/>
      <c r="F1065" s="9"/>
      <c r="H1065" s="9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4"/>
      <c r="U1065" s="10"/>
      <c r="V1065" s="10"/>
      <c r="W1065" s="10"/>
      <c r="X1065" s="7"/>
      <c r="Y1065" s="7"/>
      <c r="Z1065" s="7"/>
      <c r="AA1065" s="34"/>
      <c r="AB1065" s="7"/>
      <c r="AC1065" s="34"/>
      <c r="AD1065" s="10"/>
    </row>
    <row r="1066" spans="1:30" x14ac:dyDescent="0.25">
      <c r="A1066" s="16"/>
      <c r="C1066" s="70"/>
      <c r="D1066" s="70"/>
      <c r="E1066" s="73"/>
      <c r="F1066" s="9"/>
      <c r="H1066" s="9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4"/>
      <c r="U1066" s="10"/>
      <c r="V1066" s="10"/>
      <c r="W1066" s="10"/>
      <c r="X1066" s="7"/>
      <c r="Y1066" s="7"/>
      <c r="Z1066" s="7"/>
      <c r="AA1066" s="34"/>
      <c r="AB1066" s="7"/>
      <c r="AC1066" s="34"/>
      <c r="AD1066" s="10"/>
    </row>
    <row r="1067" spans="1:30" x14ac:dyDescent="0.25">
      <c r="A1067" s="16"/>
      <c r="C1067" s="70"/>
      <c r="D1067" s="70"/>
      <c r="E1067" s="73"/>
      <c r="F1067" s="9"/>
      <c r="H1067" s="9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4"/>
      <c r="U1067" s="10"/>
      <c r="V1067" s="10"/>
      <c r="W1067" s="10"/>
      <c r="X1067" s="7"/>
      <c r="Y1067" s="7"/>
      <c r="Z1067" s="7"/>
      <c r="AA1067" s="34"/>
      <c r="AB1067" s="7"/>
      <c r="AC1067" s="34"/>
      <c r="AD1067" s="10"/>
    </row>
    <row r="1068" spans="1:30" x14ac:dyDescent="0.25">
      <c r="A1068" s="16"/>
      <c r="C1068" s="70"/>
      <c r="D1068" s="70"/>
      <c r="E1068" s="73"/>
      <c r="F1068" s="9"/>
      <c r="H1068" s="9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4"/>
      <c r="U1068" s="10"/>
      <c r="V1068" s="10"/>
      <c r="W1068" s="10"/>
      <c r="X1068" s="7"/>
      <c r="Y1068" s="7"/>
      <c r="Z1068" s="7"/>
      <c r="AA1068" s="34"/>
      <c r="AB1068" s="7"/>
      <c r="AC1068" s="34"/>
      <c r="AD1068" s="10"/>
    </row>
    <row r="1069" spans="1:30" x14ac:dyDescent="0.25">
      <c r="A1069" s="16"/>
      <c r="C1069" s="70"/>
      <c r="D1069" s="70"/>
      <c r="E1069" s="73"/>
      <c r="F1069" s="9"/>
      <c r="H1069" s="9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4"/>
      <c r="U1069" s="10"/>
      <c r="V1069" s="10"/>
      <c r="W1069" s="10"/>
      <c r="X1069" s="7"/>
      <c r="Y1069" s="7"/>
      <c r="Z1069" s="7"/>
      <c r="AA1069" s="34"/>
      <c r="AB1069" s="7"/>
      <c r="AC1069" s="34"/>
      <c r="AD1069" s="10"/>
    </row>
    <row r="1070" spans="1:30" x14ac:dyDescent="0.25">
      <c r="A1070" s="16"/>
      <c r="C1070" s="70"/>
      <c r="D1070" s="70"/>
      <c r="E1070" s="73"/>
      <c r="F1070" s="9"/>
      <c r="H1070" s="9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4"/>
      <c r="U1070" s="10"/>
      <c r="V1070" s="10"/>
      <c r="W1070" s="10"/>
      <c r="X1070" s="7"/>
      <c r="Y1070" s="7"/>
      <c r="Z1070" s="34"/>
      <c r="AA1070" s="34"/>
      <c r="AB1070" s="7"/>
      <c r="AC1070" s="34"/>
      <c r="AD1070" s="10"/>
    </row>
    <row r="1071" spans="1:30" x14ac:dyDescent="0.25">
      <c r="A1071" s="16"/>
      <c r="C1071" s="70"/>
      <c r="D1071" s="70"/>
      <c r="E1071" s="73"/>
      <c r="F1071" s="9"/>
      <c r="H1071" s="9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4"/>
      <c r="U1071" s="10"/>
      <c r="V1071" s="10"/>
      <c r="W1071" s="10"/>
      <c r="X1071" s="7"/>
      <c r="Y1071" s="7"/>
      <c r="Z1071" s="7"/>
      <c r="AA1071" s="34"/>
      <c r="AB1071" s="7"/>
      <c r="AC1071" s="34"/>
      <c r="AD1071" s="10"/>
    </row>
    <row r="1072" spans="1:30" x14ac:dyDescent="0.25">
      <c r="A1072" s="16"/>
      <c r="C1072" s="70"/>
      <c r="D1072" s="70"/>
      <c r="E1072" s="73"/>
      <c r="F1072" s="9"/>
      <c r="H1072" s="9"/>
      <c r="I1072" s="10"/>
      <c r="J1072" s="7"/>
      <c r="K1072" s="7"/>
      <c r="L1072" s="10"/>
      <c r="M1072" s="10"/>
      <c r="N1072" s="10"/>
      <c r="O1072" s="10"/>
      <c r="P1072" s="10"/>
      <c r="Q1072" s="10"/>
      <c r="R1072" s="10"/>
      <c r="S1072" s="10"/>
      <c r="T1072" s="14"/>
      <c r="U1072" s="10"/>
      <c r="V1072" s="10"/>
      <c r="W1072" s="10"/>
      <c r="X1072" s="7"/>
      <c r="Y1072" s="7"/>
      <c r="Z1072" s="7"/>
      <c r="AA1072" s="34"/>
      <c r="AB1072" s="7"/>
      <c r="AC1072" s="34"/>
      <c r="AD1072" s="10"/>
    </row>
    <row r="1073" spans="1:30" x14ac:dyDescent="0.25">
      <c r="A1073" s="16"/>
      <c r="C1073" s="70"/>
      <c r="D1073" s="70"/>
      <c r="E1073" s="73"/>
      <c r="F1073" s="9"/>
      <c r="H1073" s="9"/>
      <c r="I1073" s="10"/>
      <c r="J1073" s="7"/>
      <c r="K1073" s="7"/>
      <c r="L1073" s="10"/>
      <c r="M1073" s="10"/>
      <c r="N1073" s="10"/>
      <c r="O1073" s="10"/>
      <c r="P1073" s="10"/>
      <c r="Q1073" s="10"/>
      <c r="R1073" s="10"/>
      <c r="S1073" s="10"/>
      <c r="T1073" s="14"/>
      <c r="U1073" s="10"/>
      <c r="V1073" s="10"/>
      <c r="W1073" s="10"/>
      <c r="X1073" s="7"/>
      <c r="Y1073" s="7"/>
      <c r="Z1073" s="7"/>
      <c r="AA1073" s="34"/>
      <c r="AB1073" s="7"/>
      <c r="AC1073" s="34"/>
      <c r="AD1073" s="10"/>
    </row>
    <row r="1074" spans="1:30" x14ac:dyDescent="0.25">
      <c r="A1074" s="16"/>
      <c r="C1074" s="70"/>
      <c r="D1074" s="70"/>
      <c r="E1074" s="73"/>
      <c r="F1074" s="9"/>
      <c r="H1074" s="9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4"/>
      <c r="U1074" s="10"/>
      <c r="V1074" s="10"/>
      <c r="W1074" s="10"/>
      <c r="X1074" s="7"/>
      <c r="Y1074" s="7"/>
      <c r="Z1074" s="7"/>
      <c r="AA1074" s="34"/>
      <c r="AB1074" s="7"/>
      <c r="AC1074" s="34"/>
      <c r="AD1074" s="10"/>
    </row>
    <row r="1075" spans="1:30" x14ac:dyDescent="0.25">
      <c r="A1075" s="16"/>
      <c r="C1075" s="70"/>
      <c r="D1075" s="70"/>
      <c r="E1075" s="73"/>
      <c r="F1075" s="9"/>
      <c r="H1075" s="9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4"/>
      <c r="U1075" s="10"/>
      <c r="V1075" s="10"/>
      <c r="W1075" s="10"/>
      <c r="X1075" s="7"/>
      <c r="Y1075" s="7"/>
      <c r="Z1075" s="7"/>
      <c r="AA1075" s="34"/>
      <c r="AB1075" s="7"/>
      <c r="AC1075" s="34"/>
      <c r="AD1075" s="10"/>
    </row>
    <row r="1076" spans="1:30" x14ac:dyDescent="0.25">
      <c r="A1076" s="16"/>
      <c r="C1076" s="70"/>
      <c r="D1076" s="70"/>
      <c r="E1076" s="73"/>
      <c r="F1076" s="9"/>
      <c r="H1076" s="9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4"/>
      <c r="U1076" s="10"/>
      <c r="V1076" s="10"/>
      <c r="W1076" s="10"/>
      <c r="X1076" s="7"/>
      <c r="Y1076" s="7"/>
      <c r="Z1076" s="7"/>
      <c r="AA1076" s="34"/>
      <c r="AB1076" s="7"/>
      <c r="AC1076" s="34"/>
      <c r="AD1076" s="10"/>
    </row>
    <row r="1077" spans="1:30" x14ac:dyDescent="0.25">
      <c r="A1077" s="16"/>
      <c r="C1077" s="70"/>
      <c r="D1077" s="70"/>
      <c r="E1077" s="73"/>
      <c r="F1077" s="9"/>
      <c r="H1077" s="9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4"/>
      <c r="U1077" s="10"/>
      <c r="V1077" s="10"/>
      <c r="W1077" s="10"/>
      <c r="X1077" s="7"/>
      <c r="Y1077" s="34"/>
      <c r="Z1077" s="7"/>
      <c r="AA1077" s="34"/>
      <c r="AB1077" s="7"/>
      <c r="AC1077" s="34"/>
      <c r="AD1077" s="10"/>
    </row>
    <row r="1078" spans="1:30" x14ac:dyDescent="0.25">
      <c r="A1078" s="16"/>
      <c r="C1078" s="70"/>
      <c r="D1078" s="70"/>
      <c r="E1078" s="73"/>
      <c r="F1078" s="9"/>
      <c r="H1078" s="9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4"/>
      <c r="U1078" s="10"/>
      <c r="V1078" s="10"/>
      <c r="W1078" s="10"/>
      <c r="X1078" s="7"/>
      <c r="Y1078" s="7"/>
      <c r="Z1078" s="7"/>
      <c r="AA1078" s="34"/>
      <c r="AB1078" s="7"/>
      <c r="AC1078" s="34"/>
      <c r="AD1078" s="10"/>
    </row>
    <row r="1079" spans="1:30" x14ac:dyDescent="0.25">
      <c r="A1079" s="16"/>
      <c r="C1079" s="70"/>
      <c r="D1079" s="70"/>
      <c r="E1079" s="73"/>
      <c r="F1079" s="9"/>
      <c r="H1079" s="9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4"/>
      <c r="U1079" s="10"/>
      <c r="V1079" s="10"/>
      <c r="W1079" s="10"/>
      <c r="X1079" s="7"/>
      <c r="Y1079" s="7"/>
      <c r="Z1079" s="7"/>
      <c r="AA1079" s="34"/>
      <c r="AB1079" s="7"/>
      <c r="AC1079" s="34"/>
      <c r="AD1079" s="10"/>
    </row>
    <row r="1080" spans="1:30" x14ac:dyDescent="0.25">
      <c r="A1080" s="16"/>
      <c r="C1080" s="70"/>
      <c r="D1080" s="70"/>
      <c r="E1080" s="73"/>
      <c r="F1080" s="9"/>
      <c r="H1080" s="9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4"/>
      <c r="U1080" s="10"/>
      <c r="V1080" s="10"/>
      <c r="W1080" s="10"/>
      <c r="X1080" s="7"/>
      <c r="Y1080" s="7"/>
      <c r="Z1080" s="7"/>
      <c r="AA1080" s="34"/>
      <c r="AB1080" s="7"/>
      <c r="AC1080" s="34"/>
      <c r="AD1080" s="10"/>
    </row>
    <row r="1081" spans="1:30" x14ac:dyDescent="0.25">
      <c r="A1081" s="16"/>
      <c r="C1081" s="70"/>
      <c r="D1081" s="70"/>
      <c r="E1081" s="73"/>
      <c r="F1081" s="9"/>
      <c r="H1081" s="9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4"/>
      <c r="U1081" s="10"/>
      <c r="V1081" s="10"/>
      <c r="W1081" s="10"/>
      <c r="X1081" s="7"/>
      <c r="Y1081" s="7"/>
      <c r="Z1081" s="7"/>
      <c r="AA1081" s="34"/>
      <c r="AB1081" s="7"/>
      <c r="AC1081" s="34"/>
      <c r="AD1081" s="10"/>
    </row>
    <row r="1082" spans="1:30" x14ac:dyDescent="0.25">
      <c r="A1082" s="16"/>
      <c r="C1082" s="70"/>
      <c r="D1082" s="70"/>
      <c r="E1082" s="73"/>
      <c r="F1082" s="9"/>
      <c r="H1082" s="9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4"/>
      <c r="U1082" s="10"/>
      <c r="V1082" s="10"/>
      <c r="W1082" s="10"/>
      <c r="X1082" s="7"/>
      <c r="Y1082" s="7"/>
      <c r="Z1082" s="7"/>
      <c r="AA1082" s="34"/>
      <c r="AB1082" s="7"/>
      <c r="AC1082" s="34"/>
      <c r="AD1082" s="10"/>
    </row>
    <row r="1083" spans="1:30" x14ac:dyDescent="0.25">
      <c r="A1083" s="16"/>
      <c r="C1083" s="70"/>
      <c r="D1083" s="70"/>
      <c r="E1083" s="73"/>
      <c r="F1083" s="9"/>
      <c r="H1083" s="9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4"/>
      <c r="U1083" s="10"/>
      <c r="V1083" s="10"/>
      <c r="W1083" s="10"/>
      <c r="X1083" s="7"/>
      <c r="Y1083" s="34"/>
      <c r="Z1083" s="7"/>
      <c r="AA1083" s="34"/>
      <c r="AB1083" s="7"/>
      <c r="AC1083" s="34"/>
      <c r="AD1083" s="10"/>
    </row>
    <row r="1084" spans="1:30" x14ac:dyDescent="0.25">
      <c r="A1084" s="16"/>
      <c r="C1084" s="70"/>
      <c r="D1084" s="70"/>
      <c r="E1084" s="73"/>
      <c r="F1084" s="9"/>
      <c r="H1084" s="9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4"/>
      <c r="U1084" s="10"/>
      <c r="V1084" s="10"/>
      <c r="W1084" s="10"/>
      <c r="X1084" s="7"/>
      <c r="Y1084" s="34"/>
      <c r="Z1084" s="7"/>
      <c r="AA1084" s="34"/>
      <c r="AB1084" s="7"/>
      <c r="AC1084" s="34"/>
      <c r="AD1084" s="10"/>
    </row>
    <row r="1085" spans="1:30" x14ac:dyDescent="0.25">
      <c r="A1085" s="16"/>
      <c r="C1085" s="70"/>
      <c r="D1085" s="70"/>
      <c r="E1085" s="73"/>
      <c r="F1085" s="9"/>
      <c r="H1085" s="9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4"/>
      <c r="U1085" s="10"/>
      <c r="V1085" s="10"/>
      <c r="W1085" s="10"/>
      <c r="X1085" s="7"/>
      <c r="Y1085" s="7"/>
      <c r="Z1085" s="7"/>
      <c r="AA1085" s="34"/>
      <c r="AB1085" s="7"/>
      <c r="AC1085" s="34"/>
      <c r="AD1085" s="10"/>
    </row>
    <row r="1086" spans="1:30" x14ac:dyDescent="0.25">
      <c r="A1086" s="16"/>
      <c r="C1086" s="70"/>
      <c r="D1086" s="70"/>
      <c r="E1086" s="73"/>
      <c r="F1086" s="9"/>
      <c r="H1086" s="9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4"/>
      <c r="U1086" s="10"/>
      <c r="V1086" s="10"/>
      <c r="W1086" s="10"/>
      <c r="X1086" s="7"/>
      <c r="Y1086" s="7"/>
      <c r="Z1086" s="7"/>
      <c r="AA1086" s="34"/>
      <c r="AB1086" s="7"/>
      <c r="AC1086" s="34"/>
      <c r="AD1086" s="10"/>
    </row>
    <row r="1087" spans="1:30" x14ac:dyDescent="0.25">
      <c r="A1087" s="16"/>
      <c r="C1087" s="70"/>
      <c r="D1087" s="70"/>
      <c r="E1087" s="73"/>
      <c r="F1087" s="9"/>
      <c r="H1087" s="9"/>
      <c r="I1087" s="10"/>
      <c r="J1087" s="10"/>
      <c r="K1087" s="7"/>
      <c r="L1087" s="10"/>
      <c r="M1087" s="10"/>
      <c r="N1087" s="10"/>
      <c r="O1087" s="10"/>
      <c r="P1087" s="10"/>
      <c r="Q1087" s="10"/>
      <c r="R1087" s="10"/>
      <c r="S1087" s="10"/>
      <c r="T1087" s="14"/>
      <c r="U1087" s="10"/>
      <c r="V1087" s="10"/>
      <c r="W1087" s="10"/>
      <c r="X1087" s="7"/>
      <c r="Y1087" s="7"/>
      <c r="Z1087" s="7"/>
      <c r="AA1087" s="34"/>
      <c r="AB1087" s="7"/>
      <c r="AC1087" s="34"/>
      <c r="AD1087" s="10"/>
    </row>
    <row r="1088" spans="1:30" x14ac:dyDescent="0.25">
      <c r="A1088" s="16"/>
      <c r="C1088" s="70"/>
      <c r="D1088" s="70"/>
      <c r="E1088" s="73"/>
      <c r="F1088" s="9"/>
      <c r="H1088" s="9"/>
      <c r="I1088" s="10"/>
      <c r="J1088" s="10"/>
      <c r="K1088" s="7"/>
      <c r="L1088" s="10"/>
      <c r="M1088" s="10"/>
      <c r="N1088" s="10"/>
      <c r="O1088" s="10"/>
      <c r="P1088" s="10"/>
      <c r="Q1088" s="10"/>
      <c r="R1088" s="10"/>
      <c r="S1088" s="10"/>
      <c r="T1088" s="14"/>
      <c r="U1088" s="10"/>
      <c r="V1088" s="10"/>
      <c r="W1088" s="10"/>
      <c r="X1088" s="7"/>
      <c r="Y1088" s="7"/>
      <c r="Z1088" s="7"/>
      <c r="AA1088" s="34"/>
      <c r="AB1088" s="7"/>
      <c r="AC1088" s="34"/>
      <c r="AD1088" s="10"/>
    </row>
    <row r="1089" spans="1:30" x14ac:dyDescent="0.25">
      <c r="A1089" s="16"/>
      <c r="C1089" s="70"/>
      <c r="D1089" s="70"/>
      <c r="E1089" s="73"/>
      <c r="F1089" s="9"/>
      <c r="H1089" s="9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4"/>
      <c r="U1089" s="10"/>
      <c r="V1089" s="10"/>
      <c r="W1089" s="10"/>
      <c r="X1089" s="7"/>
      <c r="Y1089" s="7"/>
      <c r="Z1089" s="7"/>
      <c r="AA1089" s="34"/>
      <c r="AB1089" s="7"/>
      <c r="AC1089" s="34"/>
      <c r="AD1089" s="10"/>
    </row>
    <row r="1090" spans="1:30" x14ac:dyDescent="0.25">
      <c r="A1090" s="16"/>
      <c r="C1090" s="70"/>
      <c r="D1090" s="70"/>
      <c r="E1090" s="73"/>
      <c r="F1090" s="9"/>
      <c r="H1090" s="9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4"/>
      <c r="U1090" s="10"/>
      <c r="V1090" s="10"/>
      <c r="W1090" s="10"/>
      <c r="X1090" s="7"/>
      <c r="Y1090" s="7"/>
      <c r="Z1090" s="7"/>
      <c r="AA1090" s="34"/>
      <c r="AB1090" s="7"/>
      <c r="AC1090" s="34"/>
      <c r="AD1090" s="10"/>
    </row>
    <row r="1091" spans="1:30" x14ac:dyDescent="0.25">
      <c r="A1091" s="16"/>
      <c r="C1091" s="70"/>
      <c r="D1091" s="70"/>
      <c r="E1091" s="73"/>
      <c r="F1091" s="9"/>
      <c r="H1091" s="9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4"/>
      <c r="U1091" s="10"/>
      <c r="V1091" s="10"/>
      <c r="W1091" s="10"/>
      <c r="X1091" s="7"/>
      <c r="Y1091" s="7"/>
      <c r="Z1091" s="7"/>
      <c r="AA1091" s="34"/>
      <c r="AB1091" s="7"/>
      <c r="AC1091" s="34"/>
      <c r="AD1091" s="10"/>
    </row>
    <row r="1092" spans="1:30" x14ac:dyDescent="0.25">
      <c r="A1092" s="16"/>
      <c r="C1092" s="70"/>
      <c r="D1092" s="70"/>
      <c r="E1092" s="73"/>
      <c r="F1092" s="9"/>
      <c r="H1092" s="9"/>
      <c r="I1092" s="10"/>
      <c r="J1092" s="7"/>
      <c r="K1092" s="7"/>
      <c r="L1092" s="10"/>
      <c r="M1092" s="10"/>
      <c r="N1092" s="10"/>
      <c r="O1092" s="10"/>
      <c r="P1092" s="10"/>
      <c r="Q1092" s="10"/>
      <c r="R1092" s="10"/>
      <c r="S1092" s="10"/>
      <c r="T1092" s="14"/>
      <c r="U1092" s="10"/>
      <c r="V1092" s="10"/>
      <c r="W1092" s="10"/>
      <c r="X1092" s="7"/>
      <c r="Y1092" s="7"/>
      <c r="Z1092" s="7"/>
      <c r="AA1092" s="34"/>
      <c r="AB1092" s="7"/>
      <c r="AC1092" s="34"/>
      <c r="AD1092" s="10"/>
    </row>
    <row r="1093" spans="1:30" x14ac:dyDescent="0.25">
      <c r="A1093" s="16"/>
      <c r="C1093" s="70"/>
      <c r="D1093" s="70"/>
      <c r="E1093" s="73"/>
      <c r="F1093" s="9"/>
      <c r="H1093" s="9"/>
      <c r="I1093" s="10"/>
      <c r="J1093" s="7"/>
      <c r="K1093" s="7"/>
      <c r="L1093" s="10"/>
      <c r="M1093" s="10"/>
      <c r="N1093" s="10"/>
      <c r="O1093" s="10"/>
      <c r="P1093" s="10"/>
      <c r="Q1093" s="10"/>
      <c r="R1093" s="10"/>
      <c r="S1093" s="10"/>
      <c r="T1093" s="14"/>
      <c r="U1093" s="10"/>
      <c r="V1093" s="10"/>
      <c r="W1093" s="10"/>
      <c r="X1093" s="7"/>
      <c r="Y1093" s="7"/>
      <c r="Z1093" s="7"/>
      <c r="AA1093" s="34"/>
      <c r="AB1093" s="7"/>
      <c r="AC1093" s="34"/>
      <c r="AD1093" s="10"/>
    </row>
    <row r="1094" spans="1:30" x14ac:dyDescent="0.25">
      <c r="A1094" s="16"/>
      <c r="C1094" s="70"/>
      <c r="D1094" s="70"/>
      <c r="E1094" s="73"/>
      <c r="F1094" s="9"/>
      <c r="H1094" s="9"/>
      <c r="I1094" s="10"/>
      <c r="J1094" s="7"/>
      <c r="K1094" s="7"/>
      <c r="L1094" s="10"/>
      <c r="M1094" s="10"/>
      <c r="N1094" s="10"/>
      <c r="O1094" s="10"/>
      <c r="P1094" s="10"/>
      <c r="Q1094" s="10"/>
      <c r="R1094" s="10"/>
      <c r="S1094" s="10"/>
      <c r="T1094" s="14"/>
      <c r="U1094" s="10"/>
      <c r="V1094" s="10"/>
      <c r="W1094" s="10"/>
      <c r="X1094" s="7"/>
      <c r="Y1094" s="7"/>
      <c r="Z1094" s="7"/>
      <c r="AA1094" s="34"/>
      <c r="AB1094" s="7"/>
      <c r="AC1094" s="34"/>
      <c r="AD1094" s="10"/>
    </row>
    <row r="1095" spans="1:30" x14ac:dyDescent="0.25">
      <c r="A1095" s="16"/>
      <c r="C1095" s="70"/>
      <c r="D1095" s="70"/>
      <c r="E1095" s="73"/>
      <c r="F1095" s="9"/>
      <c r="H1095" s="9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4"/>
      <c r="U1095" s="10"/>
      <c r="V1095" s="10"/>
      <c r="W1095" s="10"/>
      <c r="X1095" s="7"/>
      <c r="Y1095" s="7"/>
      <c r="Z1095" s="7"/>
      <c r="AA1095" s="34"/>
      <c r="AB1095" s="7"/>
      <c r="AC1095" s="34"/>
      <c r="AD1095" s="10"/>
    </row>
    <row r="1096" spans="1:30" x14ac:dyDescent="0.25">
      <c r="A1096" s="16"/>
      <c r="C1096" s="70"/>
      <c r="D1096" s="70"/>
      <c r="E1096" s="73"/>
      <c r="F1096" s="9"/>
      <c r="H1096" s="9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4"/>
      <c r="U1096" s="10"/>
      <c r="V1096" s="10"/>
      <c r="W1096" s="10"/>
      <c r="X1096" s="7"/>
      <c r="Y1096" s="7"/>
      <c r="Z1096" s="7"/>
      <c r="AA1096" s="34"/>
      <c r="AB1096" s="7"/>
      <c r="AC1096" s="34"/>
      <c r="AD1096" s="10"/>
    </row>
    <row r="1097" spans="1:30" x14ac:dyDescent="0.25">
      <c r="A1097" s="16"/>
      <c r="C1097" s="70"/>
      <c r="D1097" s="70"/>
      <c r="E1097" s="73"/>
      <c r="F1097" s="9"/>
      <c r="H1097" s="9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4"/>
      <c r="U1097" s="10"/>
      <c r="V1097" s="10"/>
      <c r="W1097" s="10"/>
      <c r="X1097" s="7"/>
      <c r="Y1097" s="7"/>
      <c r="Z1097" s="7"/>
      <c r="AA1097" s="34"/>
      <c r="AB1097" s="7"/>
      <c r="AC1097" s="34"/>
      <c r="AD1097" s="10"/>
    </row>
    <row r="1098" spans="1:30" x14ac:dyDescent="0.25">
      <c r="A1098" s="16"/>
      <c r="C1098" s="70"/>
      <c r="D1098" s="70"/>
      <c r="E1098" s="73"/>
      <c r="F1098" s="9"/>
      <c r="H1098" s="9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4"/>
      <c r="U1098" s="10"/>
      <c r="V1098" s="10"/>
      <c r="W1098" s="10"/>
      <c r="X1098" s="7"/>
      <c r="Y1098" s="7"/>
      <c r="Z1098" s="7"/>
      <c r="AA1098" s="34"/>
      <c r="AB1098" s="7"/>
      <c r="AC1098" s="34"/>
      <c r="AD1098" s="10"/>
    </row>
    <row r="1099" spans="1:30" x14ac:dyDescent="0.25">
      <c r="A1099" s="16"/>
      <c r="C1099" s="70"/>
      <c r="D1099" s="70"/>
      <c r="E1099" s="73"/>
      <c r="F1099" s="9"/>
      <c r="H1099" s="9"/>
      <c r="I1099" s="10"/>
      <c r="J1099" s="7"/>
      <c r="K1099" s="7"/>
      <c r="L1099" s="10"/>
      <c r="M1099" s="10"/>
      <c r="N1099" s="10"/>
      <c r="O1099" s="10"/>
      <c r="P1099" s="10"/>
      <c r="Q1099" s="10"/>
      <c r="R1099" s="10"/>
      <c r="S1099" s="10"/>
      <c r="T1099" s="14"/>
      <c r="U1099" s="10"/>
      <c r="V1099" s="10"/>
      <c r="W1099" s="10"/>
      <c r="X1099" s="7"/>
      <c r="Y1099" s="7"/>
      <c r="Z1099" s="7"/>
      <c r="AA1099" s="34"/>
      <c r="AB1099" s="7"/>
      <c r="AC1099" s="34"/>
      <c r="AD1099" s="10"/>
    </row>
    <row r="1100" spans="1:30" x14ac:dyDescent="0.25">
      <c r="A1100" s="16"/>
      <c r="C1100" s="70"/>
      <c r="D1100" s="70"/>
      <c r="E1100" s="73"/>
      <c r="F1100" s="9"/>
      <c r="H1100" s="9"/>
      <c r="I1100" s="10"/>
      <c r="J1100" s="10"/>
      <c r="K1100" s="7"/>
      <c r="L1100" s="10"/>
      <c r="M1100" s="10"/>
      <c r="N1100" s="10"/>
      <c r="O1100" s="10"/>
      <c r="P1100" s="10"/>
      <c r="Q1100" s="10"/>
      <c r="R1100" s="10"/>
      <c r="S1100" s="10"/>
      <c r="T1100" s="14"/>
      <c r="U1100" s="10"/>
      <c r="V1100" s="10"/>
      <c r="W1100" s="10"/>
      <c r="X1100" s="7"/>
      <c r="Y1100" s="7"/>
      <c r="Z1100" s="7"/>
      <c r="AA1100" s="34"/>
      <c r="AB1100" s="7"/>
      <c r="AC1100" s="34"/>
      <c r="AD1100" s="10"/>
    </row>
    <row r="1101" spans="1:30" x14ac:dyDescent="0.25">
      <c r="A1101" s="16"/>
      <c r="C1101" s="70"/>
      <c r="D1101" s="70"/>
      <c r="E1101" s="73"/>
      <c r="F1101" s="9"/>
      <c r="H1101" s="9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4"/>
      <c r="U1101" s="10"/>
      <c r="V1101" s="10"/>
      <c r="W1101" s="10"/>
      <c r="X1101" s="7"/>
      <c r="Y1101" s="7"/>
      <c r="Z1101" s="7"/>
      <c r="AA1101" s="34"/>
      <c r="AB1101" s="7"/>
      <c r="AC1101" s="34"/>
      <c r="AD1101" s="10"/>
    </row>
    <row r="1102" spans="1:30" x14ac:dyDescent="0.25">
      <c r="A1102" s="16"/>
      <c r="C1102" s="70"/>
      <c r="D1102" s="70"/>
      <c r="E1102" s="73"/>
      <c r="F1102" s="9"/>
      <c r="H1102" s="9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4"/>
      <c r="U1102" s="10"/>
      <c r="V1102" s="10"/>
      <c r="W1102" s="10"/>
      <c r="X1102" s="7"/>
      <c r="Y1102" s="7"/>
      <c r="Z1102" s="7"/>
      <c r="AA1102" s="34"/>
      <c r="AB1102" s="7"/>
      <c r="AC1102" s="34"/>
      <c r="AD1102" s="10"/>
    </row>
    <row r="1103" spans="1:30" x14ac:dyDescent="0.25">
      <c r="A1103" s="43"/>
      <c r="C1103" s="70"/>
      <c r="D1103" s="70"/>
      <c r="E1103" s="73"/>
      <c r="F1103" s="9"/>
      <c r="H1103" s="9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4"/>
      <c r="U1103" s="10"/>
      <c r="V1103" s="10"/>
      <c r="W1103" s="10"/>
      <c r="X1103" s="7"/>
      <c r="Y1103" s="7"/>
      <c r="Z1103" s="7"/>
      <c r="AA1103" s="34"/>
      <c r="AB1103" s="7"/>
      <c r="AC1103" s="34"/>
      <c r="AD1103" s="10"/>
    </row>
    <row r="1104" spans="1:30" x14ac:dyDescent="0.25">
      <c r="A1104" s="16"/>
      <c r="C1104" s="70"/>
      <c r="D1104" s="70"/>
      <c r="E1104" s="73"/>
      <c r="F1104" s="9"/>
      <c r="H1104" s="9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4"/>
      <c r="U1104" s="10"/>
      <c r="V1104" s="10"/>
      <c r="W1104" s="10"/>
      <c r="X1104" s="7"/>
      <c r="Y1104" s="7"/>
      <c r="Z1104" s="7"/>
      <c r="AA1104" s="34"/>
      <c r="AB1104" s="7"/>
      <c r="AC1104" s="34"/>
      <c r="AD1104" s="10"/>
    </row>
    <row r="1105" spans="1:30" x14ac:dyDescent="0.25">
      <c r="A1105" s="16"/>
      <c r="C1105" s="70"/>
      <c r="D1105" s="70"/>
      <c r="E1105" s="73"/>
      <c r="F1105" s="9"/>
      <c r="H1105" s="9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4"/>
      <c r="U1105" s="10"/>
      <c r="V1105" s="10"/>
      <c r="W1105" s="10"/>
      <c r="X1105" s="7"/>
      <c r="Y1105" s="7"/>
      <c r="Z1105" s="7"/>
      <c r="AA1105" s="34"/>
      <c r="AB1105" s="7"/>
      <c r="AC1105" s="34"/>
      <c r="AD1105" s="10"/>
    </row>
    <row r="1106" spans="1:30" x14ac:dyDescent="0.25">
      <c r="A1106" s="16"/>
      <c r="C1106" s="70"/>
      <c r="D1106" s="70"/>
      <c r="E1106" s="73"/>
      <c r="F1106" s="9"/>
      <c r="H1106" s="9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4"/>
      <c r="U1106" s="10"/>
      <c r="V1106" s="10"/>
      <c r="W1106" s="10"/>
      <c r="X1106" s="7"/>
      <c r="Y1106" s="7"/>
      <c r="Z1106" s="7"/>
      <c r="AA1106" s="34"/>
      <c r="AB1106" s="7"/>
      <c r="AC1106" s="34"/>
      <c r="AD1106" s="10"/>
    </row>
    <row r="1107" spans="1:30" x14ac:dyDescent="0.25">
      <c r="A1107" s="16"/>
      <c r="C1107" s="70"/>
      <c r="D1107" s="70"/>
      <c r="E1107" s="73"/>
      <c r="F1107" s="9"/>
      <c r="H1107" s="9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4"/>
      <c r="U1107" s="10"/>
      <c r="V1107" s="10"/>
      <c r="W1107" s="10"/>
      <c r="X1107" s="7"/>
      <c r="Y1107" s="7"/>
      <c r="Z1107" s="7"/>
      <c r="AA1107" s="34"/>
      <c r="AB1107" s="7"/>
      <c r="AC1107" s="34"/>
      <c r="AD1107" s="10"/>
    </row>
    <row r="1108" spans="1:30" x14ac:dyDescent="0.25">
      <c r="A1108" s="16"/>
      <c r="C1108" s="70"/>
      <c r="D1108" s="70"/>
      <c r="E1108" s="73"/>
      <c r="F1108" s="9"/>
      <c r="H1108" s="9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4"/>
      <c r="U1108" s="10"/>
      <c r="V1108" s="10"/>
      <c r="W1108" s="10"/>
      <c r="X1108" s="7"/>
      <c r="Y1108" s="7"/>
      <c r="Z1108" s="7"/>
      <c r="AA1108" s="34"/>
      <c r="AB1108" s="7"/>
      <c r="AC1108" s="34"/>
      <c r="AD1108" s="10"/>
    </row>
    <row r="1109" spans="1:30" x14ac:dyDescent="0.25">
      <c r="A1109" s="16"/>
      <c r="C1109" s="70"/>
      <c r="D1109" s="70"/>
      <c r="E1109" s="73"/>
      <c r="F1109" s="9"/>
      <c r="H1109" s="9"/>
      <c r="I1109" s="10"/>
      <c r="J1109" s="7"/>
      <c r="K1109" s="7"/>
      <c r="L1109" s="10"/>
      <c r="M1109" s="10"/>
      <c r="N1109" s="10"/>
      <c r="O1109" s="10"/>
      <c r="P1109" s="10"/>
      <c r="Q1109" s="10"/>
      <c r="R1109" s="10"/>
      <c r="S1109" s="10"/>
      <c r="T1109" s="14"/>
      <c r="U1109" s="10"/>
      <c r="V1109" s="10"/>
      <c r="W1109" s="10"/>
      <c r="X1109" s="7"/>
      <c r="Y1109" s="7"/>
      <c r="Z1109" s="7"/>
      <c r="AA1109" s="34"/>
      <c r="AB1109" s="7"/>
      <c r="AC1109" s="34"/>
      <c r="AD1109" s="10"/>
    </row>
    <row r="1110" spans="1:30" x14ac:dyDescent="0.25">
      <c r="A1110" s="16"/>
      <c r="C1110" s="70"/>
      <c r="D1110" s="70"/>
      <c r="E1110" s="73"/>
      <c r="F1110" s="9"/>
      <c r="H1110" s="9"/>
      <c r="I1110" s="10"/>
      <c r="J1110" s="7"/>
      <c r="K1110" s="7"/>
      <c r="L1110" s="10"/>
      <c r="M1110" s="10"/>
      <c r="N1110" s="10"/>
      <c r="O1110" s="10"/>
      <c r="P1110" s="10"/>
      <c r="Q1110" s="10"/>
      <c r="R1110" s="10"/>
      <c r="S1110" s="10"/>
      <c r="T1110" s="14"/>
      <c r="U1110" s="10"/>
      <c r="V1110" s="10"/>
      <c r="W1110" s="10"/>
      <c r="X1110" s="7"/>
      <c r="Y1110" s="7"/>
      <c r="Z1110" s="7"/>
      <c r="AA1110" s="34"/>
      <c r="AB1110" s="7"/>
      <c r="AC1110" s="34"/>
      <c r="AD1110" s="10"/>
    </row>
    <row r="1111" spans="1:30" x14ac:dyDescent="0.25">
      <c r="A1111" s="16"/>
      <c r="C1111" s="70"/>
      <c r="D1111" s="70"/>
      <c r="E1111" s="73"/>
      <c r="F1111" s="9"/>
      <c r="H1111" s="9"/>
      <c r="I1111" s="10"/>
      <c r="J1111" s="10"/>
      <c r="K1111" s="7"/>
      <c r="L1111" s="10"/>
      <c r="M1111" s="10"/>
      <c r="N1111" s="10"/>
      <c r="O1111" s="10"/>
      <c r="P1111" s="10"/>
      <c r="Q1111" s="10"/>
      <c r="R1111" s="10"/>
      <c r="S1111" s="10"/>
      <c r="T1111" s="14"/>
      <c r="U1111" s="10"/>
      <c r="V1111" s="10"/>
      <c r="W1111" s="10"/>
      <c r="X1111" s="7"/>
      <c r="Y1111" s="7"/>
      <c r="Z1111" s="7"/>
      <c r="AA1111" s="34"/>
      <c r="AB1111" s="7"/>
      <c r="AC1111" s="34"/>
      <c r="AD1111" s="10"/>
    </row>
    <row r="1112" spans="1:30" x14ac:dyDescent="0.25">
      <c r="A1112" s="16"/>
      <c r="C1112" s="70"/>
      <c r="D1112" s="70"/>
      <c r="E1112" s="73"/>
      <c r="F1112" s="9"/>
      <c r="H1112" s="9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4"/>
      <c r="U1112" s="10"/>
      <c r="V1112" s="10"/>
      <c r="W1112" s="10"/>
      <c r="X1112" s="7"/>
      <c r="Y1112" s="7"/>
      <c r="Z1112" s="7"/>
      <c r="AA1112" s="34"/>
      <c r="AB1112" s="7"/>
      <c r="AC1112" s="34"/>
      <c r="AD1112" s="10"/>
    </row>
    <row r="1113" spans="1:30" x14ac:dyDescent="0.25">
      <c r="A1113" s="16"/>
      <c r="C1113" s="70"/>
      <c r="D1113" s="70"/>
      <c r="E1113" s="73"/>
      <c r="F1113" s="9"/>
      <c r="H1113" s="9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4"/>
      <c r="U1113" s="10"/>
      <c r="V1113" s="10"/>
      <c r="W1113" s="10"/>
      <c r="X1113" s="7"/>
      <c r="Y1113" s="7"/>
      <c r="Z1113" s="7"/>
      <c r="AA1113" s="34"/>
      <c r="AB1113" s="7"/>
      <c r="AC1113" s="34"/>
      <c r="AD1113" s="10"/>
    </row>
    <row r="1114" spans="1:30" x14ac:dyDescent="0.25">
      <c r="A1114" s="16"/>
      <c r="C1114" s="70"/>
      <c r="D1114" s="70"/>
      <c r="E1114" s="73"/>
      <c r="F1114" s="9"/>
      <c r="H1114" s="9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4"/>
      <c r="U1114" s="10"/>
      <c r="V1114" s="10"/>
      <c r="W1114" s="10"/>
      <c r="X1114" s="7"/>
      <c r="Y1114" s="7"/>
      <c r="Z1114" s="7"/>
      <c r="AA1114" s="34"/>
      <c r="AB1114" s="7"/>
      <c r="AC1114" s="34"/>
      <c r="AD1114" s="10"/>
    </row>
    <row r="1115" spans="1:30" x14ac:dyDescent="0.25">
      <c r="A1115" s="16"/>
      <c r="C1115" s="70"/>
      <c r="D1115" s="70"/>
      <c r="E1115" s="73"/>
      <c r="F1115" s="9"/>
      <c r="H1115" s="9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4"/>
      <c r="U1115" s="10"/>
      <c r="V1115" s="10"/>
      <c r="W1115" s="10"/>
      <c r="X1115" s="7"/>
      <c r="Y1115" s="34"/>
      <c r="Z1115" s="7"/>
      <c r="AA1115" s="34"/>
      <c r="AB1115" s="7"/>
      <c r="AC1115" s="34"/>
      <c r="AD1115" s="10"/>
    </row>
    <row r="1116" spans="1:30" x14ac:dyDescent="0.25">
      <c r="A1116" s="16"/>
      <c r="C1116" s="70"/>
      <c r="D1116" s="70"/>
      <c r="E1116" s="73"/>
      <c r="F1116" s="9"/>
      <c r="H1116" s="9"/>
      <c r="I1116" s="10"/>
      <c r="J1116" s="7"/>
      <c r="K1116" s="7"/>
      <c r="L1116" s="10"/>
      <c r="M1116" s="10"/>
      <c r="N1116" s="10"/>
      <c r="O1116" s="10"/>
      <c r="P1116" s="10"/>
      <c r="Q1116" s="10"/>
      <c r="R1116" s="10"/>
      <c r="S1116" s="10"/>
      <c r="T1116" s="14"/>
      <c r="U1116" s="10"/>
      <c r="V1116" s="10"/>
      <c r="W1116" s="10"/>
      <c r="X1116" s="7"/>
      <c r="Y1116" s="7"/>
      <c r="Z1116" s="7"/>
      <c r="AA1116" s="34"/>
      <c r="AB1116" s="7"/>
      <c r="AC1116" s="34"/>
      <c r="AD1116" s="10"/>
    </row>
    <row r="1117" spans="1:30" x14ac:dyDescent="0.25">
      <c r="A1117" s="16"/>
      <c r="C1117" s="70"/>
      <c r="D1117" s="70"/>
      <c r="E1117" s="73"/>
      <c r="F1117" s="9"/>
      <c r="H1117" s="9"/>
      <c r="I1117" s="10"/>
      <c r="J1117" s="7"/>
      <c r="K1117" s="7"/>
      <c r="L1117" s="10"/>
      <c r="M1117" s="10"/>
      <c r="N1117" s="10"/>
      <c r="O1117" s="10"/>
      <c r="P1117" s="10"/>
      <c r="Q1117" s="10"/>
      <c r="R1117" s="10"/>
      <c r="S1117" s="10"/>
      <c r="T1117" s="14"/>
      <c r="U1117" s="10"/>
      <c r="V1117" s="10"/>
      <c r="W1117" s="10"/>
      <c r="X1117" s="7"/>
      <c r="Y1117" s="7"/>
      <c r="Z1117" s="7"/>
      <c r="AA1117" s="34"/>
      <c r="AB1117" s="7"/>
      <c r="AC1117" s="34"/>
      <c r="AD1117" s="10"/>
    </row>
    <row r="1118" spans="1:30" x14ac:dyDescent="0.25">
      <c r="A1118" s="16"/>
      <c r="C1118" s="70"/>
      <c r="D1118" s="70"/>
      <c r="E1118" s="73"/>
      <c r="F1118" s="9"/>
      <c r="H1118" s="9"/>
      <c r="I1118" s="10"/>
      <c r="J1118" s="7"/>
      <c r="K1118" s="7"/>
      <c r="L1118" s="10"/>
      <c r="M1118" s="10"/>
      <c r="N1118" s="10"/>
      <c r="O1118" s="10"/>
      <c r="P1118" s="10"/>
      <c r="Q1118" s="10"/>
      <c r="R1118" s="10"/>
      <c r="S1118" s="10"/>
      <c r="T1118" s="14"/>
      <c r="U1118" s="10"/>
      <c r="V1118" s="10"/>
      <c r="W1118" s="10"/>
      <c r="X1118" s="7"/>
      <c r="Y1118" s="7"/>
      <c r="Z1118" s="7"/>
      <c r="AA1118" s="34"/>
      <c r="AB1118" s="7"/>
      <c r="AC1118" s="34"/>
      <c r="AD1118" s="10"/>
    </row>
    <row r="1119" spans="1:30" x14ac:dyDescent="0.25">
      <c r="A1119" s="16"/>
      <c r="C1119" s="70"/>
      <c r="D1119" s="70"/>
      <c r="E1119" s="73"/>
      <c r="F1119" s="9"/>
      <c r="H1119" s="9"/>
      <c r="I1119" s="10"/>
      <c r="J1119" s="60"/>
      <c r="K1119" s="42"/>
      <c r="L1119" s="10"/>
      <c r="M1119" s="10"/>
      <c r="N1119" s="10"/>
      <c r="O1119" s="10"/>
      <c r="P1119" s="10"/>
      <c r="Q1119" s="10"/>
      <c r="R1119" s="10"/>
      <c r="S1119" s="10"/>
      <c r="T1119" s="14"/>
      <c r="U1119" s="10"/>
      <c r="V1119" s="10"/>
      <c r="W1119" s="10"/>
      <c r="X1119" s="7"/>
      <c r="Y1119" s="7"/>
      <c r="Z1119" s="7"/>
      <c r="AA1119" s="34"/>
      <c r="AB1119" s="7"/>
      <c r="AC1119" s="34"/>
      <c r="AD1119" s="10"/>
    </row>
    <row r="1120" spans="1:30" x14ac:dyDescent="0.25">
      <c r="A1120" s="16"/>
      <c r="C1120" s="70"/>
      <c r="D1120" s="70"/>
      <c r="E1120" s="73"/>
      <c r="F1120" s="9"/>
      <c r="H1120" s="9"/>
      <c r="I1120" s="10"/>
      <c r="J1120" s="10"/>
      <c r="K1120" s="7"/>
      <c r="L1120" s="10"/>
      <c r="M1120" s="10"/>
      <c r="N1120" s="10"/>
      <c r="O1120" s="10"/>
      <c r="P1120" s="10"/>
      <c r="Q1120" s="10"/>
      <c r="R1120" s="10"/>
      <c r="S1120" s="10"/>
      <c r="T1120" s="14"/>
      <c r="U1120" s="10"/>
      <c r="V1120" s="10"/>
      <c r="W1120" s="10"/>
      <c r="X1120" s="7"/>
      <c r="Y1120" s="7"/>
      <c r="Z1120" s="7"/>
      <c r="AA1120" s="34"/>
      <c r="AB1120" s="7"/>
      <c r="AC1120" s="34"/>
      <c r="AD1120" s="10"/>
    </row>
    <row r="1121" spans="1:30" x14ac:dyDescent="0.25">
      <c r="A1121" s="16"/>
      <c r="C1121" s="70"/>
      <c r="D1121" s="70"/>
      <c r="E1121" s="73"/>
      <c r="F1121" s="9"/>
      <c r="H1121" s="9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4"/>
      <c r="U1121" s="10"/>
      <c r="V1121" s="10"/>
      <c r="W1121" s="10"/>
      <c r="X1121" s="7"/>
      <c r="Y1121" s="7"/>
      <c r="Z1121" s="7"/>
      <c r="AA1121" s="34"/>
      <c r="AB1121" s="7"/>
      <c r="AC1121" s="34"/>
      <c r="AD1121" s="10"/>
    </row>
    <row r="1122" spans="1:30" x14ac:dyDescent="0.25">
      <c r="A1122" s="16"/>
      <c r="C1122" s="70"/>
      <c r="D1122" s="70"/>
      <c r="E1122" s="73"/>
      <c r="F1122" s="9"/>
      <c r="H1122" s="9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4"/>
      <c r="U1122" s="10"/>
      <c r="V1122" s="10"/>
      <c r="W1122" s="10"/>
      <c r="X1122" s="7"/>
      <c r="Y1122" s="7"/>
      <c r="Z1122" s="7"/>
      <c r="AA1122" s="34"/>
      <c r="AB1122" s="7"/>
      <c r="AC1122" s="34"/>
      <c r="AD1122" s="10"/>
    </row>
    <row r="1123" spans="1:30" x14ac:dyDescent="0.25">
      <c r="A1123" s="16"/>
      <c r="C1123" s="70"/>
      <c r="D1123" s="70"/>
      <c r="E1123" s="73"/>
      <c r="F1123" s="9"/>
      <c r="H1123" s="9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4"/>
      <c r="U1123" s="10"/>
      <c r="V1123" s="10"/>
      <c r="W1123" s="10"/>
      <c r="X1123" s="7"/>
      <c r="Y1123" s="7"/>
      <c r="Z1123" s="7"/>
      <c r="AA1123" s="34"/>
      <c r="AB1123" s="7"/>
      <c r="AC1123" s="34"/>
      <c r="AD1123" s="10"/>
    </row>
    <row r="1124" spans="1:30" x14ac:dyDescent="0.25">
      <c r="A1124" s="16"/>
      <c r="C1124" s="70"/>
      <c r="D1124" s="70"/>
      <c r="E1124" s="73"/>
      <c r="F1124" s="9"/>
      <c r="H1124" s="9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4"/>
      <c r="U1124" s="10"/>
      <c r="V1124" s="10"/>
      <c r="W1124" s="10"/>
      <c r="X1124" s="7"/>
      <c r="Y1124" s="7"/>
      <c r="Z1124" s="7"/>
      <c r="AA1124" s="34"/>
      <c r="AB1124" s="7"/>
      <c r="AC1124" s="34"/>
      <c r="AD1124" s="10"/>
    </row>
    <row r="1125" spans="1:30" x14ac:dyDescent="0.25">
      <c r="A1125" s="16"/>
      <c r="C1125" s="70"/>
      <c r="D1125" s="70"/>
      <c r="E1125" s="73"/>
      <c r="F1125" s="9"/>
      <c r="H1125" s="9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4"/>
      <c r="U1125" s="10"/>
      <c r="V1125" s="10"/>
      <c r="W1125" s="10"/>
      <c r="X1125" s="7"/>
      <c r="Y1125" s="7"/>
      <c r="Z1125" s="34"/>
      <c r="AA1125" s="34"/>
      <c r="AB1125" s="7"/>
      <c r="AC1125" s="34"/>
      <c r="AD1125" s="10"/>
    </row>
    <row r="1126" spans="1:30" x14ac:dyDescent="0.25">
      <c r="A1126" s="16"/>
      <c r="C1126" s="70"/>
      <c r="D1126" s="70"/>
      <c r="E1126" s="73"/>
      <c r="F1126" s="9"/>
      <c r="H1126" s="9"/>
      <c r="I1126" s="10"/>
      <c r="J1126" s="10"/>
      <c r="K1126" s="7"/>
      <c r="L1126" s="10"/>
      <c r="M1126" s="10"/>
      <c r="N1126" s="10"/>
      <c r="O1126" s="10"/>
      <c r="P1126" s="10"/>
      <c r="Q1126" s="10"/>
      <c r="R1126" s="10"/>
      <c r="S1126" s="10"/>
      <c r="T1126" s="14"/>
      <c r="U1126" s="10"/>
      <c r="V1126" s="10"/>
      <c r="W1126" s="10"/>
      <c r="X1126" s="7"/>
      <c r="Y1126" s="7"/>
      <c r="Z1126" s="7"/>
      <c r="AA1126" s="34"/>
      <c r="AB1126" s="7"/>
      <c r="AC1126" s="34"/>
      <c r="AD1126" s="10"/>
    </row>
    <row r="1127" spans="1:30" x14ac:dyDescent="0.25">
      <c r="A1127" s="16"/>
      <c r="C1127" s="70"/>
      <c r="D1127" s="70"/>
      <c r="E1127" s="73"/>
      <c r="F1127" s="9"/>
      <c r="H1127" s="9"/>
      <c r="I1127" s="10"/>
      <c r="J1127" s="7"/>
      <c r="K1127" s="7"/>
      <c r="L1127" s="10"/>
      <c r="M1127" s="10"/>
      <c r="N1127" s="10"/>
      <c r="O1127" s="10"/>
      <c r="P1127" s="10"/>
      <c r="Q1127" s="10"/>
      <c r="R1127" s="10"/>
      <c r="S1127" s="10"/>
      <c r="T1127" s="14"/>
      <c r="U1127" s="10"/>
      <c r="V1127" s="10"/>
      <c r="W1127" s="10"/>
      <c r="X1127" s="7"/>
      <c r="Y1127" s="7"/>
      <c r="Z1127" s="7"/>
      <c r="AA1127" s="34"/>
      <c r="AB1127" s="7"/>
      <c r="AC1127" s="34"/>
      <c r="AD1127" s="10"/>
    </row>
    <row r="1128" spans="1:30" x14ac:dyDescent="0.25">
      <c r="A1128" s="16"/>
      <c r="C1128" s="70"/>
      <c r="D1128" s="70"/>
      <c r="E1128" s="73"/>
      <c r="F1128" s="9"/>
      <c r="H1128" s="9"/>
      <c r="I1128" s="10"/>
      <c r="J1128" s="10"/>
      <c r="K1128" s="7"/>
      <c r="L1128" s="10"/>
      <c r="M1128" s="10"/>
      <c r="N1128" s="10"/>
      <c r="O1128" s="10"/>
      <c r="P1128" s="10"/>
      <c r="Q1128" s="10"/>
      <c r="R1128" s="10"/>
      <c r="S1128" s="10"/>
      <c r="T1128" s="14"/>
      <c r="U1128" s="10"/>
      <c r="V1128" s="10"/>
      <c r="W1128" s="10"/>
      <c r="X1128" s="7"/>
      <c r="Y1128" s="7"/>
      <c r="Z1128" s="7"/>
      <c r="AA1128" s="34"/>
      <c r="AB1128" s="7"/>
      <c r="AC1128" s="34"/>
      <c r="AD1128" s="10"/>
    </row>
    <row r="1129" spans="1:30" x14ac:dyDescent="0.25">
      <c r="A1129" s="16"/>
      <c r="C1129" s="70"/>
      <c r="D1129" s="70"/>
      <c r="E1129" s="73"/>
      <c r="F1129" s="9"/>
      <c r="H1129" s="9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4"/>
      <c r="U1129" s="10"/>
      <c r="V1129" s="10"/>
      <c r="W1129" s="10"/>
      <c r="X1129" s="7"/>
      <c r="Y1129" s="7"/>
      <c r="Z1129" s="7"/>
      <c r="AA1129" s="34"/>
      <c r="AB1129" s="7"/>
      <c r="AC1129" s="34"/>
      <c r="AD1129" s="10"/>
    </row>
    <row r="1130" spans="1:30" x14ac:dyDescent="0.25">
      <c r="A1130" s="16"/>
      <c r="C1130" s="70"/>
      <c r="D1130" s="70"/>
      <c r="E1130" s="73"/>
      <c r="F1130" s="9"/>
      <c r="H1130" s="9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4"/>
      <c r="U1130" s="10"/>
      <c r="V1130" s="10"/>
      <c r="W1130" s="10"/>
      <c r="X1130" s="7"/>
      <c r="Y1130" s="7"/>
      <c r="Z1130" s="7"/>
      <c r="AA1130" s="34"/>
      <c r="AB1130" s="7"/>
      <c r="AC1130" s="34"/>
      <c r="AD1130" s="10"/>
    </row>
    <row r="1131" spans="1:30" x14ac:dyDescent="0.25">
      <c r="A1131" s="16"/>
      <c r="C1131" s="70"/>
      <c r="D1131" s="70"/>
      <c r="E1131" s="73"/>
      <c r="F1131" s="9"/>
      <c r="H1131" s="9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4"/>
      <c r="U1131" s="10"/>
      <c r="V1131" s="10"/>
      <c r="W1131" s="10"/>
      <c r="X1131" s="7"/>
      <c r="Y1131" s="7"/>
      <c r="Z1131" s="7"/>
      <c r="AA1131" s="34"/>
      <c r="AB1131" s="7"/>
      <c r="AC1131" s="34"/>
      <c r="AD1131" s="10"/>
    </row>
    <row r="1132" spans="1:30" x14ac:dyDescent="0.25">
      <c r="A1132" s="16"/>
      <c r="C1132" s="70"/>
      <c r="D1132" s="70"/>
      <c r="E1132" s="73"/>
      <c r="F1132" s="9"/>
      <c r="H1132" s="9"/>
      <c r="I1132" s="10"/>
      <c r="J1132" s="10"/>
      <c r="K1132" s="7"/>
      <c r="L1132" s="10"/>
      <c r="M1132" s="10"/>
      <c r="N1132" s="10"/>
      <c r="O1132" s="10"/>
      <c r="P1132" s="10"/>
      <c r="Q1132" s="10"/>
      <c r="R1132" s="10"/>
      <c r="S1132" s="10"/>
      <c r="T1132" s="14"/>
      <c r="U1132" s="10"/>
      <c r="V1132" s="10"/>
      <c r="W1132" s="10"/>
      <c r="X1132" s="7"/>
      <c r="Y1132" s="7"/>
      <c r="Z1132" s="7"/>
      <c r="AA1132" s="34"/>
      <c r="AB1132" s="7"/>
      <c r="AC1132" s="34"/>
      <c r="AD1132" s="10"/>
    </row>
    <row r="1133" spans="1:30" x14ac:dyDescent="0.25">
      <c r="A1133" s="16"/>
      <c r="C1133" s="70"/>
      <c r="D1133" s="70"/>
      <c r="E1133" s="73"/>
      <c r="F1133" s="45"/>
      <c r="H1133" s="9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4"/>
      <c r="U1133" s="10"/>
      <c r="V1133" s="10"/>
      <c r="W1133" s="10"/>
      <c r="X1133" s="7"/>
      <c r="Y1133" s="7"/>
      <c r="Z1133" s="7"/>
      <c r="AA1133" s="34"/>
      <c r="AB1133" s="7"/>
      <c r="AC1133" s="34"/>
      <c r="AD1133" s="10"/>
    </row>
    <row r="1134" spans="1:30" x14ac:dyDescent="0.25">
      <c r="A1134" s="16"/>
      <c r="C1134" s="70"/>
      <c r="D1134" s="70"/>
      <c r="E1134" s="73"/>
      <c r="F1134" s="9"/>
      <c r="H1134" s="9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4"/>
      <c r="U1134" s="10"/>
      <c r="V1134" s="10"/>
      <c r="W1134" s="10"/>
      <c r="X1134" s="7"/>
      <c r="Y1134" s="7"/>
      <c r="Z1134" s="34"/>
      <c r="AA1134" s="34"/>
      <c r="AB1134" s="7"/>
      <c r="AC1134" s="34"/>
      <c r="AD1134" s="10"/>
    </row>
    <row r="1135" spans="1:30" x14ac:dyDescent="0.25">
      <c r="A1135" s="16"/>
      <c r="C1135" s="70"/>
      <c r="D1135" s="70"/>
      <c r="E1135" s="73"/>
      <c r="F1135" s="9"/>
      <c r="H1135" s="9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4"/>
      <c r="U1135" s="10"/>
      <c r="V1135" s="10"/>
      <c r="W1135" s="10"/>
      <c r="X1135" s="7"/>
      <c r="Y1135" s="7"/>
      <c r="Z1135" s="34"/>
      <c r="AA1135" s="34"/>
      <c r="AB1135" s="7"/>
      <c r="AC1135" s="34"/>
      <c r="AD1135" s="10"/>
    </row>
    <row r="1136" spans="1:30" x14ac:dyDescent="0.25">
      <c r="A1136" s="16"/>
      <c r="C1136" s="70"/>
      <c r="D1136" s="70"/>
      <c r="E1136" s="73"/>
      <c r="F1136" s="9"/>
      <c r="H1136" s="9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4"/>
      <c r="U1136" s="10"/>
      <c r="V1136" s="10"/>
      <c r="W1136" s="10"/>
      <c r="X1136" s="7"/>
      <c r="Y1136" s="7"/>
      <c r="Z1136" s="7"/>
      <c r="AA1136" s="34"/>
      <c r="AB1136" s="7"/>
      <c r="AC1136" s="34"/>
      <c r="AD1136" s="10"/>
    </row>
    <row r="1137" spans="1:30" x14ac:dyDescent="0.25">
      <c r="A1137" s="16"/>
      <c r="C1137" s="70"/>
      <c r="D1137" s="70"/>
      <c r="E1137" s="73"/>
      <c r="F1137" s="9"/>
      <c r="H1137" s="9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4"/>
      <c r="U1137" s="10"/>
      <c r="V1137" s="10"/>
      <c r="W1137" s="10"/>
      <c r="X1137" s="7"/>
      <c r="Y1137" s="7"/>
      <c r="Z1137" s="7"/>
      <c r="AA1137" s="34"/>
      <c r="AB1137" s="7"/>
      <c r="AC1137" s="34"/>
      <c r="AD1137" s="10"/>
    </row>
    <row r="1138" spans="1:30" x14ac:dyDescent="0.25">
      <c r="A1138" s="16"/>
      <c r="C1138" s="70"/>
      <c r="D1138" s="70"/>
      <c r="E1138" s="73"/>
      <c r="F1138" s="9"/>
      <c r="H1138" s="9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4"/>
      <c r="U1138" s="10"/>
      <c r="V1138" s="10"/>
      <c r="W1138" s="10"/>
      <c r="X1138" s="7"/>
      <c r="Y1138" s="7"/>
      <c r="Z1138" s="7"/>
      <c r="AA1138" s="34"/>
      <c r="AB1138" s="7"/>
      <c r="AC1138" s="34"/>
      <c r="AD1138" s="10"/>
    </row>
    <row r="1139" spans="1:30" x14ac:dyDescent="0.25">
      <c r="A1139" s="16"/>
      <c r="C1139" s="70"/>
      <c r="D1139" s="70"/>
      <c r="E1139" s="73"/>
      <c r="F1139" s="9"/>
      <c r="H1139" s="9"/>
      <c r="I1139" s="10"/>
      <c r="J1139" s="7"/>
      <c r="K1139" s="7"/>
      <c r="L1139" s="10"/>
      <c r="M1139" s="10"/>
      <c r="N1139" s="10"/>
      <c r="O1139" s="10"/>
      <c r="P1139" s="10"/>
      <c r="Q1139" s="10"/>
      <c r="R1139" s="10"/>
      <c r="S1139" s="10"/>
      <c r="T1139" s="14"/>
      <c r="U1139" s="10"/>
      <c r="V1139" s="10"/>
      <c r="W1139" s="10"/>
      <c r="X1139" s="7"/>
      <c r="Y1139" s="7"/>
      <c r="Z1139" s="7"/>
      <c r="AA1139" s="34"/>
      <c r="AB1139" s="7"/>
      <c r="AC1139" s="34"/>
      <c r="AD1139" s="10"/>
    </row>
    <row r="1140" spans="1:30" x14ac:dyDescent="0.25">
      <c r="A1140" s="16"/>
      <c r="C1140" s="70"/>
      <c r="D1140" s="70"/>
      <c r="E1140" s="73"/>
      <c r="F1140" s="9"/>
      <c r="H1140" s="9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4"/>
      <c r="U1140" s="10"/>
      <c r="V1140" s="10"/>
      <c r="W1140" s="10"/>
      <c r="X1140" s="7"/>
      <c r="Y1140" s="7"/>
      <c r="Z1140" s="7"/>
      <c r="AA1140" s="34"/>
      <c r="AB1140" s="7"/>
      <c r="AC1140" s="34"/>
      <c r="AD1140" s="10"/>
    </row>
    <row r="1141" spans="1:30" x14ac:dyDescent="0.25">
      <c r="A1141" s="16"/>
      <c r="C1141" s="70"/>
      <c r="D1141" s="70"/>
      <c r="E1141" s="73"/>
      <c r="F1141" s="9"/>
      <c r="H1141" s="9"/>
      <c r="I1141" s="10"/>
      <c r="J1141" s="7"/>
      <c r="K1141" s="7"/>
      <c r="L1141" s="10"/>
      <c r="M1141" s="10"/>
      <c r="N1141" s="10"/>
      <c r="O1141" s="10"/>
      <c r="P1141" s="10"/>
      <c r="Q1141" s="10"/>
      <c r="R1141" s="10"/>
      <c r="S1141" s="10"/>
      <c r="T1141" s="14"/>
      <c r="U1141" s="10"/>
      <c r="V1141" s="10"/>
      <c r="W1141" s="10"/>
      <c r="X1141" s="7"/>
      <c r="Y1141" s="7"/>
      <c r="Z1141" s="7"/>
      <c r="AA1141" s="34"/>
      <c r="AB1141" s="7"/>
      <c r="AC1141" s="34"/>
      <c r="AD1141" s="10"/>
    </row>
    <row r="1142" spans="1:30" x14ac:dyDescent="0.25">
      <c r="A1142" s="16"/>
      <c r="C1142" s="70"/>
      <c r="D1142" s="70"/>
      <c r="E1142" s="73"/>
      <c r="F1142" s="9"/>
      <c r="H1142" s="9"/>
      <c r="I1142" s="10"/>
      <c r="J1142" s="7"/>
      <c r="K1142" s="7"/>
      <c r="L1142" s="10"/>
      <c r="M1142" s="10"/>
      <c r="N1142" s="10"/>
      <c r="O1142" s="10"/>
      <c r="P1142" s="10"/>
      <c r="Q1142" s="10"/>
      <c r="R1142" s="10"/>
      <c r="S1142" s="10"/>
      <c r="T1142" s="14"/>
      <c r="U1142" s="10"/>
      <c r="V1142" s="10"/>
      <c r="W1142" s="10"/>
      <c r="X1142" s="7"/>
      <c r="Y1142" s="7"/>
      <c r="Z1142" s="7"/>
      <c r="AA1142" s="34"/>
      <c r="AB1142" s="7"/>
      <c r="AC1142" s="34"/>
      <c r="AD1142" s="10"/>
    </row>
    <row r="1143" spans="1:30" x14ac:dyDescent="0.25">
      <c r="A1143" s="16"/>
      <c r="C1143" s="70"/>
      <c r="D1143" s="70"/>
      <c r="E1143" s="73"/>
      <c r="F1143" s="9"/>
      <c r="H1143" s="9"/>
      <c r="I1143" s="10"/>
      <c r="J1143" s="10"/>
      <c r="K1143" s="7"/>
      <c r="L1143" s="10"/>
      <c r="M1143" s="10"/>
      <c r="N1143" s="10"/>
      <c r="O1143" s="10"/>
      <c r="P1143" s="10"/>
      <c r="Q1143" s="10"/>
      <c r="R1143" s="10"/>
      <c r="S1143" s="10"/>
      <c r="T1143" s="14"/>
      <c r="U1143" s="10"/>
      <c r="V1143" s="10"/>
      <c r="W1143" s="10"/>
      <c r="X1143" s="7"/>
      <c r="Y1143" s="7"/>
      <c r="Z1143" s="7"/>
      <c r="AA1143" s="34"/>
      <c r="AB1143" s="7"/>
      <c r="AC1143" s="34"/>
      <c r="AD1143" s="10"/>
    </row>
    <row r="1144" spans="1:30" x14ac:dyDescent="0.25">
      <c r="A1144" s="16"/>
      <c r="C1144" s="70"/>
      <c r="D1144" s="70"/>
      <c r="E1144" s="73"/>
      <c r="F1144" s="9"/>
      <c r="H1144" s="9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4"/>
      <c r="U1144" s="10"/>
      <c r="V1144" s="10"/>
      <c r="W1144" s="10"/>
      <c r="X1144" s="7"/>
      <c r="Y1144" s="7"/>
      <c r="Z1144" s="7"/>
      <c r="AA1144" s="34"/>
      <c r="AB1144" s="7"/>
      <c r="AC1144" s="34"/>
      <c r="AD1144" s="10"/>
    </row>
    <row r="1145" spans="1:30" x14ac:dyDescent="0.25">
      <c r="A1145" s="16"/>
      <c r="C1145" s="70"/>
      <c r="D1145" s="70"/>
      <c r="E1145" s="73"/>
      <c r="F1145" s="9"/>
      <c r="H1145" s="9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4"/>
      <c r="U1145" s="10"/>
      <c r="V1145" s="10"/>
      <c r="W1145" s="10"/>
      <c r="X1145" s="7"/>
      <c r="Y1145" s="7"/>
      <c r="Z1145" s="7"/>
      <c r="AA1145" s="34"/>
      <c r="AB1145" s="7"/>
      <c r="AC1145" s="34"/>
      <c r="AD1145" s="10"/>
    </row>
    <row r="1146" spans="1:30" x14ac:dyDescent="0.25">
      <c r="A1146" s="16"/>
      <c r="C1146" s="70"/>
      <c r="D1146" s="70"/>
      <c r="E1146" s="73"/>
      <c r="F1146" s="9"/>
      <c r="H1146" s="9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4"/>
      <c r="U1146" s="10"/>
      <c r="V1146" s="10"/>
      <c r="W1146" s="10"/>
      <c r="X1146" s="7"/>
      <c r="Y1146" s="7"/>
      <c r="Z1146" s="7"/>
      <c r="AA1146" s="34"/>
      <c r="AB1146" s="7"/>
      <c r="AC1146" s="34"/>
      <c r="AD1146" s="10"/>
    </row>
    <row r="1147" spans="1:30" x14ac:dyDescent="0.25">
      <c r="A1147" s="16"/>
      <c r="C1147" s="70"/>
      <c r="D1147" s="70"/>
      <c r="E1147" s="73"/>
      <c r="F1147" s="9"/>
      <c r="H1147" s="9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4"/>
      <c r="U1147" s="10"/>
      <c r="V1147" s="10"/>
      <c r="W1147" s="10"/>
      <c r="X1147" s="7"/>
      <c r="Y1147" s="7"/>
      <c r="Z1147" s="7"/>
      <c r="AA1147" s="34"/>
      <c r="AB1147" s="7"/>
      <c r="AC1147" s="34"/>
      <c r="AD1147" s="10"/>
    </row>
    <row r="1148" spans="1:30" x14ac:dyDescent="0.25">
      <c r="A1148" s="16"/>
      <c r="C1148" s="70"/>
      <c r="D1148" s="70"/>
      <c r="E1148" s="73"/>
      <c r="F1148" s="9"/>
      <c r="H1148" s="9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4"/>
      <c r="U1148" s="10"/>
      <c r="V1148" s="10"/>
      <c r="W1148" s="10"/>
      <c r="X1148" s="7"/>
      <c r="Y1148" s="7"/>
      <c r="Z1148" s="7"/>
      <c r="AA1148" s="34"/>
      <c r="AB1148" s="7"/>
      <c r="AC1148" s="34"/>
      <c r="AD1148" s="10"/>
    </row>
    <row r="1149" spans="1:30" x14ac:dyDescent="0.25">
      <c r="A1149" s="16"/>
      <c r="C1149" s="70"/>
      <c r="D1149" s="70"/>
      <c r="E1149" s="73"/>
      <c r="F1149" s="9"/>
      <c r="H1149" s="9"/>
      <c r="I1149" s="10"/>
      <c r="J1149" s="7"/>
      <c r="K1149" s="7"/>
      <c r="L1149" s="10"/>
      <c r="M1149" s="10"/>
      <c r="N1149" s="10"/>
      <c r="O1149" s="10"/>
      <c r="P1149" s="10"/>
      <c r="Q1149" s="10"/>
      <c r="R1149" s="10"/>
      <c r="S1149" s="10"/>
      <c r="T1149" s="14"/>
      <c r="U1149" s="10"/>
      <c r="V1149" s="10"/>
      <c r="W1149" s="10"/>
      <c r="X1149" s="7"/>
      <c r="Y1149" s="7"/>
      <c r="Z1149" s="7"/>
      <c r="AA1149" s="34"/>
      <c r="AB1149" s="7"/>
      <c r="AC1149" s="34"/>
      <c r="AD1149" s="10"/>
    </row>
    <row r="1150" spans="1:30" x14ac:dyDescent="0.25">
      <c r="A1150" s="16"/>
      <c r="C1150" s="70"/>
      <c r="D1150" s="70"/>
      <c r="E1150" s="73"/>
      <c r="F1150" s="9"/>
      <c r="H1150" s="9"/>
      <c r="I1150" s="10"/>
      <c r="J1150" s="10"/>
      <c r="K1150" s="7"/>
      <c r="L1150" s="10"/>
      <c r="M1150" s="10"/>
      <c r="N1150" s="10"/>
      <c r="O1150" s="10"/>
      <c r="P1150" s="10"/>
      <c r="Q1150" s="10"/>
      <c r="R1150" s="10"/>
      <c r="S1150" s="10"/>
      <c r="T1150" s="14"/>
      <c r="U1150" s="10"/>
      <c r="V1150" s="10"/>
      <c r="W1150" s="10"/>
      <c r="X1150" s="7"/>
      <c r="Y1150" s="7"/>
      <c r="Z1150" s="7"/>
      <c r="AA1150" s="34"/>
      <c r="AB1150" s="7"/>
      <c r="AC1150" s="34"/>
      <c r="AD1150" s="10"/>
    </row>
    <row r="1151" spans="1:30" x14ac:dyDescent="0.25">
      <c r="A1151" s="16"/>
      <c r="C1151" s="70"/>
      <c r="D1151" s="70"/>
      <c r="E1151" s="73"/>
      <c r="F1151" s="9"/>
      <c r="H1151" s="9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4"/>
      <c r="U1151" s="10"/>
      <c r="V1151" s="10"/>
      <c r="W1151" s="10"/>
      <c r="X1151" s="7"/>
      <c r="Y1151" s="7"/>
      <c r="Z1151" s="7"/>
      <c r="AA1151" s="34"/>
      <c r="AB1151" s="7"/>
      <c r="AC1151" s="34"/>
      <c r="AD1151" s="10"/>
    </row>
    <row r="1152" spans="1:30" x14ac:dyDescent="0.25">
      <c r="A1152" s="16"/>
      <c r="C1152" s="70"/>
      <c r="D1152" s="70"/>
      <c r="E1152" s="73"/>
      <c r="F1152" s="9"/>
      <c r="H1152" s="9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4"/>
      <c r="U1152" s="10"/>
      <c r="V1152" s="10"/>
      <c r="W1152" s="10"/>
      <c r="X1152" s="7"/>
      <c r="Y1152" s="34"/>
      <c r="Z1152" s="7"/>
      <c r="AA1152" s="34"/>
      <c r="AB1152" s="7"/>
      <c r="AC1152" s="34"/>
      <c r="AD1152" s="10"/>
    </row>
    <row r="1153" spans="1:30" x14ac:dyDescent="0.25">
      <c r="A1153" s="16"/>
      <c r="C1153" s="70"/>
      <c r="D1153" s="70"/>
      <c r="E1153" s="73"/>
      <c r="F1153" s="9"/>
      <c r="H1153" s="9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4"/>
      <c r="U1153" s="10"/>
      <c r="V1153" s="10"/>
      <c r="W1153" s="10"/>
      <c r="X1153" s="7"/>
      <c r="Y1153" s="34"/>
      <c r="Z1153" s="7"/>
      <c r="AA1153" s="34"/>
      <c r="AB1153" s="7"/>
      <c r="AC1153" s="34"/>
      <c r="AD1153" s="10"/>
    </row>
    <row r="1154" spans="1:30" x14ac:dyDescent="0.25">
      <c r="A1154" s="16"/>
      <c r="C1154" s="70"/>
      <c r="D1154" s="70"/>
      <c r="E1154" s="73"/>
      <c r="F1154" s="9"/>
      <c r="H1154" s="9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4"/>
      <c r="U1154" s="10"/>
      <c r="V1154" s="10"/>
      <c r="W1154" s="10"/>
      <c r="X1154" s="7"/>
      <c r="Y1154" s="7"/>
      <c r="Z1154" s="7"/>
      <c r="AA1154" s="34"/>
      <c r="AB1154" s="7"/>
      <c r="AC1154" s="34"/>
      <c r="AD1154" s="10"/>
    </row>
    <row r="1155" spans="1:30" x14ac:dyDescent="0.25">
      <c r="A1155" s="16"/>
      <c r="C1155" s="70"/>
      <c r="D1155" s="70"/>
      <c r="E1155" s="73"/>
      <c r="F1155" s="9"/>
      <c r="H1155" s="9"/>
      <c r="I1155" s="10"/>
      <c r="J1155" s="10"/>
      <c r="K1155" s="7"/>
      <c r="L1155" s="10"/>
      <c r="M1155" s="10"/>
      <c r="N1155" s="10"/>
      <c r="O1155" s="10"/>
      <c r="P1155" s="10"/>
      <c r="Q1155" s="10"/>
      <c r="R1155" s="10"/>
      <c r="S1155" s="10"/>
      <c r="T1155" s="14"/>
      <c r="U1155" s="10"/>
      <c r="V1155" s="10"/>
      <c r="W1155" s="10"/>
      <c r="X1155" s="7"/>
      <c r="Y1155" s="7"/>
      <c r="Z1155" s="7"/>
      <c r="AA1155" s="34"/>
      <c r="AB1155" s="7"/>
      <c r="AC1155" s="34"/>
      <c r="AD1155" s="10"/>
    </row>
    <row r="1156" spans="1:30" x14ac:dyDescent="0.25">
      <c r="A1156" s="16"/>
      <c r="C1156" s="70"/>
      <c r="D1156" s="70"/>
      <c r="E1156" s="73"/>
      <c r="F1156" s="9"/>
      <c r="H1156" s="9"/>
      <c r="I1156" s="10"/>
      <c r="J1156" s="7"/>
      <c r="K1156" s="7"/>
      <c r="L1156" s="10"/>
      <c r="M1156" s="10"/>
      <c r="N1156" s="10"/>
      <c r="O1156" s="10"/>
      <c r="P1156" s="10"/>
      <c r="Q1156" s="10"/>
      <c r="R1156" s="10"/>
      <c r="S1156" s="10"/>
      <c r="T1156" s="14"/>
      <c r="U1156" s="10"/>
      <c r="V1156" s="10"/>
      <c r="W1156" s="10"/>
      <c r="X1156" s="7"/>
      <c r="Y1156" s="7"/>
      <c r="Z1156" s="7"/>
      <c r="AA1156" s="34"/>
      <c r="AB1156" s="7"/>
      <c r="AC1156" s="34"/>
      <c r="AD1156" s="10"/>
    </row>
    <row r="1157" spans="1:30" x14ac:dyDescent="0.25">
      <c r="A1157" s="16"/>
      <c r="C1157" s="70"/>
      <c r="D1157" s="70"/>
      <c r="E1157" s="73"/>
      <c r="F1157" s="9"/>
      <c r="H1157" s="9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4"/>
      <c r="U1157" s="10"/>
      <c r="V1157" s="10"/>
      <c r="W1157" s="10"/>
      <c r="X1157" s="7"/>
      <c r="Y1157" s="7"/>
      <c r="Z1157" s="7"/>
      <c r="AA1157" s="34"/>
      <c r="AB1157" s="7"/>
      <c r="AC1157" s="34"/>
      <c r="AD1157" s="10"/>
    </row>
    <row r="1158" spans="1:30" x14ac:dyDescent="0.25">
      <c r="A1158" s="16"/>
      <c r="C1158" s="70"/>
      <c r="D1158" s="70"/>
      <c r="E1158" s="73"/>
      <c r="F1158" s="9"/>
      <c r="H1158" s="9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4"/>
      <c r="U1158" s="10"/>
      <c r="V1158" s="10"/>
      <c r="W1158" s="10"/>
      <c r="X1158" s="7"/>
      <c r="Y1158" s="7"/>
      <c r="Z1158" s="7"/>
      <c r="AA1158" s="34"/>
      <c r="AB1158" s="7"/>
      <c r="AC1158" s="34"/>
      <c r="AD1158" s="10"/>
    </row>
    <row r="1159" spans="1:30" x14ac:dyDescent="0.25">
      <c r="A1159" s="16"/>
      <c r="C1159" s="70"/>
      <c r="D1159" s="70"/>
      <c r="E1159" s="73"/>
      <c r="F1159" s="9"/>
      <c r="H1159" s="9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4"/>
      <c r="U1159" s="10"/>
      <c r="V1159" s="10"/>
      <c r="W1159" s="10"/>
      <c r="X1159" s="7"/>
      <c r="Y1159" s="7"/>
      <c r="Z1159" s="7"/>
      <c r="AA1159" s="34"/>
      <c r="AB1159" s="7"/>
      <c r="AC1159" s="34"/>
      <c r="AD1159" s="10"/>
    </row>
    <row r="1160" spans="1:30" x14ac:dyDescent="0.25">
      <c r="A1160" s="16"/>
      <c r="C1160" s="70"/>
      <c r="D1160" s="70"/>
      <c r="E1160" s="73"/>
      <c r="F1160" s="45"/>
      <c r="H1160" s="9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4"/>
      <c r="U1160" s="10"/>
      <c r="V1160" s="10"/>
      <c r="W1160" s="10"/>
      <c r="X1160" s="7"/>
      <c r="Y1160" s="7"/>
      <c r="Z1160" s="7"/>
      <c r="AA1160" s="34"/>
      <c r="AB1160" s="7"/>
      <c r="AC1160" s="34"/>
      <c r="AD1160" s="10"/>
    </row>
    <row r="1161" spans="1:30" x14ac:dyDescent="0.25">
      <c r="A1161" s="16"/>
      <c r="C1161" s="70"/>
      <c r="D1161" s="70"/>
      <c r="E1161" s="73"/>
      <c r="F1161" s="9"/>
      <c r="H1161" s="9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4"/>
      <c r="U1161" s="10"/>
      <c r="V1161" s="10"/>
      <c r="W1161" s="10"/>
      <c r="X1161" s="7"/>
      <c r="Y1161" s="7"/>
      <c r="Z1161" s="34"/>
      <c r="AA1161" s="34"/>
      <c r="AB1161" s="7"/>
      <c r="AC1161" s="34"/>
      <c r="AD1161" s="10"/>
    </row>
    <row r="1162" spans="1:30" x14ac:dyDescent="0.25">
      <c r="A1162" s="16"/>
      <c r="C1162" s="70"/>
      <c r="D1162" s="70"/>
      <c r="E1162" s="73"/>
      <c r="F1162" s="9"/>
      <c r="H1162" s="9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4"/>
      <c r="U1162" s="10"/>
      <c r="V1162" s="10"/>
      <c r="W1162" s="10"/>
      <c r="X1162" s="7"/>
      <c r="Y1162" s="7"/>
      <c r="Z1162" s="7"/>
      <c r="AA1162" s="34"/>
      <c r="AB1162" s="7"/>
      <c r="AC1162" s="34"/>
      <c r="AD1162" s="10"/>
    </row>
    <row r="1163" spans="1:30" x14ac:dyDescent="0.25">
      <c r="A1163" s="16"/>
      <c r="C1163" s="70"/>
      <c r="D1163" s="70"/>
      <c r="E1163" s="73"/>
      <c r="F1163" s="9"/>
      <c r="H1163" s="9"/>
      <c r="I1163" s="10"/>
      <c r="J1163" s="7"/>
      <c r="K1163" s="7"/>
      <c r="L1163" s="10"/>
      <c r="M1163" s="10"/>
      <c r="N1163" s="10"/>
      <c r="O1163" s="10"/>
      <c r="P1163" s="10"/>
      <c r="Q1163" s="10"/>
      <c r="R1163" s="10"/>
      <c r="S1163" s="10"/>
      <c r="T1163" s="14"/>
      <c r="U1163" s="10"/>
      <c r="V1163" s="10"/>
      <c r="W1163" s="10"/>
      <c r="X1163" s="7"/>
      <c r="Y1163" s="7"/>
      <c r="Z1163" s="7"/>
      <c r="AA1163" s="34"/>
      <c r="AB1163" s="7"/>
      <c r="AC1163" s="34"/>
      <c r="AD1163" s="10"/>
    </row>
    <row r="1164" spans="1:30" x14ac:dyDescent="0.25">
      <c r="A1164" s="16"/>
      <c r="C1164" s="70"/>
      <c r="D1164" s="70"/>
      <c r="E1164" s="73"/>
      <c r="F1164" s="9"/>
      <c r="H1164" s="9"/>
      <c r="I1164" s="10"/>
      <c r="J1164" s="7"/>
      <c r="K1164" s="7"/>
      <c r="L1164" s="10"/>
      <c r="M1164" s="10"/>
      <c r="N1164" s="10"/>
      <c r="O1164" s="10"/>
      <c r="P1164" s="10"/>
      <c r="Q1164" s="10"/>
      <c r="R1164" s="10"/>
      <c r="S1164" s="10"/>
      <c r="T1164" s="14"/>
      <c r="U1164" s="10"/>
      <c r="V1164" s="10"/>
      <c r="W1164" s="10"/>
      <c r="X1164" s="7"/>
      <c r="Y1164" s="7"/>
      <c r="Z1164" s="7"/>
      <c r="AA1164" s="34"/>
      <c r="AB1164" s="7"/>
      <c r="AC1164" s="34"/>
      <c r="AD1164" s="10"/>
    </row>
    <row r="1165" spans="1:30" x14ac:dyDescent="0.25">
      <c r="A1165" s="16"/>
      <c r="C1165" s="70"/>
      <c r="D1165" s="70"/>
      <c r="E1165" s="73"/>
      <c r="F1165" s="9"/>
      <c r="H1165" s="9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4"/>
      <c r="U1165" s="10"/>
      <c r="V1165" s="10"/>
      <c r="W1165" s="10"/>
      <c r="X1165" s="7"/>
      <c r="Y1165" s="7"/>
      <c r="Z1165" s="7"/>
      <c r="AA1165" s="34"/>
      <c r="AB1165" s="7"/>
      <c r="AC1165" s="34"/>
      <c r="AD1165" s="10"/>
    </row>
    <row r="1166" spans="1:30" x14ac:dyDescent="0.25">
      <c r="A1166" s="16"/>
      <c r="C1166" s="70"/>
      <c r="D1166" s="70"/>
      <c r="E1166" s="73"/>
      <c r="F1166" s="9"/>
      <c r="H1166" s="9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4"/>
      <c r="U1166" s="10"/>
      <c r="V1166" s="10"/>
      <c r="W1166" s="10"/>
      <c r="X1166" s="7"/>
      <c r="Y1166" s="7"/>
      <c r="Z1166" s="7"/>
      <c r="AA1166" s="34"/>
      <c r="AB1166" s="7"/>
      <c r="AC1166" s="34"/>
      <c r="AD1166" s="10"/>
    </row>
    <row r="1167" spans="1:30" x14ac:dyDescent="0.25">
      <c r="A1167" s="16"/>
      <c r="C1167" s="70"/>
      <c r="D1167" s="70"/>
      <c r="E1167" s="73"/>
      <c r="F1167" s="9"/>
      <c r="H1167" s="9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4"/>
      <c r="U1167" s="10"/>
      <c r="V1167" s="10"/>
      <c r="W1167" s="10"/>
      <c r="X1167" s="7"/>
      <c r="Y1167" s="7"/>
      <c r="Z1167" s="7"/>
      <c r="AA1167" s="34"/>
      <c r="AB1167" s="7"/>
      <c r="AC1167" s="34"/>
      <c r="AD1167" s="10"/>
    </row>
    <row r="1168" spans="1:30" x14ac:dyDescent="0.25">
      <c r="A1168" s="16"/>
      <c r="C1168" s="70"/>
      <c r="D1168" s="70"/>
      <c r="E1168" s="73"/>
      <c r="F1168" s="9"/>
      <c r="H1168" s="9"/>
      <c r="I1168" s="10"/>
      <c r="J1168" s="10"/>
      <c r="K1168" s="7"/>
      <c r="L1168" s="10"/>
      <c r="M1168" s="10"/>
      <c r="N1168" s="10"/>
      <c r="O1168" s="10"/>
      <c r="P1168" s="10"/>
      <c r="Q1168" s="10"/>
      <c r="R1168" s="10"/>
      <c r="S1168" s="10"/>
      <c r="T1168" s="14"/>
      <c r="U1168" s="10"/>
      <c r="V1168" s="10"/>
      <c r="W1168" s="10"/>
      <c r="X1168" s="7"/>
      <c r="Y1168" s="7"/>
      <c r="Z1168" s="7"/>
      <c r="AA1168" s="34"/>
      <c r="AB1168" s="7"/>
      <c r="AC1168" s="34"/>
      <c r="AD1168" s="10"/>
    </row>
    <row r="1169" spans="1:30" x14ac:dyDescent="0.25">
      <c r="A1169" s="16"/>
      <c r="C1169" s="70"/>
      <c r="D1169" s="70"/>
      <c r="E1169" s="73"/>
      <c r="F1169" s="9"/>
      <c r="H1169" s="9"/>
      <c r="I1169" s="10"/>
      <c r="J1169" s="7"/>
      <c r="K1169" s="7"/>
      <c r="L1169" s="10"/>
      <c r="M1169" s="10"/>
      <c r="N1169" s="10"/>
      <c r="O1169" s="10"/>
      <c r="P1169" s="10"/>
      <c r="Q1169" s="10"/>
      <c r="R1169" s="10"/>
      <c r="S1169" s="10"/>
      <c r="T1169" s="14"/>
      <c r="U1169" s="10"/>
      <c r="V1169" s="10"/>
      <c r="W1169" s="10"/>
      <c r="X1169" s="7"/>
      <c r="Y1169" s="7"/>
      <c r="Z1169" s="7"/>
      <c r="AA1169" s="34"/>
      <c r="AB1169" s="7"/>
      <c r="AC1169" s="34"/>
      <c r="AD1169" s="10"/>
    </row>
    <row r="1170" spans="1:30" x14ac:dyDescent="0.25">
      <c r="A1170" s="16"/>
      <c r="C1170" s="70"/>
      <c r="D1170" s="70"/>
      <c r="E1170" s="73"/>
      <c r="F1170" s="9"/>
      <c r="H1170" s="9"/>
      <c r="I1170" s="10"/>
      <c r="J1170" s="7"/>
      <c r="K1170" s="7"/>
      <c r="L1170" s="10"/>
      <c r="M1170" s="10"/>
      <c r="N1170" s="10"/>
      <c r="O1170" s="10"/>
      <c r="P1170" s="10"/>
      <c r="Q1170" s="10"/>
      <c r="R1170" s="10"/>
      <c r="S1170" s="10"/>
      <c r="T1170" s="14"/>
      <c r="U1170" s="10"/>
      <c r="V1170" s="10"/>
      <c r="W1170" s="10"/>
      <c r="X1170" s="7"/>
      <c r="Y1170" s="7"/>
      <c r="Z1170" s="7"/>
      <c r="AA1170" s="34"/>
      <c r="AB1170" s="7"/>
      <c r="AC1170" s="34"/>
      <c r="AD1170" s="10"/>
    </row>
    <row r="1171" spans="1:30" x14ac:dyDescent="0.25">
      <c r="A1171" s="16"/>
      <c r="C1171" s="70"/>
      <c r="D1171" s="70"/>
      <c r="E1171" s="73"/>
      <c r="F1171" s="9"/>
      <c r="H1171" s="9"/>
      <c r="I1171" s="10"/>
      <c r="J1171" s="10"/>
      <c r="K1171" s="7"/>
      <c r="L1171" s="10"/>
      <c r="M1171" s="10"/>
      <c r="N1171" s="10"/>
      <c r="O1171" s="10"/>
      <c r="P1171" s="10"/>
      <c r="Q1171" s="10"/>
      <c r="R1171" s="10"/>
      <c r="S1171" s="10"/>
      <c r="T1171" s="14"/>
      <c r="U1171" s="10"/>
      <c r="V1171" s="10"/>
      <c r="W1171" s="10"/>
      <c r="X1171" s="7"/>
      <c r="Y1171" s="7"/>
      <c r="Z1171" s="7"/>
      <c r="AA1171" s="34"/>
      <c r="AB1171" s="7"/>
      <c r="AC1171" s="34"/>
      <c r="AD1171" s="10"/>
    </row>
    <row r="1172" spans="1:30" x14ac:dyDescent="0.25">
      <c r="A1172" s="16"/>
      <c r="C1172" s="70"/>
      <c r="D1172" s="70"/>
      <c r="E1172" s="73"/>
      <c r="F1172" s="9"/>
      <c r="H1172" s="9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4"/>
      <c r="U1172" s="10"/>
      <c r="V1172" s="10"/>
      <c r="W1172" s="10"/>
      <c r="X1172" s="7"/>
      <c r="Y1172" s="7"/>
      <c r="Z1172" s="7"/>
      <c r="AA1172" s="34"/>
      <c r="AB1172" s="7"/>
      <c r="AC1172" s="34"/>
      <c r="AD1172" s="10"/>
    </row>
    <row r="1173" spans="1:30" x14ac:dyDescent="0.25">
      <c r="A1173" s="16"/>
      <c r="C1173" s="70"/>
      <c r="D1173" s="70"/>
      <c r="E1173" s="73"/>
      <c r="F1173" s="9"/>
      <c r="H1173" s="9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4"/>
      <c r="U1173" s="10"/>
      <c r="V1173" s="10"/>
      <c r="W1173" s="10"/>
      <c r="X1173" s="7"/>
      <c r="Y1173" s="7"/>
      <c r="Z1173" s="7"/>
      <c r="AA1173" s="34"/>
      <c r="AB1173" s="7"/>
      <c r="AC1173" s="34"/>
      <c r="AD1173" s="10"/>
    </row>
    <row r="1174" spans="1:30" x14ac:dyDescent="0.25">
      <c r="A1174" s="16"/>
      <c r="C1174" s="70"/>
      <c r="D1174" s="70"/>
      <c r="E1174" s="73"/>
      <c r="F1174" s="9"/>
      <c r="H1174" s="9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4"/>
      <c r="U1174" s="10"/>
      <c r="V1174" s="10"/>
      <c r="W1174" s="10"/>
      <c r="X1174" s="7"/>
      <c r="Y1174" s="7"/>
      <c r="Z1174" s="7"/>
      <c r="AA1174" s="34"/>
      <c r="AB1174" s="7"/>
      <c r="AC1174" s="34"/>
      <c r="AD1174" s="10"/>
    </row>
    <row r="1175" spans="1:30" x14ac:dyDescent="0.25">
      <c r="A1175" s="16"/>
      <c r="C1175" s="70"/>
      <c r="D1175" s="70"/>
      <c r="E1175" s="73"/>
      <c r="F1175" s="9"/>
      <c r="H1175" s="9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4"/>
      <c r="U1175" s="10"/>
      <c r="V1175" s="10"/>
      <c r="W1175" s="10"/>
      <c r="X1175" s="7"/>
      <c r="Y1175" s="7"/>
      <c r="Z1175" s="7"/>
      <c r="AA1175" s="34"/>
      <c r="AB1175" s="7"/>
      <c r="AC1175" s="34"/>
      <c r="AD1175" s="10"/>
    </row>
    <row r="1176" spans="1:30" x14ac:dyDescent="0.25">
      <c r="A1176" s="16"/>
      <c r="C1176" s="70"/>
      <c r="D1176" s="70"/>
      <c r="E1176" s="73"/>
      <c r="F1176" s="9"/>
      <c r="H1176" s="9"/>
      <c r="I1176" s="14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4"/>
      <c r="U1176" s="10"/>
      <c r="V1176" s="10"/>
      <c r="W1176" s="10"/>
      <c r="X1176" s="7"/>
      <c r="Y1176" s="7"/>
      <c r="Z1176" s="7"/>
      <c r="AA1176" s="34"/>
      <c r="AB1176" s="7"/>
      <c r="AC1176" s="34"/>
      <c r="AD1176" s="10"/>
    </row>
    <row r="1177" spans="1:30" x14ac:dyDescent="0.25">
      <c r="A1177" s="16"/>
      <c r="C1177" s="70"/>
      <c r="D1177" s="70"/>
      <c r="E1177" s="73"/>
      <c r="F1177" s="9"/>
      <c r="H1177" s="9"/>
      <c r="I1177" s="14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4"/>
      <c r="U1177" s="10"/>
      <c r="V1177" s="10"/>
      <c r="W1177" s="10"/>
      <c r="X1177" s="7"/>
      <c r="Y1177" s="7"/>
      <c r="Z1177" s="7"/>
      <c r="AA1177" s="34"/>
      <c r="AB1177" s="7"/>
      <c r="AC1177" s="34"/>
      <c r="AD1177" s="10"/>
    </row>
    <row r="1178" spans="1:30" ht="15.75" thickBot="1" x14ac:dyDescent="0.3">
      <c r="A1178" s="16"/>
      <c r="C1178" s="70"/>
      <c r="D1178" s="70"/>
      <c r="E1178" s="73"/>
      <c r="F1178" s="9"/>
      <c r="H1178" s="9"/>
      <c r="I1178" s="14"/>
      <c r="J1178" s="10"/>
      <c r="K1178" s="7"/>
      <c r="L1178" s="10"/>
      <c r="M1178" s="10"/>
      <c r="N1178" s="10"/>
      <c r="O1178" s="10"/>
      <c r="P1178" s="10"/>
      <c r="Q1178" s="10"/>
      <c r="R1178" s="10"/>
      <c r="S1178" s="10"/>
      <c r="T1178" s="14"/>
      <c r="U1178" s="10"/>
      <c r="V1178" s="10"/>
      <c r="W1178" s="10"/>
      <c r="X1178" s="7"/>
      <c r="Y1178" s="7"/>
      <c r="Z1178" s="7"/>
      <c r="AA1178" s="34"/>
      <c r="AB1178" s="7"/>
      <c r="AC1178" s="34"/>
      <c r="AD1178" s="10"/>
    </row>
    <row r="1179" spans="1:30" ht="19.5" thickBot="1" x14ac:dyDescent="0.35">
      <c r="A1179" s="6" t="s">
        <v>8</v>
      </c>
      <c r="B1179" s="67"/>
      <c r="C1179" s="75"/>
      <c r="D1179" s="75"/>
      <c r="E1179" s="81"/>
      <c r="F1179" s="29"/>
      <c r="G1179" s="29"/>
      <c r="H1179" s="29"/>
      <c r="I1179" s="37">
        <f t="shared" ref="I1179:T1179" si="10">SUM(I19:I356)</f>
        <v>0</v>
      </c>
      <c r="J1179" s="38">
        <f t="shared" si="10"/>
        <v>0</v>
      </c>
      <c r="K1179" s="38">
        <f t="shared" si="10"/>
        <v>0</v>
      </c>
      <c r="L1179" s="38">
        <f t="shared" si="10"/>
        <v>354841.0299999998</v>
      </c>
      <c r="M1179" s="38">
        <f t="shared" si="10"/>
        <v>2457740.7600000007</v>
      </c>
      <c r="N1179" s="38">
        <f t="shared" si="10"/>
        <v>240656.25</v>
      </c>
      <c r="O1179" s="38">
        <f t="shared" si="10"/>
        <v>0</v>
      </c>
      <c r="P1179" s="38">
        <f t="shared" si="10"/>
        <v>271000</v>
      </c>
      <c r="Q1179" s="38">
        <f t="shared" si="10"/>
        <v>825265.27</v>
      </c>
      <c r="R1179" s="38">
        <f t="shared" si="10"/>
        <v>65112.089999999989</v>
      </c>
      <c r="S1179" s="38">
        <f t="shared" si="10"/>
        <v>157033.20000000001</v>
      </c>
      <c r="T1179" s="37">
        <f t="shared" si="10"/>
        <v>166344.77999999997</v>
      </c>
      <c r="U1179" s="38"/>
      <c r="V1179" s="38"/>
      <c r="W1179" s="10">
        <f>SUM(T1179:V1179)-SUM(I1179:S1179)</f>
        <v>-4205303.82</v>
      </c>
      <c r="X1179" s="7"/>
      <c r="Y1179" s="7"/>
      <c r="Z1179" s="7"/>
      <c r="AA1179" s="17"/>
      <c r="AB1179" s="7"/>
      <c r="AC1179" s="17"/>
    </row>
    <row r="1180" spans="1:30" ht="15.75" thickTop="1" x14ac:dyDescent="0.25">
      <c r="C1180" s="70"/>
      <c r="D1180" s="70"/>
      <c r="E1180" s="73"/>
      <c r="F1180" s="9"/>
      <c r="H1180" s="9"/>
      <c r="I1180" s="14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4"/>
      <c r="U1180" s="10"/>
      <c r="V1180" s="10"/>
      <c r="W1180" s="10"/>
      <c r="X1180" s="7"/>
      <c r="Y1180" s="7"/>
      <c r="Z1180" s="7"/>
      <c r="AA1180" s="17"/>
      <c r="AB1180" s="7"/>
      <c r="AC1180" s="17"/>
    </row>
    <row r="1181" spans="1:30" x14ac:dyDescent="0.25">
      <c r="C1181" s="70"/>
      <c r="D1181" s="70"/>
      <c r="E1181" s="73"/>
      <c r="F1181" s="9"/>
      <c r="H1181" s="9"/>
      <c r="I1181" s="14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4"/>
      <c r="U1181" s="10"/>
      <c r="V1181" s="10"/>
      <c r="W1181" s="10"/>
      <c r="X1181" s="7"/>
      <c r="Y1181" s="7"/>
      <c r="Z1181" s="7"/>
      <c r="AA1181" s="17"/>
      <c r="AB1181" s="7"/>
      <c r="AC1181" s="17"/>
    </row>
  </sheetData>
  <mergeCells count="3">
    <mergeCell ref="A7:K7"/>
    <mergeCell ref="L7:AA7"/>
    <mergeCell ref="AB7:AC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28"/>
  <sheetViews>
    <sheetView zoomScale="98" zoomScaleNormal="98" workbookViewId="0">
      <pane xSplit="11" ySplit="8" topLeftCell="L143" activePane="bottomRight" state="frozen"/>
      <selection pane="topRight" activeCell="L1" sqref="L1"/>
      <selection pane="bottomLeft" activeCell="A9" sqref="A9"/>
      <selection pane="bottomRight" activeCell="I143" sqref="I143"/>
    </sheetView>
  </sheetViews>
  <sheetFormatPr defaultRowHeight="15" x14ac:dyDescent="0.25"/>
  <cols>
    <col min="1" max="1" width="9.42578125" customWidth="1"/>
    <col min="2" max="2" width="10.85546875" style="9" customWidth="1"/>
    <col min="3" max="3" width="8.42578125" style="69" bestFit="1" customWidth="1"/>
    <col min="4" max="4" width="6.28515625" style="69" customWidth="1"/>
    <col min="5" max="5" width="7.5703125" style="76" bestFit="1" customWidth="1"/>
    <col min="6" max="6" width="17.85546875" style="1" customWidth="1"/>
    <col min="7" max="7" width="10.140625" style="9" customWidth="1"/>
    <col min="8" max="8" width="7.85546875" style="1" customWidth="1"/>
    <col min="9" max="9" width="47" style="5" bestFit="1" customWidth="1"/>
    <col min="10" max="10" width="14.28515625" style="2" customWidth="1"/>
    <col min="11" max="11" width="16.7109375" style="2" customWidth="1"/>
    <col min="12" max="12" width="19.5703125" style="2" customWidth="1"/>
    <col min="13" max="13" width="20.5703125" style="2" customWidth="1"/>
    <col min="14" max="14" width="16.42578125" style="2" customWidth="1"/>
    <col min="15" max="15" width="11.5703125" style="2" customWidth="1"/>
    <col min="16" max="16" width="20.140625" style="2" customWidth="1"/>
    <col min="17" max="17" width="18.140625" style="2" customWidth="1"/>
    <col min="18" max="18" width="15" style="2" customWidth="1"/>
    <col min="19" max="19" width="18" style="2" customWidth="1"/>
    <col min="20" max="20" width="18.28515625" style="5" customWidth="1"/>
    <col min="21" max="22" width="12" style="2" customWidth="1"/>
    <col min="23" max="23" width="15.28515625" style="2" customWidth="1"/>
    <col min="24" max="24" width="11.42578125" bestFit="1" customWidth="1"/>
    <col min="25" max="25" width="10.42578125" bestFit="1" customWidth="1"/>
    <col min="26" max="26" width="13" customWidth="1"/>
    <col min="27" max="27" width="15.42578125" style="30" customWidth="1"/>
    <col min="28" max="28" width="3.7109375" customWidth="1"/>
    <col min="29" max="29" width="13" style="30" customWidth="1"/>
    <col min="30" max="30" width="12.5703125" style="7" customWidth="1"/>
    <col min="31" max="31" width="20.140625" style="7" bestFit="1" customWidth="1"/>
    <col min="32" max="32" width="9.5703125" style="17" bestFit="1" customWidth="1"/>
  </cols>
  <sheetData>
    <row r="1" spans="1:32" ht="26.25" x14ac:dyDescent="0.4">
      <c r="A1" s="3" t="s">
        <v>57</v>
      </c>
      <c r="I1"/>
      <c r="J1"/>
      <c r="K1"/>
      <c r="T1" s="2"/>
      <c r="X1" s="2"/>
      <c r="Y1" s="2"/>
      <c r="Z1" s="2"/>
      <c r="AB1" s="2"/>
      <c r="AD1" s="10"/>
    </row>
    <row r="2" spans="1:32" x14ac:dyDescent="0.25">
      <c r="A2" t="s">
        <v>9</v>
      </c>
      <c r="I2"/>
      <c r="J2"/>
      <c r="K2"/>
      <c r="T2" s="2"/>
      <c r="X2" s="2"/>
      <c r="Y2" s="2"/>
      <c r="Z2" s="2"/>
      <c r="AB2" s="2"/>
      <c r="AD2" s="10"/>
    </row>
    <row r="3" spans="1:32" x14ac:dyDescent="0.25">
      <c r="A3" s="4" t="s">
        <v>1114</v>
      </c>
      <c r="I3"/>
      <c r="J3"/>
      <c r="K3"/>
      <c r="T3" s="2"/>
      <c r="X3" s="2"/>
      <c r="Y3" s="2"/>
      <c r="Z3" s="2"/>
      <c r="AB3" s="2"/>
      <c r="AD3" s="10"/>
    </row>
    <row r="4" spans="1:32" x14ac:dyDescent="0.25">
      <c r="I4"/>
      <c r="J4"/>
      <c r="K4"/>
      <c r="T4" s="2"/>
      <c r="X4" s="2"/>
      <c r="Y4" s="2"/>
      <c r="Z4" s="2"/>
      <c r="AB4" s="2"/>
      <c r="AD4" s="10"/>
    </row>
    <row r="5" spans="1:32" x14ac:dyDescent="0.25">
      <c r="A5" s="7"/>
      <c r="C5" s="70"/>
      <c r="D5" s="70"/>
      <c r="E5" s="73"/>
      <c r="F5" s="9"/>
      <c r="H5" s="9"/>
      <c r="I5" s="7"/>
      <c r="J5" s="7"/>
      <c r="K5" s="7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7"/>
      <c r="AB5" s="10"/>
      <c r="AC5" s="17"/>
      <c r="AD5" s="10"/>
    </row>
    <row r="6" spans="1:32" ht="15.75" thickBot="1" x14ac:dyDescent="0.3">
      <c r="A6" s="7"/>
      <c r="C6" s="70"/>
      <c r="D6" s="70"/>
      <c r="E6" s="73"/>
      <c r="F6" s="9"/>
      <c r="H6" s="9"/>
      <c r="I6" s="7"/>
      <c r="J6" s="7"/>
      <c r="K6" s="7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7"/>
      <c r="AB6" s="10"/>
      <c r="AC6" s="17"/>
      <c r="AD6" s="10"/>
    </row>
    <row r="7" spans="1:32" ht="15.75" thickBot="1" x14ac:dyDescent="0.3">
      <c r="A7" s="180" t="s">
        <v>11</v>
      </c>
      <c r="B7" s="181"/>
      <c r="C7" s="181"/>
      <c r="D7" s="181"/>
      <c r="E7" s="181"/>
      <c r="F7" s="181"/>
      <c r="G7" s="181"/>
      <c r="H7" s="181"/>
      <c r="I7" s="181"/>
      <c r="J7" s="181"/>
      <c r="K7" s="182"/>
      <c r="L7" s="183" t="s">
        <v>7</v>
      </c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5"/>
      <c r="AC7" s="186"/>
      <c r="AD7" s="10"/>
    </row>
    <row r="8" spans="1:32" ht="36" x14ac:dyDescent="0.25">
      <c r="A8" s="8" t="s">
        <v>10</v>
      </c>
      <c r="B8" s="8" t="s">
        <v>5</v>
      </c>
      <c r="C8" s="71" t="s">
        <v>6</v>
      </c>
      <c r="D8" s="71" t="s">
        <v>15</v>
      </c>
      <c r="E8" s="71" t="s">
        <v>2</v>
      </c>
      <c r="F8" s="8" t="s">
        <v>14</v>
      </c>
      <c r="G8" s="8" t="s">
        <v>27</v>
      </c>
      <c r="H8" s="8" t="s">
        <v>28</v>
      </c>
      <c r="I8" s="8" t="s">
        <v>0</v>
      </c>
      <c r="J8" s="8" t="s">
        <v>12</v>
      </c>
      <c r="K8" s="15" t="s">
        <v>1</v>
      </c>
      <c r="L8" s="11" t="s">
        <v>3</v>
      </c>
      <c r="M8" s="11" t="s">
        <v>16</v>
      </c>
      <c r="N8" s="11" t="s">
        <v>21</v>
      </c>
      <c r="O8" s="11" t="s">
        <v>17</v>
      </c>
      <c r="P8" s="11" t="s">
        <v>42</v>
      </c>
      <c r="Q8" s="11" t="s">
        <v>23</v>
      </c>
      <c r="R8" s="11" t="s">
        <v>18</v>
      </c>
      <c r="S8" s="11" t="s">
        <v>209</v>
      </c>
      <c r="T8" s="11" t="s">
        <v>19</v>
      </c>
      <c r="U8" s="11" t="s">
        <v>20</v>
      </c>
      <c r="V8" s="11" t="s">
        <v>81</v>
      </c>
      <c r="W8" s="11" t="s">
        <v>22</v>
      </c>
      <c r="X8" s="11" t="s">
        <v>24</v>
      </c>
      <c r="Y8" s="11" t="s">
        <v>25</v>
      </c>
      <c r="Z8" s="11" t="s">
        <v>41</v>
      </c>
      <c r="AA8" s="36" t="s">
        <v>26</v>
      </c>
      <c r="AB8" s="12"/>
      <c r="AC8" s="31" t="s">
        <v>4</v>
      </c>
      <c r="AD8" s="13" t="s">
        <v>13</v>
      </c>
      <c r="AE8" s="13" t="s">
        <v>134</v>
      </c>
      <c r="AF8" s="94" t="s">
        <v>1096</v>
      </c>
    </row>
    <row r="9" spans="1:32" x14ac:dyDescent="0.25">
      <c r="A9" s="18"/>
      <c r="B9" s="19"/>
      <c r="C9" s="72"/>
      <c r="D9" s="72"/>
      <c r="E9" s="77"/>
      <c r="F9" s="19"/>
      <c r="G9" s="19"/>
      <c r="H9" s="19"/>
      <c r="I9" s="20"/>
      <c r="J9" s="20"/>
      <c r="K9" s="2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32"/>
      <c r="AB9" s="22"/>
      <c r="AC9" s="32"/>
      <c r="AD9" s="22"/>
    </row>
    <row r="10" spans="1:32" x14ac:dyDescent="0.25">
      <c r="A10" s="25">
        <v>44562</v>
      </c>
      <c r="B10" s="19"/>
      <c r="C10" s="72"/>
      <c r="D10" s="72"/>
      <c r="E10" s="77"/>
      <c r="F10" s="19"/>
      <c r="G10" s="19"/>
      <c r="H10" s="19"/>
      <c r="I10" s="20"/>
      <c r="J10" s="20"/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32"/>
      <c r="AB10" s="22"/>
      <c r="AC10" s="32"/>
      <c r="AD10" s="22"/>
    </row>
    <row r="11" spans="1:32" x14ac:dyDescent="0.25">
      <c r="A11" s="7"/>
      <c r="C11" s="70"/>
      <c r="D11" s="70"/>
      <c r="E11" s="73"/>
      <c r="F11" s="9"/>
      <c r="H11" s="9"/>
      <c r="I11" s="7" t="s">
        <v>1167</v>
      </c>
      <c r="J11" s="51" t="s">
        <v>132</v>
      </c>
      <c r="K11" s="26"/>
      <c r="L11" s="10"/>
      <c r="M11" s="10"/>
      <c r="N11" s="10"/>
      <c r="O11" s="10"/>
      <c r="P11" s="10"/>
      <c r="Q11" s="10">
        <v>56751.56</v>
      </c>
      <c r="R11" s="10"/>
      <c r="S11" s="10"/>
      <c r="T11" s="10"/>
      <c r="U11" s="10"/>
      <c r="V11" s="10"/>
      <c r="W11" s="10"/>
      <c r="X11" s="10"/>
      <c r="Y11" s="10"/>
      <c r="Z11" s="10"/>
      <c r="AA11" s="33"/>
      <c r="AB11" s="10"/>
      <c r="AC11" s="33">
        <v>56751.56</v>
      </c>
      <c r="AD11" s="10">
        <f>SUM(AB11:AC11)-SUM(L11:AA11)</f>
        <v>0</v>
      </c>
      <c r="AE11" s="82" t="s">
        <v>133</v>
      </c>
    </row>
    <row r="12" spans="1:32" x14ac:dyDescent="0.25">
      <c r="A12" s="7" t="s">
        <v>1115</v>
      </c>
      <c r="B12" s="9" t="s">
        <v>1122</v>
      </c>
      <c r="C12" s="70">
        <v>44567</v>
      </c>
      <c r="D12" s="70">
        <v>44567</v>
      </c>
      <c r="E12" s="73"/>
      <c r="F12" s="9"/>
      <c r="H12" s="9"/>
      <c r="I12" s="7" t="s">
        <v>82</v>
      </c>
      <c r="J12" s="51" t="s">
        <v>54</v>
      </c>
      <c r="K12" s="7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>
        <v>400000</v>
      </c>
      <c r="AA12" s="33"/>
      <c r="AB12" s="10"/>
      <c r="AC12" s="33">
        <v>400000</v>
      </c>
      <c r="AD12" s="10">
        <f t="shared" ref="AD12:AD164" si="0">SUM(AB12:AC12)-SUM(L12:AA12)</f>
        <v>0</v>
      </c>
      <c r="AE12" s="82"/>
    </row>
    <row r="13" spans="1:32" x14ac:dyDescent="0.25">
      <c r="A13" s="7" t="s">
        <v>1116</v>
      </c>
      <c r="B13" s="9" t="s">
        <v>1123</v>
      </c>
      <c r="C13" s="70">
        <v>44567</v>
      </c>
      <c r="D13" s="70">
        <v>44567</v>
      </c>
      <c r="E13" s="73">
        <v>44568</v>
      </c>
      <c r="F13" s="9" t="s">
        <v>1124</v>
      </c>
      <c r="H13" s="9"/>
      <c r="I13" s="7" t="s">
        <v>93</v>
      </c>
      <c r="J13" s="51" t="s">
        <v>79</v>
      </c>
      <c r="K13" s="7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>
        <v>20667</v>
      </c>
      <c r="W13" s="10"/>
      <c r="X13" s="10"/>
      <c r="Y13" s="10"/>
      <c r="Z13" s="10"/>
      <c r="AA13" s="33"/>
      <c r="AB13" s="10"/>
      <c r="AC13" s="33">
        <v>20667</v>
      </c>
      <c r="AD13" s="10">
        <f t="shared" si="0"/>
        <v>0</v>
      </c>
      <c r="AE13" s="82"/>
    </row>
    <row r="14" spans="1:32" x14ac:dyDescent="0.25">
      <c r="A14" s="7" t="s">
        <v>1117</v>
      </c>
      <c r="B14" s="9" t="s">
        <v>1142</v>
      </c>
      <c r="C14" s="70">
        <v>44570</v>
      </c>
      <c r="D14" s="70">
        <v>44570</v>
      </c>
      <c r="E14" s="73"/>
      <c r="F14" s="9"/>
      <c r="H14" s="9"/>
      <c r="I14" s="7" t="s">
        <v>82</v>
      </c>
      <c r="J14" s="51" t="s">
        <v>54</v>
      </c>
      <c r="K14" s="7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>
        <v>100000</v>
      </c>
      <c r="AA14" s="33"/>
      <c r="AB14" s="10"/>
      <c r="AC14" s="33">
        <v>100000</v>
      </c>
      <c r="AD14" s="10">
        <f t="shared" si="0"/>
        <v>0</v>
      </c>
      <c r="AE14" s="82"/>
    </row>
    <row r="15" spans="1:32" x14ac:dyDescent="0.25">
      <c r="A15" s="7" t="s">
        <v>1118</v>
      </c>
      <c r="B15" s="9" t="s">
        <v>1141</v>
      </c>
      <c r="C15" s="70">
        <v>44570</v>
      </c>
      <c r="D15" s="70">
        <v>44570</v>
      </c>
      <c r="E15" s="73"/>
      <c r="F15" s="9"/>
      <c r="H15" s="9" t="s">
        <v>1185</v>
      </c>
      <c r="I15" s="7" t="s">
        <v>135</v>
      </c>
      <c r="J15" s="51" t="s">
        <v>39</v>
      </c>
      <c r="K15" s="7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33">
        <v>8425.94</v>
      </c>
      <c r="AB15" s="10"/>
      <c r="AC15" s="33">
        <v>25000</v>
      </c>
      <c r="AD15" s="10">
        <f t="shared" si="0"/>
        <v>16574.059999999998</v>
      </c>
      <c r="AE15" s="82" t="s">
        <v>1224</v>
      </c>
    </row>
    <row r="16" spans="1:32" x14ac:dyDescent="0.25">
      <c r="A16" s="7" t="s">
        <v>1119</v>
      </c>
      <c r="B16" s="9">
        <v>3920417</v>
      </c>
      <c r="C16" s="70">
        <v>44595</v>
      </c>
      <c r="D16" s="70">
        <v>44570</v>
      </c>
      <c r="E16" s="73">
        <v>44594</v>
      </c>
      <c r="F16" s="9" t="s">
        <v>1214</v>
      </c>
      <c r="G16" s="9" t="s">
        <v>334</v>
      </c>
      <c r="H16" s="9"/>
      <c r="I16" s="7" t="s">
        <v>1007</v>
      </c>
      <c r="J16" s="51" t="s">
        <v>83</v>
      </c>
      <c r="K16" s="7" t="s">
        <v>116</v>
      </c>
      <c r="L16" s="10">
        <v>25200</v>
      </c>
      <c r="M16" s="10">
        <v>210000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33"/>
      <c r="AB16" s="10"/>
      <c r="AC16" s="33">
        <v>235200</v>
      </c>
      <c r="AD16" s="10">
        <f t="shared" si="0"/>
        <v>0</v>
      </c>
      <c r="AE16" s="82"/>
      <c r="AF16" s="17">
        <v>2100</v>
      </c>
    </row>
    <row r="17" spans="1:32" x14ac:dyDescent="0.25">
      <c r="A17" s="7" t="s">
        <v>1120</v>
      </c>
      <c r="B17" s="9">
        <v>3920418</v>
      </c>
      <c r="C17" s="70">
        <v>44610</v>
      </c>
      <c r="D17" s="70">
        <v>44570</v>
      </c>
      <c r="E17" s="73">
        <v>44575</v>
      </c>
      <c r="F17" s="9" t="s">
        <v>1162</v>
      </c>
      <c r="G17" s="9" t="s">
        <v>1115</v>
      </c>
      <c r="H17" s="9"/>
      <c r="I17" s="7" t="s">
        <v>1131</v>
      </c>
      <c r="J17" s="51" t="s">
        <v>1038</v>
      </c>
      <c r="K17" s="7" t="s">
        <v>1039</v>
      </c>
      <c r="L17" s="10">
        <v>8035.71</v>
      </c>
      <c r="M17" s="10">
        <v>66964.289999999994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33"/>
      <c r="AB17" s="10"/>
      <c r="AC17" s="33">
        <v>75000</v>
      </c>
      <c r="AD17" s="10">
        <f t="shared" si="0"/>
        <v>0</v>
      </c>
      <c r="AE17" s="82"/>
      <c r="AF17" s="17">
        <v>669.64</v>
      </c>
    </row>
    <row r="18" spans="1:32" x14ac:dyDescent="0.25">
      <c r="A18" s="7" t="s">
        <v>1121</v>
      </c>
      <c r="B18" s="9">
        <v>3920419</v>
      </c>
      <c r="C18" s="70">
        <v>44570</v>
      </c>
      <c r="D18" s="70">
        <v>44570</v>
      </c>
      <c r="E18" s="73">
        <v>44580</v>
      </c>
      <c r="F18" s="9" t="s">
        <v>1721</v>
      </c>
      <c r="G18" s="9" t="s">
        <v>1116</v>
      </c>
      <c r="H18" s="9"/>
      <c r="I18" s="7" t="s">
        <v>1143</v>
      </c>
      <c r="J18" s="51" t="s">
        <v>109</v>
      </c>
      <c r="K18" s="7"/>
      <c r="L18" s="10"/>
      <c r="M18" s="10">
        <v>2500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33"/>
      <c r="AB18" s="10"/>
      <c r="AC18" s="33">
        <v>2500</v>
      </c>
      <c r="AD18" s="10">
        <f t="shared" si="0"/>
        <v>0</v>
      </c>
      <c r="AE18" s="82"/>
    </row>
    <row r="19" spans="1:32" x14ac:dyDescent="0.25">
      <c r="A19" s="7" t="s">
        <v>1125</v>
      </c>
      <c r="B19" s="9">
        <v>3920420</v>
      </c>
      <c r="C19" s="70">
        <v>44613</v>
      </c>
      <c r="D19" s="70">
        <v>44570</v>
      </c>
      <c r="E19" s="73">
        <v>44575</v>
      </c>
      <c r="F19" s="9" t="s">
        <v>1163</v>
      </c>
      <c r="G19" s="9" t="s">
        <v>1118</v>
      </c>
      <c r="H19" s="9"/>
      <c r="I19" s="7" t="s">
        <v>309</v>
      </c>
      <c r="J19" s="51" t="s">
        <v>1038</v>
      </c>
      <c r="K19" s="7" t="s">
        <v>1039</v>
      </c>
      <c r="L19" s="10">
        <v>2732.14</v>
      </c>
      <c r="M19" s="10">
        <v>22767.86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33"/>
      <c r="AB19" s="10"/>
      <c r="AC19" s="33">
        <v>25500</v>
      </c>
      <c r="AD19" s="10">
        <f t="shared" si="0"/>
        <v>0</v>
      </c>
      <c r="AE19" s="82"/>
      <c r="AF19" s="17">
        <v>227.68</v>
      </c>
    </row>
    <row r="20" spans="1:32" x14ac:dyDescent="0.25">
      <c r="A20" s="7" t="s">
        <v>1126</v>
      </c>
      <c r="B20" s="9">
        <v>3920421</v>
      </c>
      <c r="C20" s="70">
        <v>44570</v>
      </c>
      <c r="D20" s="70">
        <v>44570</v>
      </c>
      <c r="E20" s="73"/>
      <c r="F20" s="9"/>
      <c r="H20" s="9"/>
      <c r="I20" s="7" t="s">
        <v>1140</v>
      </c>
      <c r="J20" s="51" t="s">
        <v>65</v>
      </c>
      <c r="K20" s="7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33">
        <v>32405</v>
      </c>
      <c r="AB20" s="10"/>
      <c r="AC20" s="33">
        <v>32405</v>
      </c>
      <c r="AD20" s="10">
        <f t="shared" si="0"/>
        <v>0</v>
      </c>
      <c r="AE20" s="82"/>
    </row>
    <row r="21" spans="1:32" x14ac:dyDescent="0.25">
      <c r="A21" s="7" t="s">
        <v>1127</v>
      </c>
      <c r="B21" s="9">
        <v>3920422</v>
      </c>
      <c r="C21" s="70">
        <v>44570</v>
      </c>
      <c r="D21" s="70">
        <v>44570</v>
      </c>
      <c r="E21" s="73"/>
      <c r="F21" s="9"/>
      <c r="H21" s="9"/>
      <c r="I21" s="7" t="s">
        <v>1139</v>
      </c>
      <c r="J21" s="51" t="s">
        <v>43</v>
      </c>
      <c r="K21" s="7"/>
      <c r="L21" s="10">
        <v>148.61000000000001</v>
      </c>
      <c r="M21" s="10"/>
      <c r="N21" s="10"/>
      <c r="O21" s="10"/>
      <c r="P21" s="10"/>
      <c r="Q21" s="10"/>
      <c r="R21" s="10"/>
      <c r="S21" s="10">
        <v>1238.3800000000001</v>
      </c>
      <c r="T21" s="10"/>
      <c r="U21" s="10"/>
      <c r="V21" s="10"/>
      <c r="W21" s="10"/>
      <c r="X21" s="10"/>
      <c r="Y21" s="10"/>
      <c r="Z21" s="10"/>
      <c r="AA21" s="33"/>
      <c r="AB21" s="10"/>
      <c r="AC21" s="33">
        <v>1386.99</v>
      </c>
      <c r="AD21" s="10">
        <f t="shared" si="0"/>
        <v>0</v>
      </c>
      <c r="AE21" s="82"/>
    </row>
    <row r="22" spans="1:32" x14ac:dyDescent="0.25">
      <c r="A22" s="7" t="s">
        <v>1128</v>
      </c>
      <c r="B22" s="9">
        <v>3920423</v>
      </c>
      <c r="C22" s="70">
        <v>44570</v>
      </c>
      <c r="D22" s="70">
        <v>44570</v>
      </c>
      <c r="E22" s="73"/>
      <c r="F22" s="9"/>
      <c r="H22" s="9"/>
      <c r="I22" s="7" t="s">
        <v>1139</v>
      </c>
      <c r="J22" s="51" t="s">
        <v>43</v>
      </c>
      <c r="K22" s="7"/>
      <c r="L22" s="10">
        <v>107.04</v>
      </c>
      <c r="M22" s="10"/>
      <c r="N22" s="10"/>
      <c r="O22" s="10"/>
      <c r="P22" s="10"/>
      <c r="Q22" s="10"/>
      <c r="R22" s="10"/>
      <c r="S22" s="10">
        <v>891.96</v>
      </c>
      <c r="T22" s="10"/>
      <c r="U22" s="10"/>
      <c r="V22" s="10"/>
      <c r="W22" s="10"/>
      <c r="X22" s="10"/>
      <c r="Y22" s="10"/>
      <c r="Z22" s="10"/>
      <c r="AA22" s="33"/>
      <c r="AB22" s="10"/>
      <c r="AC22" s="33">
        <v>999</v>
      </c>
      <c r="AD22" s="10">
        <f t="shared" si="0"/>
        <v>0</v>
      </c>
      <c r="AE22" s="82"/>
    </row>
    <row r="23" spans="1:32" x14ac:dyDescent="0.25">
      <c r="A23" s="7" t="s">
        <v>1129</v>
      </c>
      <c r="B23" s="9">
        <v>3920424</v>
      </c>
      <c r="C23" s="70">
        <v>44616</v>
      </c>
      <c r="D23" s="70">
        <v>44573</v>
      </c>
      <c r="E23" s="73">
        <v>44575</v>
      </c>
      <c r="F23" s="9" t="s">
        <v>1164</v>
      </c>
      <c r="G23" s="9" t="s">
        <v>1119</v>
      </c>
      <c r="H23" s="9"/>
      <c r="I23" s="10" t="s">
        <v>1132</v>
      </c>
      <c r="J23" s="51" t="s">
        <v>1038</v>
      </c>
      <c r="K23" s="7" t="s">
        <v>1039</v>
      </c>
      <c r="L23" s="10">
        <v>803.57</v>
      </c>
      <c r="M23" s="10">
        <v>6696.43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33"/>
      <c r="AB23" s="10"/>
      <c r="AC23" s="33">
        <v>7500</v>
      </c>
      <c r="AD23" s="10">
        <f t="shared" si="0"/>
        <v>0</v>
      </c>
      <c r="AE23" s="82"/>
      <c r="AF23" s="17">
        <v>66.959999999999994</v>
      </c>
    </row>
    <row r="24" spans="1:32" x14ac:dyDescent="0.25">
      <c r="A24" s="7" t="s">
        <v>1130</v>
      </c>
      <c r="B24" s="9">
        <v>3920425</v>
      </c>
      <c r="C24" s="70">
        <v>44573</v>
      </c>
      <c r="D24" s="70">
        <v>44573</v>
      </c>
      <c r="E24" s="73"/>
      <c r="F24" s="9"/>
      <c r="H24" s="9"/>
      <c r="I24" s="7" t="s">
        <v>1138</v>
      </c>
      <c r="J24" s="51" t="s">
        <v>18</v>
      </c>
      <c r="K24" s="7"/>
      <c r="L24" s="10">
        <v>151.09</v>
      </c>
      <c r="M24" s="10"/>
      <c r="N24" s="10"/>
      <c r="O24" s="10"/>
      <c r="P24" s="10"/>
      <c r="Q24" s="10"/>
      <c r="R24" s="54">
        <v>1259.06</v>
      </c>
      <c r="S24" s="10"/>
      <c r="T24" s="10"/>
      <c r="U24" s="10"/>
      <c r="V24" s="10"/>
      <c r="W24" s="10"/>
      <c r="X24" s="10"/>
      <c r="Y24" s="10"/>
      <c r="Z24" s="10"/>
      <c r="AA24" s="33"/>
      <c r="AB24" s="10"/>
      <c r="AC24" s="33">
        <v>1410.15</v>
      </c>
      <c r="AD24" s="10">
        <f t="shared" si="0"/>
        <v>0</v>
      </c>
      <c r="AE24" s="82"/>
    </row>
    <row r="25" spans="1:32" x14ac:dyDescent="0.25">
      <c r="A25" s="7" t="s">
        <v>1133</v>
      </c>
      <c r="B25" s="9">
        <v>3920426</v>
      </c>
      <c r="C25" s="70">
        <v>44573</v>
      </c>
      <c r="D25" s="70">
        <v>44573</v>
      </c>
      <c r="E25" s="73"/>
      <c r="F25" s="9"/>
      <c r="H25" s="9"/>
      <c r="I25" s="7" t="s">
        <v>1138</v>
      </c>
      <c r="J25" s="51" t="s">
        <v>18</v>
      </c>
      <c r="K25" s="7"/>
      <c r="L25" s="10">
        <v>811.08</v>
      </c>
      <c r="M25" s="10"/>
      <c r="N25" s="10"/>
      <c r="O25" s="10"/>
      <c r="P25" s="10"/>
      <c r="Q25" s="10"/>
      <c r="R25" s="54">
        <v>6759.03</v>
      </c>
      <c r="S25" s="10"/>
      <c r="T25" s="10"/>
      <c r="U25" s="10"/>
      <c r="V25" s="10"/>
      <c r="W25" s="10"/>
      <c r="X25" s="10"/>
      <c r="Y25" s="10"/>
      <c r="Z25" s="10"/>
      <c r="AA25" s="33"/>
      <c r="AB25" s="10"/>
      <c r="AC25" s="33">
        <v>7570.11</v>
      </c>
      <c r="AD25" s="10">
        <f t="shared" si="0"/>
        <v>0</v>
      </c>
      <c r="AE25" s="82"/>
    </row>
    <row r="26" spans="1:32" x14ac:dyDescent="0.25">
      <c r="A26" s="7" t="s">
        <v>1134</v>
      </c>
      <c r="B26" s="9">
        <v>3920427</v>
      </c>
      <c r="C26" s="70">
        <v>44578</v>
      </c>
      <c r="D26" s="70">
        <v>44578</v>
      </c>
      <c r="E26" s="73"/>
      <c r="F26" s="9"/>
      <c r="H26" s="9"/>
      <c r="I26" s="7" t="s">
        <v>1156</v>
      </c>
      <c r="J26" s="51" t="s">
        <v>46</v>
      </c>
      <c r="K26" s="7"/>
      <c r="L26" s="10">
        <v>192.75</v>
      </c>
      <c r="M26" s="10"/>
      <c r="N26" s="10"/>
      <c r="O26" s="10"/>
      <c r="P26" s="10"/>
      <c r="Q26" s="10"/>
      <c r="R26" s="10"/>
      <c r="S26" s="10">
        <v>1606.25</v>
      </c>
      <c r="T26" s="10"/>
      <c r="U26" s="10"/>
      <c r="V26" s="10"/>
      <c r="W26" s="10"/>
      <c r="X26" s="10"/>
      <c r="Y26" s="10"/>
      <c r="Z26" s="10"/>
      <c r="AA26" s="33"/>
      <c r="AB26" s="10"/>
      <c r="AC26" s="33">
        <v>1799</v>
      </c>
      <c r="AD26" s="10">
        <f t="shared" si="0"/>
        <v>0</v>
      </c>
      <c r="AE26" s="82"/>
    </row>
    <row r="27" spans="1:32" x14ac:dyDescent="0.25">
      <c r="A27" s="7" t="s">
        <v>1135</v>
      </c>
      <c r="B27" s="9">
        <v>3920428</v>
      </c>
      <c r="C27" s="70">
        <v>44578</v>
      </c>
      <c r="D27" s="70">
        <v>44578</v>
      </c>
      <c r="E27" s="73"/>
      <c r="F27" s="9"/>
      <c r="H27" s="9"/>
      <c r="I27" s="7" t="s">
        <v>1157</v>
      </c>
      <c r="J27" s="51" t="s">
        <v>46</v>
      </c>
      <c r="K27" s="7"/>
      <c r="L27" s="10">
        <v>107.04</v>
      </c>
      <c r="M27" s="10"/>
      <c r="N27" s="10"/>
      <c r="O27" s="10"/>
      <c r="P27" s="10"/>
      <c r="Q27" s="10"/>
      <c r="R27" s="10"/>
      <c r="S27" s="10">
        <v>891.96</v>
      </c>
      <c r="T27" s="10"/>
      <c r="U27" s="10"/>
      <c r="V27" s="10"/>
      <c r="W27" s="10"/>
      <c r="X27" s="10"/>
      <c r="Y27" s="10"/>
      <c r="Z27" s="10"/>
      <c r="AA27" s="33"/>
      <c r="AB27" s="10"/>
      <c r="AC27" s="33">
        <v>999</v>
      </c>
      <c r="AD27" s="10">
        <f t="shared" si="0"/>
        <v>0</v>
      </c>
      <c r="AE27" s="82"/>
    </row>
    <row r="28" spans="1:32" x14ac:dyDescent="0.25">
      <c r="A28" s="7" t="s">
        <v>1136</v>
      </c>
      <c r="B28" s="9">
        <v>3920429</v>
      </c>
      <c r="C28" s="70">
        <v>44578</v>
      </c>
      <c r="D28" s="70">
        <v>44578</v>
      </c>
      <c r="E28" s="73"/>
      <c r="F28" s="9"/>
      <c r="H28" s="9"/>
      <c r="I28" s="7" t="s">
        <v>1157</v>
      </c>
      <c r="J28" s="51" t="s">
        <v>46</v>
      </c>
      <c r="K28" s="7"/>
      <c r="L28" s="10">
        <v>107.04</v>
      </c>
      <c r="M28" s="10"/>
      <c r="N28" s="10"/>
      <c r="O28" s="10"/>
      <c r="P28" s="10"/>
      <c r="Q28" s="10"/>
      <c r="R28" s="10"/>
      <c r="S28" s="10">
        <v>891.96</v>
      </c>
      <c r="T28" s="10"/>
      <c r="U28" s="10"/>
      <c r="V28" s="10"/>
      <c r="W28" s="10"/>
      <c r="X28" s="10"/>
      <c r="Y28" s="10"/>
      <c r="Z28" s="10"/>
      <c r="AA28" s="33"/>
      <c r="AB28" s="10"/>
      <c r="AC28" s="33">
        <v>999</v>
      </c>
      <c r="AD28" s="10">
        <f t="shared" si="0"/>
        <v>0</v>
      </c>
      <c r="AE28" s="82"/>
    </row>
    <row r="29" spans="1:32" x14ac:dyDescent="0.25">
      <c r="A29" s="7" t="s">
        <v>1137</v>
      </c>
      <c r="B29" s="9">
        <v>3920430</v>
      </c>
      <c r="C29" s="70">
        <v>44578</v>
      </c>
      <c r="D29" s="70">
        <v>44578</v>
      </c>
      <c r="E29" s="73"/>
      <c r="F29" s="9"/>
      <c r="H29" s="9"/>
      <c r="I29" s="7" t="s">
        <v>1157</v>
      </c>
      <c r="J29" s="51" t="s">
        <v>46</v>
      </c>
      <c r="K29" s="7"/>
      <c r="L29" s="10">
        <v>107.04</v>
      </c>
      <c r="M29" s="10"/>
      <c r="N29" s="10"/>
      <c r="O29" s="10"/>
      <c r="P29" s="10"/>
      <c r="Q29" s="10"/>
      <c r="R29" s="10"/>
      <c r="S29" s="10">
        <v>891.96</v>
      </c>
      <c r="T29" s="10"/>
      <c r="U29" s="10"/>
      <c r="V29" s="10"/>
      <c r="W29" s="10"/>
      <c r="X29" s="10"/>
      <c r="Y29" s="10"/>
      <c r="Z29" s="10"/>
      <c r="AA29" s="33"/>
      <c r="AB29" s="10"/>
      <c r="AC29" s="33">
        <v>999</v>
      </c>
      <c r="AD29" s="10">
        <f t="shared" si="0"/>
        <v>0</v>
      </c>
      <c r="AE29" s="82"/>
    </row>
    <row r="30" spans="1:32" x14ac:dyDescent="0.25">
      <c r="A30" s="7" t="s">
        <v>1144</v>
      </c>
      <c r="B30" s="9">
        <v>3920431</v>
      </c>
      <c r="C30" s="70">
        <v>44610</v>
      </c>
      <c r="D30" s="70">
        <v>44578</v>
      </c>
      <c r="E30" s="73">
        <v>44578</v>
      </c>
      <c r="F30" s="9" t="s">
        <v>1179</v>
      </c>
      <c r="G30" s="9" t="s">
        <v>1121</v>
      </c>
      <c r="H30" s="9"/>
      <c r="I30" s="7" t="s">
        <v>1211</v>
      </c>
      <c r="J30" s="51" t="s">
        <v>84</v>
      </c>
      <c r="K30" s="7" t="s">
        <v>36</v>
      </c>
      <c r="L30" s="10">
        <v>916.07</v>
      </c>
      <c r="M30" s="10">
        <v>7633.93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33"/>
      <c r="AB30" s="10"/>
      <c r="AC30" s="33">
        <v>8550</v>
      </c>
      <c r="AD30" s="10">
        <f t="shared" si="0"/>
        <v>0</v>
      </c>
      <c r="AE30" s="82"/>
      <c r="AF30" s="17">
        <v>75.89</v>
      </c>
    </row>
    <row r="31" spans="1:32" x14ac:dyDescent="0.25">
      <c r="A31" s="7" t="s">
        <v>1145</v>
      </c>
      <c r="B31" s="9">
        <v>3920432</v>
      </c>
      <c r="C31" s="70">
        <v>44578</v>
      </c>
      <c r="D31" s="70">
        <v>44578</v>
      </c>
      <c r="E31" s="73">
        <v>44579</v>
      </c>
      <c r="F31" s="9" t="s">
        <v>1182</v>
      </c>
      <c r="H31" s="9"/>
      <c r="I31" s="7" t="s">
        <v>1181</v>
      </c>
      <c r="J31" s="51" t="s">
        <v>83</v>
      </c>
      <c r="K31" s="7" t="s">
        <v>116</v>
      </c>
      <c r="L31" s="10"/>
      <c r="M31" s="10">
        <v>2700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33"/>
      <c r="AB31" s="10"/>
      <c r="AC31" s="33">
        <v>2700</v>
      </c>
      <c r="AD31" s="10">
        <f t="shared" si="0"/>
        <v>0</v>
      </c>
      <c r="AE31" s="82"/>
    </row>
    <row r="32" spans="1:32" x14ac:dyDescent="0.25">
      <c r="A32" s="7" t="s">
        <v>1146</v>
      </c>
      <c r="B32" s="9">
        <v>3920433</v>
      </c>
      <c r="C32" s="70">
        <v>44578</v>
      </c>
      <c r="D32" s="70">
        <v>44578</v>
      </c>
      <c r="E32" s="73"/>
      <c r="F32" s="9"/>
      <c r="H32" s="9"/>
      <c r="I32" s="7" t="s">
        <v>1158</v>
      </c>
      <c r="J32" s="51" t="s">
        <v>24</v>
      </c>
      <c r="K32" s="7"/>
      <c r="L32" s="10">
        <v>388.56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>
        <v>3237.98</v>
      </c>
      <c r="Y32" s="10"/>
      <c r="Z32" s="10"/>
      <c r="AA32" s="33"/>
      <c r="AB32" s="10"/>
      <c r="AC32" s="33">
        <v>3626.54</v>
      </c>
      <c r="AD32" s="10">
        <f t="shared" si="0"/>
        <v>0</v>
      </c>
      <c r="AE32" s="82"/>
    </row>
    <row r="33" spans="1:32" x14ac:dyDescent="0.25">
      <c r="A33" s="7" t="s">
        <v>1147</v>
      </c>
      <c r="B33" s="9">
        <v>3920434</v>
      </c>
      <c r="C33" s="70">
        <v>44578</v>
      </c>
      <c r="D33" s="70">
        <v>44578</v>
      </c>
      <c r="E33" s="73"/>
      <c r="F33" s="9"/>
      <c r="H33" s="9" t="s">
        <v>1166</v>
      </c>
      <c r="I33" s="7" t="s">
        <v>1165</v>
      </c>
      <c r="J33" s="51" t="s">
        <v>65</v>
      </c>
      <c r="K33" s="7"/>
      <c r="L33" s="10"/>
      <c r="M33" s="10"/>
      <c r="N33" s="10"/>
      <c r="O33" s="10"/>
      <c r="P33" s="10"/>
      <c r="Q33" s="10"/>
      <c r="R33" s="10"/>
      <c r="S33" s="10"/>
      <c r="T33" s="10">
        <v>13748</v>
      </c>
      <c r="U33" s="10"/>
      <c r="V33" s="10"/>
      <c r="W33" s="10"/>
      <c r="X33" s="10"/>
      <c r="Y33" s="10"/>
      <c r="Z33" s="10"/>
      <c r="AA33" s="33"/>
      <c r="AB33" s="10"/>
      <c r="AC33" s="33">
        <v>13748</v>
      </c>
      <c r="AD33" s="10">
        <f t="shared" si="0"/>
        <v>0</v>
      </c>
      <c r="AE33" s="82"/>
    </row>
    <row r="34" spans="1:32" x14ac:dyDescent="0.25">
      <c r="A34" s="7" t="s">
        <v>1148</v>
      </c>
      <c r="B34" s="9">
        <v>3920435</v>
      </c>
      <c r="C34" s="70">
        <v>44621</v>
      </c>
      <c r="D34" s="70">
        <v>44578</v>
      </c>
      <c r="E34" s="73">
        <v>44592</v>
      </c>
      <c r="F34" s="9" t="s">
        <v>1210</v>
      </c>
      <c r="G34" s="9" t="s">
        <v>1120</v>
      </c>
      <c r="H34" s="9"/>
      <c r="I34" s="7" t="s">
        <v>1132</v>
      </c>
      <c r="J34" s="51" t="s">
        <v>1038</v>
      </c>
      <c r="K34" s="7" t="s">
        <v>1039</v>
      </c>
      <c r="L34" s="10">
        <v>803.57</v>
      </c>
      <c r="M34" s="10">
        <v>6696.43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33"/>
      <c r="AB34" s="10"/>
      <c r="AC34" s="33">
        <v>7500</v>
      </c>
      <c r="AD34" s="10">
        <f t="shared" si="0"/>
        <v>0</v>
      </c>
      <c r="AE34" s="82"/>
      <c r="AF34" s="17">
        <v>66.959999999999994</v>
      </c>
    </row>
    <row r="35" spans="1:32" x14ac:dyDescent="0.25">
      <c r="A35" s="7" t="s">
        <v>1149</v>
      </c>
      <c r="B35" s="9" t="s">
        <v>1183</v>
      </c>
      <c r="C35" s="70">
        <v>44579</v>
      </c>
      <c r="D35" s="70">
        <v>44578</v>
      </c>
      <c r="E35" s="73">
        <v>44581</v>
      </c>
      <c r="F35" s="9" t="s">
        <v>1203</v>
      </c>
      <c r="G35" s="9" t="s">
        <v>1125</v>
      </c>
      <c r="H35" s="9"/>
      <c r="I35" s="7" t="s">
        <v>1184</v>
      </c>
      <c r="J35" s="51" t="s">
        <v>121</v>
      </c>
      <c r="K35" s="7" t="s">
        <v>122</v>
      </c>
      <c r="L35" s="10">
        <v>2608.9299999999998</v>
      </c>
      <c r="M35" s="10">
        <v>21741.07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33"/>
      <c r="AB35" s="10"/>
      <c r="AC35" s="33">
        <v>24350</v>
      </c>
      <c r="AD35" s="10">
        <f t="shared" si="0"/>
        <v>0</v>
      </c>
      <c r="AE35" s="82"/>
      <c r="AF35" s="17">
        <v>217.41</v>
      </c>
    </row>
    <row r="36" spans="1:32" x14ac:dyDescent="0.25">
      <c r="A36" s="7" t="s">
        <v>1150</v>
      </c>
      <c r="B36" s="9" t="s">
        <v>1178</v>
      </c>
      <c r="C36" s="70">
        <v>44579</v>
      </c>
      <c r="D36" s="70">
        <v>44578</v>
      </c>
      <c r="E36" s="73"/>
      <c r="F36" s="9"/>
      <c r="H36" s="9"/>
      <c r="I36" s="7" t="s">
        <v>55</v>
      </c>
      <c r="J36" s="51" t="s">
        <v>54</v>
      </c>
      <c r="K36" s="7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>
        <v>300000</v>
      </c>
      <c r="AA36" s="33"/>
      <c r="AB36" s="10"/>
      <c r="AC36" s="33">
        <v>300000</v>
      </c>
      <c r="AD36" s="10">
        <f t="shared" si="0"/>
        <v>0</v>
      </c>
      <c r="AE36" s="82"/>
    </row>
    <row r="37" spans="1:32" x14ac:dyDescent="0.25">
      <c r="A37" s="7" t="s">
        <v>1151</v>
      </c>
      <c r="B37" s="9" t="s">
        <v>1180</v>
      </c>
      <c r="C37" s="70">
        <v>44585</v>
      </c>
      <c r="D37" s="70">
        <v>44578</v>
      </c>
      <c r="E37" s="73"/>
      <c r="F37" s="9"/>
      <c r="H37" s="9"/>
      <c r="I37" s="7" t="s">
        <v>55</v>
      </c>
      <c r="J37" s="51" t="s">
        <v>54</v>
      </c>
      <c r="K37" s="7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>
        <v>300000</v>
      </c>
      <c r="AA37" s="33"/>
      <c r="AB37" s="10"/>
      <c r="AC37" s="33">
        <v>300000</v>
      </c>
      <c r="AD37" s="10">
        <f t="shared" si="0"/>
        <v>0</v>
      </c>
      <c r="AE37" s="82"/>
    </row>
    <row r="38" spans="1:32" x14ac:dyDescent="0.25">
      <c r="A38" s="7" t="s">
        <v>1152</v>
      </c>
      <c r="B38" s="9">
        <v>3920436</v>
      </c>
      <c r="C38" s="70">
        <v>44581</v>
      </c>
      <c r="D38" s="70">
        <v>44581</v>
      </c>
      <c r="E38" s="73">
        <v>44594</v>
      </c>
      <c r="F38" s="9" t="s">
        <v>1215</v>
      </c>
      <c r="H38" s="9"/>
      <c r="I38" s="7" t="s">
        <v>1177</v>
      </c>
      <c r="J38" s="51" t="s">
        <v>127</v>
      </c>
      <c r="K38" s="7" t="s">
        <v>128</v>
      </c>
      <c r="L38" s="10">
        <v>732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33">
        <v>6100</v>
      </c>
      <c r="AB38" s="10"/>
      <c r="AC38" s="33">
        <v>6832</v>
      </c>
      <c r="AD38" s="10">
        <f t="shared" si="0"/>
        <v>0</v>
      </c>
      <c r="AE38" s="82"/>
    </row>
    <row r="39" spans="1:32" x14ac:dyDescent="0.25">
      <c r="A39" s="7" t="s">
        <v>1153</v>
      </c>
      <c r="B39" s="9">
        <v>3920437</v>
      </c>
      <c r="C39" s="70">
        <v>44581</v>
      </c>
      <c r="D39" s="70">
        <v>44581</v>
      </c>
      <c r="E39" s="73"/>
      <c r="F39" s="9"/>
      <c r="H39" s="9"/>
      <c r="I39" s="7" t="s">
        <v>1175</v>
      </c>
      <c r="J39" s="51" t="s">
        <v>1069</v>
      </c>
      <c r="K39" s="7" t="s">
        <v>1070</v>
      </c>
      <c r="L39" s="10">
        <v>4917.8599999999997</v>
      </c>
      <c r="M39" s="10">
        <v>40982.14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33"/>
      <c r="AB39" s="10"/>
      <c r="AC39" s="33">
        <v>46485</v>
      </c>
      <c r="AD39" s="10">
        <f t="shared" si="0"/>
        <v>585</v>
      </c>
      <c r="AE39" s="82" t="s">
        <v>1176</v>
      </c>
    </row>
    <row r="40" spans="1:32" x14ac:dyDescent="0.25">
      <c r="A40" s="7" t="s">
        <v>1154</v>
      </c>
      <c r="B40" s="9">
        <v>3920438</v>
      </c>
      <c r="C40" s="70">
        <v>44581</v>
      </c>
      <c r="D40" s="70">
        <v>44581</v>
      </c>
      <c r="E40" s="73"/>
      <c r="F40" s="9"/>
      <c r="H40" s="9" t="s">
        <v>1186</v>
      </c>
      <c r="I40" s="7" t="s">
        <v>1174</v>
      </c>
      <c r="J40" s="51" t="s">
        <v>65</v>
      </c>
      <c r="K40" s="7"/>
      <c r="L40" s="10"/>
      <c r="M40" s="10"/>
      <c r="N40" s="10"/>
      <c r="O40" s="10"/>
      <c r="P40" s="10"/>
      <c r="Q40" s="10"/>
      <c r="R40" s="10"/>
      <c r="S40" s="10"/>
      <c r="T40" s="10">
        <v>11328</v>
      </c>
      <c r="U40" s="10"/>
      <c r="V40" s="10"/>
      <c r="W40" s="10"/>
      <c r="X40" s="10"/>
      <c r="Y40" s="10"/>
      <c r="Z40" s="10"/>
      <c r="AA40" s="33"/>
      <c r="AB40" s="10"/>
      <c r="AC40" s="33">
        <v>11328</v>
      </c>
      <c r="AD40" s="10">
        <f t="shared" si="0"/>
        <v>0</v>
      </c>
      <c r="AE40" s="82"/>
    </row>
    <row r="41" spans="1:32" x14ac:dyDescent="0.25">
      <c r="A41" s="7" t="s">
        <v>1155</v>
      </c>
      <c r="B41" s="9">
        <v>3920439</v>
      </c>
      <c r="C41" s="70">
        <v>44630</v>
      </c>
      <c r="D41" s="70">
        <v>44585</v>
      </c>
      <c r="E41" s="73">
        <v>44592</v>
      </c>
      <c r="F41" s="9" t="s">
        <v>1213</v>
      </c>
      <c r="G41" s="9" t="s">
        <v>1126</v>
      </c>
      <c r="H41" s="9"/>
      <c r="I41" s="7" t="s">
        <v>309</v>
      </c>
      <c r="J41" s="51" t="s">
        <v>1038</v>
      </c>
      <c r="K41" s="7" t="s">
        <v>1039</v>
      </c>
      <c r="L41" s="10">
        <v>2732.14</v>
      </c>
      <c r="M41" s="10">
        <v>22767.86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33"/>
      <c r="AB41" s="10"/>
      <c r="AC41" s="33">
        <v>25500</v>
      </c>
      <c r="AD41" s="10">
        <f t="shared" si="0"/>
        <v>0</v>
      </c>
      <c r="AE41" s="82"/>
      <c r="AF41" s="17">
        <v>227.68</v>
      </c>
    </row>
    <row r="42" spans="1:32" x14ac:dyDescent="0.25">
      <c r="A42" s="7" t="s">
        <v>1168</v>
      </c>
      <c r="B42" s="9">
        <v>3920440</v>
      </c>
      <c r="C42" s="70">
        <v>44585</v>
      </c>
      <c r="D42" s="70">
        <v>44585</v>
      </c>
      <c r="E42" s="73"/>
      <c r="F42" s="9"/>
      <c r="H42" s="9"/>
      <c r="I42" s="7" t="s">
        <v>1201</v>
      </c>
      <c r="J42" s="51" t="s">
        <v>1202</v>
      </c>
      <c r="K42" s="7"/>
      <c r="L42" s="10">
        <v>1017.96</v>
      </c>
      <c r="M42" s="10"/>
      <c r="N42" s="10"/>
      <c r="O42" s="10"/>
      <c r="P42" s="10"/>
      <c r="Q42" s="10"/>
      <c r="R42" s="10"/>
      <c r="S42" s="10">
        <v>8482.98</v>
      </c>
      <c r="T42" s="10"/>
      <c r="U42" s="10"/>
      <c r="V42" s="10"/>
      <c r="W42" s="10"/>
      <c r="X42" s="10"/>
      <c r="Y42" s="10"/>
      <c r="Z42" s="10"/>
      <c r="AA42" s="33"/>
      <c r="AB42" s="10"/>
      <c r="AC42" s="33">
        <v>9500.94</v>
      </c>
      <c r="AD42" s="10">
        <f t="shared" si="0"/>
        <v>0</v>
      </c>
      <c r="AE42" s="82"/>
    </row>
    <row r="43" spans="1:32" x14ac:dyDescent="0.25">
      <c r="A43" s="7" t="s">
        <v>1169</v>
      </c>
      <c r="B43" s="9" t="s">
        <v>1200</v>
      </c>
      <c r="C43" s="70">
        <v>44585</v>
      </c>
      <c r="D43" s="70">
        <v>44585</v>
      </c>
      <c r="I43" s="14" t="s">
        <v>64</v>
      </c>
      <c r="J43" s="97" t="s">
        <v>47</v>
      </c>
      <c r="K43" s="7"/>
      <c r="L43" s="10"/>
      <c r="M43" s="10"/>
      <c r="N43" s="10"/>
      <c r="O43" s="10"/>
      <c r="P43" s="10">
        <v>120000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33"/>
      <c r="AB43" s="10"/>
      <c r="AC43" s="33">
        <v>120000</v>
      </c>
      <c r="AD43" s="10">
        <f t="shared" si="0"/>
        <v>0</v>
      </c>
      <c r="AE43" s="82"/>
    </row>
    <row r="44" spans="1:32" x14ac:dyDescent="0.25">
      <c r="A44" s="7" t="s">
        <v>1170</v>
      </c>
      <c r="B44" s="9">
        <v>3920441</v>
      </c>
      <c r="C44" s="70">
        <v>44585</v>
      </c>
      <c r="D44" s="70">
        <v>44585</v>
      </c>
      <c r="E44" s="73"/>
      <c r="F44" s="9"/>
      <c r="H44" s="9"/>
      <c r="I44" s="7" t="s">
        <v>1199</v>
      </c>
      <c r="J44" s="51" t="s">
        <v>49</v>
      </c>
      <c r="K44" s="7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33">
        <v>5000</v>
      </c>
      <c r="AB44" s="10"/>
      <c r="AC44" s="33">
        <v>5000</v>
      </c>
      <c r="AD44" s="10">
        <f t="shared" si="0"/>
        <v>0</v>
      </c>
      <c r="AE44" s="82"/>
    </row>
    <row r="45" spans="1:32" x14ac:dyDescent="0.25">
      <c r="A45" s="7" t="s">
        <v>1171</v>
      </c>
      <c r="B45" s="9">
        <v>3920442</v>
      </c>
      <c r="C45" s="70">
        <v>44589</v>
      </c>
      <c r="D45" s="70">
        <v>44589</v>
      </c>
      <c r="E45" s="73"/>
      <c r="F45" s="9"/>
      <c r="H45" s="9"/>
      <c r="I45" s="7" t="s">
        <v>1204</v>
      </c>
      <c r="J45" s="51" t="s">
        <v>33</v>
      </c>
      <c r="K45" s="7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33">
        <v>5000</v>
      </c>
      <c r="AB45" s="10"/>
      <c r="AC45" s="33">
        <v>5000</v>
      </c>
      <c r="AD45" s="10">
        <f t="shared" si="0"/>
        <v>0</v>
      </c>
      <c r="AE45" s="82"/>
    </row>
    <row r="46" spans="1:32" x14ac:dyDescent="0.25">
      <c r="A46" s="7" t="s">
        <v>1172</v>
      </c>
      <c r="B46" s="9">
        <v>3920443</v>
      </c>
      <c r="C46" s="70">
        <v>44589</v>
      </c>
      <c r="D46" s="70">
        <v>44589</v>
      </c>
      <c r="E46" s="73"/>
      <c r="F46" s="9"/>
      <c r="H46" s="9"/>
      <c r="I46" s="7" t="s">
        <v>123</v>
      </c>
      <c r="J46" s="51" t="s">
        <v>51</v>
      </c>
      <c r="K46" s="7"/>
      <c r="L46" s="10"/>
      <c r="M46" s="10">
        <v>58000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33"/>
      <c r="AB46" s="10"/>
      <c r="AC46" s="33">
        <v>58000</v>
      </c>
      <c r="AD46" s="10">
        <f t="shared" si="0"/>
        <v>0</v>
      </c>
      <c r="AE46" s="82"/>
    </row>
    <row r="47" spans="1:32" x14ac:dyDescent="0.25">
      <c r="A47" s="7" t="s">
        <v>1173</v>
      </c>
      <c r="B47" s="9">
        <v>3920444</v>
      </c>
      <c r="C47" s="70">
        <v>44589</v>
      </c>
      <c r="D47" s="70">
        <v>44589</v>
      </c>
      <c r="E47" s="73"/>
      <c r="F47" s="9"/>
      <c r="H47" s="9"/>
      <c r="I47" s="7" t="s">
        <v>1105</v>
      </c>
      <c r="J47" s="51" t="s">
        <v>65</v>
      </c>
      <c r="K47" s="7"/>
      <c r="L47" s="10">
        <v>208.27</v>
      </c>
      <c r="M47" s="10"/>
      <c r="N47" s="10"/>
      <c r="O47" s="10"/>
      <c r="P47" s="10"/>
      <c r="Q47" s="10"/>
      <c r="R47" s="10"/>
      <c r="S47" s="10">
        <v>1735.58</v>
      </c>
      <c r="T47" s="10"/>
      <c r="U47" s="10"/>
      <c r="V47" s="10"/>
      <c r="W47" s="10"/>
      <c r="X47" s="10"/>
      <c r="Y47" s="10"/>
      <c r="Z47" s="10"/>
      <c r="AA47" s="33"/>
      <c r="AB47" s="10"/>
      <c r="AC47" s="33">
        <v>1943.85</v>
      </c>
      <c r="AD47" s="10">
        <f t="shared" si="0"/>
        <v>0</v>
      </c>
      <c r="AE47" s="82"/>
    </row>
    <row r="48" spans="1:32" x14ac:dyDescent="0.25">
      <c r="A48" s="7" t="s">
        <v>1187</v>
      </c>
      <c r="B48" s="9">
        <v>3920445</v>
      </c>
      <c r="C48" s="70">
        <v>44621</v>
      </c>
      <c r="D48" s="70">
        <v>44589</v>
      </c>
      <c r="E48" s="73">
        <v>44615</v>
      </c>
      <c r="F48" s="9" t="s">
        <v>1266</v>
      </c>
      <c r="G48" s="9" t="s">
        <v>1128</v>
      </c>
      <c r="H48" s="9"/>
      <c r="I48" s="7" t="s">
        <v>756</v>
      </c>
      <c r="J48" s="51" t="s">
        <v>37</v>
      </c>
      <c r="K48" s="7" t="s">
        <v>38</v>
      </c>
      <c r="L48" s="10">
        <v>4682.1400000000003</v>
      </c>
      <c r="M48" s="10">
        <v>39017.86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33"/>
      <c r="AB48" s="10"/>
      <c r="AC48" s="33">
        <v>43700</v>
      </c>
      <c r="AD48" s="10">
        <f t="shared" si="0"/>
        <v>0</v>
      </c>
      <c r="AE48" s="82"/>
      <c r="AF48" s="17">
        <v>390.18</v>
      </c>
    </row>
    <row r="49" spans="1:32" x14ac:dyDescent="0.25">
      <c r="A49" s="7" t="s">
        <v>1188</v>
      </c>
      <c r="B49" s="9" t="s">
        <v>1206</v>
      </c>
      <c r="C49" s="70">
        <v>44589</v>
      </c>
      <c r="D49" s="70">
        <v>44589</v>
      </c>
      <c r="E49" s="73">
        <v>44594</v>
      </c>
      <c r="F49" s="9" t="s">
        <v>1233</v>
      </c>
      <c r="G49" s="9" t="s">
        <v>1127</v>
      </c>
      <c r="H49" s="9"/>
      <c r="I49" s="7" t="s">
        <v>1207</v>
      </c>
      <c r="J49" s="51" t="s">
        <v>1208</v>
      </c>
      <c r="K49" s="7" t="s">
        <v>1209</v>
      </c>
      <c r="L49" s="10">
        <v>4872.8599999999997</v>
      </c>
      <c r="M49" s="10">
        <v>40607.14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33"/>
      <c r="AB49" s="10"/>
      <c r="AC49" s="33">
        <v>45480</v>
      </c>
      <c r="AD49" s="10">
        <f t="shared" si="0"/>
        <v>0</v>
      </c>
      <c r="AE49" s="82"/>
      <c r="AF49" s="17">
        <v>406.07</v>
      </c>
    </row>
    <row r="50" spans="1:32" s="39" customFormat="1" x14ac:dyDescent="0.25">
      <c r="A50" s="20"/>
      <c r="B50" s="19"/>
      <c r="C50" s="72"/>
      <c r="D50" s="72"/>
      <c r="E50" s="77"/>
      <c r="F50" s="19"/>
      <c r="G50" s="19"/>
      <c r="H50" s="19"/>
      <c r="I50" s="20"/>
      <c r="J50" s="20"/>
      <c r="K50" s="20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32"/>
      <c r="AB50" s="22"/>
      <c r="AC50" s="32"/>
      <c r="AD50" s="22"/>
      <c r="AE50" s="96"/>
      <c r="AF50" s="35"/>
    </row>
    <row r="51" spans="1:32" s="39" customFormat="1" x14ac:dyDescent="0.25">
      <c r="A51" s="25">
        <v>44593</v>
      </c>
      <c r="B51" s="19"/>
      <c r="C51" s="72"/>
      <c r="D51" s="72"/>
      <c r="E51" s="77"/>
      <c r="F51" s="19"/>
      <c r="G51" s="19"/>
      <c r="H51" s="19"/>
      <c r="I51" s="20"/>
      <c r="J51" s="20"/>
      <c r="K51" s="20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32"/>
      <c r="AB51" s="22"/>
      <c r="AC51" s="32"/>
      <c r="AD51" s="22"/>
      <c r="AE51" s="96"/>
      <c r="AF51" s="35"/>
    </row>
    <row r="52" spans="1:32" x14ac:dyDescent="0.25">
      <c r="A52" s="43"/>
      <c r="C52" s="70"/>
      <c r="D52" s="70"/>
      <c r="E52" s="73"/>
      <c r="F52" s="9"/>
      <c r="H52" s="9"/>
      <c r="I52" s="7" t="s">
        <v>1212</v>
      </c>
      <c r="J52" s="51" t="s">
        <v>132</v>
      </c>
      <c r="K52" s="10"/>
      <c r="L52" s="10"/>
      <c r="M52" s="10"/>
      <c r="N52" s="10"/>
      <c r="O52" s="10"/>
      <c r="P52" s="10"/>
      <c r="Q52" s="10">
        <v>314500.47999999998</v>
      </c>
      <c r="R52" s="10"/>
      <c r="S52" s="10"/>
      <c r="T52" s="10"/>
      <c r="U52" s="10"/>
      <c r="V52" s="10"/>
      <c r="W52" s="10"/>
      <c r="X52" s="10"/>
      <c r="Y52" s="10"/>
      <c r="Z52" s="10"/>
      <c r="AA52" s="33"/>
      <c r="AB52" s="10"/>
      <c r="AC52" s="33">
        <v>314500.47999999998</v>
      </c>
      <c r="AD52" s="10">
        <f>SUM(AB52:AC52)-SUM(L52:AA52)</f>
        <v>0</v>
      </c>
      <c r="AE52" s="82" t="s">
        <v>133</v>
      </c>
      <c r="AF52" s="34"/>
    </row>
    <row r="53" spans="1:32" x14ac:dyDescent="0.25">
      <c r="A53" s="7" t="s">
        <v>1189</v>
      </c>
      <c r="B53" s="9" t="s">
        <v>1205</v>
      </c>
      <c r="C53" s="70">
        <v>44594</v>
      </c>
      <c r="D53" s="70">
        <v>44594</v>
      </c>
      <c r="E53" s="73"/>
      <c r="F53" s="9"/>
      <c r="H53" s="9"/>
      <c r="I53" s="7" t="s">
        <v>93</v>
      </c>
      <c r="J53" s="51" t="s">
        <v>79</v>
      </c>
      <c r="K53" s="7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>
        <v>20667</v>
      </c>
      <c r="W53" s="10"/>
      <c r="X53" s="10"/>
      <c r="Y53" s="10"/>
      <c r="Z53" s="10"/>
      <c r="AA53" s="33"/>
      <c r="AB53" s="10"/>
      <c r="AC53" s="33">
        <v>20667</v>
      </c>
      <c r="AD53" s="10">
        <f t="shared" si="0"/>
        <v>0</v>
      </c>
      <c r="AE53" s="82"/>
    </row>
    <row r="54" spans="1:32" x14ac:dyDescent="0.25">
      <c r="A54" s="7" t="s">
        <v>1190</v>
      </c>
      <c r="B54" s="9" t="s">
        <v>1221</v>
      </c>
      <c r="C54" s="70">
        <v>44594</v>
      </c>
      <c r="D54" s="70">
        <v>44594</v>
      </c>
      <c r="E54" s="73"/>
      <c r="F54" s="9"/>
      <c r="H54" s="9"/>
      <c r="I54" s="7" t="s">
        <v>1222</v>
      </c>
      <c r="J54" s="51" t="s">
        <v>1223</v>
      </c>
      <c r="K54" s="7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33">
        <v>30000.01</v>
      </c>
      <c r="AB54" s="10"/>
      <c r="AC54" s="33">
        <v>30000.01</v>
      </c>
      <c r="AD54" s="10">
        <f t="shared" si="0"/>
        <v>0</v>
      </c>
      <c r="AE54" s="82"/>
    </row>
    <row r="55" spans="1:32" x14ac:dyDescent="0.25">
      <c r="A55" s="7" t="s">
        <v>1191</v>
      </c>
      <c r="B55" s="9">
        <v>3920446</v>
      </c>
      <c r="C55" s="70">
        <v>44637</v>
      </c>
      <c r="D55" s="70">
        <v>44596</v>
      </c>
      <c r="E55" s="73">
        <v>44620</v>
      </c>
      <c r="F55" s="9" t="s">
        <v>1281</v>
      </c>
      <c r="G55" s="9" t="s">
        <v>1129</v>
      </c>
      <c r="H55" s="9"/>
      <c r="I55" s="7" t="s">
        <v>1225</v>
      </c>
      <c r="J55" s="51" t="s">
        <v>1226</v>
      </c>
      <c r="K55" s="7"/>
      <c r="L55" s="10">
        <v>1607.14</v>
      </c>
      <c r="M55" s="10">
        <v>13392.86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33"/>
      <c r="AB55" s="10"/>
      <c r="AC55" s="33">
        <v>15000</v>
      </c>
      <c r="AD55" s="10">
        <f t="shared" si="0"/>
        <v>0</v>
      </c>
      <c r="AE55" s="82"/>
      <c r="AF55" s="17">
        <v>133.93</v>
      </c>
    </row>
    <row r="56" spans="1:32" x14ac:dyDescent="0.25">
      <c r="A56" s="7" t="s">
        <v>1192</v>
      </c>
      <c r="B56" s="9">
        <v>3920447</v>
      </c>
      <c r="C56" s="70">
        <v>44596</v>
      </c>
      <c r="D56" s="70">
        <v>44596</v>
      </c>
      <c r="E56" s="73"/>
      <c r="F56" s="9"/>
      <c r="H56" s="9"/>
      <c r="I56" s="7" t="s">
        <v>1218</v>
      </c>
      <c r="J56" s="51" t="s">
        <v>1069</v>
      </c>
      <c r="K56" s="7" t="s">
        <v>1070</v>
      </c>
      <c r="L56" s="10">
        <v>1639.29</v>
      </c>
      <c r="M56" s="10">
        <v>13660.71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33"/>
      <c r="AB56" s="10"/>
      <c r="AC56" s="33">
        <v>15995</v>
      </c>
      <c r="AD56" s="10">
        <f t="shared" si="0"/>
        <v>695</v>
      </c>
      <c r="AE56" s="82" t="s">
        <v>1219</v>
      </c>
    </row>
    <row r="57" spans="1:32" x14ac:dyDescent="0.25">
      <c r="A57" s="7" t="s">
        <v>1193</v>
      </c>
      <c r="B57" s="9" t="s">
        <v>1220</v>
      </c>
      <c r="C57" s="70">
        <v>44599</v>
      </c>
      <c r="D57" s="70">
        <v>44599</v>
      </c>
      <c r="E57" s="73"/>
      <c r="F57" s="9"/>
      <c r="H57" s="9"/>
      <c r="I57" s="7" t="s">
        <v>64</v>
      </c>
      <c r="J57" s="51" t="s">
        <v>432</v>
      </c>
      <c r="K57" s="7"/>
      <c r="L57" s="10"/>
      <c r="M57" s="10"/>
      <c r="N57" s="10"/>
      <c r="O57" s="10"/>
      <c r="P57" s="10">
        <v>20000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33"/>
      <c r="AB57" s="10"/>
      <c r="AC57" s="33">
        <v>20000</v>
      </c>
      <c r="AD57" s="10">
        <f t="shared" si="0"/>
        <v>0</v>
      </c>
      <c r="AE57" s="82"/>
    </row>
    <row r="58" spans="1:32" x14ac:dyDescent="0.25">
      <c r="A58" s="7" t="s">
        <v>1194</v>
      </c>
      <c r="B58" s="9">
        <v>3920448</v>
      </c>
      <c r="C58" s="70">
        <v>44599</v>
      </c>
      <c r="D58" s="70">
        <v>44599</v>
      </c>
      <c r="E58" s="73"/>
      <c r="F58" s="9"/>
      <c r="H58" s="9"/>
      <c r="I58" s="7" t="s">
        <v>1216</v>
      </c>
      <c r="J58" s="51" t="s">
        <v>125</v>
      </c>
      <c r="K58" s="7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33">
        <v>7500</v>
      </c>
      <c r="AB58" s="10"/>
      <c r="AC58" s="33">
        <v>7500</v>
      </c>
      <c r="AD58" s="10">
        <f t="shared" si="0"/>
        <v>0</v>
      </c>
      <c r="AE58" s="82"/>
    </row>
    <row r="59" spans="1:32" x14ac:dyDescent="0.25">
      <c r="A59" s="7" t="s">
        <v>1195</v>
      </c>
      <c r="B59" s="9">
        <v>3920449</v>
      </c>
      <c r="C59" s="70">
        <v>44599</v>
      </c>
      <c r="D59" s="70">
        <v>44599</v>
      </c>
      <c r="E59" s="73"/>
      <c r="F59" s="9"/>
      <c r="H59" s="9"/>
      <c r="I59" s="7" t="s">
        <v>1217</v>
      </c>
      <c r="J59" s="51" t="s">
        <v>126</v>
      </c>
      <c r="K59" s="7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33">
        <v>12500</v>
      </c>
      <c r="AB59" s="10"/>
      <c r="AC59" s="33">
        <v>12500</v>
      </c>
      <c r="AD59" s="10">
        <f t="shared" si="0"/>
        <v>0</v>
      </c>
      <c r="AE59" s="82"/>
    </row>
    <row r="60" spans="1:32" x14ac:dyDescent="0.25">
      <c r="A60" s="7" t="s">
        <v>1196</v>
      </c>
      <c r="B60" s="9">
        <v>3920450</v>
      </c>
      <c r="C60" s="70">
        <v>44602</v>
      </c>
      <c r="D60" s="70">
        <v>44602</v>
      </c>
      <c r="E60" s="73"/>
      <c r="F60" s="9"/>
      <c r="H60" s="9" t="s">
        <v>1247</v>
      </c>
      <c r="I60" s="7" t="s">
        <v>58</v>
      </c>
      <c r="J60" s="51" t="s">
        <v>65</v>
      </c>
      <c r="K60" s="7"/>
      <c r="L60" s="10"/>
      <c r="M60" s="10"/>
      <c r="N60" s="10"/>
      <c r="O60" s="10"/>
      <c r="P60" s="10"/>
      <c r="Q60" s="10"/>
      <c r="R60" s="10"/>
      <c r="S60" s="10"/>
      <c r="T60" s="10">
        <v>8670</v>
      </c>
      <c r="U60" s="10"/>
      <c r="V60" s="10"/>
      <c r="W60" s="10"/>
      <c r="X60" s="10"/>
      <c r="Y60" s="10"/>
      <c r="Z60" s="10"/>
      <c r="AA60" s="33"/>
      <c r="AB60" s="10"/>
      <c r="AC60" s="33">
        <v>8670</v>
      </c>
      <c r="AD60" s="10">
        <f t="shared" si="0"/>
        <v>0</v>
      </c>
      <c r="AE60" s="82"/>
    </row>
    <row r="61" spans="1:32" x14ac:dyDescent="0.25">
      <c r="A61" s="7" t="s">
        <v>1197</v>
      </c>
      <c r="B61" s="9">
        <v>3920451</v>
      </c>
      <c r="C61" s="70">
        <v>44602</v>
      </c>
      <c r="D61" s="70">
        <v>44602</v>
      </c>
      <c r="E61" s="73"/>
      <c r="F61" s="9"/>
      <c r="H61" s="9"/>
      <c r="I61" s="7" t="s">
        <v>1234</v>
      </c>
      <c r="J61" s="51" t="s">
        <v>1235</v>
      </c>
      <c r="K61" s="7"/>
      <c r="L61" s="10">
        <v>148.61000000000001</v>
      </c>
      <c r="M61" s="10"/>
      <c r="N61" s="10"/>
      <c r="O61" s="10"/>
      <c r="P61" s="10"/>
      <c r="Q61" s="10"/>
      <c r="R61" s="10"/>
      <c r="S61" s="10">
        <v>1238.3800000000001</v>
      </c>
      <c r="T61" s="10"/>
      <c r="U61" s="10"/>
      <c r="V61" s="10"/>
      <c r="W61" s="10"/>
      <c r="X61" s="10"/>
      <c r="Y61" s="10"/>
      <c r="Z61" s="10"/>
      <c r="AA61" s="33"/>
      <c r="AB61" s="10"/>
      <c r="AC61" s="33">
        <v>1386.99</v>
      </c>
      <c r="AD61" s="10">
        <f t="shared" si="0"/>
        <v>0</v>
      </c>
      <c r="AE61" s="82"/>
    </row>
    <row r="62" spans="1:32" x14ac:dyDescent="0.25">
      <c r="A62" s="7" t="s">
        <v>1198</v>
      </c>
      <c r="B62" s="9">
        <v>3920452</v>
      </c>
      <c r="C62" s="70">
        <v>44602</v>
      </c>
      <c r="D62" s="70">
        <v>44602</v>
      </c>
      <c r="E62" s="73"/>
      <c r="F62" s="9"/>
      <c r="H62" s="9"/>
      <c r="I62" s="7" t="s">
        <v>1234</v>
      </c>
      <c r="J62" s="51" t="s">
        <v>1235</v>
      </c>
      <c r="K62" s="7"/>
      <c r="L62" s="10">
        <v>107.04</v>
      </c>
      <c r="M62" s="10"/>
      <c r="N62" s="10"/>
      <c r="O62" s="10"/>
      <c r="P62" s="10"/>
      <c r="Q62" s="10"/>
      <c r="R62" s="10"/>
      <c r="S62" s="10">
        <v>891.96</v>
      </c>
      <c r="T62" s="10"/>
      <c r="U62" s="10"/>
      <c r="V62" s="10"/>
      <c r="W62" s="10"/>
      <c r="X62" s="10"/>
      <c r="Y62" s="10"/>
      <c r="Z62" s="10"/>
      <c r="AA62" s="33"/>
      <c r="AB62" s="10"/>
      <c r="AC62" s="33">
        <v>999</v>
      </c>
      <c r="AD62" s="10">
        <f t="shared" si="0"/>
        <v>0</v>
      </c>
      <c r="AE62" s="82"/>
    </row>
    <row r="63" spans="1:32" x14ac:dyDescent="0.25">
      <c r="A63" s="7" t="s">
        <v>1227</v>
      </c>
      <c r="B63" s="9" t="s">
        <v>1236</v>
      </c>
      <c r="C63" s="70">
        <v>44606</v>
      </c>
      <c r="D63" s="70">
        <v>44606</v>
      </c>
      <c r="E63" s="73"/>
      <c r="F63" s="9"/>
      <c r="H63" s="9"/>
      <c r="I63" s="7" t="s">
        <v>64</v>
      </c>
      <c r="J63" s="51" t="s">
        <v>51</v>
      </c>
      <c r="K63" s="7"/>
      <c r="L63" s="10"/>
      <c r="M63" s="10"/>
      <c r="N63" s="10"/>
      <c r="O63" s="10"/>
      <c r="P63" s="10">
        <v>10000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33"/>
      <c r="AB63" s="10"/>
      <c r="AC63" s="33">
        <v>10000</v>
      </c>
      <c r="AD63" s="10">
        <f t="shared" si="0"/>
        <v>0</v>
      </c>
      <c r="AE63" s="82"/>
    </row>
    <row r="64" spans="1:32" x14ac:dyDescent="0.25">
      <c r="A64" s="7" t="s">
        <v>1228</v>
      </c>
      <c r="B64" s="9">
        <v>3920453</v>
      </c>
      <c r="C64" s="70">
        <v>44606</v>
      </c>
      <c r="D64" s="70">
        <v>44606</v>
      </c>
      <c r="E64" s="73"/>
      <c r="F64" s="9"/>
      <c r="H64" s="9" t="s">
        <v>1248</v>
      </c>
      <c r="I64" s="7" t="s">
        <v>1174</v>
      </c>
      <c r="J64" s="51" t="s">
        <v>65</v>
      </c>
      <c r="K64" s="7"/>
      <c r="L64" s="10"/>
      <c r="M64" s="10"/>
      <c r="N64" s="10"/>
      <c r="O64" s="10"/>
      <c r="P64" s="10"/>
      <c r="Q64" s="10"/>
      <c r="R64" s="10"/>
      <c r="S64" s="10"/>
      <c r="T64" s="10">
        <v>12004</v>
      </c>
      <c r="U64" s="10"/>
      <c r="V64" s="10"/>
      <c r="W64" s="10"/>
      <c r="X64" s="10"/>
      <c r="Y64" s="10"/>
      <c r="Z64" s="10"/>
      <c r="AA64" s="33"/>
      <c r="AB64" s="10"/>
      <c r="AC64" s="33">
        <v>12004</v>
      </c>
      <c r="AD64" s="10">
        <f t="shared" si="0"/>
        <v>0</v>
      </c>
      <c r="AE64" s="82"/>
    </row>
    <row r="65" spans="1:32" x14ac:dyDescent="0.25">
      <c r="A65" s="7" t="s">
        <v>1229</v>
      </c>
      <c r="B65" s="9">
        <v>3920454</v>
      </c>
      <c r="C65" s="70">
        <v>44606</v>
      </c>
      <c r="D65" s="70">
        <v>44606</v>
      </c>
      <c r="E65" s="73"/>
      <c r="F65" s="9"/>
      <c r="H65" s="9"/>
      <c r="I65" s="7" t="s">
        <v>1245</v>
      </c>
      <c r="J65" s="51" t="s">
        <v>1202</v>
      </c>
      <c r="K65" s="7"/>
      <c r="L65" s="10">
        <v>192.75</v>
      </c>
      <c r="M65" s="10"/>
      <c r="N65" s="10"/>
      <c r="O65" s="10"/>
      <c r="P65" s="10"/>
      <c r="Q65" s="10"/>
      <c r="R65" s="10"/>
      <c r="S65" s="10">
        <v>1606.25</v>
      </c>
      <c r="T65" s="10"/>
      <c r="U65" s="10"/>
      <c r="V65" s="10"/>
      <c r="W65" s="10"/>
      <c r="X65" s="10"/>
      <c r="Y65" s="10"/>
      <c r="Z65" s="10"/>
      <c r="AA65" s="33"/>
      <c r="AB65" s="10"/>
      <c r="AC65" s="33">
        <v>1799</v>
      </c>
      <c r="AD65" s="10">
        <f t="shared" si="0"/>
        <v>0</v>
      </c>
      <c r="AE65" s="82"/>
    </row>
    <row r="66" spans="1:32" x14ac:dyDescent="0.25">
      <c r="A66" s="7" t="s">
        <v>1230</v>
      </c>
      <c r="B66" s="9">
        <v>3920455</v>
      </c>
      <c r="C66" s="70">
        <v>44606</v>
      </c>
      <c r="D66" s="70">
        <v>44606</v>
      </c>
      <c r="E66" s="73"/>
      <c r="F66" s="9"/>
      <c r="H66" s="9"/>
      <c r="I66" s="7" t="s">
        <v>1246</v>
      </c>
      <c r="J66" s="51" t="s">
        <v>1202</v>
      </c>
      <c r="K66" s="7"/>
      <c r="L66" s="10">
        <v>107.04</v>
      </c>
      <c r="M66" s="10"/>
      <c r="N66" s="10"/>
      <c r="O66" s="10"/>
      <c r="P66" s="10"/>
      <c r="Q66" s="10"/>
      <c r="R66" s="10"/>
      <c r="S66" s="10">
        <v>891.96</v>
      </c>
      <c r="T66" s="10"/>
      <c r="U66" s="10"/>
      <c r="V66" s="10"/>
      <c r="W66" s="10"/>
      <c r="X66" s="10"/>
      <c r="Y66" s="10"/>
      <c r="Z66" s="10"/>
      <c r="AA66" s="33"/>
      <c r="AB66" s="10"/>
      <c r="AC66" s="33">
        <v>999</v>
      </c>
      <c r="AD66" s="10">
        <f t="shared" si="0"/>
        <v>0</v>
      </c>
      <c r="AE66" s="82"/>
    </row>
    <row r="67" spans="1:32" x14ac:dyDescent="0.25">
      <c r="A67" s="7" t="s">
        <v>1231</v>
      </c>
      <c r="B67" s="9">
        <v>3920456</v>
      </c>
      <c r="C67" s="70">
        <v>44606</v>
      </c>
      <c r="D67" s="70">
        <v>44606</v>
      </c>
      <c r="E67" s="73"/>
      <c r="F67" s="9"/>
      <c r="H67" s="9"/>
      <c r="I67" s="7" t="s">
        <v>1246</v>
      </c>
      <c r="J67" s="51" t="s">
        <v>1202</v>
      </c>
      <c r="K67" s="7"/>
      <c r="L67" s="10">
        <v>107.04</v>
      </c>
      <c r="M67" s="10"/>
      <c r="N67" s="10"/>
      <c r="O67" s="10"/>
      <c r="P67" s="10"/>
      <c r="Q67" s="10"/>
      <c r="R67" s="10"/>
      <c r="S67" s="10">
        <v>891.96</v>
      </c>
      <c r="T67" s="10"/>
      <c r="U67" s="10"/>
      <c r="V67" s="10"/>
      <c r="W67" s="10"/>
      <c r="X67" s="10"/>
      <c r="Y67" s="10"/>
      <c r="Z67" s="10"/>
      <c r="AA67" s="33"/>
      <c r="AB67" s="10"/>
      <c r="AC67" s="33">
        <v>999</v>
      </c>
      <c r="AD67" s="10">
        <f t="shared" si="0"/>
        <v>0</v>
      </c>
      <c r="AE67" s="82"/>
    </row>
    <row r="68" spans="1:32" x14ac:dyDescent="0.25">
      <c r="A68" s="7" t="s">
        <v>1232</v>
      </c>
      <c r="B68" s="9">
        <v>3920457</v>
      </c>
      <c r="C68" s="70">
        <v>44606</v>
      </c>
      <c r="D68" s="70">
        <v>44606</v>
      </c>
      <c r="E68" s="73"/>
      <c r="F68" s="9"/>
      <c r="H68" s="9"/>
      <c r="I68" s="7" t="s">
        <v>1246</v>
      </c>
      <c r="J68" s="51" t="s">
        <v>1202</v>
      </c>
      <c r="K68" s="7"/>
      <c r="L68" s="10">
        <v>107.04</v>
      </c>
      <c r="M68" s="10"/>
      <c r="N68" s="10"/>
      <c r="O68" s="10"/>
      <c r="P68" s="10"/>
      <c r="Q68" s="10"/>
      <c r="R68" s="10"/>
      <c r="S68" s="10">
        <v>891.96</v>
      </c>
      <c r="T68" s="10"/>
      <c r="U68" s="10"/>
      <c r="V68" s="10"/>
      <c r="W68" s="10"/>
      <c r="X68" s="10"/>
      <c r="Y68" s="10"/>
      <c r="Z68" s="10"/>
      <c r="AA68" s="33"/>
      <c r="AB68" s="10"/>
      <c r="AC68" s="33">
        <v>999</v>
      </c>
      <c r="AD68" s="10">
        <f t="shared" si="0"/>
        <v>0</v>
      </c>
      <c r="AE68" s="82"/>
    </row>
    <row r="69" spans="1:32" x14ac:dyDescent="0.25">
      <c r="A69" s="7" t="s">
        <v>1237</v>
      </c>
      <c r="B69" s="9" t="s">
        <v>1249</v>
      </c>
      <c r="C69" s="70">
        <v>44608</v>
      </c>
      <c r="D69" s="70">
        <v>44608</v>
      </c>
      <c r="E69" s="73"/>
      <c r="F69" s="9"/>
      <c r="H69" s="9"/>
      <c r="I69" s="7" t="s">
        <v>64</v>
      </c>
      <c r="J69" s="51" t="s">
        <v>1250</v>
      </c>
      <c r="K69" s="7"/>
      <c r="L69" s="10"/>
      <c r="M69" s="10"/>
      <c r="N69" s="10"/>
      <c r="O69" s="10"/>
      <c r="P69" s="10">
        <v>30000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33"/>
      <c r="AB69" s="10"/>
      <c r="AC69" s="33">
        <v>30000</v>
      </c>
      <c r="AD69" s="10">
        <f t="shared" si="0"/>
        <v>0</v>
      </c>
      <c r="AE69" s="82"/>
    </row>
    <row r="70" spans="1:32" x14ac:dyDescent="0.25">
      <c r="A70" s="7" t="s">
        <v>1238</v>
      </c>
      <c r="B70" s="9">
        <v>3920458</v>
      </c>
      <c r="C70" s="70">
        <v>44608</v>
      </c>
      <c r="D70" s="70">
        <v>44608</v>
      </c>
      <c r="E70" s="73"/>
      <c r="F70" s="9"/>
      <c r="H70" s="9"/>
      <c r="I70" s="7" t="s">
        <v>240</v>
      </c>
      <c r="J70" s="51" t="s">
        <v>18</v>
      </c>
      <c r="K70" s="7"/>
      <c r="L70" s="10">
        <v>151.09</v>
      </c>
      <c r="M70" s="10"/>
      <c r="N70" s="10"/>
      <c r="O70" s="10"/>
      <c r="P70" s="10"/>
      <c r="Q70" s="10"/>
      <c r="R70" s="10">
        <v>1259.06</v>
      </c>
      <c r="S70" s="10"/>
      <c r="T70" s="10"/>
      <c r="U70" s="10"/>
      <c r="V70" s="10"/>
      <c r="W70" s="10"/>
      <c r="X70" s="10"/>
      <c r="Y70" s="10"/>
      <c r="Z70" s="10"/>
      <c r="AA70" s="33"/>
      <c r="AB70" s="10"/>
      <c r="AC70" s="33">
        <v>1410.15</v>
      </c>
      <c r="AD70" s="10">
        <f t="shared" si="0"/>
        <v>0</v>
      </c>
      <c r="AE70" s="82"/>
    </row>
    <row r="71" spans="1:32" x14ac:dyDescent="0.25">
      <c r="A71" s="7" t="s">
        <v>1239</v>
      </c>
      <c r="B71" s="9">
        <v>3920459</v>
      </c>
      <c r="C71" s="70">
        <v>44608</v>
      </c>
      <c r="D71" s="70">
        <v>44608</v>
      </c>
      <c r="E71" s="73"/>
      <c r="F71" s="9"/>
      <c r="H71" s="9"/>
      <c r="I71" s="7" t="s">
        <v>240</v>
      </c>
      <c r="J71" s="51" t="s">
        <v>18</v>
      </c>
      <c r="K71" s="7"/>
      <c r="L71" s="10">
        <v>811.09</v>
      </c>
      <c r="M71" s="10"/>
      <c r="N71" s="10"/>
      <c r="O71" s="10"/>
      <c r="P71" s="10"/>
      <c r="Q71" s="10"/>
      <c r="R71" s="10">
        <v>6759.06</v>
      </c>
      <c r="S71" s="10"/>
      <c r="T71" s="10"/>
      <c r="U71" s="10"/>
      <c r="V71" s="10"/>
      <c r="W71" s="10"/>
      <c r="X71" s="10"/>
      <c r="Y71" s="10"/>
      <c r="Z71" s="10"/>
      <c r="AA71" s="33"/>
      <c r="AB71" s="10"/>
      <c r="AC71" s="33">
        <v>7570.15</v>
      </c>
      <c r="AD71" s="10">
        <f t="shared" si="0"/>
        <v>0</v>
      </c>
      <c r="AE71" s="82"/>
    </row>
    <row r="72" spans="1:32" x14ac:dyDescent="0.25">
      <c r="A72" s="7" t="s">
        <v>1240</v>
      </c>
      <c r="B72" s="9">
        <v>3920460</v>
      </c>
      <c r="C72" s="70">
        <v>44608</v>
      </c>
      <c r="D72" s="70">
        <v>44608</v>
      </c>
      <c r="E72" s="73"/>
      <c r="F72" s="9"/>
      <c r="H72" s="9"/>
      <c r="I72" s="7" t="s">
        <v>1246</v>
      </c>
      <c r="J72" s="51" t="s">
        <v>44</v>
      </c>
      <c r="K72" s="7"/>
      <c r="L72" s="10">
        <v>508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>
        <v>4233.3599999999997</v>
      </c>
      <c r="Y72" s="10"/>
      <c r="Z72" s="10"/>
      <c r="AA72" s="33"/>
      <c r="AB72" s="10"/>
      <c r="AC72" s="33">
        <v>4741.3599999999997</v>
      </c>
      <c r="AD72" s="10">
        <f t="shared" si="0"/>
        <v>0</v>
      </c>
      <c r="AE72" s="82"/>
    </row>
    <row r="73" spans="1:32" x14ac:dyDescent="0.25">
      <c r="A73" s="7" t="s">
        <v>1241</v>
      </c>
      <c r="B73" s="9">
        <v>3920461</v>
      </c>
      <c r="C73" s="70">
        <v>44608</v>
      </c>
      <c r="D73" s="70">
        <v>44608</v>
      </c>
      <c r="E73" s="73"/>
      <c r="F73" s="9"/>
      <c r="H73" s="9"/>
      <c r="I73" s="7" t="s">
        <v>1258</v>
      </c>
      <c r="J73" s="51" t="s">
        <v>1235</v>
      </c>
      <c r="K73" s="7"/>
      <c r="L73" s="10">
        <v>205.75</v>
      </c>
      <c r="M73" s="10"/>
      <c r="N73" s="10"/>
      <c r="O73" s="10"/>
      <c r="P73" s="10"/>
      <c r="Q73" s="10"/>
      <c r="R73" s="10"/>
      <c r="S73" s="10">
        <v>1714.59</v>
      </c>
      <c r="T73" s="10"/>
      <c r="U73" s="10"/>
      <c r="V73" s="10"/>
      <c r="W73" s="10"/>
      <c r="X73" s="10"/>
      <c r="Y73" s="10"/>
      <c r="Z73" s="10"/>
      <c r="AA73" s="33"/>
      <c r="AB73" s="10"/>
      <c r="AC73" s="33">
        <v>1920.34</v>
      </c>
      <c r="AD73" s="10">
        <f t="shared" si="0"/>
        <v>0</v>
      </c>
      <c r="AE73" s="82"/>
    </row>
    <row r="74" spans="1:32" x14ac:dyDescent="0.25">
      <c r="A74" s="7" t="s">
        <v>1242</v>
      </c>
      <c r="B74" s="9" t="s">
        <v>1259</v>
      </c>
      <c r="C74" s="70">
        <v>44610</v>
      </c>
      <c r="D74" s="70">
        <v>44610</v>
      </c>
      <c r="E74" s="73"/>
      <c r="F74" s="9"/>
      <c r="H74" s="9"/>
      <c r="I74" s="7" t="s">
        <v>1260</v>
      </c>
      <c r="J74" s="51" t="s">
        <v>1261</v>
      </c>
      <c r="K74" s="7"/>
      <c r="L74" s="10">
        <v>420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33">
        <v>3500</v>
      </c>
      <c r="AB74" s="10"/>
      <c r="AC74" s="33">
        <v>3920</v>
      </c>
      <c r="AD74" s="10">
        <f t="shared" si="0"/>
        <v>0</v>
      </c>
      <c r="AE74" s="82"/>
    </row>
    <row r="75" spans="1:32" x14ac:dyDescent="0.25">
      <c r="A75" s="7" t="s">
        <v>1243</v>
      </c>
      <c r="B75" s="9" t="s">
        <v>1256</v>
      </c>
      <c r="C75" s="70">
        <v>44610</v>
      </c>
      <c r="D75" s="70">
        <v>44610</v>
      </c>
      <c r="E75" s="73"/>
      <c r="F75" s="9"/>
      <c r="H75" s="9"/>
      <c r="I75" s="7" t="s">
        <v>1257</v>
      </c>
      <c r="J75" s="51" t="s">
        <v>39</v>
      </c>
      <c r="K75" s="7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33">
        <v>62268</v>
      </c>
      <c r="AB75" s="10"/>
      <c r="AC75" s="33">
        <v>62268</v>
      </c>
      <c r="AD75" s="10">
        <f t="shared" si="0"/>
        <v>0</v>
      </c>
      <c r="AE75" s="82"/>
    </row>
    <row r="76" spans="1:32" x14ac:dyDescent="0.25">
      <c r="A76" s="7" t="s">
        <v>1244</v>
      </c>
      <c r="B76" s="9">
        <v>3920462</v>
      </c>
      <c r="C76" s="70">
        <v>44614</v>
      </c>
      <c r="D76" s="70">
        <v>44614</v>
      </c>
      <c r="E76" s="73"/>
      <c r="F76" s="9"/>
      <c r="H76" s="9"/>
      <c r="I76" s="7" t="s">
        <v>1263</v>
      </c>
      <c r="J76" s="51" t="s">
        <v>1202</v>
      </c>
      <c r="K76" s="7"/>
      <c r="L76" s="10">
        <v>992.03</v>
      </c>
      <c r="M76" s="10"/>
      <c r="N76" s="10"/>
      <c r="O76" s="10"/>
      <c r="P76" s="10"/>
      <c r="Q76" s="10"/>
      <c r="R76" s="10"/>
      <c r="S76" s="10">
        <v>8266.9599999999991</v>
      </c>
      <c r="T76" s="10"/>
      <c r="U76" s="10"/>
      <c r="V76" s="10"/>
      <c r="W76" s="10"/>
      <c r="X76" s="10"/>
      <c r="Y76" s="10"/>
      <c r="Z76" s="10"/>
      <c r="AA76" s="33"/>
      <c r="AB76" s="10"/>
      <c r="AC76" s="33">
        <v>9258.99</v>
      </c>
      <c r="AD76" s="10">
        <f t="shared" si="0"/>
        <v>0</v>
      </c>
      <c r="AE76" s="82"/>
    </row>
    <row r="77" spans="1:32" x14ac:dyDescent="0.25">
      <c r="A77" s="7" t="s">
        <v>1251</v>
      </c>
      <c r="B77" s="9" t="s">
        <v>1262</v>
      </c>
      <c r="C77" s="70">
        <v>44614</v>
      </c>
      <c r="D77" s="70">
        <v>44614</v>
      </c>
      <c r="E77" s="73"/>
      <c r="F77" s="9"/>
      <c r="H77" s="9"/>
      <c r="I77" s="7" t="s">
        <v>82</v>
      </c>
      <c r="J77" s="51" t="s">
        <v>54</v>
      </c>
      <c r="K77" s="7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>
        <v>200000</v>
      </c>
      <c r="AA77" s="33"/>
      <c r="AB77" s="10"/>
      <c r="AC77" s="33">
        <v>200000</v>
      </c>
      <c r="AD77" s="10">
        <f t="shared" si="0"/>
        <v>0</v>
      </c>
      <c r="AE77" s="82"/>
    </row>
    <row r="78" spans="1:32" x14ac:dyDescent="0.25">
      <c r="A78" s="7" t="s">
        <v>1252</v>
      </c>
      <c r="B78" s="9">
        <v>3920463</v>
      </c>
      <c r="C78" s="70">
        <v>44614</v>
      </c>
      <c r="D78" s="70">
        <v>44614</v>
      </c>
      <c r="E78" s="73">
        <v>44615</v>
      </c>
      <c r="F78" s="9" t="s">
        <v>1722</v>
      </c>
      <c r="G78" s="9" t="s">
        <v>1130</v>
      </c>
      <c r="H78" s="9"/>
      <c r="I78" s="7" t="s">
        <v>1264</v>
      </c>
      <c r="J78" s="51" t="s">
        <v>109</v>
      </c>
      <c r="K78" s="7"/>
      <c r="L78" s="10"/>
      <c r="M78" s="10">
        <v>3300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33"/>
      <c r="AB78" s="10"/>
      <c r="AC78" s="33">
        <v>3000</v>
      </c>
      <c r="AD78" s="10">
        <f t="shared" si="0"/>
        <v>-300</v>
      </c>
      <c r="AE78" s="82" t="s">
        <v>1265</v>
      </c>
    </row>
    <row r="79" spans="1:32" x14ac:dyDescent="0.25">
      <c r="A79" s="7" t="s">
        <v>1253</v>
      </c>
      <c r="B79" s="9">
        <v>3920464</v>
      </c>
      <c r="C79" s="70">
        <v>44651</v>
      </c>
      <c r="D79" s="70">
        <v>44620</v>
      </c>
      <c r="E79" s="73">
        <v>44627</v>
      </c>
      <c r="F79" s="9" t="s">
        <v>1288</v>
      </c>
      <c r="G79" s="9" t="s">
        <v>1133</v>
      </c>
      <c r="H79" s="9"/>
      <c r="I79" s="7" t="s">
        <v>1278</v>
      </c>
      <c r="J79" s="51" t="s">
        <v>1279</v>
      </c>
      <c r="K79" s="7" t="s">
        <v>1280</v>
      </c>
      <c r="L79" s="10">
        <v>2689.29</v>
      </c>
      <c r="M79" s="10">
        <v>22410.71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33"/>
      <c r="AB79" s="10"/>
      <c r="AC79" s="33">
        <v>25100</v>
      </c>
      <c r="AD79" s="10">
        <f t="shared" si="0"/>
        <v>0</v>
      </c>
      <c r="AE79" s="82"/>
      <c r="AF79" s="17">
        <v>224.11</v>
      </c>
    </row>
    <row r="80" spans="1:32" x14ac:dyDescent="0.25">
      <c r="A80" s="7" t="s">
        <v>1254</v>
      </c>
      <c r="B80" s="9">
        <v>3920465</v>
      </c>
      <c r="C80" s="70">
        <v>44662</v>
      </c>
      <c r="D80" s="70">
        <v>44620</v>
      </c>
      <c r="E80" s="73">
        <v>44620</v>
      </c>
      <c r="F80" s="9" t="s">
        <v>1277</v>
      </c>
      <c r="G80" s="9" t="s">
        <v>1134</v>
      </c>
      <c r="H80" s="9"/>
      <c r="I80" s="7" t="s">
        <v>1275</v>
      </c>
      <c r="J80" s="51" t="s">
        <v>1038</v>
      </c>
      <c r="K80" s="7" t="s">
        <v>1039</v>
      </c>
      <c r="L80" s="10">
        <v>4553.57</v>
      </c>
      <c r="M80" s="10">
        <v>37946.43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33"/>
      <c r="AB80" s="10"/>
      <c r="AC80" s="33">
        <v>42500</v>
      </c>
      <c r="AD80" s="10">
        <f t="shared" si="0"/>
        <v>0</v>
      </c>
      <c r="AE80" s="82"/>
      <c r="AF80" s="17">
        <v>379.46</v>
      </c>
    </row>
    <row r="81" spans="1:32" x14ac:dyDescent="0.25">
      <c r="A81" s="7" t="s">
        <v>1255</v>
      </c>
      <c r="B81" s="9">
        <v>3920466</v>
      </c>
      <c r="C81" s="70">
        <v>44620</v>
      </c>
      <c r="D81" s="70">
        <v>44620</v>
      </c>
      <c r="E81" s="73">
        <v>44623</v>
      </c>
      <c r="F81" s="9" t="s">
        <v>1282</v>
      </c>
      <c r="H81" s="9"/>
      <c r="I81" s="7" t="s">
        <v>1276</v>
      </c>
      <c r="J81" s="51" t="s">
        <v>127</v>
      </c>
      <c r="K81" s="7" t="s">
        <v>128</v>
      </c>
      <c r="L81" s="10">
        <v>528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33">
        <v>4400</v>
      </c>
      <c r="AB81" s="10"/>
      <c r="AC81" s="33">
        <v>4928</v>
      </c>
      <c r="AD81" s="10">
        <f t="shared" si="0"/>
        <v>0</v>
      </c>
      <c r="AE81" s="82"/>
    </row>
    <row r="82" spans="1:32" s="39" customFormat="1" x14ac:dyDescent="0.25">
      <c r="A82" s="20"/>
      <c r="B82" s="19"/>
      <c r="C82" s="72"/>
      <c r="D82" s="72"/>
      <c r="E82" s="77"/>
      <c r="F82" s="19"/>
      <c r="G82" s="19"/>
      <c r="H82" s="19"/>
      <c r="I82" s="20"/>
      <c r="J82" s="20"/>
      <c r="K82" s="20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32"/>
      <c r="AB82" s="22"/>
      <c r="AC82" s="32"/>
      <c r="AD82" s="22"/>
      <c r="AE82" s="96"/>
      <c r="AF82" s="35"/>
    </row>
    <row r="83" spans="1:32" s="39" customFormat="1" x14ac:dyDescent="0.25">
      <c r="A83" s="25">
        <v>44621</v>
      </c>
      <c r="B83" s="19"/>
      <c r="C83" s="72"/>
      <c r="D83" s="72"/>
      <c r="E83" s="77"/>
      <c r="F83" s="19"/>
      <c r="G83" s="19"/>
      <c r="H83" s="19"/>
      <c r="I83" s="20"/>
      <c r="J83" s="20"/>
      <c r="K83" s="20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32"/>
      <c r="AB83" s="22"/>
      <c r="AC83" s="32"/>
      <c r="AD83" s="22"/>
      <c r="AE83" s="96"/>
      <c r="AF83" s="35"/>
    </row>
    <row r="84" spans="1:32" x14ac:dyDescent="0.25">
      <c r="A84" s="7" t="s">
        <v>1267</v>
      </c>
      <c r="B84" s="9" t="s">
        <v>1262</v>
      </c>
      <c r="C84" s="70">
        <v>44621</v>
      </c>
      <c r="D84" s="70">
        <v>44621</v>
      </c>
      <c r="E84" s="73"/>
      <c r="F84" s="9"/>
      <c r="H84" s="9"/>
      <c r="I84" s="7" t="s">
        <v>93</v>
      </c>
      <c r="J84" s="51" t="s">
        <v>79</v>
      </c>
      <c r="K84" s="7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>
        <v>20667</v>
      </c>
      <c r="W84" s="10"/>
      <c r="X84" s="10"/>
      <c r="Y84" s="10"/>
      <c r="Z84" s="10"/>
      <c r="AA84" s="33"/>
      <c r="AB84" s="10"/>
      <c r="AC84" s="33">
        <v>20667</v>
      </c>
      <c r="AD84" s="10">
        <f t="shared" si="0"/>
        <v>0</v>
      </c>
      <c r="AE84" s="82"/>
    </row>
    <row r="85" spans="1:32" x14ac:dyDescent="0.25">
      <c r="A85" s="7" t="s">
        <v>1268</v>
      </c>
      <c r="B85" s="9">
        <v>3920467</v>
      </c>
      <c r="C85" s="70">
        <v>44666</v>
      </c>
      <c r="D85" s="70">
        <v>44622</v>
      </c>
      <c r="E85" s="73">
        <v>44628</v>
      </c>
      <c r="F85" s="9" t="s">
        <v>1294</v>
      </c>
      <c r="G85" s="9" t="s">
        <v>1135</v>
      </c>
      <c r="H85" s="9"/>
      <c r="I85" s="7" t="s">
        <v>1285</v>
      </c>
      <c r="J85" s="51" t="s">
        <v>1038</v>
      </c>
      <c r="K85" s="7" t="s">
        <v>1039</v>
      </c>
      <c r="L85" s="10">
        <v>642.86</v>
      </c>
      <c r="M85" s="10">
        <v>5357.14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33"/>
      <c r="AB85" s="10"/>
      <c r="AC85" s="33">
        <v>6000</v>
      </c>
      <c r="AD85" s="10">
        <f t="shared" si="0"/>
        <v>0</v>
      </c>
      <c r="AE85" s="82"/>
      <c r="AF85" s="17">
        <v>53.57</v>
      </c>
    </row>
    <row r="86" spans="1:32" x14ac:dyDescent="0.25">
      <c r="A86" s="7" t="s">
        <v>1269</v>
      </c>
      <c r="B86" s="9">
        <v>3920468</v>
      </c>
      <c r="C86" s="70">
        <v>44622</v>
      </c>
      <c r="D86" s="70">
        <v>44622</v>
      </c>
      <c r="E86" s="73"/>
      <c r="F86" s="9"/>
      <c r="H86" s="9"/>
      <c r="I86" s="7" t="s">
        <v>1283</v>
      </c>
      <c r="J86" s="51" t="s">
        <v>18</v>
      </c>
      <c r="K86" s="7"/>
      <c r="L86" s="10">
        <v>151.09</v>
      </c>
      <c r="M86" s="10"/>
      <c r="N86" s="10"/>
      <c r="O86" s="10"/>
      <c r="P86" s="10"/>
      <c r="Q86" s="10"/>
      <c r="R86" s="10">
        <v>1259.06</v>
      </c>
      <c r="S86" s="10"/>
      <c r="T86" s="10"/>
      <c r="U86" s="10"/>
      <c r="V86" s="10"/>
      <c r="W86" s="10"/>
      <c r="X86" s="10"/>
      <c r="Y86" s="10"/>
      <c r="Z86" s="10"/>
      <c r="AA86" s="33"/>
      <c r="AB86" s="10"/>
      <c r="AC86" s="33">
        <v>1410.15</v>
      </c>
      <c r="AD86" s="10">
        <f t="shared" si="0"/>
        <v>0</v>
      </c>
      <c r="AE86" s="82"/>
    </row>
    <row r="87" spans="1:32" x14ac:dyDescent="0.25">
      <c r="A87" s="7" t="s">
        <v>1270</v>
      </c>
      <c r="B87" s="9">
        <v>3920469</v>
      </c>
      <c r="C87" s="70">
        <v>44622</v>
      </c>
      <c r="D87" s="70">
        <v>44622</v>
      </c>
      <c r="E87" s="73"/>
      <c r="F87" s="9"/>
      <c r="H87" s="9"/>
      <c r="I87" s="7" t="s">
        <v>1283</v>
      </c>
      <c r="J87" s="51" t="s">
        <v>18</v>
      </c>
      <c r="K87" s="7"/>
      <c r="L87" s="10">
        <v>811.09</v>
      </c>
      <c r="M87" s="10"/>
      <c r="N87" s="10"/>
      <c r="O87" s="10"/>
      <c r="P87" s="10"/>
      <c r="Q87" s="10"/>
      <c r="R87" s="10">
        <v>6759.06</v>
      </c>
      <c r="S87" s="10"/>
      <c r="T87" s="10"/>
      <c r="U87" s="10"/>
      <c r="V87" s="10"/>
      <c r="W87" s="10"/>
      <c r="X87" s="10"/>
      <c r="Y87" s="10"/>
      <c r="Z87" s="10"/>
      <c r="AA87" s="33"/>
      <c r="AB87" s="10"/>
      <c r="AC87" s="33">
        <v>7570.15</v>
      </c>
      <c r="AD87" s="10">
        <f t="shared" si="0"/>
        <v>0</v>
      </c>
      <c r="AE87" s="82"/>
    </row>
    <row r="88" spans="1:32" x14ac:dyDescent="0.25">
      <c r="A88" s="7" t="s">
        <v>1271</v>
      </c>
      <c r="B88" s="9">
        <v>3920470</v>
      </c>
      <c r="C88" s="70">
        <v>44622</v>
      </c>
      <c r="D88" s="70">
        <v>44622</v>
      </c>
      <c r="E88" s="73"/>
      <c r="F88" s="9"/>
      <c r="H88" s="9"/>
      <c r="I88" s="7" t="s">
        <v>1284</v>
      </c>
      <c r="J88" s="51" t="s">
        <v>126</v>
      </c>
      <c r="K88" s="7"/>
      <c r="L88" s="10">
        <v>2250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33">
        <v>18750</v>
      </c>
      <c r="AB88" s="10"/>
      <c r="AC88" s="33">
        <v>21000</v>
      </c>
      <c r="AD88" s="10">
        <f t="shared" si="0"/>
        <v>0</v>
      </c>
      <c r="AE88" s="82"/>
    </row>
    <row r="89" spans="1:32" x14ac:dyDescent="0.25">
      <c r="A89" s="7" t="s">
        <v>1272</v>
      </c>
      <c r="B89" s="9">
        <v>3920471</v>
      </c>
      <c r="C89" s="70">
        <v>44622</v>
      </c>
      <c r="D89" s="70">
        <v>44622</v>
      </c>
      <c r="E89" s="73"/>
      <c r="F89" s="9"/>
      <c r="H89" s="9"/>
      <c r="I89" s="7" t="s">
        <v>50</v>
      </c>
      <c r="J89" s="51" t="s">
        <v>39</v>
      </c>
      <c r="K89" s="7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33">
        <v>17277.5</v>
      </c>
      <c r="AB89" s="10"/>
      <c r="AC89" s="33">
        <v>17277.5</v>
      </c>
      <c r="AD89" s="10">
        <f t="shared" si="0"/>
        <v>0</v>
      </c>
      <c r="AE89" s="82"/>
    </row>
    <row r="90" spans="1:32" x14ac:dyDescent="0.25">
      <c r="A90" s="7" t="s">
        <v>1273</v>
      </c>
      <c r="B90" s="9" t="s">
        <v>1286</v>
      </c>
      <c r="C90" s="70">
        <v>44622</v>
      </c>
      <c r="D90" s="70">
        <v>44622</v>
      </c>
      <c r="E90" s="73"/>
      <c r="F90" s="9"/>
      <c r="H90" s="9"/>
      <c r="I90" s="7" t="s">
        <v>55</v>
      </c>
      <c r="J90" s="51" t="s">
        <v>54</v>
      </c>
      <c r="K90" s="7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>
        <v>150000</v>
      </c>
      <c r="AA90" s="33"/>
      <c r="AB90" s="10"/>
      <c r="AC90" s="33">
        <v>150000</v>
      </c>
      <c r="AD90" s="10">
        <f t="shared" si="0"/>
        <v>0</v>
      </c>
      <c r="AE90" s="82"/>
    </row>
    <row r="91" spans="1:32" x14ac:dyDescent="0.25">
      <c r="A91" s="7" t="s">
        <v>1274</v>
      </c>
      <c r="B91" s="9" t="s">
        <v>1287</v>
      </c>
      <c r="C91" s="70">
        <v>44627</v>
      </c>
      <c r="D91" s="70">
        <v>44627</v>
      </c>
      <c r="E91" s="73">
        <v>44628</v>
      </c>
      <c r="F91" s="9" t="s">
        <v>1296</v>
      </c>
      <c r="G91" s="9" t="s">
        <v>1136</v>
      </c>
      <c r="H91" s="9"/>
      <c r="I91" s="7" t="s">
        <v>1207</v>
      </c>
      <c r="J91" s="51" t="s">
        <v>1208</v>
      </c>
      <c r="K91" s="7" t="s">
        <v>1209</v>
      </c>
      <c r="L91" s="10">
        <v>4872.8599999999997</v>
      </c>
      <c r="M91" s="10">
        <v>40607.14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33"/>
      <c r="AB91" s="10"/>
      <c r="AC91" s="33">
        <v>45480</v>
      </c>
      <c r="AD91" s="10">
        <f t="shared" si="0"/>
        <v>0</v>
      </c>
      <c r="AE91" s="82"/>
      <c r="AF91" s="17">
        <v>406.07</v>
      </c>
    </row>
    <row r="92" spans="1:32" x14ac:dyDescent="0.25">
      <c r="A92" s="7" t="s">
        <v>1289</v>
      </c>
      <c r="B92" s="9">
        <v>3920472</v>
      </c>
      <c r="C92" s="70">
        <v>44659</v>
      </c>
      <c r="D92" s="70">
        <v>44627</v>
      </c>
      <c r="E92" s="73">
        <v>44628</v>
      </c>
      <c r="F92" s="9" t="s">
        <v>1297</v>
      </c>
      <c r="G92" s="9" t="s">
        <v>1145</v>
      </c>
      <c r="H92" s="9"/>
      <c r="I92" s="7" t="s">
        <v>1298</v>
      </c>
      <c r="J92" s="51" t="s">
        <v>84</v>
      </c>
      <c r="K92" s="7" t="s">
        <v>36</v>
      </c>
      <c r="L92" s="10">
        <v>482.14</v>
      </c>
      <c r="M92" s="10">
        <v>4017.86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33"/>
      <c r="AB92" s="10"/>
      <c r="AC92" s="33">
        <v>4500</v>
      </c>
      <c r="AD92" s="10">
        <f t="shared" si="0"/>
        <v>0</v>
      </c>
      <c r="AE92" s="82"/>
      <c r="AF92" s="17">
        <v>40.18</v>
      </c>
    </row>
    <row r="93" spans="1:32" x14ac:dyDescent="0.25">
      <c r="A93" s="7" t="s">
        <v>1290</v>
      </c>
      <c r="B93" s="9">
        <v>3920473</v>
      </c>
      <c r="C93" s="70">
        <v>44628</v>
      </c>
      <c r="D93" s="70">
        <v>44628</v>
      </c>
      <c r="E93" s="73"/>
      <c r="F93" s="9"/>
      <c r="H93" s="9"/>
      <c r="I93" s="7" t="s">
        <v>1292</v>
      </c>
      <c r="J93" s="51" t="s">
        <v>432</v>
      </c>
      <c r="K93" s="7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>
        <v>3000</v>
      </c>
      <c r="Z93" s="10"/>
      <c r="AA93" s="33"/>
      <c r="AB93" s="10"/>
      <c r="AC93" s="33">
        <v>3000</v>
      </c>
      <c r="AD93" s="10">
        <f t="shared" si="0"/>
        <v>0</v>
      </c>
      <c r="AE93" s="82" t="s">
        <v>1366</v>
      </c>
    </row>
    <row r="94" spans="1:32" x14ac:dyDescent="0.25">
      <c r="A94" s="7" t="s">
        <v>1291</v>
      </c>
      <c r="B94" s="9">
        <v>3920474</v>
      </c>
      <c r="C94" s="70">
        <v>44673</v>
      </c>
      <c r="D94" s="70">
        <v>44628</v>
      </c>
      <c r="E94" s="73">
        <v>44628</v>
      </c>
      <c r="F94" s="9" t="s">
        <v>1295</v>
      </c>
      <c r="G94" s="9" t="s">
        <v>1146</v>
      </c>
      <c r="H94" s="9"/>
      <c r="I94" s="7" t="s">
        <v>1293</v>
      </c>
      <c r="J94" s="51" t="s">
        <v>1038</v>
      </c>
      <c r="K94" s="7" t="s">
        <v>1039</v>
      </c>
      <c r="L94" s="10">
        <v>803.57</v>
      </c>
      <c r="M94" s="10">
        <v>6696.43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33"/>
      <c r="AB94" s="10"/>
      <c r="AC94" s="33">
        <v>7500</v>
      </c>
      <c r="AD94" s="10">
        <f t="shared" si="0"/>
        <v>0</v>
      </c>
      <c r="AE94" s="82"/>
      <c r="AF94" s="17">
        <v>66.959999999999994</v>
      </c>
    </row>
    <row r="95" spans="1:32" x14ac:dyDescent="0.25">
      <c r="A95" s="7" t="s">
        <v>1299</v>
      </c>
      <c r="B95" s="9">
        <v>3920475</v>
      </c>
      <c r="C95" s="70">
        <v>44628</v>
      </c>
      <c r="D95" s="70">
        <v>44628</v>
      </c>
      <c r="E95" s="73">
        <v>44630</v>
      </c>
      <c r="F95" s="9" t="s">
        <v>1306</v>
      </c>
      <c r="G95" s="9" t="s">
        <v>1147</v>
      </c>
      <c r="H95" s="9"/>
      <c r="I95" s="7" t="s">
        <v>1307</v>
      </c>
      <c r="J95" s="51" t="s">
        <v>399</v>
      </c>
      <c r="K95" s="7" t="s">
        <v>400</v>
      </c>
      <c r="L95" s="10">
        <v>642.86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33">
        <v>5357.14</v>
      </c>
      <c r="AB95" s="10"/>
      <c r="AC95" s="33">
        <v>6000</v>
      </c>
      <c r="AD95" s="10">
        <f t="shared" si="0"/>
        <v>0</v>
      </c>
      <c r="AE95" s="82"/>
      <c r="AF95" s="17">
        <v>107.14</v>
      </c>
    </row>
    <row r="96" spans="1:32" x14ac:dyDescent="0.25">
      <c r="A96" s="7" t="s">
        <v>1300</v>
      </c>
      <c r="B96" s="9">
        <v>3920476</v>
      </c>
      <c r="C96" s="70">
        <v>44629</v>
      </c>
      <c r="D96" s="70">
        <v>44629</v>
      </c>
      <c r="E96" s="73"/>
      <c r="F96" s="9"/>
      <c r="H96" s="9"/>
      <c r="I96" s="7" t="s">
        <v>1308</v>
      </c>
      <c r="J96" s="51" t="s">
        <v>43</v>
      </c>
      <c r="K96" s="7"/>
      <c r="L96" s="10">
        <v>151.02000000000001</v>
      </c>
      <c r="M96" s="10"/>
      <c r="N96" s="10"/>
      <c r="O96" s="10"/>
      <c r="P96" s="10"/>
      <c r="Q96" s="10"/>
      <c r="R96" s="10"/>
      <c r="S96" s="10">
        <v>1258.48</v>
      </c>
      <c r="T96" s="10"/>
      <c r="U96" s="10"/>
      <c r="V96" s="10"/>
      <c r="W96" s="10"/>
      <c r="X96" s="10"/>
      <c r="Y96" s="10"/>
      <c r="Z96" s="10"/>
      <c r="AA96" s="33"/>
      <c r="AB96" s="10"/>
      <c r="AC96" s="33">
        <v>1409.5</v>
      </c>
      <c r="AD96" s="10">
        <f t="shared" si="0"/>
        <v>0</v>
      </c>
      <c r="AE96" s="82"/>
    </row>
    <row r="97" spans="1:32" x14ac:dyDescent="0.25">
      <c r="A97" s="7" t="s">
        <v>1301</v>
      </c>
      <c r="B97" s="9">
        <v>3920477</v>
      </c>
      <c r="C97" s="70">
        <v>44629</v>
      </c>
      <c r="D97" s="70">
        <v>44629</v>
      </c>
      <c r="E97" s="73"/>
      <c r="F97" s="9"/>
      <c r="H97" s="9"/>
      <c r="I97" s="7" t="s">
        <v>1308</v>
      </c>
      <c r="J97" s="51" t="s">
        <v>43</v>
      </c>
      <c r="K97" s="7"/>
      <c r="L97" s="10">
        <v>107.04</v>
      </c>
      <c r="M97" s="10"/>
      <c r="N97" s="10"/>
      <c r="O97" s="10"/>
      <c r="P97" s="10"/>
      <c r="Q97" s="10"/>
      <c r="R97" s="10"/>
      <c r="S97" s="10">
        <v>891.96</v>
      </c>
      <c r="T97" s="10"/>
      <c r="U97" s="10"/>
      <c r="V97" s="10"/>
      <c r="W97" s="10"/>
      <c r="X97" s="10"/>
      <c r="Y97" s="10"/>
      <c r="Z97" s="10"/>
      <c r="AA97" s="33"/>
      <c r="AB97" s="10"/>
      <c r="AC97" s="33">
        <v>999</v>
      </c>
      <c r="AD97" s="10">
        <f t="shared" si="0"/>
        <v>0</v>
      </c>
      <c r="AE97" s="82"/>
    </row>
    <row r="98" spans="1:32" x14ac:dyDescent="0.25">
      <c r="A98" s="7" t="s">
        <v>1302</v>
      </c>
      <c r="B98" s="9">
        <v>3920478</v>
      </c>
      <c r="C98" s="70">
        <v>44630</v>
      </c>
      <c r="D98" s="70">
        <v>44630</v>
      </c>
      <c r="E98" s="73"/>
      <c r="F98" s="9"/>
      <c r="H98" s="9" t="s">
        <v>1327</v>
      </c>
      <c r="I98" s="7" t="s">
        <v>1174</v>
      </c>
      <c r="J98" s="51" t="s">
        <v>65</v>
      </c>
      <c r="K98" s="7"/>
      <c r="L98" s="10"/>
      <c r="M98" s="10"/>
      <c r="N98" s="10"/>
      <c r="O98" s="10"/>
      <c r="P98" s="10"/>
      <c r="Q98" s="10"/>
      <c r="R98" s="10"/>
      <c r="S98" s="10"/>
      <c r="T98" s="10">
        <v>7800</v>
      </c>
      <c r="U98" s="10"/>
      <c r="V98" s="10"/>
      <c r="W98" s="10"/>
      <c r="X98" s="10"/>
      <c r="Y98" s="10"/>
      <c r="Z98" s="10"/>
      <c r="AA98" s="33"/>
      <c r="AB98" s="10"/>
      <c r="AC98" s="33">
        <v>7800</v>
      </c>
      <c r="AD98" s="10">
        <f t="shared" si="0"/>
        <v>0</v>
      </c>
      <c r="AE98" s="82"/>
    </row>
    <row r="99" spans="1:32" x14ac:dyDescent="0.25">
      <c r="A99" s="7" t="s">
        <v>1303</v>
      </c>
      <c r="B99" s="9">
        <v>3920479</v>
      </c>
      <c r="C99" s="70">
        <v>44673</v>
      </c>
      <c r="D99" s="70">
        <v>44635</v>
      </c>
      <c r="E99" s="73">
        <v>44642</v>
      </c>
      <c r="F99" s="9" t="s">
        <v>1330</v>
      </c>
      <c r="G99" s="9" t="s">
        <v>1137</v>
      </c>
      <c r="H99" s="9"/>
      <c r="I99" s="7" t="s">
        <v>1319</v>
      </c>
      <c r="J99" s="51" t="s">
        <v>1038</v>
      </c>
      <c r="K99" s="7" t="s">
        <v>1039</v>
      </c>
      <c r="L99" s="10">
        <v>3439.29</v>
      </c>
      <c r="M99" s="10">
        <v>28660.71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33"/>
      <c r="AB99" s="10"/>
      <c r="AC99" s="33">
        <v>32100</v>
      </c>
      <c r="AD99" s="10">
        <f t="shared" si="0"/>
        <v>0</v>
      </c>
      <c r="AE99" s="82"/>
      <c r="AF99" s="17">
        <v>286.61</v>
      </c>
    </row>
    <row r="100" spans="1:32" x14ac:dyDescent="0.25">
      <c r="A100" s="7" t="s">
        <v>1304</v>
      </c>
      <c r="B100" s="9">
        <v>3920480</v>
      </c>
      <c r="C100" s="70">
        <v>44673</v>
      </c>
      <c r="D100" s="70">
        <v>44635</v>
      </c>
      <c r="E100" s="73">
        <v>44642</v>
      </c>
      <c r="F100" s="9" t="s">
        <v>1329</v>
      </c>
      <c r="G100" s="9" t="s">
        <v>1144</v>
      </c>
      <c r="H100" s="9"/>
      <c r="I100" s="7" t="s">
        <v>1318</v>
      </c>
      <c r="J100" s="51" t="s">
        <v>1038</v>
      </c>
      <c r="K100" s="7" t="s">
        <v>1039</v>
      </c>
      <c r="L100" s="10">
        <v>1146.43</v>
      </c>
      <c r="M100" s="10">
        <v>9553.57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33"/>
      <c r="AB100" s="10"/>
      <c r="AC100" s="33">
        <v>10700</v>
      </c>
      <c r="AD100" s="10">
        <f t="shared" si="0"/>
        <v>0</v>
      </c>
      <c r="AE100" s="82"/>
      <c r="AF100" s="17">
        <v>95.54</v>
      </c>
    </row>
    <row r="101" spans="1:32" x14ac:dyDescent="0.25">
      <c r="A101" s="7" t="s">
        <v>1305</v>
      </c>
      <c r="B101" s="9">
        <v>3920481</v>
      </c>
      <c r="C101" s="70">
        <v>44674</v>
      </c>
      <c r="D101" s="70">
        <v>44635</v>
      </c>
      <c r="E101" s="73">
        <v>44680</v>
      </c>
      <c r="F101" s="9" t="s">
        <v>1452</v>
      </c>
      <c r="G101" s="9" t="s">
        <v>1148</v>
      </c>
      <c r="H101" s="9"/>
      <c r="I101" s="7" t="s">
        <v>756</v>
      </c>
      <c r="J101" s="51" t="s">
        <v>37</v>
      </c>
      <c r="K101" s="7" t="s">
        <v>38</v>
      </c>
      <c r="L101" s="10">
        <v>4682.1400000000003</v>
      </c>
      <c r="M101" s="10">
        <v>39017.86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33"/>
      <c r="AB101" s="10"/>
      <c r="AC101" s="33">
        <v>43700</v>
      </c>
      <c r="AD101" s="10">
        <f t="shared" si="0"/>
        <v>0</v>
      </c>
      <c r="AE101" s="82"/>
      <c r="AF101" s="17">
        <v>390.18</v>
      </c>
    </row>
    <row r="102" spans="1:32" x14ac:dyDescent="0.25">
      <c r="A102" s="7" t="s">
        <v>1309</v>
      </c>
      <c r="B102" s="9">
        <v>3920482</v>
      </c>
      <c r="C102" s="70">
        <v>44635</v>
      </c>
      <c r="D102" s="70">
        <v>44635</v>
      </c>
      <c r="E102" s="73"/>
      <c r="F102" s="9"/>
      <c r="H102" s="9" t="s">
        <v>1328</v>
      </c>
      <c r="I102" s="7" t="s">
        <v>58</v>
      </c>
      <c r="J102" s="51" t="s">
        <v>65</v>
      </c>
      <c r="K102" s="7"/>
      <c r="L102" s="10"/>
      <c r="M102" s="10"/>
      <c r="N102" s="10"/>
      <c r="O102" s="10"/>
      <c r="P102" s="10"/>
      <c r="Q102" s="10"/>
      <c r="R102" s="10"/>
      <c r="S102" s="10"/>
      <c r="T102" s="10">
        <v>10973</v>
      </c>
      <c r="U102" s="10"/>
      <c r="V102" s="10"/>
      <c r="W102" s="10"/>
      <c r="X102" s="10"/>
      <c r="Y102" s="10"/>
      <c r="Z102" s="10"/>
      <c r="AA102" s="33"/>
      <c r="AB102" s="10"/>
      <c r="AC102" s="33">
        <v>10973</v>
      </c>
      <c r="AD102" s="10">
        <f t="shared" si="0"/>
        <v>0</v>
      </c>
      <c r="AE102" s="82"/>
    </row>
    <row r="103" spans="1:32" x14ac:dyDescent="0.25">
      <c r="A103" s="7" t="s">
        <v>1310</v>
      </c>
      <c r="B103" s="9">
        <v>3920483</v>
      </c>
      <c r="C103" s="70">
        <v>44635</v>
      </c>
      <c r="D103" s="70">
        <v>44635</v>
      </c>
      <c r="E103" s="73"/>
      <c r="F103" s="9"/>
      <c r="H103" s="9"/>
      <c r="I103" s="7" t="s">
        <v>1316</v>
      </c>
      <c r="J103" s="51" t="s">
        <v>44</v>
      </c>
      <c r="K103" s="7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>
        <v>4541.6400000000003</v>
      </c>
      <c r="Y103" s="10"/>
      <c r="Z103" s="10"/>
      <c r="AA103" s="33"/>
      <c r="AB103" s="10"/>
      <c r="AC103" s="33">
        <v>4541.6400000000003</v>
      </c>
      <c r="AD103" s="10">
        <f t="shared" si="0"/>
        <v>0</v>
      </c>
      <c r="AE103" s="82"/>
    </row>
    <row r="104" spans="1:32" x14ac:dyDescent="0.25">
      <c r="A104" s="7" t="s">
        <v>1311</v>
      </c>
      <c r="B104" s="9">
        <v>3920484</v>
      </c>
      <c r="C104" s="70">
        <v>44635</v>
      </c>
      <c r="D104" s="70">
        <v>44635</v>
      </c>
      <c r="E104" s="73"/>
      <c r="F104" s="9"/>
      <c r="H104" s="9"/>
      <c r="I104" s="7" t="s">
        <v>1317</v>
      </c>
      <c r="J104" s="51" t="s">
        <v>1202</v>
      </c>
      <c r="K104" s="7"/>
      <c r="L104" s="10">
        <v>192.75</v>
      </c>
      <c r="M104" s="10"/>
      <c r="N104" s="10"/>
      <c r="O104" s="10"/>
      <c r="P104" s="10"/>
      <c r="Q104" s="10"/>
      <c r="R104" s="10"/>
      <c r="S104" s="10">
        <v>1606.25</v>
      </c>
      <c r="T104" s="10"/>
      <c r="U104" s="10"/>
      <c r="V104" s="10"/>
      <c r="W104" s="10"/>
      <c r="X104" s="10"/>
      <c r="Y104" s="10"/>
      <c r="Z104" s="10"/>
      <c r="AA104" s="33"/>
      <c r="AB104" s="10"/>
      <c r="AC104" s="33">
        <v>1799</v>
      </c>
      <c r="AD104" s="10">
        <f t="shared" si="0"/>
        <v>0</v>
      </c>
      <c r="AE104" s="82"/>
    </row>
    <row r="105" spans="1:32" x14ac:dyDescent="0.25">
      <c r="A105" s="7" t="s">
        <v>1312</v>
      </c>
      <c r="B105" s="9">
        <v>3920485</v>
      </c>
      <c r="C105" s="70">
        <v>44635</v>
      </c>
      <c r="D105" s="70">
        <v>44635</v>
      </c>
      <c r="E105" s="73"/>
      <c r="F105" s="9"/>
      <c r="H105" s="9"/>
      <c r="I105" s="7" t="s">
        <v>1316</v>
      </c>
      <c r="J105" s="51" t="s">
        <v>1202</v>
      </c>
      <c r="K105" s="7"/>
      <c r="L105" s="10">
        <v>107.04</v>
      </c>
      <c r="M105" s="10"/>
      <c r="N105" s="10"/>
      <c r="O105" s="10"/>
      <c r="P105" s="10"/>
      <c r="Q105" s="10"/>
      <c r="R105" s="10"/>
      <c r="S105" s="10">
        <v>891.96</v>
      </c>
      <c r="T105" s="10"/>
      <c r="U105" s="10"/>
      <c r="V105" s="10"/>
      <c r="W105" s="10"/>
      <c r="X105" s="10"/>
      <c r="Y105" s="10"/>
      <c r="Z105" s="10"/>
      <c r="AA105" s="33"/>
      <c r="AB105" s="10"/>
      <c r="AC105" s="33">
        <v>999</v>
      </c>
      <c r="AD105" s="10">
        <f t="shared" si="0"/>
        <v>0</v>
      </c>
      <c r="AE105" s="82"/>
    </row>
    <row r="106" spans="1:32" x14ac:dyDescent="0.25">
      <c r="A106" s="7" t="s">
        <v>1313</v>
      </c>
      <c r="B106" s="9">
        <v>3920486</v>
      </c>
      <c r="C106" s="70">
        <v>44635</v>
      </c>
      <c r="D106" s="70">
        <v>44635</v>
      </c>
      <c r="E106" s="73"/>
      <c r="F106" s="9"/>
      <c r="H106" s="9"/>
      <c r="I106" s="7" t="s">
        <v>1316</v>
      </c>
      <c r="J106" s="51" t="s">
        <v>1202</v>
      </c>
      <c r="K106" s="7"/>
      <c r="L106" s="10">
        <v>107.04</v>
      </c>
      <c r="M106" s="10"/>
      <c r="N106" s="10"/>
      <c r="O106" s="10"/>
      <c r="P106" s="10"/>
      <c r="Q106" s="10"/>
      <c r="R106" s="10"/>
      <c r="S106" s="10">
        <v>891.96</v>
      </c>
      <c r="T106" s="10"/>
      <c r="U106" s="10"/>
      <c r="V106" s="10"/>
      <c r="W106" s="10"/>
      <c r="X106" s="10"/>
      <c r="Y106" s="10"/>
      <c r="Z106" s="10"/>
      <c r="AA106" s="33"/>
      <c r="AB106" s="10"/>
      <c r="AC106" s="33">
        <v>999</v>
      </c>
      <c r="AD106" s="10">
        <f t="shared" si="0"/>
        <v>0</v>
      </c>
      <c r="AE106" s="82"/>
    </row>
    <row r="107" spans="1:32" x14ac:dyDescent="0.25">
      <c r="A107" s="7" t="s">
        <v>1314</v>
      </c>
      <c r="B107" s="9">
        <v>3920487</v>
      </c>
      <c r="C107" s="70">
        <v>44635</v>
      </c>
      <c r="D107" s="70">
        <v>44635</v>
      </c>
      <c r="E107" s="73"/>
      <c r="F107" s="9"/>
      <c r="H107" s="9"/>
      <c r="I107" s="7" t="s">
        <v>1316</v>
      </c>
      <c r="J107" s="51" t="s">
        <v>1202</v>
      </c>
      <c r="K107" s="7"/>
      <c r="L107" s="10">
        <v>107.04</v>
      </c>
      <c r="M107" s="10"/>
      <c r="N107" s="10"/>
      <c r="O107" s="10"/>
      <c r="P107" s="10"/>
      <c r="Q107" s="10"/>
      <c r="R107" s="10"/>
      <c r="S107" s="10">
        <v>891.96</v>
      </c>
      <c r="T107" s="10"/>
      <c r="U107" s="10"/>
      <c r="V107" s="10"/>
      <c r="W107" s="10"/>
      <c r="X107" s="10"/>
      <c r="Y107" s="10"/>
      <c r="Z107" s="10"/>
      <c r="AA107" s="33"/>
      <c r="AB107" s="10"/>
      <c r="AC107" s="33">
        <v>999</v>
      </c>
      <c r="AD107" s="10">
        <f t="shared" si="0"/>
        <v>0</v>
      </c>
      <c r="AE107" s="82"/>
    </row>
    <row r="108" spans="1:32" x14ac:dyDescent="0.25">
      <c r="A108" s="7" t="s">
        <v>1315</v>
      </c>
      <c r="B108" s="9">
        <v>3920488</v>
      </c>
      <c r="C108" s="70">
        <v>44638</v>
      </c>
      <c r="D108" s="70">
        <v>44638</v>
      </c>
      <c r="E108" s="73"/>
      <c r="F108" s="9"/>
      <c r="H108" s="9"/>
      <c r="I108" s="7" t="s">
        <v>1326</v>
      </c>
      <c r="J108" s="51" t="s">
        <v>1261</v>
      </c>
      <c r="K108" s="7"/>
      <c r="L108" s="10">
        <v>420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33">
        <v>3500</v>
      </c>
      <c r="AB108" s="10"/>
      <c r="AC108" s="33">
        <v>3920</v>
      </c>
      <c r="AD108" s="10">
        <f t="shared" si="0"/>
        <v>0</v>
      </c>
      <c r="AE108" s="82"/>
    </row>
    <row r="109" spans="1:32" x14ac:dyDescent="0.25">
      <c r="A109" s="7" t="s">
        <v>1320</v>
      </c>
      <c r="B109" s="9">
        <v>3920489</v>
      </c>
      <c r="C109" s="70">
        <v>44642</v>
      </c>
      <c r="D109" s="70">
        <v>44642</v>
      </c>
      <c r="E109" s="73">
        <v>44644</v>
      </c>
      <c r="F109" s="9" t="s">
        <v>1332</v>
      </c>
      <c r="H109" s="9"/>
      <c r="I109" s="7" t="s">
        <v>1331</v>
      </c>
      <c r="J109" s="51" t="s">
        <v>1069</v>
      </c>
      <c r="K109" s="7" t="s">
        <v>1070</v>
      </c>
      <c r="L109" s="10">
        <v>1639.29</v>
      </c>
      <c r="M109" s="10">
        <v>13660.71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33"/>
      <c r="AB109" s="10"/>
      <c r="AC109" s="33">
        <v>15300</v>
      </c>
      <c r="AD109" s="10">
        <f t="shared" si="0"/>
        <v>0</v>
      </c>
      <c r="AE109" s="82"/>
    </row>
    <row r="110" spans="1:32" x14ac:dyDescent="0.25">
      <c r="A110" s="7" t="s">
        <v>1321</v>
      </c>
      <c r="B110" s="9">
        <v>3920490</v>
      </c>
      <c r="C110" s="70">
        <v>44642</v>
      </c>
      <c r="D110" s="70">
        <v>44642</v>
      </c>
      <c r="E110" s="73"/>
      <c r="F110" s="9"/>
      <c r="H110" s="9" t="s">
        <v>1333</v>
      </c>
      <c r="I110" s="7" t="s">
        <v>58</v>
      </c>
      <c r="J110" s="51" t="s">
        <v>65</v>
      </c>
      <c r="K110" s="7"/>
      <c r="L110" s="10"/>
      <c r="M110" s="10"/>
      <c r="N110" s="10"/>
      <c r="O110" s="10"/>
      <c r="P110" s="10"/>
      <c r="Q110" s="10"/>
      <c r="R110" s="10"/>
      <c r="S110" s="10"/>
      <c r="T110" s="10">
        <v>11355</v>
      </c>
      <c r="U110" s="10"/>
      <c r="V110" s="10"/>
      <c r="W110" s="10"/>
      <c r="X110" s="10"/>
      <c r="Y110" s="10"/>
      <c r="Z110" s="10"/>
      <c r="AA110" s="33"/>
      <c r="AB110" s="10"/>
      <c r="AC110" s="33">
        <v>11355</v>
      </c>
      <c r="AD110" s="10">
        <f t="shared" si="0"/>
        <v>0</v>
      </c>
      <c r="AE110" s="82"/>
    </row>
    <row r="111" spans="1:32" x14ac:dyDescent="0.25">
      <c r="A111" s="7" t="s">
        <v>1322</v>
      </c>
      <c r="B111" s="9">
        <v>3920491</v>
      </c>
      <c r="C111" s="70">
        <v>44642</v>
      </c>
      <c r="D111" s="70">
        <v>44642</v>
      </c>
      <c r="E111" s="73"/>
      <c r="F111" s="9"/>
      <c r="H111" s="9"/>
      <c r="I111" s="7" t="s">
        <v>1334</v>
      </c>
      <c r="J111" s="51" t="s">
        <v>1202</v>
      </c>
      <c r="K111" s="7"/>
      <c r="L111" s="10">
        <v>1000.39</v>
      </c>
      <c r="M111" s="10"/>
      <c r="N111" s="10"/>
      <c r="O111" s="10"/>
      <c r="P111" s="10"/>
      <c r="Q111" s="10"/>
      <c r="R111" s="10"/>
      <c r="S111" s="10">
        <v>8336.6</v>
      </c>
      <c r="T111" s="10"/>
      <c r="U111" s="10"/>
      <c r="V111" s="10"/>
      <c r="W111" s="10"/>
      <c r="X111" s="10"/>
      <c r="Y111" s="10"/>
      <c r="Z111" s="10"/>
      <c r="AA111" s="33"/>
      <c r="AB111" s="10"/>
      <c r="AC111" s="33">
        <v>9336.99</v>
      </c>
      <c r="AD111" s="10">
        <f t="shared" si="0"/>
        <v>0</v>
      </c>
      <c r="AE111" s="82"/>
    </row>
    <row r="112" spans="1:32" x14ac:dyDescent="0.25">
      <c r="A112" s="7" t="s">
        <v>1323</v>
      </c>
      <c r="B112" s="9">
        <v>3920492</v>
      </c>
      <c r="C112" s="70">
        <v>44687</v>
      </c>
      <c r="D112" s="70">
        <v>44687</v>
      </c>
      <c r="E112" s="73">
        <v>44651</v>
      </c>
      <c r="F112" s="9" t="s">
        <v>1339</v>
      </c>
      <c r="G112" s="9" t="s">
        <v>1151</v>
      </c>
      <c r="H112" s="9"/>
      <c r="I112" s="7" t="s">
        <v>1403</v>
      </c>
      <c r="J112" s="51" t="s">
        <v>1038</v>
      </c>
      <c r="K112" s="7" t="s">
        <v>1039</v>
      </c>
      <c r="L112" s="10">
        <v>4553.57</v>
      </c>
      <c r="M112" s="10">
        <v>37946.43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33"/>
      <c r="AB112" s="10"/>
      <c r="AC112" s="33">
        <v>42500</v>
      </c>
      <c r="AD112" s="10">
        <f t="shared" si="0"/>
        <v>0</v>
      </c>
      <c r="AE112" s="82"/>
      <c r="AF112" s="17">
        <v>379.46</v>
      </c>
    </row>
    <row r="113" spans="1:32" x14ac:dyDescent="0.25">
      <c r="A113" s="7" t="s">
        <v>1324</v>
      </c>
      <c r="B113" s="9">
        <v>3920493</v>
      </c>
      <c r="C113" s="70">
        <v>44676</v>
      </c>
      <c r="D113" s="70">
        <v>44645</v>
      </c>
      <c r="E113" s="73">
        <v>44648</v>
      </c>
      <c r="F113" s="9" t="s">
        <v>1365</v>
      </c>
      <c r="G113" s="9" t="s">
        <v>1152</v>
      </c>
      <c r="H113" s="9"/>
      <c r="I113" s="7" t="s">
        <v>1335</v>
      </c>
      <c r="J113" s="51" t="s">
        <v>83</v>
      </c>
      <c r="K113" s="7" t="s">
        <v>1336</v>
      </c>
      <c r="L113" s="10">
        <v>3000</v>
      </c>
      <c r="M113" s="10">
        <v>25000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33"/>
      <c r="AB113" s="10"/>
      <c r="AC113" s="33">
        <v>28000</v>
      </c>
      <c r="AD113" s="10">
        <f t="shared" si="0"/>
        <v>0</v>
      </c>
      <c r="AE113" s="82"/>
      <c r="AF113" s="17">
        <v>250</v>
      </c>
    </row>
    <row r="114" spans="1:32" x14ac:dyDescent="0.25">
      <c r="A114" s="7" t="s">
        <v>1325</v>
      </c>
      <c r="B114" s="9">
        <v>3920494</v>
      </c>
      <c r="C114" s="70">
        <v>44674</v>
      </c>
      <c r="D114" s="70">
        <v>44645</v>
      </c>
      <c r="E114" s="73">
        <v>44648</v>
      </c>
      <c r="F114" s="9" t="s">
        <v>1338</v>
      </c>
      <c r="G114" s="9" t="s">
        <v>1153</v>
      </c>
      <c r="H114" s="9"/>
      <c r="I114" s="7" t="s">
        <v>1337</v>
      </c>
      <c r="J114" s="51" t="s">
        <v>84</v>
      </c>
      <c r="K114" s="7" t="s">
        <v>36</v>
      </c>
      <c r="L114" s="10">
        <v>278.57</v>
      </c>
      <c r="M114" s="10">
        <v>2321.4299999999998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33"/>
      <c r="AB114" s="10"/>
      <c r="AC114" s="33">
        <v>2600</v>
      </c>
      <c r="AD114" s="10">
        <f t="shared" si="0"/>
        <v>0</v>
      </c>
      <c r="AE114" s="82"/>
      <c r="AF114" s="17">
        <v>23.21</v>
      </c>
    </row>
    <row r="115" spans="1:32" x14ac:dyDescent="0.25">
      <c r="A115" s="7" t="s">
        <v>1340</v>
      </c>
      <c r="B115" s="9">
        <v>3920495</v>
      </c>
      <c r="C115" s="70">
        <v>44642</v>
      </c>
      <c r="D115" s="70">
        <v>44642</v>
      </c>
      <c r="E115" s="73">
        <v>44651</v>
      </c>
      <c r="F115" s="9" t="s">
        <v>1360</v>
      </c>
      <c r="H115" s="9"/>
      <c r="I115" s="7" t="s">
        <v>1359</v>
      </c>
      <c r="J115" s="51" t="s">
        <v>127</v>
      </c>
      <c r="K115" s="7" t="s">
        <v>128</v>
      </c>
      <c r="L115" s="10">
        <v>624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33">
        <v>5200</v>
      </c>
      <c r="AB115" s="10"/>
      <c r="AC115" s="33">
        <v>5824</v>
      </c>
      <c r="AD115" s="10">
        <f t="shared" si="0"/>
        <v>0</v>
      </c>
      <c r="AE115" s="82"/>
    </row>
    <row r="116" spans="1:32" x14ac:dyDescent="0.25">
      <c r="A116" s="7" t="s">
        <v>1341</v>
      </c>
      <c r="B116" s="9">
        <v>3920496</v>
      </c>
      <c r="C116" s="70">
        <v>44648</v>
      </c>
      <c r="D116" s="70">
        <v>44648</v>
      </c>
      <c r="E116" s="73"/>
      <c r="F116" s="9"/>
      <c r="H116" s="9"/>
      <c r="I116" s="7" t="s">
        <v>1361</v>
      </c>
      <c r="J116" s="51" t="s">
        <v>43</v>
      </c>
      <c r="K116" s="7"/>
      <c r="L116" s="10">
        <v>208.96</v>
      </c>
      <c r="M116" s="10"/>
      <c r="N116" s="10"/>
      <c r="O116" s="10"/>
      <c r="P116" s="10"/>
      <c r="Q116" s="10"/>
      <c r="R116" s="10"/>
      <c r="S116" s="10">
        <v>1741.38</v>
      </c>
      <c r="T116" s="10"/>
      <c r="U116" s="10"/>
      <c r="V116" s="10"/>
      <c r="W116" s="10"/>
      <c r="X116" s="10"/>
      <c r="Y116" s="10"/>
      <c r="Z116" s="10"/>
      <c r="AA116" s="33"/>
      <c r="AB116" s="10"/>
      <c r="AC116" s="33">
        <v>1950.34</v>
      </c>
      <c r="AD116" s="10">
        <f t="shared" si="0"/>
        <v>0</v>
      </c>
      <c r="AE116" s="82"/>
    </row>
    <row r="117" spans="1:32" x14ac:dyDescent="0.25">
      <c r="A117" s="7" t="s">
        <v>1342</v>
      </c>
      <c r="B117" s="9">
        <v>3920497</v>
      </c>
      <c r="C117" s="70">
        <v>44688</v>
      </c>
      <c r="D117" s="70">
        <v>44648</v>
      </c>
      <c r="E117" s="73">
        <v>44651</v>
      </c>
      <c r="F117" s="9" t="s">
        <v>1362</v>
      </c>
      <c r="G117" s="9" t="s">
        <v>1150</v>
      </c>
      <c r="H117" s="9"/>
      <c r="I117" s="7" t="s">
        <v>1402</v>
      </c>
      <c r="J117" s="51" t="s">
        <v>1038</v>
      </c>
      <c r="K117" s="7" t="s">
        <v>1039</v>
      </c>
      <c r="L117" s="10">
        <v>1607.14</v>
      </c>
      <c r="M117" s="10">
        <v>13392.86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33"/>
      <c r="AB117" s="10"/>
      <c r="AC117" s="33">
        <v>15000</v>
      </c>
      <c r="AD117" s="10">
        <f t="shared" si="0"/>
        <v>0</v>
      </c>
      <c r="AE117" s="82"/>
      <c r="AF117" s="17">
        <v>133.93</v>
      </c>
    </row>
    <row r="118" spans="1:32" s="39" customFormat="1" x14ac:dyDescent="0.25">
      <c r="A118" s="20"/>
      <c r="B118" s="19"/>
      <c r="C118" s="72"/>
      <c r="D118" s="72"/>
      <c r="E118" s="77"/>
      <c r="F118" s="19"/>
      <c r="G118" s="19"/>
      <c r="H118" s="19"/>
      <c r="I118" s="20"/>
      <c r="J118" s="20"/>
      <c r="K118" s="20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32"/>
      <c r="AB118" s="22"/>
      <c r="AC118" s="32"/>
      <c r="AD118" s="22"/>
      <c r="AE118" s="96"/>
      <c r="AF118" s="35"/>
    </row>
    <row r="119" spans="1:32" s="39" customFormat="1" x14ac:dyDescent="0.25">
      <c r="A119" s="25">
        <v>44652</v>
      </c>
      <c r="B119" s="19"/>
      <c r="C119" s="72"/>
      <c r="D119" s="72"/>
      <c r="E119" s="77"/>
      <c r="F119" s="19"/>
      <c r="G119" s="19"/>
      <c r="H119" s="19"/>
      <c r="I119" s="20"/>
      <c r="J119" s="20"/>
      <c r="K119" s="20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32"/>
      <c r="AB119" s="22"/>
      <c r="AC119" s="32"/>
      <c r="AD119" s="22"/>
      <c r="AE119" s="96"/>
      <c r="AF119" s="35"/>
    </row>
    <row r="120" spans="1:32" x14ac:dyDescent="0.25">
      <c r="A120" s="7"/>
      <c r="C120" s="70"/>
      <c r="D120" s="70"/>
      <c r="E120" s="73"/>
      <c r="F120" s="9"/>
      <c r="H120" s="9"/>
      <c r="I120" s="7" t="s">
        <v>1370</v>
      </c>
      <c r="J120" s="51" t="s">
        <v>132</v>
      </c>
      <c r="K120" s="26"/>
      <c r="L120" s="10"/>
      <c r="M120" s="10"/>
      <c r="N120" s="10"/>
      <c r="O120" s="10"/>
      <c r="P120" s="10"/>
      <c r="Q120" s="98">
        <v>42271.75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33"/>
      <c r="AB120" s="10"/>
      <c r="AC120" s="98">
        <v>42271.75</v>
      </c>
      <c r="AD120" s="10">
        <f>SUM(AB120:AC120)-SUM(L120:AA120)</f>
        <v>0</v>
      </c>
      <c r="AE120" s="82" t="s">
        <v>133</v>
      </c>
    </row>
    <row r="121" spans="1:32" x14ac:dyDescent="0.25">
      <c r="A121" s="7" t="s">
        <v>1343</v>
      </c>
      <c r="B121" s="9">
        <v>3920498</v>
      </c>
      <c r="C121" s="70">
        <v>44652</v>
      </c>
      <c r="D121" s="70">
        <v>44652</v>
      </c>
      <c r="E121" s="73"/>
      <c r="F121" s="9"/>
      <c r="H121" s="9" t="s">
        <v>1396</v>
      </c>
      <c r="I121" s="7" t="s">
        <v>1174</v>
      </c>
      <c r="J121" s="51" t="s">
        <v>65</v>
      </c>
      <c r="K121" s="7"/>
      <c r="L121" s="10"/>
      <c r="M121" s="10"/>
      <c r="N121" s="10"/>
      <c r="O121" s="10"/>
      <c r="P121" s="10"/>
      <c r="Q121" s="10"/>
      <c r="R121" s="10"/>
      <c r="S121" s="10"/>
      <c r="T121" s="10">
        <v>6690</v>
      </c>
      <c r="U121" s="10"/>
      <c r="V121" s="10"/>
      <c r="W121" s="10"/>
      <c r="X121" s="10"/>
      <c r="Y121" s="10"/>
      <c r="Z121" s="10"/>
      <c r="AA121" s="33"/>
      <c r="AB121" s="10"/>
      <c r="AC121" s="33">
        <v>6690</v>
      </c>
      <c r="AD121" s="10">
        <f t="shared" si="0"/>
        <v>0</v>
      </c>
      <c r="AE121" s="82"/>
    </row>
    <row r="122" spans="1:32" x14ac:dyDescent="0.25">
      <c r="A122" s="7" t="s">
        <v>1344</v>
      </c>
      <c r="B122" s="9">
        <v>3920498</v>
      </c>
      <c r="C122" s="70">
        <v>44696</v>
      </c>
      <c r="D122" s="70">
        <v>44652</v>
      </c>
      <c r="E122" s="73">
        <v>44664</v>
      </c>
      <c r="F122" s="9" t="s">
        <v>1390</v>
      </c>
      <c r="G122" s="9" t="s">
        <v>1151</v>
      </c>
      <c r="I122" s="61" t="s">
        <v>1404</v>
      </c>
      <c r="J122" s="51" t="s">
        <v>1038</v>
      </c>
      <c r="K122" s="7" t="s">
        <v>1039</v>
      </c>
      <c r="L122" s="10">
        <v>4553.57</v>
      </c>
      <c r="M122" s="10">
        <v>37946.43</v>
      </c>
      <c r="W122" s="10"/>
      <c r="X122" s="10"/>
      <c r="Y122" s="10"/>
      <c r="Z122" s="10"/>
      <c r="AA122" s="33"/>
      <c r="AB122" s="10"/>
      <c r="AC122" s="33">
        <v>42500</v>
      </c>
      <c r="AD122" s="10">
        <f t="shared" si="0"/>
        <v>0</v>
      </c>
      <c r="AE122" s="82"/>
      <c r="AF122" s="17">
        <v>379.46</v>
      </c>
    </row>
    <row r="123" spans="1:32" x14ac:dyDescent="0.25">
      <c r="A123" s="7" t="s">
        <v>1345</v>
      </c>
      <c r="B123" s="9" t="s">
        <v>1363</v>
      </c>
      <c r="C123" s="70">
        <v>44652</v>
      </c>
      <c r="D123" s="70">
        <v>44652</v>
      </c>
      <c r="E123" s="73"/>
      <c r="F123" s="9"/>
      <c r="H123" s="9"/>
      <c r="I123" s="7" t="s">
        <v>93</v>
      </c>
      <c r="J123" s="51" t="s">
        <v>79</v>
      </c>
      <c r="K123" s="7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20667</v>
      </c>
      <c r="W123" s="10"/>
      <c r="X123" s="10"/>
      <c r="Y123" s="10"/>
      <c r="Z123" s="10"/>
      <c r="AA123" s="33"/>
      <c r="AB123" s="10"/>
      <c r="AC123" s="33">
        <v>20667</v>
      </c>
      <c r="AD123" s="10">
        <f t="shared" si="0"/>
        <v>0</v>
      </c>
      <c r="AE123" s="82"/>
    </row>
    <row r="124" spans="1:32" x14ac:dyDescent="0.25">
      <c r="A124" s="7" t="s">
        <v>1346</v>
      </c>
      <c r="B124" s="9" t="s">
        <v>1364</v>
      </c>
      <c r="C124" s="70">
        <v>44652</v>
      </c>
      <c r="D124" s="70">
        <v>44652</v>
      </c>
      <c r="E124" s="73"/>
      <c r="F124" s="9"/>
      <c r="H124" s="9"/>
      <c r="I124" s="7" t="s">
        <v>55</v>
      </c>
      <c r="J124" s="51" t="s">
        <v>54</v>
      </c>
      <c r="K124" s="7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>
        <v>250000</v>
      </c>
      <c r="AA124" s="33"/>
      <c r="AB124" s="10"/>
      <c r="AC124" s="33">
        <v>250000</v>
      </c>
      <c r="AD124" s="10">
        <f t="shared" si="0"/>
        <v>0</v>
      </c>
      <c r="AE124" s="82"/>
    </row>
    <row r="125" spans="1:32" x14ac:dyDescent="0.25">
      <c r="A125" s="7" t="s">
        <v>1347</v>
      </c>
      <c r="B125" s="9">
        <v>3920500</v>
      </c>
      <c r="C125" s="70">
        <v>44657</v>
      </c>
      <c r="D125" s="70">
        <v>44657</v>
      </c>
      <c r="E125" s="73"/>
      <c r="F125" s="9"/>
      <c r="H125" s="9" t="s">
        <v>1397</v>
      </c>
      <c r="I125" s="7" t="s">
        <v>58</v>
      </c>
      <c r="J125" s="51" t="s">
        <v>65</v>
      </c>
      <c r="K125" s="7"/>
      <c r="L125" s="10"/>
      <c r="M125" s="10"/>
      <c r="N125" s="10"/>
      <c r="O125" s="10"/>
      <c r="P125" s="10"/>
      <c r="Q125" s="10"/>
      <c r="R125" s="10"/>
      <c r="S125" s="10"/>
      <c r="T125" s="10">
        <v>10271.5</v>
      </c>
      <c r="U125" s="10"/>
      <c r="V125" s="10"/>
      <c r="W125" s="10"/>
      <c r="X125" s="10"/>
      <c r="Y125" s="10"/>
      <c r="Z125" s="10"/>
      <c r="AA125" s="33"/>
      <c r="AB125" s="10"/>
      <c r="AC125" s="33">
        <v>10271.5</v>
      </c>
      <c r="AD125" s="10">
        <f t="shared" si="0"/>
        <v>0</v>
      </c>
      <c r="AE125" s="82"/>
    </row>
    <row r="126" spans="1:32" x14ac:dyDescent="0.25">
      <c r="A126" s="7" t="s">
        <v>1348</v>
      </c>
      <c r="B126" s="9">
        <v>3920501</v>
      </c>
      <c r="C126" s="70">
        <v>44657</v>
      </c>
      <c r="D126" s="70">
        <v>44657</v>
      </c>
      <c r="E126" s="73"/>
      <c r="F126" s="9"/>
      <c r="H126" s="9" t="s">
        <v>1395</v>
      </c>
      <c r="I126" s="7" t="s">
        <v>1174</v>
      </c>
      <c r="J126" s="51" t="s">
        <v>65</v>
      </c>
      <c r="K126" s="7"/>
      <c r="L126" s="10"/>
      <c r="M126" s="10"/>
      <c r="N126" s="10"/>
      <c r="O126" s="10"/>
      <c r="P126" s="10"/>
      <c r="Q126" s="10"/>
      <c r="R126" s="10"/>
      <c r="S126" s="10"/>
      <c r="T126" s="10">
        <v>7097</v>
      </c>
      <c r="U126" s="10"/>
      <c r="V126" s="10"/>
      <c r="W126" s="10"/>
      <c r="X126" s="10"/>
      <c r="Y126" s="10"/>
      <c r="Z126" s="10"/>
      <c r="AA126" s="33"/>
      <c r="AB126" s="10"/>
      <c r="AC126" s="33">
        <v>7097</v>
      </c>
      <c r="AD126" s="10">
        <f t="shared" si="0"/>
        <v>0</v>
      </c>
      <c r="AE126" s="82"/>
    </row>
    <row r="127" spans="1:32" x14ac:dyDescent="0.25">
      <c r="A127" s="7" t="s">
        <v>1349</v>
      </c>
      <c r="B127" s="9">
        <v>3920502</v>
      </c>
      <c r="C127" s="70">
        <v>44657</v>
      </c>
      <c r="D127" s="70">
        <v>44657</v>
      </c>
      <c r="E127" s="73"/>
      <c r="F127" s="9"/>
      <c r="H127" s="9"/>
      <c r="I127" s="7" t="s">
        <v>1367</v>
      </c>
      <c r="J127" s="51" t="s">
        <v>1371</v>
      </c>
      <c r="K127" s="7" t="s">
        <v>1372</v>
      </c>
      <c r="L127" s="10">
        <v>705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33">
        <v>5875</v>
      </c>
      <c r="AB127" s="10"/>
      <c r="AC127" s="33">
        <v>7000</v>
      </c>
      <c r="AD127" s="10">
        <f t="shared" si="0"/>
        <v>420</v>
      </c>
      <c r="AE127" s="82" t="s">
        <v>1373</v>
      </c>
    </row>
    <row r="128" spans="1:32" x14ac:dyDescent="0.25">
      <c r="A128" s="7" t="s">
        <v>1350</v>
      </c>
      <c r="B128" s="9">
        <v>3920503</v>
      </c>
      <c r="C128" s="70">
        <v>44698</v>
      </c>
      <c r="D128" s="70">
        <v>44657</v>
      </c>
      <c r="E128" s="73">
        <v>44664</v>
      </c>
      <c r="F128" s="9" t="s">
        <v>1392</v>
      </c>
      <c r="G128" s="9" t="s">
        <v>1137</v>
      </c>
      <c r="H128" s="9"/>
      <c r="I128" s="7" t="s">
        <v>1405</v>
      </c>
      <c r="J128" s="51" t="s">
        <v>1038</v>
      </c>
      <c r="K128" s="7" t="s">
        <v>1039</v>
      </c>
      <c r="L128" s="10">
        <v>4017.86</v>
      </c>
      <c r="M128" s="10">
        <v>33482.14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33"/>
      <c r="AB128" s="10"/>
      <c r="AC128" s="33">
        <v>37500</v>
      </c>
      <c r="AD128" s="10">
        <f t="shared" si="0"/>
        <v>0</v>
      </c>
      <c r="AE128" s="82"/>
      <c r="AF128" s="17">
        <v>334.82</v>
      </c>
    </row>
    <row r="129" spans="1:32" x14ac:dyDescent="0.25">
      <c r="A129" s="7" t="s">
        <v>1351</v>
      </c>
      <c r="B129" s="9">
        <v>3920504</v>
      </c>
      <c r="C129" s="70">
        <v>44688</v>
      </c>
      <c r="D129" s="70">
        <v>44657</v>
      </c>
      <c r="E129" s="73">
        <v>44658</v>
      </c>
      <c r="F129" s="9" t="s">
        <v>1374</v>
      </c>
      <c r="G129" s="9" t="s">
        <v>1155</v>
      </c>
      <c r="H129" s="9"/>
      <c r="I129" s="7" t="s">
        <v>1369</v>
      </c>
      <c r="J129" s="51" t="s">
        <v>84</v>
      </c>
      <c r="K129" s="7" t="s">
        <v>36</v>
      </c>
      <c r="L129" s="10">
        <v>4735.71</v>
      </c>
      <c r="M129" s="10">
        <v>39464.29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33"/>
      <c r="AB129" s="10"/>
      <c r="AC129" s="33">
        <v>44200</v>
      </c>
      <c r="AD129" s="10">
        <f t="shared" si="0"/>
        <v>0</v>
      </c>
      <c r="AE129" s="82"/>
      <c r="AF129" s="17">
        <v>394.64</v>
      </c>
    </row>
    <row r="130" spans="1:32" x14ac:dyDescent="0.25">
      <c r="A130" s="7" t="s">
        <v>1352</v>
      </c>
      <c r="B130" s="9">
        <v>3920505</v>
      </c>
      <c r="C130" s="70">
        <v>44701</v>
      </c>
      <c r="D130" s="70">
        <v>44657</v>
      </c>
      <c r="E130" s="73">
        <v>44664</v>
      </c>
      <c r="F130" s="9" t="s">
        <v>1391</v>
      </c>
      <c r="G130" s="9" t="s">
        <v>1168</v>
      </c>
      <c r="H130" s="9"/>
      <c r="I130" s="7" t="s">
        <v>1368</v>
      </c>
      <c r="J130" s="51" t="s">
        <v>1226</v>
      </c>
      <c r="K130" s="7" t="s">
        <v>1039</v>
      </c>
      <c r="L130" s="10">
        <v>2410.71</v>
      </c>
      <c r="M130" s="10">
        <v>20089.29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33"/>
      <c r="AB130" s="10"/>
      <c r="AC130" s="33">
        <v>22500</v>
      </c>
      <c r="AD130" s="10">
        <f t="shared" si="0"/>
        <v>0</v>
      </c>
      <c r="AE130" s="82"/>
      <c r="AF130" s="17">
        <v>200.89</v>
      </c>
    </row>
    <row r="131" spans="1:32" x14ac:dyDescent="0.25">
      <c r="A131" s="7" t="s">
        <v>1353</v>
      </c>
      <c r="B131" s="9" t="s">
        <v>1387</v>
      </c>
      <c r="C131" s="70">
        <v>44659</v>
      </c>
      <c r="D131" s="70">
        <v>44659</v>
      </c>
      <c r="E131" s="73">
        <v>44670</v>
      </c>
      <c r="F131" s="9" t="s">
        <v>1419</v>
      </c>
      <c r="G131" s="9" t="s">
        <v>1169</v>
      </c>
      <c r="H131" s="9"/>
      <c r="I131" s="7" t="s">
        <v>1388</v>
      </c>
      <c r="J131" s="51" t="s">
        <v>121</v>
      </c>
      <c r="K131" s="7" t="s">
        <v>122</v>
      </c>
      <c r="L131" s="10">
        <v>2073.21</v>
      </c>
      <c r="M131" s="10">
        <v>17276.79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33"/>
      <c r="AB131" s="10"/>
      <c r="AC131" s="33">
        <v>19350</v>
      </c>
      <c r="AD131" s="10">
        <f t="shared" si="0"/>
        <v>0</v>
      </c>
      <c r="AE131" s="82"/>
      <c r="AF131" s="17">
        <v>172.77</v>
      </c>
    </row>
    <row r="132" spans="1:32" x14ac:dyDescent="0.25">
      <c r="A132" s="7" t="s">
        <v>1354</v>
      </c>
      <c r="B132" s="9">
        <v>3920506</v>
      </c>
      <c r="C132" s="70">
        <v>44662</v>
      </c>
      <c r="D132" s="70">
        <v>44662</v>
      </c>
      <c r="E132" s="73"/>
      <c r="F132" s="9"/>
      <c r="H132" s="9"/>
      <c r="I132" s="7" t="s">
        <v>1417</v>
      </c>
      <c r="J132" s="51" t="s">
        <v>1417</v>
      </c>
      <c r="K132" s="7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33"/>
      <c r="AB132" s="10"/>
      <c r="AC132" s="33"/>
      <c r="AD132" s="10">
        <f t="shared" si="0"/>
        <v>0</v>
      </c>
      <c r="AE132" s="82"/>
    </row>
    <row r="133" spans="1:32" x14ac:dyDescent="0.25">
      <c r="A133" s="7" t="s">
        <v>1355</v>
      </c>
      <c r="B133" s="9">
        <v>3920507</v>
      </c>
      <c r="C133" s="70">
        <v>44662</v>
      </c>
      <c r="D133" s="70">
        <v>44662</v>
      </c>
      <c r="E133" s="73"/>
      <c r="F133" s="9"/>
      <c r="H133" s="9"/>
      <c r="I133" s="7" t="s">
        <v>1378</v>
      </c>
      <c r="J133" s="51" t="s">
        <v>18</v>
      </c>
      <c r="K133" s="7"/>
      <c r="L133" s="10">
        <v>151.09</v>
      </c>
      <c r="M133" s="10"/>
      <c r="N133" s="10"/>
      <c r="O133" s="10"/>
      <c r="P133" s="10"/>
      <c r="Q133" s="10"/>
      <c r="R133" s="10">
        <v>1259.06</v>
      </c>
      <c r="S133" s="10"/>
      <c r="T133" s="10"/>
      <c r="U133" s="10"/>
      <c r="V133" s="10"/>
      <c r="W133" s="10"/>
      <c r="X133" s="10"/>
      <c r="Y133" s="10"/>
      <c r="Z133" s="10"/>
      <c r="AA133" s="33"/>
      <c r="AB133" s="10"/>
      <c r="AC133" s="33">
        <v>1410.15</v>
      </c>
      <c r="AD133" s="10">
        <f t="shared" si="0"/>
        <v>0</v>
      </c>
      <c r="AE133" s="82"/>
    </row>
    <row r="134" spans="1:32" x14ac:dyDescent="0.25">
      <c r="A134" s="7" t="s">
        <v>1356</v>
      </c>
      <c r="B134" s="9">
        <v>3920508</v>
      </c>
      <c r="C134" s="70">
        <v>44662</v>
      </c>
      <c r="D134" s="70">
        <v>44662</v>
      </c>
      <c r="E134" s="73"/>
      <c r="F134" s="9"/>
      <c r="H134" s="9"/>
      <c r="I134" s="7" t="s">
        <v>1378</v>
      </c>
      <c r="J134" s="51" t="s">
        <v>18</v>
      </c>
      <c r="K134" s="7"/>
      <c r="L134" s="10">
        <v>811.09</v>
      </c>
      <c r="M134" s="10"/>
      <c r="N134" s="10"/>
      <c r="O134" s="10"/>
      <c r="P134" s="10"/>
      <c r="Q134" s="10"/>
      <c r="R134" s="10">
        <v>6759.06</v>
      </c>
      <c r="S134" s="10"/>
      <c r="T134" s="10"/>
      <c r="U134" s="10"/>
      <c r="V134" s="10"/>
      <c r="W134" s="10"/>
      <c r="X134" s="10"/>
      <c r="Y134" s="10"/>
      <c r="Z134" s="10"/>
      <c r="AA134" s="33"/>
      <c r="AB134" s="10"/>
      <c r="AC134" s="33">
        <v>7570.15</v>
      </c>
      <c r="AD134" s="10">
        <f t="shared" si="0"/>
        <v>0</v>
      </c>
      <c r="AE134" s="82"/>
    </row>
    <row r="135" spans="1:32" x14ac:dyDescent="0.25">
      <c r="A135" s="7" t="s">
        <v>1357</v>
      </c>
      <c r="B135" s="9">
        <v>3920509</v>
      </c>
      <c r="C135" s="70">
        <v>44662</v>
      </c>
      <c r="D135" s="70">
        <v>44662</v>
      </c>
      <c r="E135" s="73"/>
      <c r="F135" s="9"/>
      <c r="H135" s="9"/>
      <c r="I135" s="7" t="s">
        <v>1379</v>
      </c>
      <c r="J135" s="51" t="s">
        <v>1235</v>
      </c>
      <c r="K135" s="7"/>
      <c r="L135" s="10">
        <v>148.61000000000001</v>
      </c>
      <c r="M135" s="10"/>
      <c r="N135" s="10"/>
      <c r="O135" s="10"/>
      <c r="P135" s="10"/>
      <c r="Q135" s="10"/>
      <c r="R135" s="10"/>
      <c r="S135" s="10">
        <v>1238.3800000000001</v>
      </c>
      <c r="T135" s="10"/>
      <c r="U135" s="10"/>
      <c r="V135" s="10"/>
      <c r="W135" s="10"/>
      <c r="X135" s="10"/>
      <c r="Y135" s="10"/>
      <c r="Z135" s="10"/>
      <c r="AA135" s="33"/>
      <c r="AB135" s="10"/>
      <c r="AC135" s="33">
        <v>1386.99</v>
      </c>
      <c r="AD135" s="10">
        <f t="shared" si="0"/>
        <v>0</v>
      </c>
      <c r="AE135" s="82"/>
    </row>
    <row r="136" spans="1:32" x14ac:dyDescent="0.25">
      <c r="A136" s="7" t="s">
        <v>1358</v>
      </c>
      <c r="B136" s="9">
        <v>3920511</v>
      </c>
      <c r="C136" s="70">
        <v>44662</v>
      </c>
      <c r="D136" s="70">
        <v>44662</v>
      </c>
      <c r="E136" s="73"/>
      <c r="F136" s="9"/>
      <c r="H136" s="9"/>
      <c r="I136" s="7" t="s">
        <v>1379</v>
      </c>
      <c r="J136" s="51" t="s">
        <v>1235</v>
      </c>
      <c r="K136" s="7"/>
      <c r="L136" s="10">
        <v>107.04</v>
      </c>
      <c r="M136" s="10"/>
      <c r="N136" s="10"/>
      <c r="O136" s="10"/>
      <c r="P136" s="10"/>
      <c r="Q136" s="10"/>
      <c r="R136" s="10"/>
      <c r="S136" s="10">
        <v>891.96</v>
      </c>
      <c r="T136" s="10"/>
      <c r="U136" s="10"/>
      <c r="V136" s="10"/>
      <c r="W136" s="10"/>
      <c r="X136" s="10"/>
      <c r="Y136" s="10"/>
      <c r="Z136" s="10"/>
      <c r="AA136" s="33"/>
      <c r="AB136" s="10"/>
      <c r="AC136" s="33">
        <v>999</v>
      </c>
      <c r="AD136" s="10">
        <f t="shared" si="0"/>
        <v>0</v>
      </c>
      <c r="AE136" s="82"/>
    </row>
    <row r="137" spans="1:32" x14ac:dyDescent="0.25">
      <c r="A137" s="7" t="s">
        <v>1380</v>
      </c>
      <c r="B137" s="9">
        <v>3920512</v>
      </c>
      <c r="C137" s="70">
        <v>44662</v>
      </c>
      <c r="D137" s="70">
        <v>44662</v>
      </c>
      <c r="E137" s="73">
        <v>44663</v>
      </c>
      <c r="F137" s="9" t="s">
        <v>1393</v>
      </c>
      <c r="G137" s="9" t="s">
        <v>1117</v>
      </c>
      <c r="H137" s="9"/>
      <c r="I137" s="7" t="s">
        <v>1386</v>
      </c>
      <c r="J137" s="51" t="s">
        <v>109</v>
      </c>
      <c r="K137" s="7"/>
      <c r="L137" s="10"/>
      <c r="M137" s="10">
        <v>17190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33"/>
      <c r="AB137" s="10"/>
      <c r="AC137" s="33">
        <v>17190</v>
      </c>
      <c r="AD137" s="10">
        <f t="shared" si="0"/>
        <v>0</v>
      </c>
      <c r="AE137" s="82"/>
    </row>
    <row r="138" spans="1:32" x14ac:dyDescent="0.25">
      <c r="A138" s="7" t="s">
        <v>1381</v>
      </c>
      <c r="B138" s="9">
        <v>3920513</v>
      </c>
      <c r="C138" s="70">
        <v>44699</v>
      </c>
      <c r="D138" s="70">
        <v>44664</v>
      </c>
      <c r="E138" s="73">
        <v>44670</v>
      </c>
      <c r="F138" s="9" t="s">
        <v>1401</v>
      </c>
      <c r="G138" s="9" t="s">
        <v>1171</v>
      </c>
      <c r="H138" s="9"/>
      <c r="I138" s="7" t="s">
        <v>1400</v>
      </c>
      <c r="J138" s="51" t="s">
        <v>84</v>
      </c>
      <c r="K138" s="7" t="s">
        <v>36</v>
      </c>
      <c r="L138" s="10">
        <v>803.57</v>
      </c>
      <c r="M138" s="10">
        <v>6696.43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33"/>
      <c r="AB138" s="10"/>
      <c r="AC138" s="33">
        <v>7500</v>
      </c>
      <c r="AD138" s="10">
        <f t="shared" si="0"/>
        <v>0</v>
      </c>
      <c r="AE138" s="82"/>
      <c r="AF138" s="17">
        <v>66.959999999999994</v>
      </c>
    </row>
    <row r="139" spans="1:32" x14ac:dyDescent="0.25">
      <c r="A139" s="7" t="s">
        <v>1382</v>
      </c>
      <c r="B139" s="9">
        <v>3920514</v>
      </c>
      <c r="C139" s="70">
        <v>44664</v>
      </c>
      <c r="D139" s="70">
        <v>44664</v>
      </c>
      <c r="E139" s="73">
        <v>44669</v>
      </c>
      <c r="F139" s="9" t="s">
        <v>1559</v>
      </c>
      <c r="G139" s="9" t="s">
        <v>1170</v>
      </c>
      <c r="H139" s="9"/>
      <c r="I139" s="7" t="s">
        <v>1394</v>
      </c>
      <c r="J139" s="51" t="s">
        <v>109</v>
      </c>
      <c r="K139" s="7"/>
      <c r="L139" s="10"/>
      <c r="M139" s="10">
        <v>1100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33"/>
      <c r="AB139" s="10"/>
      <c r="AC139" s="33">
        <v>1100</v>
      </c>
      <c r="AD139" s="10">
        <f t="shared" si="0"/>
        <v>0</v>
      </c>
      <c r="AE139" s="82"/>
    </row>
    <row r="140" spans="1:32" x14ac:dyDescent="0.25">
      <c r="A140" s="7" t="s">
        <v>1383</v>
      </c>
      <c r="B140" s="9">
        <v>3920516</v>
      </c>
      <c r="C140" s="70">
        <v>44664</v>
      </c>
      <c r="D140" s="70">
        <v>44664</v>
      </c>
      <c r="E140" s="73"/>
      <c r="F140" s="9"/>
      <c r="H140" s="9" t="s">
        <v>1398</v>
      </c>
      <c r="I140" s="7" t="s">
        <v>58</v>
      </c>
      <c r="J140" s="51" t="s">
        <v>65</v>
      </c>
      <c r="K140" s="7"/>
      <c r="L140" s="10"/>
      <c r="M140" s="10"/>
      <c r="N140" s="10"/>
      <c r="O140" s="10"/>
      <c r="P140" s="10"/>
      <c r="Q140" s="10"/>
      <c r="R140" s="10"/>
      <c r="S140" s="10"/>
      <c r="T140" s="10">
        <v>10965</v>
      </c>
      <c r="U140" s="10"/>
      <c r="V140" s="10"/>
      <c r="W140" s="10"/>
      <c r="X140" s="10"/>
      <c r="Y140" s="10"/>
      <c r="Z140" s="10"/>
      <c r="AA140" s="33"/>
      <c r="AB140" s="10"/>
      <c r="AC140" s="33">
        <v>10965</v>
      </c>
      <c r="AD140" s="10">
        <f t="shared" si="0"/>
        <v>0</v>
      </c>
      <c r="AE140" s="82"/>
    </row>
    <row r="141" spans="1:32" x14ac:dyDescent="0.25">
      <c r="A141" s="7" t="s">
        <v>1384</v>
      </c>
      <c r="B141" s="9">
        <v>3920517</v>
      </c>
      <c r="C141" s="70">
        <v>44664</v>
      </c>
      <c r="D141" s="70">
        <v>44664</v>
      </c>
      <c r="E141" s="73"/>
      <c r="F141" s="9"/>
      <c r="H141" s="9" t="s">
        <v>1399</v>
      </c>
      <c r="I141" s="7" t="s">
        <v>1174</v>
      </c>
      <c r="J141" s="51" t="s">
        <v>65</v>
      </c>
      <c r="K141" s="7"/>
      <c r="L141" s="10"/>
      <c r="M141" s="10"/>
      <c r="N141" s="10"/>
      <c r="O141" s="10"/>
      <c r="P141" s="10"/>
      <c r="Q141" s="10"/>
      <c r="R141" s="10"/>
      <c r="S141" s="10"/>
      <c r="T141" s="10">
        <v>4199</v>
      </c>
      <c r="U141" s="10"/>
      <c r="V141" s="10"/>
      <c r="W141" s="10"/>
      <c r="X141" s="10"/>
      <c r="Y141" s="10"/>
      <c r="Z141" s="10"/>
      <c r="AA141" s="33"/>
      <c r="AB141" s="10"/>
      <c r="AC141" s="33">
        <v>4199</v>
      </c>
      <c r="AD141" s="10">
        <f t="shared" si="0"/>
        <v>0</v>
      </c>
      <c r="AE141" s="82"/>
    </row>
    <row r="142" spans="1:32" x14ac:dyDescent="0.25">
      <c r="A142" s="7" t="s">
        <v>1385</v>
      </c>
      <c r="B142" s="9">
        <v>3920518</v>
      </c>
      <c r="C142" s="70">
        <v>44670</v>
      </c>
      <c r="D142" s="70">
        <v>44670</v>
      </c>
      <c r="E142" s="73">
        <v>44663</v>
      </c>
      <c r="F142" s="9" t="s">
        <v>1389</v>
      </c>
      <c r="H142" s="9"/>
      <c r="I142" s="7" t="s">
        <v>1375</v>
      </c>
      <c r="J142" s="51" t="s">
        <v>1376</v>
      </c>
      <c r="K142" s="7" t="s">
        <v>1377</v>
      </c>
      <c r="L142" s="10">
        <v>1037.1400000000001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33">
        <v>8642.86</v>
      </c>
      <c r="AB142" s="10"/>
      <c r="AC142" s="33">
        <v>9680</v>
      </c>
      <c r="AD142" s="10">
        <f t="shared" si="0"/>
        <v>0</v>
      </c>
      <c r="AE142" s="82"/>
      <c r="AF142" s="17">
        <v>86.43</v>
      </c>
    </row>
    <row r="143" spans="1:32" x14ac:dyDescent="0.25">
      <c r="A143" s="7" t="s">
        <v>1406</v>
      </c>
      <c r="B143" s="9">
        <v>3920519</v>
      </c>
      <c r="C143" s="70">
        <v>44709</v>
      </c>
      <c r="D143" s="70">
        <v>44670</v>
      </c>
      <c r="E143" s="73">
        <v>44677</v>
      </c>
      <c r="F143" s="9" t="s">
        <v>1424</v>
      </c>
      <c r="G143" s="9" t="s">
        <v>1137</v>
      </c>
      <c r="H143" s="9"/>
      <c r="I143" s="7" t="s">
        <v>1418</v>
      </c>
      <c r="J143" s="51" t="s">
        <v>1226</v>
      </c>
      <c r="K143" s="7" t="s">
        <v>1039</v>
      </c>
      <c r="L143" s="10">
        <v>6428.57</v>
      </c>
      <c r="M143" s="10">
        <v>53571.43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33"/>
      <c r="AB143" s="10"/>
      <c r="AC143" s="33">
        <v>60000</v>
      </c>
      <c r="AD143" s="10">
        <f t="shared" si="0"/>
        <v>0</v>
      </c>
      <c r="AE143" s="82"/>
      <c r="AF143" s="17">
        <v>535.71</v>
      </c>
    </row>
    <row r="144" spans="1:32" x14ac:dyDescent="0.25">
      <c r="A144" s="7" t="s">
        <v>1407</v>
      </c>
      <c r="B144" s="9">
        <v>3920520</v>
      </c>
      <c r="C144" s="70">
        <v>44670</v>
      </c>
      <c r="D144" s="70">
        <v>44670</v>
      </c>
      <c r="E144" s="73"/>
      <c r="F144" s="9"/>
      <c r="H144" s="9"/>
      <c r="I144" s="7" t="s">
        <v>1420</v>
      </c>
      <c r="J144" s="51" t="s">
        <v>44</v>
      </c>
      <c r="K144" s="7"/>
      <c r="L144" s="10">
        <v>579.94000000000005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>
        <v>4832.84</v>
      </c>
      <c r="Y144" s="10"/>
      <c r="Z144" s="10"/>
      <c r="AA144" s="33"/>
      <c r="AB144" s="10"/>
      <c r="AC144" s="33">
        <v>5412.78</v>
      </c>
      <c r="AD144" s="10">
        <f t="shared" si="0"/>
        <v>0</v>
      </c>
      <c r="AE144" s="82"/>
    </row>
    <row r="145" spans="1:32" x14ac:dyDescent="0.25">
      <c r="A145" s="7" t="s">
        <v>1408</v>
      </c>
      <c r="B145" s="9">
        <v>3920521</v>
      </c>
      <c r="C145" s="70">
        <v>44670</v>
      </c>
      <c r="D145" s="70">
        <v>44670</v>
      </c>
      <c r="E145" s="73"/>
      <c r="F145" s="9"/>
      <c r="H145" s="9"/>
      <c r="I145" s="7" t="s">
        <v>1421</v>
      </c>
      <c r="J145" s="51" t="s">
        <v>1202</v>
      </c>
      <c r="K145" s="7"/>
      <c r="L145" s="10">
        <v>192.75</v>
      </c>
      <c r="M145" s="10"/>
      <c r="N145" s="10"/>
      <c r="O145" s="10"/>
      <c r="P145" s="10"/>
      <c r="Q145" s="10"/>
      <c r="R145" s="10"/>
      <c r="S145" s="10">
        <v>1606.25</v>
      </c>
      <c r="T145" s="10"/>
      <c r="U145" s="10"/>
      <c r="V145" s="10"/>
      <c r="W145" s="10"/>
      <c r="X145" s="10"/>
      <c r="Y145" s="10"/>
      <c r="Z145" s="10"/>
      <c r="AA145" s="33"/>
      <c r="AB145" s="10"/>
      <c r="AC145" s="33">
        <v>1799</v>
      </c>
      <c r="AD145" s="10">
        <f t="shared" si="0"/>
        <v>0</v>
      </c>
      <c r="AE145" s="82"/>
    </row>
    <row r="146" spans="1:32" x14ac:dyDescent="0.25">
      <c r="A146" s="7" t="s">
        <v>1409</v>
      </c>
      <c r="B146" s="9">
        <v>3920522</v>
      </c>
      <c r="C146" s="70">
        <v>44670</v>
      </c>
      <c r="D146" s="70">
        <v>44670</v>
      </c>
      <c r="E146" s="73"/>
      <c r="F146" s="9"/>
      <c r="H146" s="9"/>
      <c r="I146" s="7" t="s">
        <v>1420</v>
      </c>
      <c r="J146" s="51" t="s">
        <v>1202</v>
      </c>
      <c r="K146" s="7"/>
      <c r="L146" s="10">
        <v>107.04</v>
      </c>
      <c r="M146" s="10"/>
      <c r="N146" s="10"/>
      <c r="O146" s="10"/>
      <c r="P146" s="10"/>
      <c r="Q146" s="10"/>
      <c r="R146" s="10"/>
      <c r="S146" s="10">
        <v>891.96</v>
      </c>
      <c r="T146" s="10"/>
      <c r="U146" s="10"/>
      <c r="V146" s="10"/>
      <c r="W146" s="10"/>
      <c r="X146" s="10"/>
      <c r="Y146" s="10"/>
      <c r="Z146" s="10"/>
      <c r="AA146" s="33"/>
      <c r="AB146" s="10"/>
      <c r="AC146" s="33">
        <v>999</v>
      </c>
      <c r="AD146" s="10">
        <f t="shared" si="0"/>
        <v>0</v>
      </c>
      <c r="AE146" s="82"/>
    </row>
    <row r="147" spans="1:32" x14ac:dyDescent="0.25">
      <c r="A147" s="7" t="s">
        <v>1410</v>
      </c>
      <c r="B147" s="9">
        <v>3920523</v>
      </c>
      <c r="C147" s="70">
        <v>44670</v>
      </c>
      <c r="D147" s="70">
        <v>44670</v>
      </c>
      <c r="E147" s="73"/>
      <c r="F147" s="9"/>
      <c r="H147" s="9"/>
      <c r="I147" s="7" t="s">
        <v>1420</v>
      </c>
      <c r="J147" s="51" t="s">
        <v>1202</v>
      </c>
      <c r="K147" s="7"/>
      <c r="L147" s="10">
        <v>107.04</v>
      </c>
      <c r="M147" s="10"/>
      <c r="N147" s="10"/>
      <c r="O147" s="10"/>
      <c r="P147" s="10"/>
      <c r="Q147" s="10"/>
      <c r="R147" s="10"/>
      <c r="S147" s="10">
        <v>891.96</v>
      </c>
      <c r="T147" s="10"/>
      <c r="U147" s="10"/>
      <c r="V147" s="10"/>
      <c r="W147" s="10"/>
      <c r="X147" s="10"/>
      <c r="Y147" s="10"/>
      <c r="Z147" s="10"/>
      <c r="AA147" s="33"/>
      <c r="AB147" s="10"/>
      <c r="AC147" s="33">
        <v>999</v>
      </c>
      <c r="AD147" s="10">
        <f t="shared" si="0"/>
        <v>0</v>
      </c>
      <c r="AE147" s="82"/>
    </row>
    <row r="148" spans="1:32" x14ac:dyDescent="0.25">
      <c r="A148" s="7" t="s">
        <v>1411</v>
      </c>
      <c r="B148" s="9">
        <v>3920524</v>
      </c>
      <c r="C148" s="70">
        <v>44670</v>
      </c>
      <c r="D148" s="70">
        <v>44670</v>
      </c>
      <c r="E148" s="73"/>
      <c r="F148" s="9"/>
      <c r="H148" s="9"/>
      <c r="I148" s="7" t="s">
        <v>1420</v>
      </c>
      <c r="J148" s="51" t="s">
        <v>1202</v>
      </c>
      <c r="K148" s="7"/>
      <c r="L148" s="10">
        <v>107.04</v>
      </c>
      <c r="M148" s="10"/>
      <c r="N148" s="10"/>
      <c r="O148" s="10"/>
      <c r="P148" s="10"/>
      <c r="Q148" s="10"/>
      <c r="R148" s="10"/>
      <c r="S148" s="10">
        <v>891.96</v>
      </c>
      <c r="T148" s="10"/>
      <c r="U148" s="10"/>
      <c r="V148" s="10"/>
      <c r="W148" s="10"/>
      <c r="X148" s="10"/>
      <c r="Y148" s="10"/>
      <c r="Z148" s="10"/>
      <c r="AA148" s="33"/>
      <c r="AB148" s="10"/>
      <c r="AC148" s="33">
        <v>999</v>
      </c>
      <c r="AD148" s="10">
        <f t="shared" si="0"/>
        <v>0</v>
      </c>
      <c r="AE148" s="82"/>
    </row>
    <row r="149" spans="1:32" x14ac:dyDescent="0.25">
      <c r="A149" s="7" t="s">
        <v>1412</v>
      </c>
      <c r="B149" s="9">
        <v>3920525</v>
      </c>
      <c r="C149" s="70">
        <v>44673</v>
      </c>
      <c r="D149" s="70">
        <v>44673</v>
      </c>
      <c r="E149" s="73">
        <v>44677</v>
      </c>
      <c r="F149" s="9" t="s">
        <v>1445</v>
      </c>
      <c r="H149" s="9"/>
      <c r="I149" s="7" t="s">
        <v>1423</v>
      </c>
      <c r="J149" s="51" t="s">
        <v>127</v>
      </c>
      <c r="K149" s="7" t="s">
        <v>128</v>
      </c>
      <c r="L149" s="10">
        <v>528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33">
        <v>5945</v>
      </c>
      <c r="AB149" s="10"/>
      <c r="AC149" s="33">
        <v>6473</v>
      </c>
      <c r="AD149" s="10">
        <f t="shared" si="0"/>
        <v>0</v>
      </c>
      <c r="AE149" s="82"/>
    </row>
    <row r="150" spans="1:32" x14ac:dyDescent="0.25">
      <c r="A150" s="7" t="s">
        <v>1413</v>
      </c>
      <c r="B150" s="9">
        <v>3920526</v>
      </c>
      <c r="C150" s="70">
        <v>44673</v>
      </c>
      <c r="D150" s="70">
        <v>44673</v>
      </c>
      <c r="E150" s="73">
        <v>44676</v>
      </c>
      <c r="F150" s="9" t="s">
        <v>1560</v>
      </c>
      <c r="H150" s="9"/>
      <c r="I150" s="7" t="s">
        <v>1422</v>
      </c>
      <c r="J150" s="51" t="s">
        <v>109</v>
      </c>
      <c r="K150" s="7"/>
      <c r="L150" s="10"/>
      <c r="M150" s="10">
        <v>3600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33"/>
      <c r="AB150" s="10"/>
      <c r="AC150" s="33">
        <v>3600</v>
      </c>
      <c r="AD150" s="10">
        <f t="shared" si="0"/>
        <v>0</v>
      </c>
      <c r="AE150" s="82"/>
    </row>
    <row r="151" spans="1:32" x14ac:dyDescent="0.25">
      <c r="A151" s="7" t="s">
        <v>1414</v>
      </c>
      <c r="B151" s="9">
        <v>3920527</v>
      </c>
      <c r="C151" s="70">
        <v>44677</v>
      </c>
      <c r="D151" s="70">
        <v>44677</v>
      </c>
      <c r="E151" s="73">
        <v>44678</v>
      </c>
      <c r="F151" s="9" t="s">
        <v>1450</v>
      </c>
      <c r="H151" s="9"/>
      <c r="I151" s="7" t="s">
        <v>1443</v>
      </c>
      <c r="J151" s="51" t="s">
        <v>1376</v>
      </c>
      <c r="K151" s="7"/>
      <c r="L151" s="10">
        <v>36.96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33">
        <v>308.04000000000002</v>
      </c>
      <c r="AB151" s="10"/>
      <c r="AC151" s="33">
        <v>345</v>
      </c>
      <c r="AD151" s="10">
        <f t="shared" si="0"/>
        <v>0</v>
      </c>
      <c r="AE151" s="82"/>
      <c r="AF151" s="17">
        <v>3.08</v>
      </c>
    </row>
    <row r="152" spans="1:32" x14ac:dyDescent="0.25">
      <c r="A152" s="7" t="s">
        <v>1415</v>
      </c>
      <c r="B152" s="9">
        <v>3920528</v>
      </c>
      <c r="C152" s="70">
        <v>44677</v>
      </c>
      <c r="D152" s="70">
        <v>44677</v>
      </c>
      <c r="E152" s="73"/>
      <c r="F152" s="9"/>
      <c r="H152" s="9" t="s">
        <v>1444</v>
      </c>
      <c r="I152" s="7" t="s">
        <v>114</v>
      </c>
      <c r="J152" s="51" t="s">
        <v>65</v>
      </c>
      <c r="K152" s="7"/>
      <c r="L152" s="10"/>
      <c r="M152" s="10"/>
      <c r="N152" s="10"/>
      <c r="O152" s="10"/>
      <c r="P152" s="10"/>
      <c r="Q152" s="10"/>
      <c r="R152" s="10"/>
      <c r="S152" s="10"/>
      <c r="T152" s="10">
        <v>7440.34</v>
      </c>
      <c r="U152" s="10"/>
      <c r="V152" s="10"/>
      <c r="W152" s="10"/>
      <c r="X152" s="10"/>
      <c r="Y152" s="10"/>
      <c r="Z152" s="10"/>
      <c r="AA152" s="33"/>
      <c r="AB152" s="10"/>
      <c r="AC152" s="33">
        <v>7440.34</v>
      </c>
      <c r="AD152" s="10">
        <f t="shared" si="0"/>
        <v>0</v>
      </c>
      <c r="AE152" s="82"/>
    </row>
    <row r="153" spans="1:32" x14ac:dyDescent="0.25">
      <c r="A153" s="7" t="s">
        <v>1416</v>
      </c>
      <c r="B153" s="9" t="s">
        <v>1441</v>
      </c>
      <c r="C153" s="70">
        <v>44677</v>
      </c>
      <c r="D153" s="70">
        <v>44677</v>
      </c>
      <c r="E153" s="73"/>
      <c r="F153" s="9"/>
      <c r="H153" s="9"/>
      <c r="I153" s="7" t="s">
        <v>82</v>
      </c>
      <c r="J153" s="51" t="s">
        <v>54</v>
      </c>
      <c r="K153" s="7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>
        <v>250000</v>
      </c>
      <c r="AA153" s="33"/>
      <c r="AB153" s="10"/>
      <c r="AC153" s="33">
        <v>250000</v>
      </c>
      <c r="AD153" s="10">
        <f t="shared" si="0"/>
        <v>0</v>
      </c>
      <c r="AE153" s="82"/>
    </row>
    <row r="154" spans="1:32" x14ac:dyDescent="0.25">
      <c r="A154" s="7" t="s">
        <v>1425</v>
      </c>
      <c r="B154" s="9" t="s">
        <v>1440</v>
      </c>
      <c r="C154" s="70">
        <v>44683</v>
      </c>
      <c r="D154" s="70">
        <v>44677</v>
      </c>
      <c r="E154" s="73"/>
      <c r="F154" s="9"/>
      <c r="H154" s="9"/>
      <c r="I154" s="7" t="s">
        <v>82</v>
      </c>
      <c r="J154" s="51" t="s">
        <v>54</v>
      </c>
      <c r="K154" s="7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>
        <v>200000</v>
      </c>
      <c r="AA154" s="33"/>
      <c r="AB154" s="10"/>
      <c r="AC154" s="33">
        <v>200000</v>
      </c>
      <c r="AD154" s="10">
        <f t="shared" si="0"/>
        <v>0</v>
      </c>
      <c r="AE154" s="82"/>
    </row>
    <row r="155" spans="1:32" x14ac:dyDescent="0.25">
      <c r="A155" s="7" t="s">
        <v>1426</v>
      </c>
      <c r="B155" s="9" t="s">
        <v>1442</v>
      </c>
      <c r="C155" s="70">
        <v>44683</v>
      </c>
      <c r="D155" s="70">
        <v>44677</v>
      </c>
      <c r="E155" s="73">
        <v>44683</v>
      </c>
      <c r="F155" s="9" t="s">
        <v>1460</v>
      </c>
      <c r="H155" s="9"/>
      <c r="I155" s="7" t="s">
        <v>93</v>
      </c>
      <c r="J155" s="51" t="s">
        <v>79</v>
      </c>
      <c r="K155" s="7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>
        <v>20667</v>
      </c>
      <c r="W155" s="10"/>
      <c r="X155" s="10"/>
      <c r="Y155" s="10"/>
      <c r="Z155" s="10"/>
      <c r="AA155" s="33"/>
      <c r="AB155" s="10"/>
      <c r="AC155" s="33">
        <v>20667</v>
      </c>
      <c r="AD155" s="10">
        <f t="shared" si="0"/>
        <v>0</v>
      </c>
      <c r="AE155" s="82"/>
    </row>
    <row r="156" spans="1:32" x14ac:dyDescent="0.25">
      <c r="A156" s="7" t="s">
        <v>1427</v>
      </c>
      <c r="B156" s="9">
        <v>3920529</v>
      </c>
      <c r="C156" s="70">
        <v>44677</v>
      </c>
      <c r="D156" s="70">
        <v>44677</v>
      </c>
      <c r="E156" s="73"/>
      <c r="F156" s="9"/>
      <c r="H156" s="9"/>
      <c r="I156" s="7" t="s">
        <v>1446</v>
      </c>
      <c r="J156" s="51" t="s">
        <v>1202</v>
      </c>
      <c r="K156" s="7"/>
      <c r="L156" s="10">
        <v>1148.5</v>
      </c>
      <c r="M156" s="10"/>
      <c r="N156" s="10"/>
      <c r="O156" s="10"/>
      <c r="P156" s="10"/>
      <c r="Q156" s="10"/>
      <c r="R156" s="10"/>
      <c r="S156" s="10">
        <v>9570.7900000000009</v>
      </c>
      <c r="T156" s="10"/>
      <c r="U156" s="10"/>
      <c r="V156" s="10"/>
      <c r="W156" s="10"/>
      <c r="X156" s="10"/>
      <c r="Y156" s="10"/>
      <c r="Z156" s="10"/>
      <c r="AA156" s="33"/>
      <c r="AB156" s="10"/>
      <c r="AC156" s="33">
        <v>10719.29</v>
      </c>
      <c r="AD156" s="10">
        <f t="shared" si="0"/>
        <v>0</v>
      </c>
      <c r="AE156" s="82"/>
    </row>
    <row r="157" spans="1:32" x14ac:dyDescent="0.25">
      <c r="A157" s="7" t="s">
        <v>1428</v>
      </c>
      <c r="B157" s="9">
        <v>3920530</v>
      </c>
      <c r="C157" s="70">
        <v>44722</v>
      </c>
      <c r="D157" s="70">
        <v>44678</v>
      </c>
      <c r="E157" s="73">
        <v>44680</v>
      </c>
      <c r="F157" s="9" t="s">
        <v>1453</v>
      </c>
      <c r="G157" s="9" t="s">
        <v>1187</v>
      </c>
      <c r="H157" s="9"/>
      <c r="I157" s="7" t="s">
        <v>1447</v>
      </c>
      <c r="J157" s="51" t="s">
        <v>1226</v>
      </c>
      <c r="K157" s="7" t="s">
        <v>1039</v>
      </c>
      <c r="L157" s="10">
        <v>535.71</v>
      </c>
      <c r="M157" s="10">
        <v>4464.29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33"/>
      <c r="AB157" s="10"/>
      <c r="AC157" s="33">
        <v>5000</v>
      </c>
      <c r="AD157" s="10">
        <f t="shared" si="0"/>
        <v>0</v>
      </c>
      <c r="AE157" s="82"/>
      <c r="AF157" s="17">
        <v>44.64</v>
      </c>
    </row>
    <row r="158" spans="1:32" x14ac:dyDescent="0.25">
      <c r="A158" s="7" t="s">
        <v>1429</v>
      </c>
      <c r="B158" s="9">
        <v>3920531</v>
      </c>
      <c r="C158" s="70">
        <v>44709</v>
      </c>
      <c r="D158" s="70">
        <v>44678</v>
      </c>
      <c r="E158" s="73"/>
      <c r="F158" s="9"/>
      <c r="G158" s="9" t="s">
        <v>1188</v>
      </c>
      <c r="H158" s="9"/>
      <c r="I158" s="7" t="s">
        <v>1448</v>
      </c>
      <c r="J158" s="51" t="s">
        <v>1449</v>
      </c>
      <c r="K158" s="7"/>
      <c r="L158" s="10">
        <v>5625</v>
      </c>
      <c r="M158" s="10">
        <v>46875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33"/>
      <c r="AB158" s="10"/>
      <c r="AC158" s="33">
        <v>52500</v>
      </c>
      <c r="AD158" s="10">
        <f t="shared" si="0"/>
        <v>0</v>
      </c>
      <c r="AE158" s="82"/>
      <c r="AF158" s="17">
        <v>468.75</v>
      </c>
    </row>
    <row r="159" spans="1:32" x14ac:dyDescent="0.25">
      <c r="A159" s="7" t="s">
        <v>1430</v>
      </c>
      <c r="B159" s="9" t="s">
        <v>1455</v>
      </c>
      <c r="C159" s="70">
        <v>44679</v>
      </c>
      <c r="D159" s="70">
        <v>44679</v>
      </c>
      <c r="E159" s="73"/>
      <c r="F159" s="9"/>
      <c r="H159" s="9"/>
      <c r="I159" s="7" t="s">
        <v>64</v>
      </c>
      <c r="J159" s="51" t="s">
        <v>39</v>
      </c>
      <c r="K159" s="7"/>
      <c r="L159" s="10"/>
      <c r="M159" s="10"/>
      <c r="N159" s="10"/>
      <c r="O159" s="10"/>
      <c r="P159" s="10">
        <v>160000</v>
      </c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33"/>
      <c r="AB159" s="10"/>
      <c r="AC159" s="33">
        <v>160000</v>
      </c>
      <c r="AD159" s="10">
        <f t="shared" si="0"/>
        <v>0</v>
      </c>
      <c r="AE159" s="82"/>
    </row>
    <row r="160" spans="1:32" s="39" customFormat="1" x14ac:dyDescent="0.25">
      <c r="A160" s="20"/>
      <c r="B160" s="19"/>
      <c r="C160" s="72"/>
      <c r="D160" s="72"/>
      <c r="E160" s="77"/>
      <c r="F160" s="19"/>
      <c r="G160" s="19"/>
      <c r="H160" s="19"/>
      <c r="I160" s="20"/>
      <c r="J160" s="20"/>
      <c r="K160" s="20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32"/>
      <c r="AB160" s="22"/>
      <c r="AC160" s="32"/>
      <c r="AD160" s="22"/>
      <c r="AE160" s="96"/>
      <c r="AF160" s="35"/>
    </row>
    <row r="161" spans="1:32" s="39" customFormat="1" x14ac:dyDescent="0.25">
      <c r="A161" s="25">
        <v>44682</v>
      </c>
      <c r="B161" s="19"/>
      <c r="C161" s="72"/>
      <c r="D161" s="72"/>
      <c r="E161" s="77"/>
      <c r="F161" s="19"/>
      <c r="G161" s="19"/>
      <c r="H161" s="19"/>
      <c r="I161" s="20"/>
      <c r="J161" s="20"/>
      <c r="K161" s="20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32"/>
      <c r="AB161" s="22"/>
      <c r="AC161" s="32"/>
      <c r="AD161" s="22"/>
      <c r="AE161" s="96"/>
      <c r="AF161" s="35"/>
    </row>
    <row r="162" spans="1:32" x14ac:dyDescent="0.25">
      <c r="A162" s="7" t="s">
        <v>1431</v>
      </c>
      <c r="B162" s="9" t="s">
        <v>1451</v>
      </c>
      <c r="C162" s="70">
        <v>44685</v>
      </c>
      <c r="D162" s="70">
        <v>44685</v>
      </c>
      <c r="E162" s="73"/>
      <c r="F162" s="9"/>
      <c r="H162" s="9"/>
      <c r="I162" s="7" t="s">
        <v>64</v>
      </c>
      <c r="J162" s="51" t="s">
        <v>39</v>
      </c>
      <c r="K162" s="7"/>
      <c r="L162" s="10"/>
      <c r="M162" s="10"/>
      <c r="N162" s="10"/>
      <c r="O162" s="10"/>
      <c r="P162" s="10">
        <v>40000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33"/>
      <c r="AB162" s="10"/>
      <c r="AC162" s="33">
        <v>40000</v>
      </c>
      <c r="AD162" s="10">
        <f t="shared" si="0"/>
        <v>0</v>
      </c>
      <c r="AE162" s="82"/>
    </row>
    <row r="163" spans="1:32" x14ac:dyDescent="0.25">
      <c r="A163" s="7" t="s">
        <v>1432</v>
      </c>
      <c r="B163" s="9" t="s">
        <v>1454</v>
      </c>
      <c r="C163" s="70">
        <v>44685</v>
      </c>
      <c r="D163" s="70">
        <v>44685</v>
      </c>
      <c r="E163" s="73"/>
      <c r="F163" s="9"/>
      <c r="H163" s="9"/>
      <c r="I163" s="7" t="s">
        <v>64</v>
      </c>
      <c r="J163" s="51" t="s">
        <v>51</v>
      </c>
      <c r="K163" s="7"/>
      <c r="L163" s="10"/>
      <c r="M163" s="10"/>
      <c r="N163" s="10"/>
      <c r="O163" s="10"/>
      <c r="P163" s="10">
        <v>10000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33"/>
      <c r="AB163" s="10"/>
      <c r="AC163" s="33">
        <v>10000</v>
      </c>
      <c r="AD163" s="10">
        <f t="shared" si="0"/>
        <v>0</v>
      </c>
      <c r="AE163" s="82"/>
    </row>
    <row r="164" spans="1:32" x14ac:dyDescent="0.25">
      <c r="A164" s="7" t="s">
        <v>1433</v>
      </c>
      <c r="B164" s="9" t="s">
        <v>1481</v>
      </c>
      <c r="C164" s="70">
        <v>44686</v>
      </c>
      <c r="D164" s="70">
        <v>44686</v>
      </c>
      <c r="E164" s="73"/>
      <c r="F164" s="9"/>
      <c r="H164" s="9" t="s">
        <v>1485</v>
      </c>
      <c r="I164" s="7" t="s">
        <v>633</v>
      </c>
      <c r="J164" s="51" t="s">
        <v>1482</v>
      </c>
      <c r="K164" s="7" t="s">
        <v>1483</v>
      </c>
      <c r="L164" s="10">
        <v>1815.17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33">
        <v>15126.44</v>
      </c>
      <c r="AB164" s="10"/>
      <c r="AC164" s="33">
        <v>22000</v>
      </c>
      <c r="AD164" s="10">
        <f t="shared" si="0"/>
        <v>5058.3899999999994</v>
      </c>
      <c r="AE164" s="82" t="s">
        <v>1484</v>
      </c>
    </row>
    <row r="165" spans="1:32" x14ac:dyDescent="0.25">
      <c r="A165" s="7" t="s">
        <v>1434</v>
      </c>
      <c r="B165" s="9">
        <v>3920532</v>
      </c>
      <c r="C165" s="70">
        <v>44685</v>
      </c>
      <c r="D165" s="70">
        <v>44685</v>
      </c>
      <c r="E165" s="73"/>
      <c r="F165" s="9"/>
      <c r="H165" s="9" t="s">
        <v>1456</v>
      </c>
      <c r="I165" s="7" t="s">
        <v>58</v>
      </c>
      <c r="J165" s="51" t="s">
        <v>39</v>
      </c>
      <c r="K165" s="7"/>
      <c r="L165" s="10"/>
      <c r="M165" s="10"/>
      <c r="N165" s="10"/>
      <c r="O165" s="10"/>
      <c r="P165" s="10"/>
      <c r="Q165" s="10"/>
      <c r="R165" s="10"/>
      <c r="S165" s="10"/>
      <c r="T165" s="10">
        <v>6050</v>
      </c>
      <c r="U165" s="10"/>
      <c r="V165" s="10"/>
      <c r="W165" s="10"/>
      <c r="X165" s="10"/>
      <c r="Y165" s="10"/>
      <c r="Z165" s="10"/>
      <c r="AA165" s="33"/>
      <c r="AB165" s="10"/>
      <c r="AC165" s="33">
        <v>6050</v>
      </c>
      <c r="AD165" s="10">
        <f t="shared" ref="AD165:AD228" si="1">SUM(AB165:AC165)-SUM(L165:AA165)</f>
        <v>0</v>
      </c>
      <c r="AE165" s="82"/>
    </row>
    <row r="166" spans="1:32" x14ac:dyDescent="0.25">
      <c r="A166" s="7" t="s">
        <v>1435</v>
      </c>
      <c r="B166" s="9">
        <v>3920533</v>
      </c>
      <c r="C166" s="70">
        <v>44685</v>
      </c>
      <c r="D166" s="70">
        <v>44685</v>
      </c>
      <c r="E166" s="73">
        <v>44686</v>
      </c>
      <c r="F166" s="9" t="s">
        <v>1561</v>
      </c>
      <c r="G166" s="9" t="s">
        <v>1170</v>
      </c>
      <c r="H166" s="9"/>
      <c r="I166" s="7" t="s">
        <v>143</v>
      </c>
      <c r="J166" s="51" t="s">
        <v>1457</v>
      </c>
      <c r="K166" s="7"/>
      <c r="L166" s="10"/>
      <c r="M166" s="10">
        <v>5500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33"/>
      <c r="AB166" s="10"/>
      <c r="AC166" s="33">
        <v>5500</v>
      </c>
      <c r="AD166" s="10">
        <f t="shared" si="1"/>
        <v>0</v>
      </c>
      <c r="AE166" s="82"/>
    </row>
    <row r="167" spans="1:32" x14ac:dyDescent="0.25">
      <c r="A167" s="7" t="s">
        <v>1436</v>
      </c>
      <c r="B167" s="9">
        <v>3920534</v>
      </c>
      <c r="C167" s="70">
        <v>44727</v>
      </c>
      <c r="D167" s="70">
        <v>44685</v>
      </c>
      <c r="E167" s="73">
        <v>44691</v>
      </c>
      <c r="F167" s="9" t="s">
        <v>1479</v>
      </c>
      <c r="G167" s="9" t="s">
        <v>1189</v>
      </c>
      <c r="H167" s="9"/>
      <c r="I167" s="7" t="s">
        <v>1458</v>
      </c>
      <c r="J167" s="51" t="s">
        <v>1226</v>
      </c>
      <c r="K167" s="7" t="s">
        <v>1039</v>
      </c>
      <c r="L167" s="10">
        <v>803.57</v>
      </c>
      <c r="M167" s="10">
        <v>6696.43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33"/>
      <c r="AB167" s="10"/>
      <c r="AC167" s="33">
        <v>7500</v>
      </c>
      <c r="AD167" s="10">
        <f t="shared" si="1"/>
        <v>0</v>
      </c>
      <c r="AE167" s="82"/>
      <c r="AF167" s="17">
        <v>66.959999999999994</v>
      </c>
    </row>
    <row r="168" spans="1:32" x14ac:dyDescent="0.25">
      <c r="A168" s="7" t="s">
        <v>1437</v>
      </c>
      <c r="B168" s="9">
        <v>3920535</v>
      </c>
      <c r="C168" s="70">
        <v>44725</v>
      </c>
      <c r="D168" s="70">
        <v>44685</v>
      </c>
      <c r="E168" s="73">
        <v>44691</v>
      </c>
      <c r="F168" s="9" t="s">
        <v>1480</v>
      </c>
      <c r="G168" s="9" t="s">
        <v>1187</v>
      </c>
      <c r="H168" s="9"/>
      <c r="I168" s="7" t="s">
        <v>1459</v>
      </c>
      <c r="J168" s="51" t="s">
        <v>1226</v>
      </c>
      <c r="K168" s="7" t="s">
        <v>1039</v>
      </c>
      <c r="L168" s="10">
        <v>2142.86</v>
      </c>
      <c r="M168" s="10">
        <v>17857.14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33"/>
      <c r="AB168" s="10"/>
      <c r="AC168" s="33">
        <v>20000</v>
      </c>
      <c r="AD168" s="10">
        <f t="shared" si="1"/>
        <v>0</v>
      </c>
      <c r="AE168" s="82"/>
      <c r="AF168" s="17">
        <v>178.57</v>
      </c>
    </row>
    <row r="169" spans="1:32" x14ac:dyDescent="0.25">
      <c r="A169" s="7" t="s">
        <v>1438</v>
      </c>
      <c r="B169" s="9">
        <v>3920536</v>
      </c>
      <c r="C169" s="70">
        <v>44686</v>
      </c>
      <c r="D169" s="70">
        <v>44686</v>
      </c>
      <c r="E169" s="73"/>
      <c r="F169" s="9"/>
      <c r="H169" s="9"/>
      <c r="I169" s="7" t="s">
        <v>1378</v>
      </c>
      <c r="J169" s="51" t="s">
        <v>18</v>
      </c>
      <c r="K169" s="7"/>
      <c r="L169" s="10">
        <v>151.09</v>
      </c>
      <c r="M169" s="10"/>
      <c r="N169" s="10"/>
      <c r="O169" s="10"/>
      <c r="P169" s="10"/>
      <c r="Q169" s="10"/>
      <c r="R169" s="10">
        <v>1259.06</v>
      </c>
      <c r="S169" s="10"/>
      <c r="T169" s="10"/>
      <c r="U169" s="10"/>
      <c r="V169" s="10"/>
      <c r="W169" s="10"/>
      <c r="X169" s="10"/>
      <c r="Y169" s="10"/>
      <c r="Z169" s="10"/>
      <c r="AA169" s="33"/>
      <c r="AB169" s="10"/>
      <c r="AC169" s="33">
        <v>1410.15</v>
      </c>
      <c r="AD169" s="10">
        <f t="shared" si="1"/>
        <v>0</v>
      </c>
      <c r="AE169" s="82"/>
    </row>
    <row r="170" spans="1:32" x14ac:dyDescent="0.25">
      <c r="A170" s="7" t="s">
        <v>1439</v>
      </c>
      <c r="B170" s="9">
        <v>3920537</v>
      </c>
      <c r="C170" s="70">
        <v>44686</v>
      </c>
      <c r="D170" s="70">
        <v>44686</v>
      </c>
      <c r="E170" s="73"/>
      <c r="F170" s="9"/>
      <c r="H170" s="9"/>
      <c r="I170" s="7" t="s">
        <v>1378</v>
      </c>
      <c r="J170" s="51" t="s">
        <v>18</v>
      </c>
      <c r="K170" s="7"/>
      <c r="L170" s="10">
        <v>811.09</v>
      </c>
      <c r="M170" s="10"/>
      <c r="N170" s="10"/>
      <c r="O170" s="10"/>
      <c r="P170" s="10"/>
      <c r="Q170" s="10"/>
      <c r="R170" s="10">
        <v>6759.06</v>
      </c>
      <c r="S170" s="10"/>
      <c r="T170" s="10"/>
      <c r="U170" s="10"/>
      <c r="V170" s="10"/>
      <c r="W170" s="10"/>
      <c r="X170" s="10"/>
      <c r="Y170" s="10"/>
      <c r="Z170" s="10"/>
      <c r="AA170" s="33"/>
      <c r="AB170" s="10"/>
      <c r="AC170" s="33">
        <v>7570.15</v>
      </c>
      <c r="AD170" s="10">
        <f t="shared" si="1"/>
        <v>0</v>
      </c>
      <c r="AE170" s="82"/>
    </row>
    <row r="171" spans="1:32" x14ac:dyDescent="0.25">
      <c r="A171" s="7" t="s">
        <v>1461</v>
      </c>
      <c r="B171" s="9" t="s">
        <v>1466</v>
      </c>
      <c r="C171" s="70">
        <v>44686</v>
      </c>
      <c r="D171" s="70">
        <v>44686</v>
      </c>
      <c r="E171" s="73"/>
      <c r="F171" s="9"/>
      <c r="H171" s="9"/>
      <c r="I171" s="7" t="s">
        <v>64</v>
      </c>
      <c r="J171" s="51" t="s">
        <v>1467</v>
      </c>
      <c r="K171" s="7"/>
      <c r="L171" s="10"/>
      <c r="M171" s="10"/>
      <c r="N171" s="10"/>
      <c r="O171" s="10"/>
      <c r="P171" s="10">
        <v>12000</v>
      </c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33"/>
      <c r="AB171" s="10"/>
      <c r="AC171" s="33">
        <v>12000</v>
      </c>
      <c r="AD171" s="10">
        <f t="shared" si="1"/>
        <v>0</v>
      </c>
      <c r="AE171" s="82"/>
    </row>
    <row r="172" spans="1:32" x14ac:dyDescent="0.25">
      <c r="A172" s="7" t="s">
        <v>1462</v>
      </c>
      <c r="B172" s="9">
        <v>3920538</v>
      </c>
      <c r="C172" s="70">
        <v>44686</v>
      </c>
      <c r="D172" s="70">
        <v>44686</v>
      </c>
      <c r="E172" s="73"/>
      <c r="F172" s="9"/>
      <c r="H172" s="9"/>
      <c r="I172" s="7" t="s">
        <v>1468</v>
      </c>
      <c r="J172" s="51" t="s">
        <v>1469</v>
      </c>
      <c r="K172" s="7"/>
      <c r="L172" s="10">
        <v>2250</v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33">
        <v>18750</v>
      </c>
      <c r="AB172" s="10"/>
      <c r="AC172" s="33">
        <v>21000</v>
      </c>
      <c r="AD172" s="10">
        <f t="shared" si="1"/>
        <v>0</v>
      </c>
      <c r="AE172" s="82"/>
    </row>
    <row r="173" spans="1:32" x14ac:dyDescent="0.25">
      <c r="A173" s="7" t="s">
        <v>1463</v>
      </c>
      <c r="B173" s="9">
        <v>3920539</v>
      </c>
      <c r="C173" s="70">
        <v>44717</v>
      </c>
      <c r="D173" s="70">
        <v>44686</v>
      </c>
      <c r="E173" s="73">
        <v>44692</v>
      </c>
      <c r="F173" s="9" t="s">
        <v>1478</v>
      </c>
      <c r="G173" s="9" t="s">
        <v>1191</v>
      </c>
      <c r="H173" s="9"/>
      <c r="I173" s="7" t="s">
        <v>185</v>
      </c>
      <c r="J173" s="51" t="s">
        <v>60</v>
      </c>
      <c r="K173" s="7" t="s">
        <v>61</v>
      </c>
      <c r="L173" s="10">
        <v>910.72</v>
      </c>
      <c r="M173" s="10">
        <v>7589.28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33"/>
      <c r="AB173" s="10"/>
      <c r="AC173" s="33">
        <v>8500</v>
      </c>
      <c r="AD173" s="10">
        <f t="shared" si="1"/>
        <v>0</v>
      </c>
      <c r="AE173" s="82"/>
      <c r="AF173" s="17">
        <v>75.89</v>
      </c>
    </row>
    <row r="174" spans="1:32" x14ac:dyDescent="0.25">
      <c r="A174" s="7" t="s">
        <v>1464</v>
      </c>
      <c r="B174" s="9">
        <v>3920540</v>
      </c>
      <c r="C174" s="70">
        <v>44691</v>
      </c>
      <c r="D174" s="70">
        <v>44691</v>
      </c>
      <c r="E174" s="73"/>
      <c r="F174" s="9"/>
      <c r="H174" s="9"/>
      <c r="I174" s="7" t="s">
        <v>1477</v>
      </c>
      <c r="J174" s="51" t="s">
        <v>1235</v>
      </c>
      <c r="K174" s="7"/>
      <c r="L174" s="10">
        <v>107.04</v>
      </c>
      <c r="M174" s="10"/>
      <c r="N174" s="10"/>
      <c r="O174" s="10"/>
      <c r="P174" s="10"/>
      <c r="Q174" s="10"/>
      <c r="R174" s="10"/>
      <c r="S174" s="10">
        <v>891.96</v>
      </c>
      <c r="T174" s="10"/>
      <c r="U174" s="10"/>
      <c r="V174" s="10"/>
      <c r="W174" s="10"/>
      <c r="X174" s="10"/>
      <c r="Y174" s="10"/>
      <c r="Z174" s="10"/>
      <c r="AA174" s="33"/>
      <c r="AB174" s="10"/>
      <c r="AC174" s="33">
        <v>999</v>
      </c>
      <c r="AD174" s="10">
        <f t="shared" si="1"/>
        <v>0</v>
      </c>
      <c r="AE174" s="82"/>
    </row>
    <row r="175" spans="1:32" x14ac:dyDescent="0.25">
      <c r="A175" s="7" t="s">
        <v>1465</v>
      </c>
      <c r="B175" s="9">
        <v>3920541</v>
      </c>
      <c r="C175" s="70">
        <v>44691</v>
      </c>
      <c r="D175" s="70">
        <v>44691</v>
      </c>
      <c r="E175" s="73"/>
      <c r="F175" s="9"/>
      <c r="H175" s="9"/>
      <c r="I175" s="7" t="s">
        <v>1477</v>
      </c>
      <c r="J175" s="51" t="s">
        <v>1235</v>
      </c>
      <c r="K175" s="7"/>
      <c r="L175" s="10">
        <v>148.61000000000001</v>
      </c>
      <c r="M175" s="10"/>
      <c r="N175" s="10"/>
      <c r="O175" s="10"/>
      <c r="P175" s="10"/>
      <c r="Q175" s="10"/>
      <c r="R175" s="10"/>
      <c r="S175" s="10">
        <v>1238.3800000000001</v>
      </c>
      <c r="T175" s="10"/>
      <c r="U175" s="10"/>
      <c r="V175" s="10"/>
      <c r="W175" s="10"/>
      <c r="X175" s="10"/>
      <c r="Y175" s="10"/>
      <c r="Z175" s="10"/>
      <c r="AA175" s="33"/>
      <c r="AB175" s="10"/>
      <c r="AC175" s="33">
        <v>1386.99</v>
      </c>
      <c r="AD175" s="10">
        <f t="shared" si="1"/>
        <v>0</v>
      </c>
      <c r="AE175" s="82"/>
    </row>
    <row r="176" spans="1:32" x14ac:dyDescent="0.25">
      <c r="A176" s="7" t="s">
        <v>1470</v>
      </c>
      <c r="B176" s="9">
        <v>3920542</v>
      </c>
      <c r="C176" s="70">
        <v>44694</v>
      </c>
      <c r="D176" s="70">
        <v>44694</v>
      </c>
      <c r="E176" s="73"/>
      <c r="F176" s="9"/>
      <c r="H176" s="9" t="s">
        <v>1486</v>
      </c>
      <c r="I176" s="7" t="s">
        <v>58</v>
      </c>
      <c r="J176" s="51" t="s">
        <v>65</v>
      </c>
      <c r="K176" s="7"/>
      <c r="L176" s="10"/>
      <c r="M176" s="10"/>
      <c r="N176" s="10"/>
      <c r="O176" s="10"/>
      <c r="P176" s="10"/>
      <c r="Q176" s="10"/>
      <c r="R176" s="10"/>
      <c r="S176" s="10"/>
      <c r="T176" s="10">
        <v>8339</v>
      </c>
      <c r="U176" s="10"/>
      <c r="V176" s="10"/>
      <c r="W176" s="10"/>
      <c r="X176" s="10"/>
      <c r="Y176" s="10"/>
      <c r="Z176" s="10"/>
      <c r="AA176" s="33"/>
      <c r="AB176" s="10"/>
      <c r="AC176" s="33">
        <v>8339</v>
      </c>
      <c r="AD176" s="10">
        <f t="shared" si="1"/>
        <v>0</v>
      </c>
      <c r="AE176" s="82"/>
    </row>
    <row r="177" spans="1:32" x14ac:dyDescent="0.25">
      <c r="A177" s="7" t="s">
        <v>1471</v>
      </c>
      <c r="B177" s="9">
        <v>3920543</v>
      </c>
      <c r="C177" s="70">
        <v>44694</v>
      </c>
      <c r="D177" s="70">
        <v>44694</v>
      </c>
      <c r="E177" s="73"/>
      <c r="F177" s="9"/>
      <c r="H177" s="9" t="s">
        <v>1487</v>
      </c>
      <c r="I177" s="7" t="s">
        <v>1174</v>
      </c>
      <c r="J177" s="51" t="s">
        <v>65</v>
      </c>
      <c r="K177" s="7"/>
      <c r="L177" s="10"/>
      <c r="M177" s="10"/>
      <c r="N177" s="10"/>
      <c r="O177" s="10"/>
      <c r="P177" s="10"/>
      <c r="Q177" s="10"/>
      <c r="R177" s="10"/>
      <c r="S177" s="10"/>
      <c r="T177" s="10">
        <v>10250</v>
      </c>
      <c r="U177" s="10"/>
      <c r="V177" s="10"/>
      <c r="W177" s="10"/>
      <c r="X177" s="10"/>
      <c r="Y177" s="10"/>
      <c r="Z177" s="10"/>
      <c r="AA177" s="33"/>
      <c r="AB177" s="10"/>
      <c r="AC177" s="33">
        <v>10250</v>
      </c>
      <c r="AD177" s="10">
        <f t="shared" si="1"/>
        <v>0</v>
      </c>
      <c r="AE177" s="82"/>
    </row>
    <row r="178" spans="1:32" x14ac:dyDescent="0.25">
      <c r="A178" s="7" t="s">
        <v>1472</v>
      </c>
      <c r="B178" s="9" t="s">
        <v>1488</v>
      </c>
      <c r="C178" s="70">
        <v>44697</v>
      </c>
      <c r="D178" s="70">
        <v>44697</v>
      </c>
      <c r="E178" s="73"/>
      <c r="F178" s="9"/>
      <c r="H178" s="9"/>
      <c r="I178" s="7" t="s">
        <v>1489</v>
      </c>
      <c r="J178" s="51" t="s">
        <v>1490</v>
      </c>
      <c r="K178" s="7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33">
        <v>50000</v>
      </c>
      <c r="AB178" s="10"/>
      <c r="AC178" s="33">
        <v>50000</v>
      </c>
      <c r="AD178" s="10">
        <f t="shared" si="1"/>
        <v>0</v>
      </c>
      <c r="AE178" s="82"/>
    </row>
    <row r="179" spans="1:32" x14ac:dyDescent="0.25">
      <c r="A179" s="7" t="s">
        <v>1473</v>
      </c>
      <c r="B179" s="9">
        <v>3920544</v>
      </c>
      <c r="C179" s="70">
        <v>44697</v>
      </c>
      <c r="D179" s="70">
        <v>44697</v>
      </c>
      <c r="E179" s="73"/>
      <c r="F179" s="9"/>
      <c r="H179" s="9"/>
      <c r="I179" s="7" t="s">
        <v>1491</v>
      </c>
      <c r="J179" s="51" t="s">
        <v>46</v>
      </c>
      <c r="K179" s="7"/>
      <c r="L179" s="10">
        <v>192.75</v>
      </c>
      <c r="M179" s="10"/>
      <c r="N179" s="10"/>
      <c r="O179" s="10"/>
      <c r="P179" s="10"/>
      <c r="Q179" s="10"/>
      <c r="R179" s="10"/>
      <c r="S179" s="10">
        <v>1606.25</v>
      </c>
      <c r="T179" s="10"/>
      <c r="U179" s="10"/>
      <c r="V179" s="10"/>
      <c r="W179" s="10"/>
      <c r="X179" s="10"/>
      <c r="Y179" s="10"/>
      <c r="Z179" s="10"/>
      <c r="AA179" s="33"/>
      <c r="AB179" s="10"/>
      <c r="AC179" s="33">
        <v>1799</v>
      </c>
      <c r="AD179" s="10">
        <f t="shared" si="1"/>
        <v>0</v>
      </c>
      <c r="AE179" s="82"/>
    </row>
    <row r="180" spans="1:32" x14ac:dyDescent="0.25">
      <c r="A180" s="7" t="s">
        <v>1474</v>
      </c>
      <c r="B180" s="9">
        <v>3920545</v>
      </c>
      <c r="C180" s="70">
        <v>44697</v>
      </c>
      <c r="D180" s="70">
        <v>44697</v>
      </c>
      <c r="E180" s="73"/>
      <c r="F180" s="9"/>
      <c r="H180" s="9"/>
      <c r="I180" s="7" t="s">
        <v>1492</v>
      </c>
      <c r="J180" s="51" t="s">
        <v>46</v>
      </c>
      <c r="K180" s="7"/>
      <c r="L180" s="10">
        <v>107.04</v>
      </c>
      <c r="M180" s="10"/>
      <c r="N180" s="10"/>
      <c r="O180" s="10"/>
      <c r="P180" s="10"/>
      <c r="Q180" s="10"/>
      <c r="R180" s="10"/>
      <c r="S180" s="10">
        <v>891.96</v>
      </c>
      <c r="T180" s="10"/>
      <c r="U180" s="10"/>
      <c r="V180" s="10"/>
      <c r="W180" s="10"/>
      <c r="X180" s="10"/>
      <c r="Y180" s="10"/>
      <c r="Z180" s="10"/>
      <c r="AA180" s="33"/>
      <c r="AB180" s="10"/>
      <c r="AC180" s="33">
        <v>999</v>
      </c>
      <c r="AD180" s="10">
        <f t="shared" si="1"/>
        <v>0</v>
      </c>
      <c r="AE180" s="82"/>
    </row>
    <row r="181" spans="1:32" x14ac:dyDescent="0.25">
      <c r="A181" s="7" t="s">
        <v>1475</v>
      </c>
      <c r="B181" s="9">
        <v>3920546</v>
      </c>
      <c r="C181" s="70">
        <v>44697</v>
      </c>
      <c r="D181" s="70">
        <v>44697</v>
      </c>
      <c r="E181" s="73"/>
      <c r="F181" s="9"/>
      <c r="H181" s="9"/>
      <c r="I181" s="7" t="s">
        <v>1492</v>
      </c>
      <c r="J181" s="51" t="s">
        <v>46</v>
      </c>
      <c r="K181" s="7"/>
      <c r="L181" s="10">
        <v>107.04</v>
      </c>
      <c r="M181" s="10"/>
      <c r="N181" s="10"/>
      <c r="O181" s="10"/>
      <c r="P181" s="10"/>
      <c r="Q181" s="10"/>
      <c r="R181" s="10"/>
      <c r="S181" s="10">
        <v>891.96</v>
      </c>
      <c r="T181" s="10"/>
      <c r="U181" s="10"/>
      <c r="V181" s="10"/>
      <c r="W181" s="10"/>
      <c r="X181" s="10"/>
      <c r="Y181" s="10"/>
      <c r="Z181" s="10"/>
      <c r="AA181" s="33"/>
      <c r="AB181" s="10"/>
      <c r="AC181" s="33">
        <v>999</v>
      </c>
      <c r="AD181" s="10">
        <f t="shared" si="1"/>
        <v>0</v>
      </c>
      <c r="AE181" s="82"/>
    </row>
    <row r="182" spans="1:32" x14ac:dyDescent="0.25">
      <c r="A182" s="7" t="s">
        <v>1476</v>
      </c>
      <c r="B182" s="9">
        <v>3920547</v>
      </c>
      <c r="C182" s="70">
        <v>44697</v>
      </c>
      <c r="D182" s="70">
        <v>44697</v>
      </c>
      <c r="E182" s="73"/>
      <c r="F182" s="9"/>
      <c r="H182" s="9"/>
      <c r="I182" s="7" t="s">
        <v>1492</v>
      </c>
      <c r="J182" s="51" t="s">
        <v>46</v>
      </c>
      <c r="K182" s="7"/>
      <c r="L182" s="10">
        <v>107.04</v>
      </c>
      <c r="M182" s="10"/>
      <c r="N182" s="10"/>
      <c r="O182" s="10"/>
      <c r="P182" s="10"/>
      <c r="Q182" s="10"/>
      <c r="R182" s="10"/>
      <c r="S182" s="10">
        <v>891.96</v>
      </c>
      <c r="T182" s="10"/>
      <c r="U182" s="10"/>
      <c r="V182" s="10"/>
      <c r="W182" s="10"/>
      <c r="X182" s="10"/>
      <c r="Y182" s="10"/>
      <c r="Z182" s="10"/>
      <c r="AA182" s="33"/>
      <c r="AB182" s="10"/>
      <c r="AC182" s="33">
        <v>999</v>
      </c>
      <c r="AD182" s="10">
        <f t="shared" si="1"/>
        <v>0</v>
      </c>
      <c r="AE182" s="82"/>
    </row>
    <row r="183" spans="1:32" x14ac:dyDescent="0.25">
      <c r="A183" s="7" t="s">
        <v>1493</v>
      </c>
      <c r="B183" s="9">
        <v>3920548</v>
      </c>
      <c r="C183" s="70">
        <v>44736</v>
      </c>
      <c r="D183" s="70">
        <v>44697</v>
      </c>
      <c r="E183" s="73">
        <v>44699</v>
      </c>
      <c r="F183" s="9" t="s">
        <v>1506</v>
      </c>
      <c r="G183" s="9" t="s">
        <v>1192</v>
      </c>
      <c r="H183" s="9"/>
      <c r="I183" s="7" t="s">
        <v>1458</v>
      </c>
      <c r="J183" s="51" t="s">
        <v>1226</v>
      </c>
      <c r="K183" s="7" t="s">
        <v>1039</v>
      </c>
      <c r="L183" s="10">
        <v>803.57</v>
      </c>
      <c r="M183" s="10">
        <v>6696.43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33"/>
      <c r="AB183" s="10"/>
      <c r="AC183" s="33">
        <v>7500</v>
      </c>
      <c r="AD183" s="10">
        <f t="shared" si="1"/>
        <v>0</v>
      </c>
      <c r="AE183" s="82"/>
      <c r="AF183" s="17">
        <v>66.959999999999994</v>
      </c>
    </row>
    <row r="184" spans="1:32" x14ac:dyDescent="0.25">
      <c r="A184" s="7" t="s">
        <v>1494</v>
      </c>
      <c r="B184" s="9" t="s">
        <v>1501</v>
      </c>
      <c r="C184" s="70">
        <v>44697</v>
      </c>
      <c r="D184" s="70">
        <v>44697</v>
      </c>
      <c r="E184" s="73"/>
      <c r="F184" s="9"/>
      <c r="H184" s="9"/>
      <c r="I184" s="7" t="s">
        <v>82</v>
      </c>
      <c r="J184" s="51" t="s">
        <v>54</v>
      </c>
      <c r="K184" s="7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>
        <v>200000</v>
      </c>
      <c r="AA184" s="33"/>
      <c r="AB184" s="10"/>
      <c r="AC184" s="33">
        <v>200000</v>
      </c>
      <c r="AD184" s="10">
        <f t="shared" si="1"/>
        <v>0</v>
      </c>
      <c r="AE184" s="82"/>
    </row>
    <row r="185" spans="1:32" x14ac:dyDescent="0.25">
      <c r="A185" s="7" t="s">
        <v>1495</v>
      </c>
      <c r="B185" s="9">
        <v>3920549</v>
      </c>
      <c r="C185" s="70">
        <v>44699</v>
      </c>
      <c r="D185" s="70">
        <v>44699</v>
      </c>
      <c r="E185" s="73"/>
      <c r="F185" s="9"/>
      <c r="H185" s="9"/>
      <c r="I185" s="7" t="s">
        <v>1502</v>
      </c>
      <c r="J185" s="51" t="s">
        <v>1469</v>
      </c>
      <c r="K185" s="7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33">
        <v>12500</v>
      </c>
      <c r="AB185" s="10"/>
      <c r="AC185" s="33">
        <v>12500</v>
      </c>
      <c r="AD185" s="10">
        <f t="shared" si="1"/>
        <v>0</v>
      </c>
      <c r="AE185" s="82"/>
    </row>
    <row r="186" spans="1:32" x14ac:dyDescent="0.25">
      <c r="A186" s="7" t="s">
        <v>1496</v>
      </c>
      <c r="B186" s="9">
        <v>3920550</v>
      </c>
      <c r="C186" s="70">
        <v>44699</v>
      </c>
      <c r="D186" s="70">
        <v>44699</v>
      </c>
      <c r="E186" s="73">
        <v>44700</v>
      </c>
      <c r="F186" s="9" t="s">
        <v>1507</v>
      </c>
      <c r="H186" s="9"/>
      <c r="I186" s="7" t="s">
        <v>1503</v>
      </c>
      <c r="J186" s="51" t="s">
        <v>127</v>
      </c>
      <c r="K186" s="7" t="s">
        <v>128</v>
      </c>
      <c r="L186" s="10">
        <v>528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33">
        <v>4400</v>
      </c>
      <c r="AB186" s="10"/>
      <c r="AC186" s="33">
        <v>4928</v>
      </c>
      <c r="AD186" s="10">
        <f t="shared" si="1"/>
        <v>0</v>
      </c>
      <c r="AE186" s="82"/>
    </row>
    <row r="187" spans="1:32" x14ac:dyDescent="0.25">
      <c r="A187" s="7" t="s">
        <v>1497</v>
      </c>
      <c r="B187" s="9">
        <v>3920551</v>
      </c>
      <c r="C187" s="70">
        <v>44699</v>
      </c>
      <c r="D187" s="70">
        <v>44699</v>
      </c>
      <c r="E187" s="73"/>
      <c r="F187" s="9"/>
      <c r="H187" s="9"/>
      <c r="I187" s="7" t="s">
        <v>1492</v>
      </c>
      <c r="J187" s="51" t="s">
        <v>44</v>
      </c>
      <c r="K187" s="7"/>
      <c r="L187" s="10">
        <v>4199.7299999999996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>
        <v>503.97</v>
      </c>
      <c r="Y187" s="10"/>
      <c r="Z187" s="10"/>
      <c r="AA187" s="33"/>
      <c r="AB187" s="10"/>
      <c r="AC187" s="33">
        <v>4703.7</v>
      </c>
      <c r="AD187" s="10">
        <f t="shared" si="1"/>
        <v>0</v>
      </c>
      <c r="AE187" s="82"/>
    </row>
    <row r="188" spans="1:32" x14ac:dyDescent="0.25">
      <c r="A188" s="7" t="s">
        <v>1498</v>
      </c>
      <c r="B188" s="9">
        <v>3920552</v>
      </c>
      <c r="C188" s="70">
        <v>44744</v>
      </c>
      <c r="D188" s="70">
        <v>44699</v>
      </c>
      <c r="E188" s="73">
        <v>44701</v>
      </c>
      <c r="F188" s="9" t="s">
        <v>1517</v>
      </c>
      <c r="G188" s="9" t="s">
        <v>1193</v>
      </c>
      <c r="H188" s="9"/>
      <c r="I188" s="7" t="s">
        <v>1402</v>
      </c>
      <c r="J188" s="51" t="s">
        <v>1226</v>
      </c>
      <c r="K188" s="7" t="s">
        <v>1039</v>
      </c>
      <c r="L188" s="10">
        <v>1607.14</v>
      </c>
      <c r="M188" s="10">
        <v>13392.86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33"/>
      <c r="AB188" s="10"/>
      <c r="AC188" s="33">
        <v>15000</v>
      </c>
      <c r="AD188" s="10">
        <f t="shared" si="1"/>
        <v>0</v>
      </c>
      <c r="AE188" s="82"/>
      <c r="AF188" s="17">
        <v>133.93</v>
      </c>
    </row>
    <row r="189" spans="1:32" x14ac:dyDescent="0.25">
      <c r="A189" s="7" t="s">
        <v>1499</v>
      </c>
      <c r="B189" s="9">
        <v>3920553</v>
      </c>
      <c r="C189" s="70">
        <v>44731</v>
      </c>
      <c r="D189" s="70">
        <v>44699</v>
      </c>
      <c r="E189" s="73">
        <v>44700</v>
      </c>
      <c r="F189" s="9" t="s">
        <v>1505</v>
      </c>
      <c r="G189" s="9" t="s">
        <v>1194</v>
      </c>
      <c r="H189" s="9"/>
      <c r="I189" s="7" t="s">
        <v>1504</v>
      </c>
      <c r="J189" s="51" t="s">
        <v>84</v>
      </c>
      <c r="K189" s="7" t="s">
        <v>36</v>
      </c>
      <c r="L189" s="10">
        <v>1071.43</v>
      </c>
      <c r="M189" s="10">
        <v>8928.57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33"/>
      <c r="AB189" s="10"/>
      <c r="AC189" s="33">
        <v>10000</v>
      </c>
      <c r="AD189" s="10">
        <f t="shared" si="1"/>
        <v>0</v>
      </c>
      <c r="AE189" s="82"/>
      <c r="AF189" s="17">
        <v>89.29</v>
      </c>
    </row>
    <row r="190" spans="1:32" x14ac:dyDescent="0.25">
      <c r="A190" s="7" t="s">
        <v>1500</v>
      </c>
      <c r="B190" s="9">
        <v>3920554</v>
      </c>
      <c r="C190" s="70">
        <v>44735</v>
      </c>
      <c r="D190" s="70">
        <v>44700</v>
      </c>
      <c r="E190" s="73">
        <v>44704</v>
      </c>
      <c r="F190" s="9" t="s">
        <v>1542</v>
      </c>
      <c r="G190" s="9" t="s">
        <v>1196</v>
      </c>
      <c r="H190" s="9"/>
      <c r="I190" s="7" t="s">
        <v>1515</v>
      </c>
      <c r="J190" s="51" t="s">
        <v>84</v>
      </c>
      <c r="K190" s="7" t="s">
        <v>36</v>
      </c>
      <c r="L190" s="10">
        <v>1151.79</v>
      </c>
      <c r="M190" s="10">
        <v>9598.2099999999991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33"/>
      <c r="AB190" s="10"/>
      <c r="AC190" s="33">
        <v>10750</v>
      </c>
      <c r="AD190" s="10">
        <f t="shared" si="1"/>
        <v>0</v>
      </c>
      <c r="AE190" s="82"/>
      <c r="AF190" s="17">
        <v>95.98</v>
      </c>
    </row>
    <row r="191" spans="1:32" x14ac:dyDescent="0.25">
      <c r="A191" s="7" t="s">
        <v>1508</v>
      </c>
      <c r="B191" s="9">
        <v>3920555</v>
      </c>
      <c r="C191" s="70">
        <v>44746</v>
      </c>
      <c r="D191" s="70">
        <v>44700</v>
      </c>
      <c r="E191" s="73">
        <v>44701</v>
      </c>
      <c r="F191" s="9" t="s">
        <v>1518</v>
      </c>
      <c r="G191" s="9" t="s">
        <v>1197</v>
      </c>
      <c r="H191" s="9"/>
      <c r="I191" s="7" t="s">
        <v>1402</v>
      </c>
      <c r="J191" s="51" t="s">
        <v>1226</v>
      </c>
      <c r="K191" s="7" t="s">
        <v>1039</v>
      </c>
      <c r="L191" s="10">
        <v>1607.14</v>
      </c>
      <c r="M191" s="10">
        <v>13392.86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33"/>
      <c r="AB191" s="10"/>
      <c r="AC191" s="33">
        <v>15000</v>
      </c>
      <c r="AD191" s="10">
        <f t="shared" si="1"/>
        <v>0</v>
      </c>
      <c r="AE191" s="82"/>
      <c r="AF191" s="17">
        <v>133.93</v>
      </c>
    </row>
    <row r="192" spans="1:32" x14ac:dyDescent="0.25">
      <c r="A192" s="7" t="s">
        <v>1509</v>
      </c>
      <c r="B192" s="9">
        <v>3920556</v>
      </c>
      <c r="C192" s="70">
        <v>44700</v>
      </c>
      <c r="D192" s="70">
        <v>44700</v>
      </c>
      <c r="E192" s="73">
        <v>44701</v>
      </c>
      <c r="F192" s="9" t="s">
        <v>1536</v>
      </c>
      <c r="H192" s="9"/>
      <c r="I192" s="7" t="s">
        <v>1513</v>
      </c>
      <c r="J192" s="51" t="s">
        <v>1069</v>
      </c>
      <c r="K192" s="7" t="s">
        <v>1070</v>
      </c>
      <c r="L192" s="10">
        <v>1639.29</v>
      </c>
      <c r="M192" s="10">
        <v>13660.71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33"/>
      <c r="AB192" s="10"/>
      <c r="AC192" s="33">
        <v>15300</v>
      </c>
      <c r="AD192" s="10">
        <f t="shared" si="1"/>
        <v>0</v>
      </c>
      <c r="AE192" s="82"/>
    </row>
    <row r="193" spans="1:32" x14ac:dyDescent="0.25">
      <c r="A193" s="7" t="s">
        <v>1510</v>
      </c>
      <c r="B193" s="9" t="s">
        <v>1514</v>
      </c>
      <c r="C193" s="70">
        <v>44700</v>
      </c>
      <c r="D193" s="70">
        <v>44700</v>
      </c>
      <c r="E193" s="73">
        <v>44701</v>
      </c>
      <c r="F193" s="9" t="s">
        <v>1557</v>
      </c>
      <c r="H193" s="9"/>
      <c r="I193" s="7" t="s">
        <v>63</v>
      </c>
      <c r="J193" s="51" t="s">
        <v>109</v>
      </c>
      <c r="K193" s="7" t="s">
        <v>1558</v>
      </c>
      <c r="L193" s="10"/>
      <c r="M193" s="10"/>
      <c r="N193" s="10">
        <v>124990.25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33"/>
      <c r="AB193" s="10"/>
      <c r="AC193" s="33">
        <v>124990.25</v>
      </c>
      <c r="AD193" s="10">
        <f t="shared" si="1"/>
        <v>0</v>
      </c>
      <c r="AE193" s="82"/>
    </row>
    <row r="194" spans="1:32" x14ac:dyDescent="0.25">
      <c r="A194" s="7" t="s">
        <v>1511</v>
      </c>
      <c r="B194" s="9">
        <v>3920557</v>
      </c>
      <c r="C194" s="70">
        <v>44731</v>
      </c>
      <c r="D194" s="70">
        <v>44701</v>
      </c>
      <c r="E194" s="73">
        <v>44732</v>
      </c>
      <c r="F194" s="9" t="s">
        <v>1626</v>
      </c>
      <c r="G194" s="9" t="s">
        <v>1195</v>
      </c>
      <c r="H194" s="9"/>
      <c r="I194" s="7" t="s">
        <v>1516</v>
      </c>
      <c r="J194" s="51" t="s">
        <v>83</v>
      </c>
      <c r="K194" s="7" t="s">
        <v>1336</v>
      </c>
      <c r="L194" s="10">
        <v>6171.43</v>
      </c>
      <c r="M194" s="10">
        <v>51428.57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33"/>
      <c r="AB194" s="10"/>
      <c r="AC194" s="33">
        <v>57600</v>
      </c>
      <c r="AD194" s="10">
        <f t="shared" si="1"/>
        <v>0</v>
      </c>
      <c r="AE194" s="82"/>
      <c r="AF194" s="17">
        <v>514.29</v>
      </c>
    </row>
    <row r="195" spans="1:32" x14ac:dyDescent="0.25">
      <c r="A195" s="7" t="s">
        <v>1512</v>
      </c>
      <c r="B195" s="9">
        <v>3920558</v>
      </c>
      <c r="C195" s="70">
        <v>44705</v>
      </c>
      <c r="D195" s="70">
        <v>44705</v>
      </c>
      <c r="E195" s="73"/>
      <c r="F195" s="9"/>
      <c r="H195" s="9"/>
      <c r="I195" s="7" t="s">
        <v>1519</v>
      </c>
      <c r="J195" s="51" t="s">
        <v>1490</v>
      </c>
      <c r="K195" s="7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33">
        <v>4650</v>
      </c>
      <c r="AB195" s="10"/>
      <c r="AC195" s="33">
        <v>4650</v>
      </c>
      <c r="AD195" s="10">
        <f t="shared" si="1"/>
        <v>0</v>
      </c>
      <c r="AE195" s="82"/>
    </row>
    <row r="196" spans="1:32" x14ac:dyDescent="0.25">
      <c r="A196" s="7" t="s">
        <v>1520</v>
      </c>
      <c r="B196" s="9">
        <v>3920559</v>
      </c>
      <c r="C196" s="70">
        <v>44705</v>
      </c>
      <c r="D196" s="70">
        <v>44705</v>
      </c>
      <c r="E196" s="73"/>
      <c r="F196" s="9"/>
      <c r="H196" s="9" t="s">
        <v>1537</v>
      </c>
      <c r="I196" s="7" t="s">
        <v>58</v>
      </c>
      <c r="J196" s="51" t="s">
        <v>65</v>
      </c>
      <c r="K196" s="7"/>
      <c r="L196" s="10"/>
      <c r="M196" s="10"/>
      <c r="N196" s="10"/>
      <c r="O196" s="10"/>
      <c r="P196" s="10"/>
      <c r="Q196" s="10"/>
      <c r="R196" s="10"/>
      <c r="S196" s="10"/>
      <c r="T196" s="10">
        <v>11286.3</v>
      </c>
      <c r="U196" s="10"/>
      <c r="V196" s="10"/>
      <c r="W196" s="10"/>
      <c r="X196" s="10"/>
      <c r="Y196" s="10"/>
      <c r="Z196" s="10"/>
      <c r="AA196" s="33"/>
      <c r="AB196" s="10"/>
      <c r="AC196" s="33">
        <v>11286.3</v>
      </c>
      <c r="AD196" s="10">
        <f t="shared" si="1"/>
        <v>0</v>
      </c>
      <c r="AE196" s="82"/>
    </row>
    <row r="197" spans="1:32" x14ac:dyDescent="0.25">
      <c r="A197" s="7" t="s">
        <v>1521</v>
      </c>
      <c r="B197" s="9">
        <v>3920560</v>
      </c>
      <c r="C197" s="70">
        <v>44705</v>
      </c>
      <c r="D197" s="70">
        <v>44705</v>
      </c>
      <c r="E197" s="73">
        <v>44706</v>
      </c>
      <c r="F197" s="9" t="s">
        <v>1562</v>
      </c>
      <c r="H197" s="9"/>
      <c r="I197" s="7" t="s">
        <v>1534</v>
      </c>
      <c r="J197" s="51" t="s">
        <v>109</v>
      </c>
      <c r="K197" s="7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33">
        <v>3893.62</v>
      </c>
      <c r="AB197" s="10"/>
      <c r="AC197" s="33">
        <v>3893.62</v>
      </c>
      <c r="AD197" s="10">
        <f t="shared" si="1"/>
        <v>0</v>
      </c>
      <c r="AE197" s="82"/>
    </row>
    <row r="198" spans="1:32" x14ac:dyDescent="0.25">
      <c r="A198" s="7" t="s">
        <v>1522</v>
      </c>
      <c r="B198" s="9">
        <v>3920561</v>
      </c>
      <c r="C198" s="70">
        <v>44742</v>
      </c>
      <c r="D198" s="70">
        <v>44705</v>
      </c>
      <c r="E198" s="73">
        <v>44715</v>
      </c>
      <c r="F198" s="9" t="s">
        <v>1563</v>
      </c>
      <c r="G198" s="9" t="s">
        <v>1198</v>
      </c>
      <c r="H198" s="9"/>
      <c r="I198" s="7" t="s">
        <v>1535</v>
      </c>
      <c r="J198" s="51" t="s">
        <v>37</v>
      </c>
      <c r="K198" s="7" t="s">
        <v>38</v>
      </c>
      <c r="L198" s="10">
        <v>289.29000000000002</v>
      </c>
      <c r="M198" s="10">
        <v>2410.71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33"/>
      <c r="AB198" s="10"/>
      <c r="AC198" s="33">
        <v>2700</v>
      </c>
      <c r="AD198" s="10">
        <f t="shared" si="1"/>
        <v>0</v>
      </c>
      <c r="AE198" s="82"/>
      <c r="AF198" s="17">
        <v>24.71</v>
      </c>
    </row>
    <row r="199" spans="1:32" x14ac:dyDescent="0.25">
      <c r="A199" s="7" t="s">
        <v>1523</v>
      </c>
      <c r="B199" s="9">
        <v>3920562</v>
      </c>
      <c r="C199" s="70">
        <v>44747</v>
      </c>
      <c r="D199" s="70">
        <v>44705</v>
      </c>
      <c r="E199" s="73">
        <v>44719</v>
      </c>
      <c r="F199" s="9" t="s">
        <v>1577</v>
      </c>
      <c r="G199" s="9" t="s">
        <v>1227</v>
      </c>
      <c r="H199" s="9"/>
      <c r="I199" s="7" t="s">
        <v>1402</v>
      </c>
      <c r="J199" s="51" t="s">
        <v>1226</v>
      </c>
      <c r="K199" s="7" t="s">
        <v>1039</v>
      </c>
      <c r="L199" s="10">
        <v>1607.14</v>
      </c>
      <c r="M199" s="10">
        <v>13392.86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33"/>
      <c r="AB199" s="10"/>
      <c r="AC199" s="33">
        <v>15000</v>
      </c>
      <c r="AD199" s="10">
        <f t="shared" si="1"/>
        <v>0</v>
      </c>
      <c r="AE199" s="82"/>
      <c r="AF199" s="17">
        <v>133.93</v>
      </c>
    </row>
    <row r="200" spans="1:32" x14ac:dyDescent="0.25">
      <c r="A200" s="7" t="s">
        <v>1524</v>
      </c>
      <c r="B200" s="9">
        <v>3920563</v>
      </c>
      <c r="C200" s="70">
        <v>44707</v>
      </c>
      <c r="D200" s="70">
        <v>44707</v>
      </c>
      <c r="E200" s="73"/>
      <c r="F200" s="9"/>
      <c r="H200" s="9"/>
      <c r="I200" s="7" t="s">
        <v>1538</v>
      </c>
      <c r="J200" s="51" t="s">
        <v>46</v>
      </c>
      <c r="K200" s="7"/>
      <c r="L200" s="10">
        <v>1132.5899999999999</v>
      </c>
      <c r="M200" s="10"/>
      <c r="N200" s="10"/>
      <c r="O200" s="10"/>
      <c r="P200" s="10"/>
      <c r="Q200" s="10"/>
      <c r="R200" s="10"/>
      <c r="S200" s="10">
        <v>9438.26</v>
      </c>
      <c r="T200" s="10"/>
      <c r="U200" s="10"/>
      <c r="V200" s="10"/>
      <c r="W200" s="10"/>
      <c r="X200" s="10"/>
      <c r="Y200" s="10"/>
      <c r="Z200" s="10"/>
      <c r="AA200" s="33"/>
      <c r="AB200" s="10"/>
      <c r="AC200" s="33">
        <v>10570.85</v>
      </c>
      <c r="AD200" s="10">
        <f t="shared" si="1"/>
        <v>0</v>
      </c>
      <c r="AE200" s="82"/>
    </row>
    <row r="201" spans="1:32" x14ac:dyDescent="0.25">
      <c r="A201" s="7" t="s">
        <v>1525</v>
      </c>
      <c r="B201" s="9">
        <v>3920564</v>
      </c>
      <c r="C201" s="70">
        <v>44736</v>
      </c>
      <c r="D201" s="70">
        <v>44708</v>
      </c>
      <c r="E201" s="73">
        <v>44715</v>
      </c>
      <c r="F201" s="9" t="s">
        <v>1564</v>
      </c>
      <c r="G201" s="9" t="s">
        <v>1229</v>
      </c>
      <c r="H201" s="9"/>
      <c r="I201" s="7" t="s">
        <v>1539</v>
      </c>
      <c r="J201" s="51" t="s">
        <v>37</v>
      </c>
      <c r="K201" s="7" t="s">
        <v>38</v>
      </c>
      <c r="L201" s="10">
        <v>3511.61</v>
      </c>
      <c r="M201" s="10">
        <v>29263.39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33"/>
      <c r="AB201" s="10"/>
      <c r="AC201" s="33">
        <v>32775</v>
      </c>
      <c r="AD201" s="10">
        <f t="shared" si="1"/>
        <v>0</v>
      </c>
      <c r="AE201" s="82"/>
      <c r="AF201" s="17">
        <v>292.63</v>
      </c>
    </row>
    <row r="202" spans="1:32" x14ac:dyDescent="0.25">
      <c r="A202" s="7" t="s">
        <v>1526</v>
      </c>
      <c r="B202" s="9">
        <v>3920565</v>
      </c>
      <c r="C202" s="70">
        <v>44742</v>
      </c>
      <c r="D202" s="70">
        <v>44708</v>
      </c>
      <c r="E202" s="73">
        <v>44711</v>
      </c>
      <c r="F202" s="9" t="s">
        <v>1544</v>
      </c>
      <c r="G202" s="9" t="s">
        <v>1230</v>
      </c>
      <c r="H202" s="9"/>
      <c r="I202" s="7" t="s">
        <v>1540</v>
      </c>
      <c r="J202" s="51" t="s">
        <v>84</v>
      </c>
      <c r="K202" s="7" t="s">
        <v>36</v>
      </c>
      <c r="L202" s="10">
        <v>1125</v>
      </c>
      <c r="M202" s="10">
        <v>9375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33"/>
      <c r="AB202" s="10"/>
      <c r="AC202" s="33">
        <v>10500</v>
      </c>
      <c r="AD202" s="10">
        <f t="shared" si="1"/>
        <v>0</v>
      </c>
      <c r="AE202" s="82"/>
      <c r="AF202" s="17">
        <v>93.75</v>
      </c>
    </row>
    <row r="203" spans="1:32" x14ac:dyDescent="0.25">
      <c r="A203" s="7" t="s">
        <v>1527</v>
      </c>
      <c r="B203" s="9">
        <v>3920566</v>
      </c>
      <c r="C203" s="70">
        <v>44742</v>
      </c>
      <c r="D203" s="70">
        <v>44708</v>
      </c>
      <c r="E203" s="73">
        <v>44715</v>
      </c>
      <c r="F203" s="9" t="s">
        <v>1565</v>
      </c>
      <c r="G203" s="9" t="s">
        <v>1231</v>
      </c>
      <c r="H203" s="9"/>
      <c r="I203" s="7" t="s">
        <v>1543</v>
      </c>
      <c r="J203" s="51" t="s">
        <v>37</v>
      </c>
      <c r="K203" s="7" t="s">
        <v>38</v>
      </c>
      <c r="L203" s="10">
        <v>1896.43</v>
      </c>
      <c r="M203" s="10">
        <v>15803.57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33"/>
      <c r="AB203" s="10"/>
      <c r="AC203" s="33">
        <v>17700</v>
      </c>
      <c r="AD203" s="10">
        <f t="shared" si="1"/>
        <v>0</v>
      </c>
      <c r="AE203" s="82"/>
    </row>
    <row r="204" spans="1:32" x14ac:dyDescent="0.25">
      <c r="A204" s="7" t="s">
        <v>1528</v>
      </c>
      <c r="B204" s="9">
        <v>3920567</v>
      </c>
      <c r="C204" s="70">
        <v>44708</v>
      </c>
      <c r="D204" s="70">
        <v>44708</v>
      </c>
      <c r="E204" s="73">
        <v>44711</v>
      </c>
      <c r="F204" s="9" t="s">
        <v>1556</v>
      </c>
      <c r="H204" s="9"/>
      <c r="I204" s="7" t="s">
        <v>1541</v>
      </c>
      <c r="J204" s="51" t="s">
        <v>109</v>
      </c>
      <c r="K204" s="7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33">
        <v>4648.5</v>
      </c>
      <c r="AB204" s="10"/>
      <c r="AC204" s="33">
        <v>4648.5</v>
      </c>
      <c r="AD204" s="10">
        <f t="shared" si="1"/>
        <v>0</v>
      </c>
      <c r="AE204" s="82"/>
    </row>
    <row r="205" spans="1:32" x14ac:dyDescent="0.25">
      <c r="A205" s="7" t="s">
        <v>1529</v>
      </c>
      <c r="B205" s="9">
        <v>3920568</v>
      </c>
      <c r="C205" s="70">
        <v>44712</v>
      </c>
      <c r="D205" s="70">
        <v>44712</v>
      </c>
      <c r="E205" s="73"/>
      <c r="F205" s="9"/>
      <c r="H205" s="9" t="s">
        <v>1545</v>
      </c>
      <c r="I205" s="7" t="s">
        <v>1174</v>
      </c>
      <c r="J205" s="51" t="s">
        <v>65</v>
      </c>
      <c r="K205" s="7"/>
      <c r="L205" s="10"/>
      <c r="M205" s="10"/>
      <c r="N205" s="10"/>
      <c r="O205" s="10"/>
      <c r="P205" s="10"/>
      <c r="Q205" s="10"/>
      <c r="R205" s="10"/>
      <c r="S205" s="10"/>
      <c r="T205" s="10">
        <v>7624</v>
      </c>
      <c r="U205" s="10"/>
      <c r="V205" s="10"/>
      <c r="W205" s="10"/>
      <c r="X205" s="10"/>
      <c r="Y205" s="10"/>
      <c r="Z205" s="10"/>
      <c r="AA205" s="33"/>
      <c r="AB205" s="10"/>
      <c r="AC205" s="33">
        <v>7624</v>
      </c>
      <c r="AD205" s="10">
        <f t="shared" si="1"/>
        <v>0</v>
      </c>
      <c r="AE205" s="82"/>
    </row>
    <row r="206" spans="1:32" x14ac:dyDescent="0.25">
      <c r="A206" s="7" t="s">
        <v>1530</v>
      </c>
      <c r="B206" s="9">
        <v>3920569</v>
      </c>
      <c r="C206" s="70">
        <v>44713</v>
      </c>
      <c r="D206" s="70">
        <v>44712</v>
      </c>
      <c r="E206" s="73"/>
      <c r="F206" s="9"/>
      <c r="H206" s="9"/>
      <c r="I206" s="7" t="s">
        <v>50</v>
      </c>
      <c r="J206" s="51" t="s">
        <v>39</v>
      </c>
      <c r="K206" s="7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33">
        <v>17277.5</v>
      </c>
      <c r="AB206" s="10"/>
      <c r="AC206" s="33">
        <v>17277.5</v>
      </c>
      <c r="AD206" s="10">
        <f t="shared" si="1"/>
        <v>0</v>
      </c>
      <c r="AE206" s="82"/>
    </row>
    <row r="207" spans="1:32" x14ac:dyDescent="0.25">
      <c r="A207" s="7" t="s">
        <v>1531</v>
      </c>
      <c r="B207" s="9">
        <v>3920570</v>
      </c>
      <c r="C207" s="70">
        <v>44742</v>
      </c>
      <c r="D207" s="70">
        <v>44712</v>
      </c>
      <c r="E207" s="73">
        <v>44732</v>
      </c>
      <c r="F207" s="9" t="s">
        <v>1625</v>
      </c>
      <c r="G207" s="9" t="s">
        <v>1232</v>
      </c>
      <c r="H207" s="9"/>
      <c r="I207" s="7" t="s">
        <v>1546</v>
      </c>
      <c r="J207" s="51" t="s">
        <v>83</v>
      </c>
      <c r="K207" s="7" t="s">
        <v>1336</v>
      </c>
      <c r="L207" s="10">
        <v>900</v>
      </c>
      <c r="M207" s="10">
        <v>7500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33"/>
      <c r="AB207" s="10"/>
      <c r="AC207" s="33">
        <v>8400</v>
      </c>
      <c r="AD207" s="10">
        <f t="shared" si="1"/>
        <v>0</v>
      </c>
      <c r="AE207" s="82"/>
      <c r="AF207" s="17">
        <v>75</v>
      </c>
    </row>
    <row r="208" spans="1:32" x14ac:dyDescent="0.25">
      <c r="A208" s="7" t="s">
        <v>1532</v>
      </c>
      <c r="B208" s="9">
        <v>3920571</v>
      </c>
      <c r="C208" s="70">
        <v>44742</v>
      </c>
      <c r="D208" s="70">
        <v>44712</v>
      </c>
      <c r="E208" s="73">
        <v>44732</v>
      </c>
      <c r="F208" s="9" t="s">
        <v>1627</v>
      </c>
      <c r="G208" s="9" t="s">
        <v>1237</v>
      </c>
      <c r="H208" s="9"/>
      <c r="I208" s="7" t="s">
        <v>257</v>
      </c>
      <c r="J208" s="51" t="s">
        <v>83</v>
      </c>
      <c r="K208" s="7" t="s">
        <v>1336</v>
      </c>
      <c r="L208" s="10">
        <v>3888</v>
      </c>
      <c r="M208" s="10">
        <v>32400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33"/>
      <c r="AB208" s="10"/>
      <c r="AC208" s="33">
        <v>36288</v>
      </c>
      <c r="AD208" s="10">
        <f t="shared" si="1"/>
        <v>0</v>
      </c>
      <c r="AE208" s="82"/>
      <c r="AF208" s="17">
        <v>324</v>
      </c>
    </row>
    <row r="209" spans="1:32" x14ac:dyDescent="0.25">
      <c r="A209" s="7" t="s">
        <v>1533</v>
      </c>
      <c r="B209" s="9">
        <v>3920572</v>
      </c>
      <c r="C209" s="70">
        <v>44745</v>
      </c>
      <c r="D209" s="70">
        <v>44712</v>
      </c>
      <c r="E209" s="73">
        <v>44719</v>
      </c>
      <c r="F209" s="9" t="s">
        <v>1578</v>
      </c>
      <c r="G209" s="9" t="s">
        <v>1238</v>
      </c>
      <c r="H209" s="9"/>
      <c r="I209" s="7" t="s">
        <v>1553</v>
      </c>
      <c r="J209" s="51" t="s">
        <v>1449</v>
      </c>
      <c r="K209" s="7"/>
      <c r="L209" s="10">
        <v>11250</v>
      </c>
      <c r="M209" s="10">
        <v>93750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33"/>
      <c r="AB209" s="10"/>
      <c r="AC209" s="33">
        <v>105000</v>
      </c>
      <c r="AD209" s="10">
        <f t="shared" si="1"/>
        <v>0</v>
      </c>
      <c r="AE209" s="82"/>
    </row>
    <row r="210" spans="1:32" s="39" customFormat="1" x14ac:dyDescent="0.25">
      <c r="A210" s="20"/>
      <c r="B210" s="19"/>
      <c r="C210" s="72"/>
      <c r="D210" s="72"/>
      <c r="E210" s="77"/>
      <c r="F210" s="19"/>
      <c r="G210" s="19"/>
      <c r="H210" s="19"/>
      <c r="I210" s="20"/>
      <c r="J210" s="20"/>
      <c r="K210" s="20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32"/>
      <c r="AB210" s="22"/>
      <c r="AC210" s="32"/>
      <c r="AD210" s="22"/>
      <c r="AE210" s="96"/>
      <c r="AF210" s="35"/>
    </row>
    <row r="211" spans="1:32" s="39" customFormat="1" x14ac:dyDescent="0.25">
      <c r="A211" s="25">
        <v>44713</v>
      </c>
      <c r="B211" s="19"/>
      <c r="C211" s="72"/>
      <c r="D211" s="72"/>
      <c r="E211" s="77"/>
      <c r="F211" s="19"/>
      <c r="G211" s="19"/>
      <c r="H211" s="19"/>
      <c r="I211" s="20"/>
      <c r="J211" s="20"/>
      <c r="K211" s="20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32"/>
      <c r="AB211" s="22"/>
      <c r="AC211" s="32"/>
      <c r="AD211" s="22"/>
      <c r="AE211" s="96"/>
      <c r="AF211" s="35"/>
    </row>
    <row r="212" spans="1:32" x14ac:dyDescent="0.25">
      <c r="A212" s="7" t="s">
        <v>1547</v>
      </c>
      <c r="B212" s="9" t="s">
        <v>1554</v>
      </c>
      <c r="C212" s="70">
        <v>44713</v>
      </c>
      <c r="D212" s="70">
        <v>44713</v>
      </c>
      <c r="E212" s="73">
        <v>44714</v>
      </c>
      <c r="F212" s="9" t="s">
        <v>1555</v>
      </c>
      <c r="H212" s="9"/>
      <c r="I212" s="7" t="s">
        <v>93</v>
      </c>
      <c r="J212" s="51" t="s">
        <v>79</v>
      </c>
      <c r="K212" s="7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>
        <v>20667</v>
      </c>
      <c r="W212" s="10"/>
      <c r="X212" s="10"/>
      <c r="Y212" s="10"/>
      <c r="Z212" s="10"/>
      <c r="AA212" s="33"/>
      <c r="AB212" s="10"/>
      <c r="AC212" s="33">
        <v>20667</v>
      </c>
      <c r="AD212" s="10">
        <f t="shared" si="1"/>
        <v>0</v>
      </c>
      <c r="AE212" s="82"/>
    </row>
    <row r="213" spans="1:32" x14ac:dyDescent="0.25">
      <c r="A213" s="7" t="s">
        <v>1548</v>
      </c>
      <c r="B213" s="9">
        <v>3920573</v>
      </c>
      <c r="C213" s="70">
        <v>44715</v>
      </c>
      <c r="D213" s="70">
        <v>44715</v>
      </c>
      <c r="E213" s="73"/>
      <c r="F213" s="9"/>
      <c r="H213" s="9"/>
      <c r="I213" s="7" t="s">
        <v>1566</v>
      </c>
      <c r="J213" s="51" t="s">
        <v>18</v>
      </c>
      <c r="K213" s="7"/>
      <c r="L213" s="10">
        <v>151.09</v>
      </c>
      <c r="M213" s="10"/>
      <c r="N213" s="10"/>
      <c r="O213" s="10"/>
      <c r="P213" s="10"/>
      <c r="Q213" s="10"/>
      <c r="R213" s="10">
        <v>1259.06</v>
      </c>
      <c r="S213" s="10"/>
      <c r="T213" s="10"/>
      <c r="U213" s="10"/>
      <c r="V213" s="10"/>
      <c r="W213" s="10"/>
      <c r="X213" s="10"/>
      <c r="Y213" s="10"/>
      <c r="Z213" s="10"/>
      <c r="AA213" s="33"/>
      <c r="AB213" s="10"/>
      <c r="AC213" s="33">
        <v>1410.15</v>
      </c>
      <c r="AD213" s="10">
        <f t="shared" si="1"/>
        <v>0</v>
      </c>
      <c r="AE213" s="82"/>
    </row>
    <row r="214" spans="1:32" x14ac:dyDescent="0.25">
      <c r="A214" s="7" t="s">
        <v>1549</v>
      </c>
      <c r="B214" s="9">
        <v>3920574</v>
      </c>
      <c r="C214" s="70">
        <v>44715</v>
      </c>
      <c r="D214" s="70">
        <v>44715</v>
      </c>
      <c r="E214" s="73"/>
      <c r="F214" s="9"/>
      <c r="H214" s="9"/>
      <c r="I214" s="7" t="s">
        <v>1566</v>
      </c>
      <c r="J214" s="51" t="s">
        <v>18</v>
      </c>
      <c r="K214" s="7"/>
      <c r="L214" s="10">
        <v>811.09</v>
      </c>
      <c r="M214" s="10"/>
      <c r="N214" s="10"/>
      <c r="O214" s="10"/>
      <c r="P214" s="10"/>
      <c r="Q214" s="10"/>
      <c r="R214" s="10">
        <v>6759.06</v>
      </c>
      <c r="S214" s="10"/>
      <c r="T214" s="10"/>
      <c r="U214" s="10"/>
      <c r="V214" s="10"/>
      <c r="W214" s="10"/>
      <c r="X214" s="10"/>
      <c r="Y214" s="10"/>
      <c r="Z214" s="10"/>
      <c r="AA214" s="33"/>
      <c r="AB214" s="10"/>
      <c r="AC214" s="33">
        <v>7570.15</v>
      </c>
      <c r="AD214" s="10">
        <f t="shared" si="1"/>
        <v>0</v>
      </c>
      <c r="AE214" s="82"/>
    </row>
    <row r="215" spans="1:32" x14ac:dyDescent="0.25">
      <c r="A215" s="7" t="s">
        <v>1550</v>
      </c>
      <c r="B215" s="9">
        <v>3920575</v>
      </c>
      <c r="C215" s="70">
        <v>44745</v>
      </c>
      <c r="D215" s="70">
        <v>44718</v>
      </c>
      <c r="E215" s="73">
        <v>44732</v>
      </c>
      <c r="F215" s="9" t="s">
        <v>1623</v>
      </c>
      <c r="G215" s="9" t="s">
        <v>1154</v>
      </c>
      <c r="H215" s="9"/>
      <c r="I215" s="7" t="s">
        <v>1567</v>
      </c>
      <c r="J215" s="51" t="s">
        <v>83</v>
      </c>
      <c r="K215" s="7" t="s">
        <v>1336</v>
      </c>
      <c r="L215" s="10">
        <v>21516</v>
      </c>
      <c r="M215" s="10">
        <v>179300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33"/>
      <c r="AB215" s="10"/>
      <c r="AC215" s="33">
        <v>200816</v>
      </c>
      <c r="AD215" s="10">
        <f t="shared" si="1"/>
        <v>0</v>
      </c>
      <c r="AE215" s="82"/>
    </row>
    <row r="216" spans="1:32" x14ac:dyDescent="0.25">
      <c r="A216" s="7" t="s">
        <v>1551</v>
      </c>
      <c r="B216" s="9">
        <v>3920576</v>
      </c>
      <c r="C216" s="70">
        <v>44718</v>
      </c>
      <c r="D216" s="70">
        <v>44736</v>
      </c>
      <c r="E216" s="73"/>
      <c r="F216" s="9"/>
      <c r="H216" s="9"/>
      <c r="I216" s="7" t="s">
        <v>1417</v>
      </c>
      <c r="J216" s="51" t="s">
        <v>1417</v>
      </c>
      <c r="K216" s="7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33"/>
      <c r="AB216" s="10"/>
      <c r="AC216" s="33"/>
      <c r="AD216" s="10">
        <f t="shared" si="1"/>
        <v>0</v>
      </c>
      <c r="AE216" s="82"/>
    </row>
    <row r="217" spans="1:32" x14ac:dyDescent="0.25">
      <c r="A217" s="7" t="s">
        <v>1552</v>
      </c>
      <c r="B217" s="9">
        <v>3920577</v>
      </c>
      <c r="C217" s="70">
        <v>44718</v>
      </c>
      <c r="D217" s="70">
        <v>44718</v>
      </c>
      <c r="E217" s="73"/>
      <c r="F217" s="9"/>
      <c r="H217" s="9"/>
      <c r="I217" s="7" t="s">
        <v>1581</v>
      </c>
      <c r="J217" s="51" t="s">
        <v>1582</v>
      </c>
      <c r="K217" s="7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33">
        <v>1200</v>
      </c>
      <c r="AB217" s="10"/>
      <c r="AC217" s="33">
        <v>1200</v>
      </c>
      <c r="AD217" s="10">
        <f t="shared" si="1"/>
        <v>0</v>
      </c>
      <c r="AE217" s="82"/>
    </row>
    <row r="218" spans="1:32" x14ac:dyDescent="0.25">
      <c r="A218" s="7" t="s">
        <v>1569</v>
      </c>
      <c r="B218" s="9">
        <v>3920578</v>
      </c>
      <c r="C218" s="70">
        <v>44720</v>
      </c>
      <c r="D218" s="70">
        <v>44720</v>
      </c>
      <c r="E218" s="73"/>
      <c r="F218" s="9"/>
      <c r="H218" s="9"/>
      <c r="I218" s="7" t="s">
        <v>123</v>
      </c>
      <c r="J218" s="51" t="s">
        <v>30</v>
      </c>
      <c r="K218" s="7"/>
      <c r="L218" s="10"/>
      <c r="M218" s="10">
        <v>58000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33"/>
      <c r="AB218" s="10"/>
      <c r="AC218" s="33">
        <v>58000</v>
      </c>
      <c r="AD218" s="10">
        <f t="shared" si="1"/>
        <v>0</v>
      </c>
      <c r="AE218" s="82"/>
    </row>
    <row r="219" spans="1:32" x14ac:dyDescent="0.25">
      <c r="A219" s="7" t="s">
        <v>1570</v>
      </c>
      <c r="B219" s="9">
        <v>3920579</v>
      </c>
      <c r="C219" s="70">
        <v>44764</v>
      </c>
      <c r="D219" s="70">
        <v>44720</v>
      </c>
      <c r="E219" s="73">
        <v>44728</v>
      </c>
      <c r="F219" s="9" t="s">
        <v>1622</v>
      </c>
      <c r="G219" s="9" t="s">
        <v>1239</v>
      </c>
      <c r="H219" s="9"/>
      <c r="I219" s="7" t="s">
        <v>1579</v>
      </c>
      <c r="J219" s="51" t="s">
        <v>1226</v>
      </c>
      <c r="K219" s="7" t="s">
        <v>1039</v>
      </c>
      <c r="L219" s="10">
        <v>3214.29</v>
      </c>
      <c r="M219" s="10">
        <v>26785.71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33"/>
      <c r="AB219" s="10"/>
      <c r="AC219" s="33">
        <v>30000</v>
      </c>
      <c r="AD219" s="10">
        <f t="shared" si="1"/>
        <v>0</v>
      </c>
      <c r="AE219" s="82"/>
      <c r="AF219" s="17">
        <v>267.86</v>
      </c>
    </row>
    <row r="220" spans="1:32" x14ac:dyDescent="0.25">
      <c r="A220" s="7" t="s">
        <v>1571</v>
      </c>
      <c r="B220" s="9" t="s">
        <v>1580</v>
      </c>
      <c r="C220" s="70">
        <v>44720</v>
      </c>
      <c r="D220" s="70">
        <v>44720</v>
      </c>
      <c r="E220" s="73"/>
      <c r="F220" s="9"/>
      <c r="H220" s="9"/>
      <c r="I220" s="7" t="s">
        <v>55</v>
      </c>
      <c r="J220" s="51" t="s">
        <v>54</v>
      </c>
      <c r="K220" s="7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>
        <v>150000</v>
      </c>
      <c r="AA220" s="33"/>
      <c r="AB220" s="10"/>
      <c r="AC220" s="33">
        <v>150000</v>
      </c>
      <c r="AD220" s="10">
        <f t="shared" si="1"/>
        <v>0</v>
      </c>
      <c r="AE220" s="82"/>
    </row>
    <row r="221" spans="1:32" x14ac:dyDescent="0.25">
      <c r="A221" s="7" t="s">
        <v>1572</v>
      </c>
      <c r="B221" s="9" t="s">
        <v>1599</v>
      </c>
      <c r="C221" s="70">
        <v>44722</v>
      </c>
      <c r="D221" s="70">
        <v>44722</v>
      </c>
      <c r="E221" s="73">
        <v>44723</v>
      </c>
      <c r="F221" s="9" t="s">
        <v>1621</v>
      </c>
      <c r="H221" s="9" t="s">
        <v>1666</v>
      </c>
      <c r="I221" s="7" t="s">
        <v>633</v>
      </c>
      <c r="J221" s="51" t="s">
        <v>1482</v>
      </c>
      <c r="K221" s="7" t="s">
        <v>1483</v>
      </c>
      <c r="L221" s="10">
        <v>1236.96</v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33">
        <v>10308.030000000001</v>
      </c>
      <c r="AB221" s="10"/>
      <c r="AC221" s="33">
        <v>12000</v>
      </c>
      <c r="AD221" s="10">
        <f t="shared" si="1"/>
        <v>455.0099999999984</v>
      </c>
      <c r="AE221" s="82" t="s">
        <v>1620</v>
      </c>
    </row>
    <row r="222" spans="1:32" x14ac:dyDescent="0.25">
      <c r="A222" s="7" t="s">
        <v>1573</v>
      </c>
      <c r="B222" s="9" t="s">
        <v>1596</v>
      </c>
      <c r="C222" s="70">
        <v>44725</v>
      </c>
      <c r="D222" s="70">
        <v>44722</v>
      </c>
      <c r="E222" s="73"/>
      <c r="F222" s="9"/>
      <c r="H222" s="9"/>
      <c r="I222" s="7" t="s">
        <v>82</v>
      </c>
      <c r="J222" s="51" t="s">
        <v>54</v>
      </c>
      <c r="K222" s="7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>
        <v>150000</v>
      </c>
      <c r="AA222" s="33"/>
      <c r="AB222" s="10"/>
      <c r="AC222" s="33">
        <v>150000</v>
      </c>
      <c r="AD222" s="10">
        <f t="shared" si="1"/>
        <v>0</v>
      </c>
      <c r="AE222" s="82"/>
    </row>
    <row r="223" spans="1:32" x14ac:dyDescent="0.25">
      <c r="A223" s="7" t="s">
        <v>1574</v>
      </c>
      <c r="B223" s="9">
        <v>3920580</v>
      </c>
      <c r="C223" s="70">
        <v>44722</v>
      </c>
      <c r="D223" s="70">
        <v>44722</v>
      </c>
      <c r="E223" s="73">
        <v>44729</v>
      </c>
      <c r="F223" s="9" t="s">
        <v>1630</v>
      </c>
      <c r="H223" s="9"/>
      <c r="I223" s="7" t="s">
        <v>1595</v>
      </c>
      <c r="J223" s="51" t="s">
        <v>1628</v>
      </c>
      <c r="K223" s="7" t="s">
        <v>1629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33">
        <v>19250</v>
      </c>
      <c r="AB223" s="10"/>
      <c r="AC223" s="33">
        <v>19250</v>
      </c>
      <c r="AD223" s="10">
        <f t="shared" si="1"/>
        <v>0</v>
      </c>
      <c r="AE223" s="82"/>
    </row>
    <row r="224" spans="1:32" x14ac:dyDescent="0.25">
      <c r="A224" s="7" t="s">
        <v>1575</v>
      </c>
      <c r="B224" s="9">
        <v>3920581</v>
      </c>
      <c r="C224" s="70">
        <v>44725</v>
      </c>
      <c r="D224" s="70">
        <v>44725</v>
      </c>
      <c r="E224" s="73"/>
      <c r="F224" s="9"/>
      <c r="H224" s="9"/>
      <c r="I224" s="7" t="s">
        <v>1604</v>
      </c>
      <c r="J224" s="51" t="s">
        <v>1605</v>
      </c>
      <c r="K224" s="7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33">
        <v>12243.75</v>
      </c>
      <c r="AB224" s="10"/>
      <c r="AC224" s="33">
        <v>12243.75</v>
      </c>
      <c r="AD224" s="10">
        <f t="shared" si="1"/>
        <v>0</v>
      </c>
      <c r="AE224" s="82"/>
    </row>
    <row r="225" spans="1:32" x14ac:dyDescent="0.25">
      <c r="A225" s="7" t="s">
        <v>1576</v>
      </c>
      <c r="B225" s="9">
        <v>3920582</v>
      </c>
      <c r="C225" s="70">
        <v>44725</v>
      </c>
      <c r="D225" s="70">
        <v>44725</v>
      </c>
      <c r="E225" s="73"/>
      <c r="F225" s="9"/>
      <c r="H225" s="9" t="s">
        <v>1667</v>
      </c>
      <c r="I225" s="7" t="s">
        <v>1165</v>
      </c>
      <c r="J225" s="51" t="s">
        <v>65</v>
      </c>
      <c r="K225" s="7"/>
      <c r="L225" s="10"/>
      <c r="M225" s="10"/>
      <c r="N225" s="10"/>
      <c r="O225" s="10"/>
      <c r="P225" s="10"/>
      <c r="Q225" s="10"/>
      <c r="R225" s="10"/>
      <c r="S225" s="10"/>
      <c r="T225" s="10">
        <v>13715.4</v>
      </c>
      <c r="U225" s="10"/>
      <c r="V225" s="10"/>
      <c r="W225" s="10"/>
      <c r="X225" s="10"/>
      <c r="Y225" s="10"/>
      <c r="Z225" s="10"/>
      <c r="AA225" s="33"/>
      <c r="AB225" s="10"/>
      <c r="AC225" s="33">
        <v>13715.4</v>
      </c>
      <c r="AD225" s="10">
        <f t="shared" si="1"/>
        <v>0</v>
      </c>
      <c r="AE225" s="82"/>
    </row>
    <row r="226" spans="1:32" x14ac:dyDescent="0.25">
      <c r="A226" s="7" t="s">
        <v>1583</v>
      </c>
      <c r="B226" s="9">
        <v>3920583</v>
      </c>
      <c r="C226" s="70">
        <v>44725</v>
      </c>
      <c r="D226" s="70">
        <v>44725</v>
      </c>
      <c r="E226" s="73"/>
      <c r="F226" s="9"/>
      <c r="H226" s="9" t="s">
        <v>1699</v>
      </c>
      <c r="I226" s="7" t="s">
        <v>1174</v>
      </c>
      <c r="J226" s="51" t="s">
        <v>65</v>
      </c>
      <c r="K226" s="7"/>
      <c r="L226" s="10"/>
      <c r="M226" s="10"/>
      <c r="N226" s="10"/>
      <c r="O226" s="10"/>
      <c r="P226" s="10"/>
      <c r="Q226" s="10"/>
      <c r="R226" s="10"/>
      <c r="S226" s="10"/>
      <c r="T226" s="10">
        <v>6324</v>
      </c>
      <c r="U226" s="10"/>
      <c r="V226" s="10"/>
      <c r="W226" s="10"/>
      <c r="X226" s="10"/>
      <c r="Y226" s="10"/>
      <c r="Z226" s="10"/>
      <c r="AA226" s="33"/>
      <c r="AB226" s="10"/>
      <c r="AC226" s="33">
        <v>6324</v>
      </c>
      <c r="AD226" s="10">
        <f t="shared" si="1"/>
        <v>0</v>
      </c>
      <c r="AE226" s="82"/>
    </row>
    <row r="227" spans="1:32" x14ac:dyDescent="0.25">
      <c r="A227" s="7" t="s">
        <v>1584</v>
      </c>
      <c r="B227" s="9">
        <v>3920584</v>
      </c>
      <c r="C227" s="70">
        <v>44765</v>
      </c>
      <c r="D227" s="70">
        <v>44725</v>
      </c>
      <c r="E227" s="73">
        <v>44734</v>
      </c>
      <c r="F227" s="9" t="s">
        <v>1631</v>
      </c>
      <c r="G227" s="9" t="s">
        <v>1241</v>
      </c>
      <c r="H227" s="9"/>
      <c r="I227" s="7" t="s">
        <v>1553</v>
      </c>
      <c r="J227" s="51" t="s">
        <v>1449</v>
      </c>
      <c r="K227" s="7"/>
      <c r="L227" s="10">
        <v>11250</v>
      </c>
      <c r="M227" s="10">
        <v>93750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33"/>
      <c r="AB227" s="10"/>
      <c r="AC227" s="33">
        <v>105000</v>
      </c>
      <c r="AD227" s="10">
        <f t="shared" si="1"/>
        <v>0</v>
      </c>
      <c r="AE227" s="82"/>
      <c r="AF227" s="17">
        <v>937.5</v>
      </c>
    </row>
    <row r="228" spans="1:32" x14ac:dyDescent="0.25">
      <c r="A228" s="7" t="s">
        <v>1585</v>
      </c>
      <c r="B228" s="9">
        <v>3920585</v>
      </c>
      <c r="C228" s="70">
        <v>44764</v>
      </c>
      <c r="D228" s="70">
        <v>44725</v>
      </c>
      <c r="E228" s="73">
        <v>44771</v>
      </c>
      <c r="F228" s="9" t="s">
        <v>1744</v>
      </c>
      <c r="G228" s="9" t="s">
        <v>1242</v>
      </c>
      <c r="H228" s="9"/>
      <c r="I228" s="7" t="s">
        <v>1594</v>
      </c>
      <c r="J228" s="51" t="s">
        <v>37</v>
      </c>
      <c r="K228" s="7" t="s">
        <v>38</v>
      </c>
      <c r="L228" s="10">
        <v>4682.1400000000003</v>
      </c>
      <c r="M228" s="10">
        <v>39017.86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33"/>
      <c r="AB228" s="10"/>
      <c r="AC228" s="33">
        <v>43700</v>
      </c>
      <c r="AD228" s="10">
        <f t="shared" si="1"/>
        <v>0</v>
      </c>
      <c r="AE228" s="82"/>
      <c r="AF228" s="17">
        <v>390.18</v>
      </c>
    </row>
    <row r="229" spans="1:32" x14ac:dyDescent="0.25">
      <c r="A229" s="7" t="s">
        <v>1586</v>
      </c>
      <c r="B229" s="9">
        <v>3920586</v>
      </c>
      <c r="C229" s="70">
        <v>44725</v>
      </c>
      <c r="D229" s="70">
        <v>44725</v>
      </c>
      <c r="E229" s="73"/>
      <c r="F229" s="9"/>
      <c r="H229" s="9"/>
      <c r="I229" s="7" t="s">
        <v>1600</v>
      </c>
      <c r="J229" s="51" t="s">
        <v>43</v>
      </c>
      <c r="K229" s="7"/>
      <c r="L229" s="10">
        <v>254.57</v>
      </c>
      <c r="M229" s="10"/>
      <c r="N229" s="10"/>
      <c r="O229" s="10"/>
      <c r="P229" s="10"/>
      <c r="Q229" s="10"/>
      <c r="R229" s="10"/>
      <c r="S229" s="10">
        <v>2121.46</v>
      </c>
      <c r="T229" s="10"/>
      <c r="U229" s="10"/>
      <c r="V229" s="10"/>
      <c r="W229" s="10"/>
      <c r="X229" s="10"/>
      <c r="Y229" s="10"/>
      <c r="Z229" s="10"/>
      <c r="AA229" s="33"/>
      <c r="AB229" s="10"/>
      <c r="AC229" s="33">
        <v>2376.0300000000002</v>
      </c>
      <c r="AD229" s="10">
        <f t="shared" ref="AD229:AD294" si="2">SUM(AB229:AC229)-SUM(L229:AA229)</f>
        <v>0</v>
      </c>
      <c r="AE229" s="82"/>
    </row>
    <row r="230" spans="1:32" x14ac:dyDescent="0.25">
      <c r="A230" s="7" t="s">
        <v>1587</v>
      </c>
      <c r="B230" s="9">
        <v>3920587</v>
      </c>
      <c r="C230" s="70">
        <v>44725</v>
      </c>
      <c r="D230" s="70">
        <v>44725</v>
      </c>
      <c r="E230" s="73"/>
      <c r="F230" s="9"/>
      <c r="H230" s="9"/>
      <c r="I230" s="7" t="s">
        <v>1598</v>
      </c>
      <c r="J230" s="51" t="s">
        <v>43</v>
      </c>
      <c r="K230" s="7"/>
      <c r="L230" s="10">
        <v>107.04</v>
      </c>
      <c r="M230" s="10"/>
      <c r="N230" s="10"/>
      <c r="O230" s="10"/>
      <c r="P230" s="10"/>
      <c r="Q230" s="10"/>
      <c r="R230" s="10"/>
      <c r="S230" s="10">
        <v>891.96</v>
      </c>
      <c r="T230" s="10"/>
      <c r="U230" s="10"/>
      <c r="V230" s="10"/>
      <c r="W230" s="10"/>
      <c r="X230" s="10"/>
      <c r="Y230" s="10"/>
      <c r="Z230" s="10"/>
      <c r="AA230" s="33"/>
      <c r="AB230" s="10"/>
      <c r="AC230" s="33">
        <v>999</v>
      </c>
      <c r="AD230" s="10">
        <f t="shared" si="2"/>
        <v>0</v>
      </c>
      <c r="AE230" s="82"/>
    </row>
    <row r="231" spans="1:32" x14ac:dyDescent="0.25">
      <c r="A231" s="7" t="s">
        <v>1588</v>
      </c>
      <c r="B231" s="9">
        <v>3920588</v>
      </c>
      <c r="C231" s="70">
        <v>44725</v>
      </c>
      <c r="D231" s="70">
        <v>44725</v>
      </c>
      <c r="E231" s="73"/>
      <c r="F231" s="9"/>
      <c r="H231" s="9"/>
      <c r="I231" s="7" t="s">
        <v>1598</v>
      </c>
      <c r="J231" s="51" t="s">
        <v>43</v>
      </c>
      <c r="K231" s="7"/>
      <c r="L231" s="10">
        <v>148.61000000000001</v>
      </c>
      <c r="M231" s="10"/>
      <c r="N231" s="10"/>
      <c r="O231" s="10"/>
      <c r="P231" s="10"/>
      <c r="Q231" s="10"/>
      <c r="R231" s="10"/>
      <c r="S231" s="10">
        <v>1238.3800000000001</v>
      </c>
      <c r="T231" s="10"/>
      <c r="U231" s="10"/>
      <c r="V231" s="10"/>
      <c r="W231" s="10"/>
      <c r="X231" s="10"/>
      <c r="Y231" s="10"/>
      <c r="Z231" s="10"/>
      <c r="AA231" s="33"/>
      <c r="AB231" s="10"/>
      <c r="AC231" s="33">
        <v>1386.99</v>
      </c>
      <c r="AD231" s="10">
        <f t="shared" si="2"/>
        <v>0</v>
      </c>
      <c r="AE231" s="82"/>
    </row>
    <row r="232" spans="1:32" x14ac:dyDescent="0.25">
      <c r="A232" s="7" t="s">
        <v>1589</v>
      </c>
      <c r="B232" s="9" t="s">
        <v>1601</v>
      </c>
      <c r="C232" s="47">
        <v>44725</v>
      </c>
      <c r="D232" s="70">
        <v>44725</v>
      </c>
      <c r="E232" s="73">
        <v>44731</v>
      </c>
      <c r="F232" s="9" t="s">
        <v>1655</v>
      </c>
      <c r="G232" s="9" t="s">
        <v>1240</v>
      </c>
      <c r="H232" s="9"/>
      <c r="I232" s="7" t="s">
        <v>1597</v>
      </c>
      <c r="J232" s="51" t="s">
        <v>121</v>
      </c>
      <c r="K232" s="7" t="s">
        <v>122</v>
      </c>
      <c r="L232" s="10">
        <v>13575</v>
      </c>
      <c r="M232" s="10">
        <v>113125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33"/>
      <c r="AB232" s="10"/>
      <c r="AC232" s="33">
        <v>126700</v>
      </c>
      <c r="AD232" s="10">
        <f t="shared" si="2"/>
        <v>0</v>
      </c>
      <c r="AE232" s="82"/>
      <c r="AF232" s="17">
        <v>1131.25</v>
      </c>
    </row>
    <row r="233" spans="1:32" x14ac:dyDescent="0.25">
      <c r="A233" s="7" t="s">
        <v>1590</v>
      </c>
      <c r="B233" s="9" t="s">
        <v>1602</v>
      </c>
      <c r="C233" s="70">
        <v>44725</v>
      </c>
      <c r="D233" s="70">
        <v>44725</v>
      </c>
      <c r="E233" s="73">
        <v>44727</v>
      </c>
      <c r="F233" s="9" t="s">
        <v>1617</v>
      </c>
      <c r="G233" s="9" t="s">
        <v>1243</v>
      </c>
      <c r="H233" s="9"/>
      <c r="I233" s="7" t="s">
        <v>1603</v>
      </c>
      <c r="J233" s="51" t="s">
        <v>1208</v>
      </c>
      <c r="K233" s="7" t="s">
        <v>1209</v>
      </c>
      <c r="L233" s="10">
        <v>4872.8599999999997</v>
      </c>
      <c r="M233" s="10">
        <v>40607.14</v>
      </c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33"/>
      <c r="AB233" s="10"/>
      <c r="AC233" s="33">
        <v>45480</v>
      </c>
      <c r="AD233" s="10">
        <f t="shared" si="2"/>
        <v>0</v>
      </c>
      <c r="AE233" s="82"/>
      <c r="AF233" s="17">
        <v>406.07</v>
      </c>
    </row>
    <row r="234" spans="1:32" x14ac:dyDescent="0.25">
      <c r="A234" s="7" t="s">
        <v>1591</v>
      </c>
      <c r="B234" s="9">
        <v>3920589</v>
      </c>
      <c r="C234" s="70">
        <v>44726</v>
      </c>
      <c r="D234" s="70">
        <v>44726</v>
      </c>
      <c r="E234" s="73">
        <v>44729</v>
      </c>
      <c r="F234" s="9" t="s">
        <v>1630</v>
      </c>
      <c r="H234" s="9"/>
      <c r="I234" s="7" t="s">
        <v>1616</v>
      </c>
      <c r="J234" s="51" t="s">
        <v>1628</v>
      </c>
      <c r="K234" s="7" t="s">
        <v>1629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33">
        <v>14750</v>
      </c>
      <c r="AB234" s="10"/>
      <c r="AC234" s="33">
        <v>14750</v>
      </c>
      <c r="AD234" s="10">
        <f t="shared" si="2"/>
        <v>0</v>
      </c>
      <c r="AE234" s="82"/>
    </row>
    <row r="235" spans="1:32" x14ac:dyDescent="0.25">
      <c r="A235" s="7" t="s">
        <v>1592</v>
      </c>
      <c r="B235" s="9">
        <v>3920590</v>
      </c>
      <c r="C235" s="70">
        <v>44726</v>
      </c>
      <c r="D235" s="70">
        <v>44726</v>
      </c>
      <c r="E235" s="73"/>
      <c r="F235" s="9"/>
      <c r="H235" s="9"/>
      <c r="I235" s="7" t="s">
        <v>1618</v>
      </c>
      <c r="J235" s="51" t="s">
        <v>44</v>
      </c>
      <c r="K235" s="7"/>
      <c r="L235" s="10">
        <v>710.12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>
        <v>5917.67</v>
      </c>
      <c r="Y235" s="10"/>
      <c r="Z235" s="10"/>
      <c r="AA235" s="33"/>
      <c r="AB235" s="10"/>
      <c r="AC235" s="33">
        <v>6627.79</v>
      </c>
      <c r="AD235" s="10">
        <f t="shared" si="2"/>
        <v>0</v>
      </c>
      <c r="AE235" s="82"/>
    </row>
    <row r="236" spans="1:32" x14ac:dyDescent="0.25">
      <c r="A236" s="7" t="s">
        <v>1593</v>
      </c>
      <c r="B236" s="9">
        <v>3920592</v>
      </c>
      <c r="C236" s="70">
        <v>44726</v>
      </c>
      <c r="D236" s="70">
        <v>44726</v>
      </c>
      <c r="E236" s="73"/>
      <c r="F236" s="9"/>
      <c r="H236" s="9"/>
      <c r="I236" s="7" t="s">
        <v>1619</v>
      </c>
      <c r="J236" s="51" t="s">
        <v>46</v>
      </c>
      <c r="K236" s="7"/>
      <c r="L236" s="10">
        <v>192.75</v>
      </c>
      <c r="M236" s="10"/>
      <c r="N236" s="10"/>
      <c r="O236" s="10"/>
      <c r="P236" s="10"/>
      <c r="Q236" s="10"/>
      <c r="R236" s="10"/>
      <c r="S236" s="10">
        <v>1606.25</v>
      </c>
      <c r="T236" s="10"/>
      <c r="U236" s="10"/>
      <c r="V236" s="10"/>
      <c r="W236" s="10"/>
      <c r="X236" s="10"/>
      <c r="Y236" s="10"/>
      <c r="Z236" s="10"/>
      <c r="AA236" s="33"/>
      <c r="AB236" s="10"/>
      <c r="AC236" s="33">
        <v>1799</v>
      </c>
      <c r="AD236" s="10">
        <f t="shared" si="2"/>
        <v>0</v>
      </c>
      <c r="AE236" s="82"/>
    </row>
    <row r="237" spans="1:32" x14ac:dyDescent="0.25">
      <c r="A237" s="7" t="s">
        <v>1606</v>
      </c>
      <c r="B237" s="9">
        <v>3920593</v>
      </c>
      <c r="C237" s="70">
        <v>44726</v>
      </c>
      <c r="D237" s="70">
        <v>44726</v>
      </c>
      <c r="E237" s="73"/>
      <c r="F237" s="9"/>
      <c r="H237" s="9"/>
      <c r="I237" s="7" t="s">
        <v>1618</v>
      </c>
      <c r="J237" s="51" t="s">
        <v>46</v>
      </c>
      <c r="K237" s="7"/>
      <c r="L237" s="10">
        <v>107.04</v>
      </c>
      <c r="M237" s="10"/>
      <c r="N237" s="10"/>
      <c r="O237" s="10"/>
      <c r="P237" s="10"/>
      <c r="Q237" s="10"/>
      <c r="R237" s="10"/>
      <c r="S237" s="10">
        <v>891.96</v>
      </c>
      <c r="T237" s="10"/>
      <c r="U237" s="10"/>
      <c r="V237" s="10"/>
      <c r="W237" s="10"/>
      <c r="X237" s="10"/>
      <c r="Y237" s="10"/>
      <c r="Z237" s="10"/>
      <c r="AA237" s="33"/>
      <c r="AB237" s="10"/>
      <c r="AC237" s="33">
        <v>999</v>
      </c>
      <c r="AD237" s="10">
        <f t="shared" si="2"/>
        <v>0</v>
      </c>
      <c r="AE237" s="82"/>
    </row>
    <row r="238" spans="1:32" x14ac:dyDescent="0.25">
      <c r="A238" s="7" t="s">
        <v>1607</v>
      </c>
      <c r="B238" s="9">
        <v>3920594</v>
      </c>
      <c r="C238" s="70">
        <v>44726</v>
      </c>
      <c r="D238" s="70">
        <v>44726</v>
      </c>
      <c r="E238" s="73"/>
      <c r="F238" s="9"/>
      <c r="H238" s="9"/>
      <c r="I238" s="7" t="s">
        <v>1619</v>
      </c>
      <c r="J238" s="51" t="s">
        <v>46</v>
      </c>
      <c r="K238" s="7"/>
      <c r="L238" s="10">
        <v>107.04</v>
      </c>
      <c r="M238" s="10"/>
      <c r="N238" s="10"/>
      <c r="O238" s="10"/>
      <c r="P238" s="10"/>
      <c r="Q238" s="10"/>
      <c r="R238" s="10"/>
      <c r="S238" s="10">
        <v>891.96</v>
      </c>
      <c r="T238" s="10"/>
      <c r="U238" s="10"/>
      <c r="V238" s="10"/>
      <c r="W238" s="10"/>
      <c r="X238" s="10"/>
      <c r="Y238" s="10"/>
      <c r="Z238" s="10"/>
      <c r="AA238" s="33"/>
      <c r="AB238" s="10"/>
      <c r="AC238" s="33">
        <v>999</v>
      </c>
      <c r="AD238" s="10">
        <f t="shared" si="2"/>
        <v>0</v>
      </c>
      <c r="AE238" s="82"/>
    </row>
    <row r="239" spans="1:32" x14ac:dyDescent="0.25">
      <c r="A239" s="7" t="s">
        <v>1608</v>
      </c>
      <c r="B239" s="9">
        <v>3920595</v>
      </c>
      <c r="C239" s="70">
        <v>44726</v>
      </c>
      <c r="D239" s="70">
        <v>44726</v>
      </c>
      <c r="E239" s="73"/>
      <c r="F239" s="9"/>
      <c r="H239" s="9"/>
      <c r="I239" s="7" t="s">
        <v>1619</v>
      </c>
      <c r="J239" s="51" t="s">
        <v>46</v>
      </c>
      <c r="K239" s="7"/>
      <c r="L239" s="10">
        <v>107.04</v>
      </c>
      <c r="M239" s="10"/>
      <c r="N239" s="10"/>
      <c r="O239" s="10"/>
      <c r="P239" s="10"/>
      <c r="Q239" s="10"/>
      <c r="R239" s="10"/>
      <c r="S239" s="10">
        <v>891.96</v>
      </c>
      <c r="T239" s="10"/>
      <c r="U239" s="10"/>
      <c r="V239" s="10"/>
      <c r="W239" s="10"/>
      <c r="X239" s="10"/>
      <c r="Y239" s="10"/>
      <c r="Z239" s="10"/>
      <c r="AA239" s="33"/>
      <c r="AB239" s="10"/>
      <c r="AC239" s="33">
        <v>999</v>
      </c>
      <c r="AD239" s="10">
        <f t="shared" si="2"/>
        <v>0</v>
      </c>
      <c r="AE239" s="82"/>
    </row>
    <row r="240" spans="1:32" x14ac:dyDescent="0.25">
      <c r="A240" s="7" t="s">
        <v>1609</v>
      </c>
      <c r="B240" s="9">
        <v>3920576</v>
      </c>
      <c r="C240" s="70">
        <v>44727</v>
      </c>
      <c r="D240" s="70">
        <v>44727</v>
      </c>
      <c r="E240" s="73">
        <v>44728</v>
      </c>
      <c r="F240" s="9" t="s">
        <v>1720</v>
      </c>
      <c r="H240" s="9"/>
      <c r="I240" s="7" t="s">
        <v>63</v>
      </c>
      <c r="J240" s="51" t="s">
        <v>1568</v>
      </c>
      <c r="K240" s="7"/>
      <c r="L240" s="10"/>
      <c r="M240" s="10"/>
      <c r="N240" s="10">
        <v>122325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33"/>
      <c r="AB240" s="10"/>
      <c r="AC240" s="33">
        <v>122325</v>
      </c>
      <c r="AD240" s="10">
        <f>SUM(AB240:AC240)-SUM(L240:AA240)</f>
        <v>0</v>
      </c>
      <c r="AE240" s="82"/>
    </row>
    <row r="241" spans="1:32" x14ac:dyDescent="0.25">
      <c r="A241" s="7" t="s">
        <v>1610</v>
      </c>
      <c r="B241" s="9">
        <v>3920597</v>
      </c>
      <c r="C241" s="70">
        <v>44728</v>
      </c>
      <c r="D241" s="70">
        <v>44728</v>
      </c>
      <c r="E241" s="73"/>
      <c r="F241" s="9" t="s">
        <v>1656</v>
      </c>
      <c r="H241" s="9"/>
      <c r="I241" s="7" t="s">
        <v>1624</v>
      </c>
      <c r="J241" s="51" t="s">
        <v>56</v>
      </c>
      <c r="K241" s="7"/>
      <c r="L241" s="10">
        <v>2250</v>
      </c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33">
        <v>18750</v>
      </c>
      <c r="AB241" s="10"/>
      <c r="AC241" s="33">
        <v>21000</v>
      </c>
      <c r="AD241" s="10">
        <f t="shared" si="2"/>
        <v>0</v>
      </c>
      <c r="AE241" s="82"/>
    </row>
    <row r="242" spans="1:32" x14ac:dyDescent="0.25">
      <c r="A242" s="7" t="s">
        <v>1611</v>
      </c>
      <c r="B242" s="9" t="s">
        <v>1632</v>
      </c>
      <c r="C242" s="70">
        <v>44736</v>
      </c>
      <c r="D242" s="70">
        <v>44736</v>
      </c>
      <c r="E242" s="73"/>
      <c r="F242" s="9"/>
      <c r="H242" s="9"/>
      <c r="I242" s="7" t="s">
        <v>64</v>
      </c>
      <c r="J242" s="51" t="s">
        <v>1633</v>
      </c>
      <c r="K242" s="7"/>
      <c r="L242" s="10"/>
      <c r="M242" s="10"/>
      <c r="N242" s="10"/>
      <c r="O242" s="10"/>
      <c r="P242" s="10">
        <v>15000</v>
      </c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33"/>
      <c r="AB242" s="10"/>
      <c r="AC242" s="33">
        <v>15000</v>
      </c>
      <c r="AD242" s="10">
        <f t="shared" si="2"/>
        <v>0</v>
      </c>
      <c r="AE242" s="82"/>
    </row>
    <row r="243" spans="1:32" x14ac:dyDescent="0.25">
      <c r="A243" s="7" t="s">
        <v>1612</v>
      </c>
      <c r="B243" s="9" t="s">
        <v>1649</v>
      </c>
      <c r="C243" s="70">
        <v>44739</v>
      </c>
      <c r="D243" s="70">
        <v>44739</v>
      </c>
      <c r="E243" s="73"/>
      <c r="F243" s="9"/>
      <c r="H243" s="9"/>
      <c r="I243" s="7" t="s">
        <v>55</v>
      </c>
      <c r="J243" s="51" t="s">
        <v>54</v>
      </c>
      <c r="K243" s="7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>
        <v>150000</v>
      </c>
      <c r="AA243" s="33"/>
      <c r="AB243" s="10"/>
      <c r="AC243" s="33">
        <v>150000</v>
      </c>
      <c r="AD243" s="10">
        <f t="shared" si="2"/>
        <v>0</v>
      </c>
      <c r="AE243" s="82"/>
    </row>
    <row r="244" spans="1:32" x14ac:dyDescent="0.25">
      <c r="A244" s="7" t="s">
        <v>1613</v>
      </c>
      <c r="B244" s="9" t="s">
        <v>1651</v>
      </c>
      <c r="C244" s="70">
        <v>44739</v>
      </c>
      <c r="D244" s="70">
        <v>44739</v>
      </c>
      <c r="E244" s="73">
        <v>44740</v>
      </c>
      <c r="F244" s="9" t="s">
        <v>1657</v>
      </c>
      <c r="H244" s="9"/>
      <c r="I244" s="7" t="s">
        <v>1652</v>
      </c>
      <c r="J244" s="51" t="s">
        <v>1069</v>
      </c>
      <c r="K244" s="7" t="s">
        <v>1070</v>
      </c>
      <c r="L244" s="10">
        <v>4917.8599999999997</v>
      </c>
      <c r="M244" s="10">
        <v>40982.14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33"/>
      <c r="AB244" s="10"/>
      <c r="AC244" s="33">
        <v>45900</v>
      </c>
      <c r="AD244" s="10">
        <f t="shared" si="2"/>
        <v>0</v>
      </c>
      <c r="AE244" s="82"/>
    </row>
    <row r="245" spans="1:32" x14ac:dyDescent="0.25">
      <c r="A245" s="7" t="s">
        <v>1614</v>
      </c>
      <c r="B245" s="9">
        <v>3920598</v>
      </c>
      <c r="C245" s="70">
        <v>44739</v>
      </c>
      <c r="D245" s="70">
        <v>44739</v>
      </c>
      <c r="E245" s="73"/>
      <c r="F245" s="9"/>
      <c r="H245" s="9"/>
      <c r="I245" s="7" t="s">
        <v>1650</v>
      </c>
      <c r="J245" s="51" t="s">
        <v>46</v>
      </c>
      <c r="K245" s="7"/>
      <c r="L245" s="10">
        <v>1000.39</v>
      </c>
      <c r="M245" s="10"/>
      <c r="N245" s="10"/>
      <c r="O245" s="10"/>
      <c r="P245" s="10"/>
      <c r="Q245" s="10"/>
      <c r="R245" s="10"/>
      <c r="S245" s="10">
        <v>8336.6</v>
      </c>
      <c r="T245" s="10"/>
      <c r="U245" s="10"/>
      <c r="V245" s="10"/>
      <c r="W245" s="10"/>
      <c r="X245" s="10"/>
      <c r="Y245" s="10"/>
      <c r="Z245" s="10"/>
      <c r="AA245" s="33"/>
      <c r="AB245" s="10"/>
      <c r="AC245" s="33">
        <v>9336.99</v>
      </c>
      <c r="AD245" s="10">
        <f t="shared" si="2"/>
        <v>0</v>
      </c>
      <c r="AE245" s="82"/>
    </row>
    <row r="246" spans="1:32" x14ac:dyDescent="0.25">
      <c r="A246" s="7" t="s">
        <v>1615</v>
      </c>
      <c r="B246" s="9">
        <v>3920599</v>
      </c>
      <c r="C246" s="70">
        <v>44739</v>
      </c>
      <c r="D246" s="70">
        <v>44739</v>
      </c>
      <c r="E246" s="73"/>
      <c r="F246" s="9"/>
      <c r="H246" s="9" t="s">
        <v>1668</v>
      </c>
      <c r="I246" s="7" t="s">
        <v>58</v>
      </c>
      <c r="J246" s="51" t="s">
        <v>65</v>
      </c>
      <c r="K246" s="7"/>
      <c r="L246" s="10"/>
      <c r="M246" s="10"/>
      <c r="N246" s="10"/>
      <c r="O246" s="10"/>
      <c r="P246" s="10"/>
      <c r="Q246" s="10"/>
      <c r="R246" s="10"/>
      <c r="S246" s="10"/>
      <c r="T246" s="10">
        <v>6673</v>
      </c>
      <c r="U246" s="10"/>
      <c r="V246" s="10"/>
      <c r="W246" s="10"/>
      <c r="X246" s="10"/>
      <c r="Y246" s="10"/>
      <c r="Z246" s="10"/>
      <c r="AA246" s="33"/>
      <c r="AB246" s="10"/>
      <c r="AC246" s="33">
        <v>6673</v>
      </c>
      <c r="AD246" s="10">
        <f t="shared" si="2"/>
        <v>0</v>
      </c>
      <c r="AE246" s="82"/>
    </row>
    <row r="247" spans="1:32" x14ac:dyDescent="0.25">
      <c r="A247" s="7" t="s">
        <v>1634</v>
      </c>
      <c r="B247" s="9">
        <v>3920600</v>
      </c>
      <c r="C247" s="70">
        <v>44739</v>
      </c>
      <c r="D247" s="70">
        <v>44739</v>
      </c>
      <c r="E247" s="73"/>
      <c r="F247" s="9"/>
      <c r="H247" s="9"/>
      <c r="I247" s="7" t="s">
        <v>970</v>
      </c>
      <c r="J247" s="51" t="s">
        <v>1490</v>
      </c>
      <c r="K247" s="7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33">
        <v>20210</v>
      </c>
      <c r="AB247" s="10"/>
      <c r="AC247" s="33">
        <v>20210</v>
      </c>
      <c r="AD247" s="10">
        <f t="shared" si="2"/>
        <v>0</v>
      </c>
      <c r="AE247" s="82"/>
    </row>
    <row r="248" spans="1:32" x14ac:dyDescent="0.25">
      <c r="A248" s="7" t="s">
        <v>1635</v>
      </c>
      <c r="B248" s="9">
        <v>3996501</v>
      </c>
      <c r="C248" s="70">
        <v>44739</v>
      </c>
      <c r="D248" s="70">
        <v>44739</v>
      </c>
      <c r="E248" s="73">
        <v>44749</v>
      </c>
      <c r="F248" s="9" t="s">
        <v>1669</v>
      </c>
      <c r="H248" s="9"/>
      <c r="I248" s="7" t="s">
        <v>1653</v>
      </c>
      <c r="J248" s="51" t="s">
        <v>127</v>
      </c>
      <c r="K248" s="7"/>
      <c r="L248" s="10">
        <v>528</v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33">
        <v>4400</v>
      </c>
      <c r="AB248" s="10"/>
      <c r="AC248" s="33">
        <v>4928</v>
      </c>
      <c r="AD248" s="10">
        <f t="shared" si="2"/>
        <v>0</v>
      </c>
      <c r="AE248" s="82"/>
    </row>
    <row r="249" spans="1:32" x14ac:dyDescent="0.25">
      <c r="A249" s="7" t="s">
        <v>1636</v>
      </c>
      <c r="B249" s="9">
        <v>3996502</v>
      </c>
      <c r="C249" s="70">
        <v>44764</v>
      </c>
      <c r="D249" s="70">
        <v>44739</v>
      </c>
      <c r="E249" s="73">
        <v>44762</v>
      </c>
      <c r="F249" s="9" t="s">
        <v>1719</v>
      </c>
      <c r="G249" s="9" t="s">
        <v>1228</v>
      </c>
      <c r="H249" s="9"/>
      <c r="I249" s="7" t="s">
        <v>1007</v>
      </c>
      <c r="J249" s="51" t="s">
        <v>83</v>
      </c>
      <c r="K249" s="7"/>
      <c r="L249" s="10">
        <v>22200</v>
      </c>
      <c r="M249" s="10">
        <v>185000</v>
      </c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33"/>
      <c r="AB249" s="10"/>
      <c r="AC249" s="33">
        <v>207200</v>
      </c>
      <c r="AD249" s="10">
        <f t="shared" si="2"/>
        <v>0</v>
      </c>
      <c r="AE249" s="82"/>
      <c r="AF249" s="17">
        <v>1850</v>
      </c>
    </row>
    <row r="250" spans="1:32" x14ac:dyDescent="0.25">
      <c r="A250" s="7" t="s">
        <v>1637</v>
      </c>
      <c r="B250" s="9">
        <v>3996503</v>
      </c>
      <c r="C250" s="70">
        <v>44773</v>
      </c>
      <c r="D250" s="70">
        <v>44739</v>
      </c>
      <c r="E250" s="73">
        <v>44761</v>
      </c>
      <c r="F250" s="9" t="s">
        <v>1717</v>
      </c>
      <c r="G250" s="9" t="s">
        <v>1244</v>
      </c>
      <c r="H250" s="9"/>
      <c r="I250" s="7" t="s">
        <v>1654</v>
      </c>
      <c r="J250" s="51" t="s">
        <v>1226</v>
      </c>
      <c r="K250" s="7" t="s">
        <v>1039</v>
      </c>
      <c r="L250" s="10">
        <v>2410.71</v>
      </c>
      <c r="M250" s="10">
        <v>20089.29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33"/>
      <c r="AB250" s="10"/>
      <c r="AC250" s="33">
        <v>22500</v>
      </c>
      <c r="AD250" s="10">
        <f t="shared" si="2"/>
        <v>0</v>
      </c>
      <c r="AE250" s="82"/>
      <c r="AF250" s="17">
        <v>200.89</v>
      </c>
    </row>
    <row r="251" spans="1:32" x14ac:dyDescent="0.25">
      <c r="A251" s="7" t="s">
        <v>1638</v>
      </c>
      <c r="B251" s="9">
        <v>3996504</v>
      </c>
      <c r="C251" s="72">
        <v>44772</v>
      </c>
      <c r="D251" s="70">
        <v>44742</v>
      </c>
      <c r="E251" s="73">
        <v>44742</v>
      </c>
      <c r="F251" s="9" t="s">
        <v>1658</v>
      </c>
      <c r="G251" s="9" t="s">
        <v>1251</v>
      </c>
      <c r="H251" s="9"/>
      <c r="I251" s="7" t="s">
        <v>1184</v>
      </c>
      <c r="J251" s="51" t="s">
        <v>84</v>
      </c>
      <c r="K251" s="7" t="s">
        <v>36</v>
      </c>
      <c r="L251" s="10">
        <v>2464.29</v>
      </c>
      <c r="M251" s="10">
        <v>20535.71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33"/>
      <c r="AB251" s="10"/>
      <c r="AC251" s="33">
        <v>23000</v>
      </c>
      <c r="AD251" s="10">
        <f t="shared" si="2"/>
        <v>0</v>
      </c>
      <c r="AE251" s="82"/>
      <c r="AF251" s="17">
        <v>205.36</v>
      </c>
    </row>
    <row r="252" spans="1:32" s="39" customFormat="1" x14ac:dyDescent="0.25">
      <c r="A252" s="20"/>
      <c r="B252" s="19"/>
      <c r="C252" s="72"/>
      <c r="D252" s="72"/>
      <c r="E252" s="77"/>
      <c r="F252" s="19"/>
      <c r="G252" s="19"/>
      <c r="H252" s="19"/>
      <c r="I252" s="20"/>
      <c r="J252" s="20"/>
      <c r="K252" s="20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32"/>
      <c r="AB252" s="22"/>
      <c r="AC252" s="32"/>
      <c r="AD252" s="22"/>
      <c r="AE252" s="96"/>
      <c r="AF252" s="35"/>
    </row>
    <row r="253" spans="1:32" s="39" customFormat="1" x14ac:dyDescent="0.25">
      <c r="A253" s="25">
        <v>44743</v>
      </c>
      <c r="B253" s="19"/>
      <c r="C253" s="72"/>
      <c r="D253" s="72"/>
      <c r="E253" s="77"/>
      <c r="F253" s="19"/>
      <c r="G253" s="19"/>
      <c r="H253" s="19"/>
      <c r="I253" s="20"/>
      <c r="J253" s="20"/>
      <c r="K253" s="20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32"/>
      <c r="AB253" s="22"/>
      <c r="AC253" s="32"/>
      <c r="AD253" s="22"/>
      <c r="AE253" s="96"/>
      <c r="AF253" s="35"/>
    </row>
    <row r="254" spans="1:32" x14ac:dyDescent="0.25">
      <c r="A254" s="43"/>
      <c r="C254" s="70"/>
      <c r="D254" s="70"/>
      <c r="E254" s="73"/>
      <c r="F254" s="9"/>
      <c r="H254" s="9"/>
      <c r="I254" s="7" t="s">
        <v>1659</v>
      </c>
      <c r="J254" s="7" t="s">
        <v>132</v>
      </c>
      <c r="K254" s="10"/>
      <c r="L254" s="10"/>
      <c r="M254" s="10"/>
      <c r="N254" s="10"/>
      <c r="O254" s="10"/>
      <c r="P254" s="10"/>
      <c r="Q254" s="10">
        <v>42271.75</v>
      </c>
      <c r="R254" s="10"/>
      <c r="S254" s="10"/>
      <c r="T254" s="10"/>
      <c r="U254" s="10"/>
      <c r="V254" s="10"/>
      <c r="W254" s="10"/>
      <c r="X254" s="10"/>
      <c r="Y254" s="10"/>
      <c r="Z254" s="10"/>
      <c r="AA254" s="33"/>
      <c r="AB254" s="10"/>
      <c r="AC254" s="33">
        <v>42271.75</v>
      </c>
      <c r="AD254" s="10">
        <f t="shared" si="2"/>
        <v>0</v>
      </c>
      <c r="AE254" s="82" t="s">
        <v>133</v>
      </c>
      <c r="AF254" s="34"/>
    </row>
    <row r="255" spans="1:32" x14ac:dyDescent="0.25">
      <c r="A255" s="7" t="s">
        <v>1639</v>
      </c>
      <c r="B255" s="9">
        <v>3996505</v>
      </c>
      <c r="C255" s="70">
        <v>44746</v>
      </c>
      <c r="D255" s="70">
        <v>44746</v>
      </c>
      <c r="E255" s="73"/>
      <c r="F255" s="9" t="s">
        <v>1662</v>
      </c>
      <c r="H255" s="9"/>
      <c r="I255" s="7" t="s">
        <v>1661</v>
      </c>
      <c r="J255" s="51" t="s">
        <v>1069</v>
      </c>
      <c r="K255" s="7" t="s">
        <v>1070</v>
      </c>
      <c r="L255" s="10">
        <v>1639.29</v>
      </c>
      <c r="M255" s="10">
        <v>13660.71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33"/>
      <c r="AB255" s="10"/>
      <c r="AC255" s="33">
        <v>15300</v>
      </c>
      <c r="AD255" s="10">
        <f t="shared" si="2"/>
        <v>0</v>
      </c>
      <c r="AE255" s="82"/>
    </row>
    <row r="256" spans="1:32" x14ac:dyDescent="0.25">
      <c r="A256" s="7" t="s">
        <v>1640</v>
      </c>
      <c r="B256" s="9">
        <v>3996506</v>
      </c>
      <c r="C256" s="70">
        <v>44777</v>
      </c>
      <c r="D256" s="70">
        <v>44746</v>
      </c>
      <c r="E256" s="73">
        <v>44762</v>
      </c>
      <c r="F256" s="9" t="s">
        <v>1718</v>
      </c>
      <c r="G256" s="9" t="s">
        <v>1252</v>
      </c>
      <c r="H256" s="9"/>
      <c r="I256" s="7" t="s">
        <v>1660</v>
      </c>
      <c r="J256" s="51" t="s">
        <v>83</v>
      </c>
      <c r="K256" s="7"/>
      <c r="L256" s="10">
        <v>3248.4</v>
      </c>
      <c r="M256" s="10">
        <v>27070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33"/>
      <c r="AB256" s="10"/>
      <c r="AC256" s="33">
        <v>30318.400000000001</v>
      </c>
      <c r="AD256" s="10">
        <f t="shared" si="2"/>
        <v>0</v>
      </c>
      <c r="AE256" s="82"/>
      <c r="AF256" s="17">
        <v>270.7</v>
      </c>
    </row>
    <row r="257" spans="1:32" x14ac:dyDescent="0.25">
      <c r="A257" s="7" t="s">
        <v>1641</v>
      </c>
      <c r="B257" s="9">
        <v>3996507</v>
      </c>
      <c r="C257" s="70">
        <v>44746</v>
      </c>
      <c r="D257" s="70">
        <v>44746</v>
      </c>
      <c r="E257" s="73"/>
      <c r="F257" s="9"/>
      <c r="H257" s="9"/>
      <c r="I257" s="7" t="s">
        <v>1665</v>
      </c>
      <c r="J257" s="51" t="s">
        <v>65</v>
      </c>
      <c r="K257" s="7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33">
        <v>26300</v>
      </c>
      <c r="AB257" s="10"/>
      <c r="AC257" s="33">
        <v>26300</v>
      </c>
      <c r="AD257" s="10">
        <f t="shared" si="2"/>
        <v>0</v>
      </c>
      <c r="AE257" s="82"/>
    </row>
    <row r="258" spans="1:32" x14ac:dyDescent="0.25">
      <c r="A258" s="7" t="s">
        <v>1642</v>
      </c>
      <c r="B258" s="9">
        <v>3996509</v>
      </c>
      <c r="C258" s="70">
        <v>44746</v>
      </c>
      <c r="D258" s="70">
        <v>44746</v>
      </c>
      <c r="E258" s="73">
        <v>44774</v>
      </c>
      <c r="F258" s="9" t="s">
        <v>1749</v>
      </c>
      <c r="H258" s="9"/>
      <c r="I258" s="7" t="s">
        <v>1663</v>
      </c>
      <c r="J258" s="7" t="s">
        <v>1664</v>
      </c>
      <c r="K258" s="7"/>
      <c r="L258" s="10"/>
      <c r="M258" s="10">
        <v>27000.02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33"/>
      <c r="AB258" s="10"/>
      <c r="AC258" s="33">
        <v>27000.02</v>
      </c>
      <c r="AD258" s="10">
        <f t="shared" si="2"/>
        <v>0</v>
      </c>
      <c r="AE258" s="82"/>
    </row>
    <row r="259" spans="1:32" x14ac:dyDescent="0.25">
      <c r="A259" s="7" t="s">
        <v>1643</v>
      </c>
      <c r="B259" s="9" t="s">
        <v>1670</v>
      </c>
      <c r="C259" s="70">
        <v>44746</v>
      </c>
      <c r="D259" s="70">
        <v>44746</v>
      </c>
      <c r="E259" s="73"/>
      <c r="F259" s="9"/>
      <c r="H259" s="9"/>
      <c r="I259" s="7" t="s">
        <v>93</v>
      </c>
      <c r="J259" s="7" t="s">
        <v>79</v>
      </c>
      <c r="K259" s="7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>
        <v>25874.17</v>
      </c>
      <c r="W259" s="10"/>
      <c r="X259" s="10"/>
      <c r="Y259" s="10"/>
      <c r="Z259" s="10"/>
      <c r="AA259" s="33"/>
      <c r="AB259" s="10"/>
      <c r="AC259" s="33">
        <v>25874.17</v>
      </c>
      <c r="AD259" s="10">
        <f t="shared" si="2"/>
        <v>0</v>
      </c>
      <c r="AE259" s="82"/>
    </row>
    <row r="260" spans="1:32" x14ac:dyDescent="0.25">
      <c r="A260" s="7" t="s">
        <v>1644</v>
      </c>
      <c r="B260" s="9">
        <v>3996510</v>
      </c>
      <c r="C260" s="70">
        <v>44747</v>
      </c>
      <c r="D260" s="70">
        <v>44747</v>
      </c>
      <c r="E260" s="73"/>
      <c r="F260" s="9"/>
      <c r="H260" s="9" t="s">
        <v>1700</v>
      </c>
      <c r="I260" s="7" t="s">
        <v>58</v>
      </c>
      <c r="J260" s="7" t="s">
        <v>65</v>
      </c>
      <c r="K260" s="7"/>
      <c r="L260" s="10"/>
      <c r="M260" s="10"/>
      <c r="N260" s="10"/>
      <c r="O260" s="10"/>
      <c r="P260" s="10"/>
      <c r="Q260" s="10"/>
      <c r="R260" s="10"/>
      <c r="S260" s="10"/>
      <c r="T260" s="10">
        <v>12120.5</v>
      </c>
      <c r="U260" s="10"/>
      <c r="V260" s="10"/>
      <c r="W260" s="10"/>
      <c r="X260" s="10"/>
      <c r="Y260" s="10"/>
      <c r="Z260" s="10"/>
      <c r="AA260" s="33"/>
      <c r="AB260" s="10"/>
      <c r="AC260" s="33">
        <v>12120.5</v>
      </c>
      <c r="AD260" s="10">
        <f t="shared" si="2"/>
        <v>0</v>
      </c>
      <c r="AE260" s="82"/>
    </row>
    <row r="261" spans="1:32" x14ac:dyDescent="0.25">
      <c r="A261" s="7" t="s">
        <v>1645</v>
      </c>
      <c r="B261" s="9">
        <v>3996511</v>
      </c>
      <c r="C261" s="70">
        <v>44747</v>
      </c>
      <c r="D261" s="70">
        <v>44747</v>
      </c>
      <c r="E261" s="73">
        <v>44748</v>
      </c>
      <c r="F261" s="9" t="s">
        <v>1724</v>
      </c>
      <c r="H261" s="9"/>
      <c r="I261" s="7" t="s">
        <v>1534</v>
      </c>
      <c r="J261" s="7" t="s">
        <v>109</v>
      </c>
      <c r="K261" s="7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33">
        <v>5165</v>
      </c>
      <c r="AB261" s="10"/>
      <c r="AC261" s="33">
        <v>5165</v>
      </c>
      <c r="AD261" s="10">
        <f t="shared" si="2"/>
        <v>0</v>
      </c>
      <c r="AE261" s="82"/>
    </row>
    <row r="262" spans="1:32" x14ac:dyDescent="0.25">
      <c r="A262" s="7" t="s">
        <v>1646</v>
      </c>
      <c r="B262" s="9">
        <v>3996512</v>
      </c>
      <c r="C262" s="70">
        <v>44750</v>
      </c>
      <c r="D262" s="70">
        <v>44750</v>
      </c>
      <c r="E262" s="73"/>
      <c r="F262" s="9"/>
      <c r="H262" s="9"/>
      <c r="I262" s="62" t="s">
        <v>1671</v>
      </c>
      <c r="J262" s="7" t="s">
        <v>43</v>
      </c>
      <c r="K262" s="7"/>
      <c r="L262" s="10">
        <v>148.61000000000001</v>
      </c>
      <c r="M262" s="10"/>
      <c r="N262" s="10"/>
      <c r="O262" s="10"/>
      <c r="P262" s="10"/>
      <c r="Q262" s="10"/>
      <c r="R262" s="10"/>
      <c r="S262" s="10">
        <v>1238.3800000000001</v>
      </c>
      <c r="T262" s="10"/>
      <c r="U262" s="10"/>
      <c r="V262" s="10"/>
      <c r="W262" s="10"/>
      <c r="X262" s="10"/>
      <c r="Y262" s="10"/>
      <c r="Z262" s="10"/>
      <c r="AA262" s="33"/>
      <c r="AB262" s="10"/>
      <c r="AC262" s="33">
        <v>1386.99</v>
      </c>
      <c r="AD262" s="10">
        <f t="shared" si="2"/>
        <v>0</v>
      </c>
      <c r="AE262" s="82"/>
    </row>
    <row r="263" spans="1:32" x14ac:dyDescent="0.25">
      <c r="A263" s="7" t="s">
        <v>1647</v>
      </c>
      <c r="B263" s="9">
        <v>3996513</v>
      </c>
      <c r="C263" s="70">
        <v>44750</v>
      </c>
      <c r="D263" s="70">
        <v>44750</v>
      </c>
      <c r="E263" s="73"/>
      <c r="F263" s="9"/>
      <c r="H263" s="9"/>
      <c r="I263" s="62" t="s">
        <v>1671</v>
      </c>
      <c r="J263" s="7" t="s">
        <v>43</v>
      </c>
      <c r="K263" s="7"/>
      <c r="L263" s="10"/>
      <c r="M263" s="10">
        <v>107.04</v>
      </c>
      <c r="N263" s="10"/>
      <c r="O263" s="10"/>
      <c r="P263" s="10"/>
      <c r="Q263" s="10"/>
      <c r="R263" s="10"/>
      <c r="S263" s="10">
        <v>891.96</v>
      </c>
      <c r="T263" s="10"/>
      <c r="U263" s="10"/>
      <c r="V263" s="10"/>
      <c r="W263" s="10"/>
      <c r="X263" s="10"/>
      <c r="Y263" s="10"/>
      <c r="Z263" s="10"/>
      <c r="AA263" s="33"/>
      <c r="AB263" s="10"/>
      <c r="AC263" s="33">
        <v>999</v>
      </c>
      <c r="AD263" s="10">
        <f t="shared" si="2"/>
        <v>0</v>
      </c>
      <c r="AE263" s="82"/>
    </row>
    <row r="264" spans="1:32" x14ac:dyDescent="0.25">
      <c r="A264" s="7" t="s">
        <v>1648</v>
      </c>
      <c r="B264" s="9">
        <v>3996514</v>
      </c>
      <c r="C264" s="70">
        <v>44753</v>
      </c>
      <c r="D264" s="70">
        <v>44753</v>
      </c>
      <c r="E264" s="73"/>
      <c r="F264" s="9"/>
      <c r="H264" s="9"/>
      <c r="I264" s="7" t="s">
        <v>1689</v>
      </c>
      <c r="J264" s="7" t="s">
        <v>18</v>
      </c>
      <c r="K264" s="7"/>
      <c r="L264" s="10">
        <v>151.09</v>
      </c>
      <c r="M264" s="10"/>
      <c r="N264" s="10"/>
      <c r="O264" s="10"/>
      <c r="P264" s="10"/>
      <c r="Q264" s="10"/>
      <c r="R264" s="10">
        <v>1259.06</v>
      </c>
      <c r="S264" s="10"/>
      <c r="T264" s="10"/>
      <c r="U264" s="10"/>
      <c r="V264" s="10"/>
      <c r="W264" s="10"/>
      <c r="X264" s="10"/>
      <c r="Y264" s="10"/>
      <c r="Z264" s="10"/>
      <c r="AA264" s="33"/>
      <c r="AB264" s="10"/>
      <c r="AC264" s="33">
        <v>1410.15</v>
      </c>
      <c r="AD264" s="10">
        <f t="shared" si="2"/>
        <v>0</v>
      </c>
      <c r="AE264" s="82"/>
    </row>
    <row r="265" spans="1:32" x14ac:dyDescent="0.25">
      <c r="A265" s="7" t="s">
        <v>1672</v>
      </c>
      <c r="B265" s="9">
        <v>3996515</v>
      </c>
      <c r="C265" s="70">
        <v>44753</v>
      </c>
      <c r="D265" s="70">
        <v>44753</v>
      </c>
      <c r="E265" s="73"/>
      <c r="F265" s="9"/>
      <c r="H265" s="9"/>
      <c r="I265" s="7" t="s">
        <v>1689</v>
      </c>
      <c r="J265" s="7" t="s">
        <v>18</v>
      </c>
      <c r="K265" s="7"/>
      <c r="L265" s="10">
        <v>811.09</v>
      </c>
      <c r="M265" s="10"/>
      <c r="N265" s="10"/>
      <c r="O265" s="10"/>
      <c r="P265" s="10"/>
      <c r="Q265" s="10"/>
      <c r="R265" s="10">
        <v>6759.06</v>
      </c>
      <c r="S265" s="10"/>
      <c r="T265" s="10"/>
      <c r="U265" s="10"/>
      <c r="V265" s="10"/>
      <c r="W265" s="10"/>
      <c r="X265" s="10"/>
      <c r="Y265" s="10"/>
      <c r="Z265" s="10"/>
      <c r="AA265" s="33"/>
      <c r="AB265" s="10"/>
      <c r="AC265" s="33">
        <v>7570.15</v>
      </c>
      <c r="AD265" s="10">
        <f t="shared" si="2"/>
        <v>0</v>
      </c>
      <c r="AE265" s="82"/>
    </row>
    <row r="266" spans="1:32" x14ac:dyDescent="0.25">
      <c r="A266" s="7" t="s">
        <v>1673</v>
      </c>
      <c r="B266" s="9">
        <v>3996516</v>
      </c>
      <c r="C266" s="70">
        <v>44779</v>
      </c>
      <c r="D266" s="70">
        <v>44753</v>
      </c>
      <c r="E266" s="73">
        <v>44754</v>
      </c>
      <c r="F266" s="9" t="s">
        <v>1702</v>
      </c>
      <c r="G266" s="9" t="s">
        <v>1253</v>
      </c>
      <c r="H266" s="9"/>
      <c r="I266" s="7" t="s">
        <v>1690</v>
      </c>
      <c r="J266" s="51" t="s">
        <v>37</v>
      </c>
      <c r="K266" s="7" t="s">
        <v>38</v>
      </c>
      <c r="L266" s="10">
        <v>7023.21</v>
      </c>
      <c r="M266" s="10">
        <v>58526.79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33"/>
      <c r="AB266" s="10"/>
      <c r="AC266" s="33">
        <v>65550</v>
      </c>
      <c r="AD266" s="10">
        <f t="shared" si="2"/>
        <v>0</v>
      </c>
      <c r="AE266" s="82"/>
      <c r="AF266" s="17">
        <v>585.27</v>
      </c>
    </row>
    <row r="267" spans="1:32" x14ac:dyDescent="0.25">
      <c r="A267" s="7" t="s">
        <v>1674</v>
      </c>
      <c r="B267" s="9">
        <v>3996517</v>
      </c>
      <c r="C267" s="70">
        <v>44753</v>
      </c>
      <c r="D267" s="70">
        <v>44753</v>
      </c>
      <c r="E267" s="73">
        <v>44755</v>
      </c>
      <c r="F267" s="9" t="s">
        <v>1723</v>
      </c>
      <c r="H267" s="9"/>
      <c r="I267" s="7" t="s">
        <v>63</v>
      </c>
      <c r="J267" s="51" t="s">
        <v>109</v>
      </c>
      <c r="K267" s="7"/>
      <c r="L267" s="10">
        <v>14018.59</v>
      </c>
      <c r="M267" s="10"/>
      <c r="N267" s="10">
        <v>116821.56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33"/>
      <c r="AB267" s="10"/>
      <c r="AC267" s="33">
        <v>130840.15</v>
      </c>
      <c r="AD267" s="10">
        <f t="shared" si="2"/>
        <v>0</v>
      </c>
      <c r="AE267" s="82"/>
    </row>
    <row r="268" spans="1:32" x14ac:dyDescent="0.25">
      <c r="A268" s="7" t="s">
        <v>1675</v>
      </c>
      <c r="B268" s="9">
        <v>3996519</v>
      </c>
      <c r="C268" s="70">
        <v>44753</v>
      </c>
      <c r="D268" s="70">
        <v>44753</v>
      </c>
      <c r="E268" s="73"/>
      <c r="F268" s="9"/>
      <c r="H268" s="9" t="s">
        <v>1701</v>
      </c>
      <c r="I268" s="7" t="s">
        <v>1174</v>
      </c>
      <c r="J268" s="51" t="s">
        <v>65</v>
      </c>
      <c r="K268" s="7"/>
      <c r="L268" s="10"/>
      <c r="M268" s="10"/>
      <c r="N268" s="10"/>
      <c r="O268" s="10"/>
      <c r="P268" s="10"/>
      <c r="Q268" s="10"/>
      <c r="R268" s="10"/>
      <c r="S268" s="10"/>
      <c r="T268" s="10">
        <v>8897</v>
      </c>
      <c r="U268" s="10"/>
      <c r="V268" s="10"/>
      <c r="W268" s="10"/>
      <c r="X268" s="10"/>
      <c r="Y268" s="10"/>
      <c r="Z268" s="10"/>
      <c r="AA268" s="33"/>
      <c r="AB268" s="10"/>
      <c r="AC268" s="33">
        <v>8897</v>
      </c>
      <c r="AD268" s="10">
        <f t="shared" si="2"/>
        <v>0</v>
      </c>
      <c r="AE268" s="82"/>
    </row>
    <row r="269" spans="1:32" x14ac:dyDescent="0.25">
      <c r="A269" s="7" t="s">
        <v>1676</v>
      </c>
      <c r="B269" s="9">
        <v>3996520</v>
      </c>
      <c r="C269" s="70">
        <v>44753</v>
      </c>
      <c r="D269" s="70">
        <v>44753</v>
      </c>
      <c r="E269" s="73"/>
      <c r="F269" s="9"/>
      <c r="H269" s="9"/>
      <c r="I269" s="7" t="s">
        <v>1691</v>
      </c>
      <c r="J269" s="7" t="s">
        <v>1692</v>
      </c>
      <c r="K269" s="7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33">
        <v>60000</v>
      </c>
      <c r="AB269" s="10"/>
      <c r="AC269" s="33">
        <v>60000</v>
      </c>
      <c r="AD269" s="10">
        <f t="shared" si="2"/>
        <v>0</v>
      </c>
      <c r="AE269" s="82"/>
    </row>
    <row r="270" spans="1:32" x14ac:dyDescent="0.25">
      <c r="A270" s="7" t="s">
        <v>1677</v>
      </c>
      <c r="B270" s="9" t="s">
        <v>1693</v>
      </c>
      <c r="C270" s="70">
        <v>44753</v>
      </c>
      <c r="D270" s="70">
        <v>44753</v>
      </c>
      <c r="E270" s="73"/>
      <c r="F270" s="9"/>
      <c r="H270" s="9"/>
      <c r="I270" s="7" t="s">
        <v>1694</v>
      </c>
      <c r="J270" s="7" t="s">
        <v>694</v>
      </c>
      <c r="K270" s="7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33">
        <v>17991.150000000001</v>
      </c>
      <c r="AB270" s="10"/>
      <c r="AC270" s="33">
        <v>17991.150000000001</v>
      </c>
      <c r="AD270" s="10">
        <f t="shared" si="2"/>
        <v>0</v>
      </c>
      <c r="AE270" s="82"/>
    </row>
    <row r="271" spans="1:32" x14ac:dyDescent="0.25">
      <c r="A271" s="7" t="s">
        <v>1678</v>
      </c>
      <c r="B271" s="9" t="s">
        <v>1695</v>
      </c>
      <c r="C271" s="70">
        <v>44753</v>
      </c>
      <c r="D271" s="70">
        <v>44753</v>
      </c>
      <c r="E271" s="73"/>
      <c r="F271" s="9"/>
      <c r="H271" s="9" t="s">
        <v>1716</v>
      </c>
      <c r="I271" s="7" t="s">
        <v>1697</v>
      </c>
      <c r="J271" s="51" t="s">
        <v>39</v>
      </c>
      <c r="K271" s="7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33">
        <v>20656.43</v>
      </c>
      <c r="AB271" s="10"/>
      <c r="AC271" s="33">
        <v>25000</v>
      </c>
      <c r="AD271" s="10">
        <f t="shared" si="2"/>
        <v>4343.57</v>
      </c>
      <c r="AE271" s="82" t="s">
        <v>1715</v>
      </c>
    </row>
    <row r="272" spans="1:32" x14ac:dyDescent="0.25">
      <c r="A272" s="7" t="s">
        <v>1679</v>
      </c>
      <c r="B272" s="9" t="s">
        <v>1696</v>
      </c>
      <c r="C272" s="70">
        <v>44753</v>
      </c>
      <c r="D272" s="70">
        <v>44753</v>
      </c>
      <c r="E272" s="73"/>
      <c r="F272" s="9"/>
      <c r="H272" s="9"/>
      <c r="I272" s="7" t="s">
        <v>55</v>
      </c>
      <c r="J272" s="51" t="s">
        <v>54</v>
      </c>
      <c r="K272" s="7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>
        <v>350000</v>
      </c>
      <c r="AA272" s="33"/>
      <c r="AB272" s="10"/>
      <c r="AC272" s="33">
        <v>350000</v>
      </c>
      <c r="AD272" s="10">
        <f t="shared" si="2"/>
        <v>0</v>
      </c>
      <c r="AE272" s="82"/>
    </row>
    <row r="273" spans="1:32" x14ac:dyDescent="0.25">
      <c r="A273" s="7" t="s">
        <v>1680</v>
      </c>
      <c r="B273" s="9" t="s">
        <v>1698</v>
      </c>
      <c r="C273" s="70">
        <v>44753</v>
      </c>
      <c r="D273" s="70">
        <v>44753</v>
      </c>
      <c r="E273" s="73"/>
      <c r="F273" s="9"/>
      <c r="H273" s="9"/>
      <c r="I273" s="7" t="s">
        <v>55</v>
      </c>
      <c r="J273" s="51" t="s">
        <v>54</v>
      </c>
      <c r="K273" s="7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>
        <v>350000</v>
      </c>
      <c r="AA273" s="33"/>
      <c r="AB273" s="10"/>
      <c r="AC273" s="33">
        <v>350000</v>
      </c>
      <c r="AD273" s="10">
        <f t="shared" si="2"/>
        <v>0</v>
      </c>
      <c r="AE273" s="82"/>
    </row>
    <row r="274" spans="1:32" x14ac:dyDescent="0.25">
      <c r="A274" s="7" t="s">
        <v>1681</v>
      </c>
      <c r="B274" s="9">
        <v>3996521</v>
      </c>
      <c r="C274" s="70">
        <v>44755</v>
      </c>
      <c r="D274" s="70">
        <v>44755</v>
      </c>
      <c r="E274" s="73"/>
      <c r="F274" s="9"/>
      <c r="H274" s="9"/>
      <c r="I274" s="7" t="s">
        <v>1703</v>
      </c>
      <c r="J274" s="7" t="s">
        <v>44</v>
      </c>
      <c r="K274" s="7"/>
      <c r="L274" s="10">
        <v>587.46</v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>
        <v>4895.54</v>
      </c>
      <c r="Y274" s="10"/>
      <c r="Z274" s="10"/>
      <c r="AA274" s="33"/>
      <c r="AB274" s="10"/>
      <c r="AC274" s="33">
        <v>5483</v>
      </c>
      <c r="AD274" s="10">
        <f t="shared" si="2"/>
        <v>0</v>
      </c>
      <c r="AE274" s="82"/>
    </row>
    <row r="275" spans="1:32" x14ac:dyDescent="0.25">
      <c r="A275" s="7" t="s">
        <v>1682</v>
      </c>
      <c r="B275" s="9">
        <v>3996522</v>
      </c>
      <c r="C275" s="70">
        <v>44785</v>
      </c>
      <c r="D275" s="70">
        <v>44755</v>
      </c>
      <c r="E275" s="73">
        <v>44771</v>
      </c>
      <c r="F275" s="9" t="s">
        <v>1743</v>
      </c>
      <c r="G275" s="9" t="s">
        <v>1254</v>
      </c>
      <c r="H275" s="9"/>
      <c r="I275" s="7" t="s">
        <v>1704</v>
      </c>
      <c r="J275" s="51" t="s">
        <v>37</v>
      </c>
      <c r="K275" s="7" t="s">
        <v>38</v>
      </c>
      <c r="L275" s="10">
        <v>723.21</v>
      </c>
      <c r="M275" s="10">
        <v>6026.79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33"/>
      <c r="AB275" s="10"/>
      <c r="AC275" s="33">
        <v>6750</v>
      </c>
      <c r="AD275" s="10">
        <f t="shared" si="2"/>
        <v>0</v>
      </c>
      <c r="AE275" s="82"/>
      <c r="AF275" s="17">
        <v>60.27</v>
      </c>
    </row>
    <row r="276" spans="1:32" x14ac:dyDescent="0.25">
      <c r="A276" s="7" t="s">
        <v>1683</v>
      </c>
      <c r="B276" s="9">
        <v>3996523</v>
      </c>
      <c r="C276" s="70">
        <v>44756</v>
      </c>
      <c r="D276" s="70">
        <v>44756</v>
      </c>
      <c r="E276" s="73"/>
      <c r="F276" s="9"/>
      <c r="H276" s="9"/>
      <c r="I276" s="7" t="s">
        <v>1711</v>
      </c>
      <c r="J276" s="51" t="s">
        <v>1712</v>
      </c>
      <c r="K276" s="7"/>
      <c r="L276" s="10"/>
      <c r="M276" s="10">
        <v>27000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33"/>
      <c r="AB276" s="10"/>
      <c r="AC276" s="33">
        <v>27000</v>
      </c>
      <c r="AD276" s="10">
        <f t="shared" si="2"/>
        <v>0</v>
      </c>
      <c r="AE276" s="82"/>
    </row>
    <row r="277" spans="1:32" x14ac:dyDescent="0.25">
      <c r="A277" s="7" t="s">
        <v>1684</v>
      </c>
      <c r="B277" s="9">
        <v>3996524</v>
      </c>
      <c r="C277" s="70">
        <v>44760</v>
      </c>
      <c r="D277" s="70">
        <v>44760</v>
      </c>
      <c r="E277" s="73">
        <v>44789</v>
      </c>
      <c r="F277" s="9" t="s">
        <v>1795</v>
      </c>
      <c r="G277" s="9" t="s">
        <v>1268</v>
      </c>
      <c r="H277" s="9"/>
      <c r="I277" s="7" t="s">
        <v>1710</v>
      </c>
      <c r="J277" s="51" t="s">
        <v>60</v>
      </c>
      <c r="K277" s="7" t="s">
        <v>61</v>
      </c>
      <c r="L277" s="10">
        <v>251.79</v>
      </c>
      <c r="M277" s="10">
        <v>2098.21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33"/>
      <c r="AB277" s="10"/>
      <c r="AC277" s="33">
        <v>2350</v>
      </c>
      <c r="AD277" s="10">
        <f t="shared" si="2"/>
        <v>0</v>
      </c>
      <c r="AE277" s="82"/>
      <c r="AF277" s="17">
        <v>20.98</v>
      </c>
    </row>
    <row r="278" spans="1:32" x14ac:dyDescent="0.25">
      <c r="A278" s="7" t="s">
        <v>1685</v>
      </c>
      <c r="B278" s="9">
        <v>3996525</v>
      </c>
      <c r="C278" s="70">
        <v>44760</v>
      </c>
      <c r="D278" s="70">
        <v>44760</v>
      </c>
      <c r="E278" s="73"/>
      <c r="F278" s="9"/>
      <c r="H278" s="9"/>
      <c r="I278" s="7" t="s">
        <v>1713</v>
      </c>
      <c r="J278" s="7" t="s">
        <v>46</v>
      </c>
      <c r="K278" s="7"/>
      <c r="L278" s="10">
        <v>192.75</v>
      </c>
      <c r="M278" s="10"/>
      <c r="N278" s="10"/>
      <c r="O278" s="10"/>
      <c r="P278" s="10"/>
      <c r="Q278" s="10"/>
      <c r="R278" s="10"/>
      <c r="S278" s="10">
        <v>1606.25</v>
      </c>
      <c r="T278" s="10"/>
      <c r="U278" s="10"/>
      <c r="V278" s="10"/>
      <c r="W278" s="10"/>
      <c r="X278" s="10"/>
      <c r="Y278" s="10"/>
      <c r="Z278" s="10"/>
      <c r="AA278" s="33"/>
      <c r="AB278" s="10"/>
      <c r="AC278" s="33">
        <v>1799</v>
      </c>
      <c r="AD278" s="10">
        <f t="shared" si="2"/>
        <v>0</v>
      </c>
      <c r="AE278" s="82"/>
    </row>
    <row r="279" spans="1:32" x14ac:dyDescent="0.25">
      <c r="A279" s="7" t="s">
        <v>1686</v>
      </c>
      <c r="B279" s="9">
        <v>3996526</v>
      </c>
      <c r="C279" s="70">
        <v>44760</v>
      </c>
      <c r="D279" s="70">
        <v>44760</v>
      </c>
      <c r="E279" s="73"/>
      <c r="F279" s="9"/>
      <c r="H279" s="9"/>
      <c r="I279" s="7" t="s">
        <v>1714</v>
      </c>
      <c r="J279" s="7" t="s">
        <v>46</v>
      </c>
      <c r="K279" s="7"/>
      <c r="L279" s="10">
        <v>107.04</v>
      </c>
      <c r="M279" s="10"/>
      <c r="N279" s="10"/>
      <c r="O279" s="10"/>
      <c r="P279" s="10"/>
      <c r="Q279" s="10"/>
      <c r="R279" s="10"/>
      <c r="S279" s="10">
        <v>891.96</v>
      </c>
      <c r="T279" s="10"/>
      <c r="U279" s="10"/>
      <c r="V279" s="10"/>
      <c r="W279" s="10"/>
      <c r="X279" s="10"/>
      <c r="Y279" s="10"/>
      <c r="Z279" s="10"/>
      <c r="AA279" s="33"/>
      <c r="AB279" s="10"/>
      <c r="AC279" s="33">
        <v>999</v>
      </c>
      <c r="AD279" s="10">
        <f t="shared" si="2"/>
        <v>0</v>
      </c>
      <c r="AE279" s="82"/>
    </row>
    <row r="280" spans="1:32" x14ac:dyDescent="0.25">
      <c r="A280" s="7" t="s">
        <v>1687</v>
      </c>
      <c r="B280" s="9">
        <v>3996527</v>
      </c>
      <c r="C280" s="70">
        <v>44760</v>
      </c>
      <c r="D280" s="70">
        <v>44760</v>
      </c>
      <c r="E280" s="73"/>
      <c r="F280" s="9"/>
      <c r="H280" s="9"/>
      <c r="I280" s="7" t="s">
        <v>1714</v>
      </c>
      <c r="J280" s="7" t="s">
        <v>46</v>
      </c>
      <c r="K280" s="7"/>
      <c r="L280" s="10">
        <v>107.04</v>
      </c>
      <c r="M280" s="10"/>
      <c r="N280" s="10"/>
      <c r="O280" s="10"/>
      <c r="P280" s="10"/>
      <c r="Q280" s="10"/>
      <c r="R280" s="10"/>
      <c r="S280" s="10">
        <v>891.96</v>
      </c>
      <c r="T280" s="10"/>
      <c r="U280" s="10"/>
      <c r="V280" s="10"/>
      <c r="W280" s="10"/>
      <c r="X280" s="10"/>
      <c r="Y280" s="10"/>
      <c r="Z280" s="10"/>
      <c r="AA280" s="33"/>
      <c r="AB280" s="10"/>
      <c r="AC280" s="33">
        <v>999</v>
      </c>
      <c r="AD280" s="10">
        <f t="shared" si="2"/>
        <v>0</v>
      </c>
      <c r="AE280" s="82"/>
    </row>
    <row r="281" spans="1:32" x14ac:dyDescent="0.25">
      <c r="A281" s="7" t="s">
        <v>1688</v>
      </c>
      <c r="B281" s="9">
        <v>3996528</v>
      </c>
      <c r="C281" s="70">
        <v>44760</v>
      </c>
      <c r="D281" s="70">
        <v>44760</v>
      </c>
      <c r="E281" s="73"/>
      <c r="F281" s="9"/>
      <c r="H281" s="9"/>
      <c r="I281" s="7" t="s">
        <v>1714</v>
      </c>
      <c r="J281" s="7" t="s">
        <v>46</v>
      </c>
      <c r="K281" s="7"/>
      <c r="L281" s="10">
        <v>107.04</v>
      </c>
      <c r="M281" s="10"/>
      <c r="N281" s="10"/>
      <c r="O281" s="10"/>
      <c r="P281" s="10"/>
      <c r="Q281" s="10"/>
      <c r="R281" s="10"/>
      <c r="S281" s="10">
        <v>891.96</v>
      </c>
      <c r="T281" s="10"/>
      <c r="U281" s="10"/>
      <c r="V281" s="10"/>
      <c r="W281" s="10"/>
      <c r="X281" s="10"/>
      <c r="Y281" s="10"/>
      <c r="Z281" s="10"/>
      <c r="AA281" s="33"/>
      <c r="AB281" s="10"/>
      <c r="AC281" s="33">
        <v>999</v>
      </c>
      <c r="AD281" s="10">
        <f t="shared" si="2"/>
        <v>0</v>
      </c>
      <c r="AE281" s="82"/>
    </row>
    <row r="282" spans="1:32" x14ac:dyDescent="0.25">
      <c r="A282" s="7" t="s">
        <v>1705</v>
      </c>
      <c r="B282" s="9">
        <v>3996529</v>
      </c>
      <c r="C282" s="70">
        <v>44760</v>
      </c>
      <c r="D282" s="70">
        <v>44760</v>
      </c>
      <c r="E282" s="73">
        <v>44761</v>
      </c>
      <c r="F282" s="9" t="s">
        <v>1725</v>
      </c>
      <c r="H282" s="9"/>
      <c r="I282" s="7" t="s">
        <v>1534</v>
      </c>
      <c r="J282" s="7" t="s">
        <v>109</v>
      </c>
      <c r="K282" s="7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33">
        <v>4107.96</v>
      </c>
      <c r="AB282" s="10"/>
      <c r="AC282" s="33">
        <v>4107.96</v>
      </c>
      <c r="AD282" s="10">
        <f t="shared" si="2"/>
        <v>0</v>
      </c>
      <c r="AE282" s="82"/>
    </row>
    <row r="283" spans="1:32" x14ac:dyDescent="0.25">
      <c r="A283" s="7" t="s">
        <v>1706</v>
      </c>
      <c r="B283" s="9">
        <v>3996530</v>
      </c>
      <c r="C283" s="70">
        <v>44763</v>
      </c>
      <c r="D283" s="70">
        <v>44763</v>
      </c>
      <c r="E283" s="73"/>
      <c r="F283" s="9"/>
      <c r="H283" s="9" t="s">
        <v>1747</v>
      </c>
      <c r="I283" s="7" t="s">
        <v>1174</v>
      </c>
      <c r="J283" s="51" t="s">
        <v>65</v>
      </c>
      <c r="K283" s="7"/>
      <c r="L283" s="10"/>
      <c r="M283" s="10"/>
      <c r="N283" s="10"/>
      <c r="O283" s="10"/>
      <c r="P283" s="10"/>
      <c r="Q283" s="10"/>
      <c r="R283" s="10"/>
      <c r="S283" s="10"/>
      <c r="T283" s="10">
        <v>9416.98</v>
      </c>
      <c r="U283" s="10"/>
      <c r="V283" s="10"/>
      <c r="W283" s="10"/>
      <c r="X283" s="10"/>
      <c r="Y283" s="10"/>
      <c r="Z283" s="10"/>
      <c r="AA283" s="33"/>
      <c r="AB283" s="10"/>
      <c r="AC283" s="33">
        <v>9416.98</v>
      </c>
      <c r="AD283" s="10">
        <f t="shared" si="2"/>
        <v>0</v>
      </c>
      <c r="AE283" s="82"/>
    </row>
    <row r="284" spans="1:32" x14ac:dyDescent="0.25">
      <c r="A284" s="7" t="s">
        <v>1707</v>
      </c>
      <c r="B284" s="9">
        <v>3996531</v>
      </c>
      <c r="C284" s="70">
        <v>44763</v>
      </c>
      <c r="D284" s="70">
        <v>44763</v>
      </c>
      <c r="E284" s="73"/>
      <c r="F284" s="9"/>
      <c r="H284" s="9" t="s">
        <v>1746</v>
      </c>
      <c r="I284" s="7" t="s">
        <v>114</v>
      </c>
      <c r="J284" s="7" t="s">
        <v>65</v>
      </c>
      <c r="K284" s="7"/>
      <c r="L284" s="10"/>
      <c r="M284" s="10"/>
      <c r="N284" s="10"/>
      <c r="O284" s="10"/>
      <c r="P284" s="10"/>
      <c r="Q284" s="10"/>
      <c r="R284" s="10"/>
      <c r="S284" s="10"/>
      <c r="T284" s="10">
        <v>11574.25</v>
      </c>
      <c r="U284" s="10"/>
      <c r="V284" s="10"/>
      <c r="W284" s="10"/>
      <c r="X284" s="10"/>
      <c r="Y284" s="10"/>
      <c r="Z284" s="10"/>
      <c r="AA284" s="33"/>
      <c r="AB284" s="10"/>
      <c r="AC284" s="33">
        <v>11574.25</v>
      </c>
      <c r="AD284" s="10">
        <f t="shared" si="2"/>
        <v>0</v>
      </c>
      <c r="AE284" s="82"/>
    </row>
    <row r="285" spans="1:32" x14ac:dyDescent="0.25">
      <c r="A285" s="7" t="s">
        <v>1708</v>
      </c>
      <c r="B285" s="9">
        <v>3996532</v>
      </c>
      <c r="C285" s="70">
        <v>44807</v>
      </c>
      <c r="D285" s="70">
        <v>44763</v>
      </c>
      <c r="E285" s="73">
        <v>44767</v>
      </c>
      <c r="F285" s="9" t="s">
        <v>1739</v>
      </c>
      <c r="G285" s="9" t="s">
        <v>1255</v>
      </c>
      <c r="H285" s="9"/>
      <c r="I285" s="7" t="s">
        <v>1737</v>
      </c>
      <c r="J285" s="7" t="s">
        <v>1226</v>
      </c>
      <c r="K285" s="7" t="s">
        <v>1039</v>
      </c>
      <c r="L285" s="10">
        <v>4017.86</v>
      </c>
      <c r="M285" s="10">
        <v>33482.14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33"/>
      <c r="AB285" s="10"/>
      <c r="AC285" s="33">
        <v>37500</v>
      </c>
      <c r="AD285" s="10">
        <f t="shared" si="2"/>
        <v>0</v>
      </c>
      <c r="AE285" s="82"/>
      <c r="AF285" s="17">
        <v>334.82</v>
      </c>
    </row>
    <row r="286" spans="1:32" x14ac:dyDescent="0.25">
      <c r="A286" s="7" t="s">
        <v>1709</v>
      </c>
      <c r="B286" s="9">
        <v>3996533</v>
      </c>
      <c r="C286" s="70">
        <v>44807</v>
      </c>
      <c r="D286" s="70">
        <v>44763</v>
      </c>
      <c r="E286" s="73">
        <v>44767</v>
      </c>
      <c r="F286" s="9" t="s">
        <v>1740</v>
      </c>
      <c r="G286" s="9" t="s">
        <v>1270</v>
      </c>
      <c r="H286" s="9"/>
      <c r="I286" s="7" t="s">
        <v>1738</v>
      </c>
      <c r="J286" s="7" t="s">
        <v>1226</v>
      </c>
      <c r="K286" s="7" t="s">
        <v>1039</v>
      </c>
      <c r="L286" s="10">
        <v>2410.71</v>
      </c>
      <c r="M286" s="10">
        <v>20089.29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33"/>
      <c r="AB286" s="10"/>
      <c r="AC286" s="33">
        <v>22500</v>
      </c>
      <c r="AD286" s="10">
        <f t="shared" si="2"/>
        <v>0</v>
      </c>
      <c r="AE286" s="82"/>
      <c r="AF286" s="17">
        <v>200.89</v>
      </c>
    </row>
    <row r="287" spans="1:32" x14ac:dyDescent="0.25">
      <c r="A287" s="7" t="s">
        <v>1726</v>
      </c>
      <c r="B287" s="9">
        <v>3996534</v>
      </c>
      <c r="C287" s="70">
        <v>44813</v>
      </c>
      <c r="D287" s="70">
        <v>44769</v>
      </c>
      <c r="E287" s="73">
        <v>44771</v>
      </c>
      <c r="F287" s="9" t="s">
        <v>1745</v>
      </c>
      <c r="G287" s="9" t="s">
        <v>1271</v>
      </c>
      <c r="H287" s="9"/>
      <c r="I287" s="7" t="s">
        <v>1741</v>
      </c>
      <c r="J287" s="7" t="s">
        <v>1226</v>
      </c>
      <c r="K287" s="7" t="s">
        <v>1039</v>
      </c>
      <c r="L287" s="10">
        <v>8035.71</v>
      </c>
      <c r="M287" s="10">
        <v>66964.289999999994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33"/>
      <c r="AB287" s="10"/>
      <c r="AC287" s="33">
        <v>75000</v>
      </c>
      <c r="AD287" s="10">
        <f t="shared" si="2"/>
        <v>0</v>
      </c>
      <c r="AE287" s="82"/>
      <c r="AF287" s="17">
        <v>669.64</v>
      </c>
    </row>
    <row r="288" spans="1:32" x14ac:dyDescent="0.25">
      <c r="A288" s="7" t="s">
        <v>1727</v>
      </c>
      <c r="B288" s="9">
        <v>3996535</v>
      </c>
      <c r="C288" s="70">
        <v>44769</v>
      </c>
      <c r="D288" s="70">
        <v>44769</v>
      </c>
      <c r="E288" s="73"/>
      <c r="F288" s="9"/>
      <c r="H288" s="9"/>
      <c r="I288" s="7" t="s">
        <v>1742</v>
      </c>
      <c r="J288" s="7" t="s">
        <v>46</v>
      </c>
      <c r="K288" s="7"/>
      <c r="L288" s="10">
        <v>1000.29</v>
      </c>
      <c r="M288" s="10"/>
      <c r="N288" s="10"/>
      <c r="O288" s="10"/>
      <c r="P288" s="10"/>
      <c r="Q288" s="10"/>
      <c r="R288" s="10"/>
      <c r="S288" s="10">
        <v>8335.7099999999991</v>
      </c>
      <c r="T288" s="10"/>
      <c r="U288" s="10"/>
      <c r="V288" s="10"/>
      <c r="W288" s="10"/>
      <c r="X288" s="10"/>
      <c r="Y288" s="10"/>
      <c r="Z288" s="10"/>
      <c r="AA288" s="33"/>
      <c r="AB288" s="10"/>
      <c r="AC288" s="33">
        <v>9336</v>
      </c>
      <c r="AD288" s="10">
        <f t="shared" si="2"/>
        <v>0</v>
      </c>
      <c r="AE288" s="82"/>
    </row>
    <row r="289" spans="1:32" s="39" customFormat="1" x14ac:dyDescent="0.25">
      <c r="A289" s="20"/>
      <c r="B289" s="19"/>
      <c r="C289" s="72"/>
      <c r="D289" s="72"/>
      <c r="E289" s="77"/>
      <c r="F289" s="19"/>
      <c r="G289" s="19"/>
      <c r="H289" s="19"/>
      <c r="I289" s="20"/>
      <c r="J289" s="20"/>
      <c r="K289" s="20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32"/>
      <c r="AB289" s="22"/>
      <c r="AC289" s="32"/>
      <c r="AD289" s="22"/>
      <c r="AE289" s="96"/>
      <c r="AF289" s="35"/>
    </row>
    <row r="290" spans="1:32" s="39" customFormat="1" x14ac:dyDescent="0.25">
      <c r="A290" s="25">
        <v>44774</v>
      </c>
      <c r="B290" s="19"/>
      <c r="C290" s="72"/>
      <c r="D290" s="72"/>
      <c r="E290" s="77"/>
      <c r="F290" s="19"/>
      <c r="G290" s="19"/>
      <c r="H290" s="19"/>
      <c r="I290" s="20"/>
      <c r="J290" s="20"/>
      <c r="K290" s="20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32"/>
      <c r="AB290" s="22"/>
      <c r="AC290" s="32"/>
      <c r="AD290" s="22"/>
      <c r="AE290" s="96"/>
      <c r="AF290" s="35"/>
    </row>
    <row r="291" spans="1:32" x14ac:dyDescent="0.25">
      <c r="A291" s="7" t="s">
        <v>1728</v>
      </c>
      <c r="B291" s="9">
        <v>3996536</v>
      </c>
      <c r="C291" s="70">
        <v>44774</v>
      </c>
      <c r="D291" s="70">
        <v>44774</v>
      </c>
      <c r="E291" s="73"/>
      <c r="F291" s="9"/>
      <c r="H291" s="9" t="s">
        <v>1748</v>
      </c>
      <c r="I291" s="7" t="s">
        <v>1165</v>
      </c>
      <c r="J291" s="51" t="s">
        <v>39</v>
      </c>
      <c r="K291" s="7"/>
      <c r="L291" s="10"/>
      <c r="M291" s="10"/>
      <c r="N291" s="10"/>
      <c r="O291" s="10"/>
      <c r="P291" s="10"/>
      <c r="Q291" s="10"/>
      <c r="R291" s="10"/>
      <c r="S291" s="10"/>
      <c r="T291" s="10">
        <v>4315</v>
      </c>
      <c r="U291" s="10"/>
      <c r="V291" s="10"/>
      <c r="W291" s="10"/>
      <c r="X291" s="10"/>
      <c r="Y291" s="10"/>
      <c r="Z291" s="10"/>
      <c r="AA291" s="33"/>
      <c r="AB291" s="10"/>
      <c r="AC291" s="33">
        <v>4315</v>
      </c>
      <c r="AD291" s="10">
        <f t="shared" si="2"/>
        <v>0</v>
      </c>
      <c r="AE291" s="82"/>
    </row>
    <row r="292" spans="1:32" x14ac:dyDescent="0.25">
      <c r="A292" s="7" t="s">
        <v>1729</v>
      </c>
      <c r="B292" s="9">
        <v>3996538</v>
      </c>
      <c r="C292" s="70">
        <v>44774</v>
      </c>
      <c r="D292" s="70">
        <v>44774</v>
      </c>
      <c r="E292" s="73"/>
      <c r="F292" s="9"/>
      <c r="H292" s="9"/>
      <c r="I292" s="7" t="s">
        <v>64</v>
      </c>
      <c r="J292" s="7" t="s">
        <v>47</v>
      </c>
      <c r="K292" s="7"/>
      <c r="L292" s="10"/>
      <c r="M292" s="10"/>
      <c r="N292" s="10"/>
      <c r="O292" s="10"/>
      <c r="P292" s="10">
        <v>30000</v>
      </c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33"/>
      <c r="AB292" s="10"/>
      <c r="AC292" s="33">
        <v>30000</v>
      </c>
      <c r="AD292" s="10">
        <f t="shared" si="2"/>
        <v>0</v>
      </c>
      <c r="AE292" s="82"/>
    </row>
    <row r="293" spans="1:32" x14ac:dyDescent="0.25">
      <c r="A293" s="7" t="s">
        <v>1730</v>
      </c>
      <c r="B293" s="9">
        <v>3996539</v>
      </c>
      <c r="C293" s="70">
        <v>44774</v>
      </c>
      <c r="D293" s="70">
        <v>44774</v>
      </c>
      <c r="E293" s="73">
        <v>44775</v>
      </c>
      <c r="F293" s="9" t="s">
        <v>1750</v>
      </c>
      <c r="G293" s="9" t="s">
        <v>1272</v>
      </c>
      <c r="H293" s="9"/>
      <c r="I293" s="7" t="s">
        <v>53</v>
      </c>
      <c r="J293" s="7" t="s">
        <v>59</v>
      </c>
      <c r="K293" s="7"/>
      <c r="L293" s="10">
        <v>278.36</v>
      </c>
      <c r="M293" s="10">
        <v>2319.64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33"/>
      <c r="AB293" s="10"/>
      <c r="AC293" s="33">
        <v>2598</v>
      </c>
      <c r="AD293" s="10">
        <f t="shared" si="2"/>
        <v>0</v>
      </c>
      <c r="AE293" s="82"/>
    </row>
    <row r="294" spans="1:32" x14ac:dyDescent="0.25">
      <c r="A294" s="7" t="s">
        <v>1731</v>
      </c>
      <c r="B294" s="9">
        <v>3996537</v>
      </c>
      <c r="C294" s="70">
        <v>44774</v>
      </c>
      <c r="D294" s="70">
        <v>44774</v>
      </c>
      <c r="E294" s="73"/>
      <c r="F294" s="9"/>
      <c r="H294" s="9"/>
      <c r="I294" s="7" t="s">
        <v>118</v>
      </c>
      <c r="J294" s="7" t="s">
        <v>1605</v>
      </c>
      <c r="K294" s="7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33">
        <v>9798.75</v>
      </c>
      <c r="AB294" s="10"/>
      <c r="AC294" s="33">
        <v>9798.75</v>
      </c>
      <c r="AD294" s="10">
        <f t="shared" si="2"/>
        <v>0</v>
      </c>
      <c r="AE294" s="82"/>
    </row>
    <row r="295" spans="1:32" x14ac:dyDescent="0.25">
      <c r="A295" s="7" t="s">
        <v>1732</v>
      </c>
      <c r="B295" s="9">
        <v>3996540</v>
      </c>
      <c r="C295" s="70">
        <v>44776</v>
      </c>
      <c r="D295" s="70">
        <v>44776</v>
      </c>
      <c r="E295" s="73"/>
      <c r="F295" s="9"/>
      <c r="H295" s="9" t="s">
        <v>1772</v>
      </c>
      <c r="I295" s="7" t="s">
        <v>114</v>
      </c>
      <c r="J295" s="51" t="s">
        <v>65</v>
      </c>
      <c r="K295" s="7"/>
      <c r="L295" s="10"/>
      <c r="M295" s="10"/>
      <c r="N295" s="10"/>
      <c r="O295" s="10"/>
      <c r="P295" s="10"/>
      <c r="Q295" s="10"/>
      <c r="R295" s="10"/>
      <c r="S295" s="10"/>
      <c r="T295" s="10">
        <v>11006.18</v>
      </c>
      <c r="U295" s="10"/>
      <c r="V295" s="10"/>
      <c r="W295" s="10"/>
      <c r="X295" s="10"/>
      <c r="Y295" s="10"/>
      <c r="Z295" s="10"/>
      <c r="AA295" s="33"/>
      <c r="AB295" s="10"/>
      <c r="AC295" s="33">
        <v>11006.18</v>
      </c>
      <c r="AD295" s="10">
        <f t="shared" ref="AD295:AD360" si="3">SUM(AB295:AC295)-SUM(L295:AA295)</f>
        <v>0</v>
      </c>
      <c r="AE295" s="82"/>
    </row>
    <row r="296" spans="1:32" x14ac:dyDescent="0.25">
      <c r="A296" s="7" t="s">
        <v>1733</v>
      </c>
      <c r="B296" s="9">
        <v>3996541</v>
      </c>
      <c r="C296" s="70">
        <v>44806</v>
      </c>
      <c r="D296" s="70">
        <v>44776</v>
      </c>
      <c r="E296" s="73">
        <v>44799</v>
      </c>
      <c r="F296" s="9" t="s">
        <v>1913</v>
      </c>
      <c r="G296" s="9" t="s">
        <v>1273</v>
      </c>
      <c r="H296" s="9"/>
      <c r="I296" s="7" t="s">
        <v>1764</v>
      </c>
      <c r="J296" s="7" t="s">
        <v>37</v>
      </c>
      <c r="K296" s="7" t="s">
        <v>38</v>
      </c>
      <c r="L296" s="10">
        <v>7457.14</v>
      </c>
      <c r="M296" s="10">
        <v>62142.86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33"/>
      <c r="AB296" s="10"/>
      <c r="AC296" s="33">
        <v>69600</v>
      </c>
      <c r="AD296" s="10">
        <f t="shared" si="3"/>
        <v>0</v>
      </c>
      <c r="AE296" s="82"/>
      <c r="AF296" s="17">
        <v>621.42999999999995</v>
      </c>
    </row>
    <row r="297" spans="1:32" x14ac:dyDescent="0.25">
      <c r="A297" s="7" t="s">
        <v>1734</v>
      </c>
      <c r="B297" s="9" t="s">
        <v>1765</v>
      </c>
      <c r="C297" s="70">
        <v>44776</v>
      </c>
      <c r="D297" s="70">
        <v>44776</v>
      </c>
      <c r="E297" s="73"/>
      <c r="F297" s="9"/>
      <c r="H297" s="9"/>
      <c r="I297" s="7" t="s">
        <v>82</v>
      </c>
      <c r="J297" s="7" t="s">
        <v>54</v>
      </c>
      <c r="K297" s="7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>
        <v>200000</v>
      </c>
      <c r="AA297" s="33"/>
      <c r="AB297" s="10"/>
      <c r="AC297" s="33">
        <v>200000</v>
      </c>
      <c r="AD297" s="10">
        <f t="shared" si="3"/>
        <v>0</v>
      </c>
      <c r="AE297" s="82"/>
    </row>
    <row r="298" spans="1:32" x14ac:dyDescent="0.25">
      <c r="A298" s="7" t="s">
        <v>1735</v>
      </c>
      <c r="B298" s="9" t="s">
        <v>1766</v>
      </c>
      <c r="C298" s="70">
        <v>44776</v>
      </c>
      <c r="D298" s="70">
        <v>44776</v>
      </c>
      <c r="E298" s="73"/>
      <c r="F298" s="9"/>
      <c r="H298" s="9"/>
      <c r="I298" s="7" t="s">
        <v>82</v>
      </c>
      <c r="J298" s="7" t="s">
        <v>54</v>
      </c>
      <c r="K298" s="7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>
        <v>200000</v>
      </c>
      <c r="AA298" s="33"/>
      <c r="AB298" s="10"/>
      <c r="AC298" s="33">
        <v>200000</v>
      </c>
      <c r="AD298" s="10">
        <f t="shared" si="3"/>
        <v>0</v>
      </c>
      <c r="AE298" s="82"/>
    </row>
    <row r="299" spans="1:32" x14ac:dyDescent="0.25">
      <c r="A299" s="7" t="s">
        <v>1736</v>
      </c>
      <c r="B299" s="9" t="s">
        <v>1767</v>
      </c>
      <c r="C299" s="70">
        <v>44776</v>
      </c>
      <c r="D299" s="70">
        <v>44776</v>
      </c>
      <c r="E299" s="73"/>
      <c r="F299" s="9"/>
      <c r="H299" s="9"/>
      <c r="I299" s="7" t="s">
        <v>64</v>
      </c>
      <c r="J299" s="7" t="s">
        <v>33</v>
      </c>
      <c r="K299" s="7"/>
      <c r="L299" s="10"/>
      <c r="M299" s="10"/>
      <c r="N299" s="10"/>
      <c r="O299" s="10"/>
      <c r="P299" s="10">
        <v>15000</v>
      </c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33"/>
      <c r="AB299" s="10"/>
      <c r="AC299" s="33">
        <v>15000</v>
      </c>
      <c r="AD299" s="10">
        <f t="shared" si="3"/>
        <v>0</v>
      </c>
      <c r="AE299" s="82"/>
    </row>
    <row r="300" spans="1:32" x14ac:dyDescent="0.25">
      <c r="A300" s="7" t="s">
        <v>1751</v>
      </c>
      <c r="B300" s="9">
        <v>3996542</v>
      </c>
      <c r="C300" s="70">
        <v>44777</v>
      </c>
      <c r="D300" s="70">
        <v>44777</v>
      </c>
      <c r="E300" s="73"/>
      <c r="F300" s="9"/>
      <c r="H300" s="9"/>
      <c r="I300" s="7" t="s">
        <v>1768</v>
      </c>
      <c r="J300" s="7" t="s">
        <v>18</v>
      </c>
      <c r="K300" s="7"/>
      <c r="L300" s="10">
        <v>151.09</v>
      </c>
      <c r="M300" s="10"/>
      <c r="N300" s="10"/>
      <c r="O300" s="10"/>
      <c r="P300" s="10"/>
      <c r="Q300" s="10"/>
      <c r="R300" s="10">
        <v>1259.06</v>
      </c>
      <c r="S300" s="10"/>
      <c r="T300" s="10"/>
      <c r="U300" s="10"/>
      <c r="V300" s="10"/>
      <c r="W300" s="10"/>
      <c r="X300" s="10"/>
      <c r="Y300" s="10"/>
      <c r="Z300" s="10"/>
      <c r="AA300" s="33"/>
      <c r="AB300" s="10"/>
      <c r="AC300" s="33">
        <v>1410.15</v>
      </c>
      <c r="AD300" s="10">
        <f t="shared" si="3"/>
        <v>0</v>
      </c>
      <c r="AE300" s="82"/>
    </row>
    <row r="301" spans="1:32" x14ac:dyDescent="0.25">
      <c r="A301" s="7" t="s">
        <v>1752</v>
      </c>
      <c r="B301" s="9">
        <v>3996543</v>
      </c>
      <c r="C301" s="70">
        <v>44777</v>
      </c>
      <c r="D301" s="70">
        <v>44777</v>
      </c>
      <c r="E301" s="73"/>
      <c r="F301" s="9"/>
      <c r="H301" s="9"/>
      <c r="I301" s="7" t="s">
        <v>1768</v>
      </c>
      <c r="J301" s="7" t="s">
        <v>18</v>
      </c>
      <c r="K301" s="7"/>
      <c r="L301" s="10">
        <v>811.09</v>
      </c>
      <c r="M301" s="10"/>
      <c r="N301" s="10"/>
      <c r="O301" s="10"/>
      <c r="P301" s="10"/>
      <c r="Q301" s="10"/>
      <c r="R301" s="10">
        <v>6759.06</v>
      </c>
      <c r="S301" s="10"/>
      <c r="T301" s="10"/>
      <c r="U301" s="10"/>
      <c r="V301" s="10"/>
      <c r="W301" s="10"/>
      <c r="X301" s="10"/>
      <c r="Y301" s="10"/>
      <c r="Z301" s="10"/>
      <c r="AA301" s="33"/>
      <c r="AB301" s="10"/>
      <c r="AC301" s="33">
        <v>7570.15</v>
      </c>
      <c r="AD301" s="10">
        <f t="shared" si="3"/>
        <v>0</v>
      </c>
      <c r="AE301" s="82"/>
    </row>
    <row r="302" spans="1:32" x14ac:dyDescent="0.25">
      <c r="A302" s="7" t="s">
        <v>1753</v>
      </c>
      <c r="B302" s="9">
        <v>3996544</v>
      </c>
      <c r="C302" s="70">
        <v>44822</v>
      </c>
      <c r="D302" s="70">
        <v>44777</v>
      </c>
      <c r="E302" s="73">
        <v>44782</v>
      </c>
      <c r="F302" s="9" t="s">
        <v>1773</v>
      </c>
      <c r="G302" s="9" t="s">
        <v>1144</v>
      </c>
      <c r="H302" s="9"/>
      <c r="I302" s="7" t="s">
        <v>1769</v>
      </c>
      <c r="J302" s="51" t="s">
        <v>1226</v>
      </c>
      <c r="K302" s="7" t="s">
        <v>1039</v>
      </c>
      <c r="L302" s="10">
        <v>2410.71</v>
      </c>
      <c r="M302" s="10">
        <v>20089.29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33"/>
      <c r="AB302" s="10"/>
      <c r="AC302" s="33">
        <v>22500</v>
      </c>
      <c r="AD302" s="10">
        <f t="shared" si="3"/>
        <v>0</v>
      </c>
      <c r="AE302" s="82"/>
      <c r="AF302" s="17">
        <v>200.89</v>
      </c>
    </row>
    <row r="303" spans="1:32" x14ac:dyDescent="0.25">
      <c r="A303" s="7" t="s">
        <v>1754</v>
      </c>
      <c r="B303" s="9">
        <v>3996545</v>
      </c>
      <c r="C303" s="70">
        <v>44822</v>
      </c>
      <c r="D303" s="70">
        <v>44777</v>
      </c>
      <c r="E303" s="73">
        <v>44784</v>
      </c>
      <c r="F303" s="9" t="s">
        <v>1790</v>
      </c>
      <c r="G303" s="9" t="s">
        <v>1137</v>
      </c>
      <c r="H303" s="9"/>
      <c r="I303" s="7" t="s">
        <v>1770</v>
      </c>
      <c r="J303" s="51" t="s">
        <v>1226</v>
      </c>
      <c r="K303" s="7" t="s">
        <v>1039</v>
      </c>
      <c r="L303" s="10">
        <v>1607.14</v>
      </c>
      <c r="M303" s="10">
        <v>13392.86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33"/>
      <c r="AB303" s="10"/>
      <c r="AC303" s="33">
        <v>15000</v>
      </c>
      <c r="AD303" s="10">
        <f t="shared" si="3"/>
        <v>0</v>
      </c>
      <c r="AE303" s="82"/>
      <c r="AF303" s="17">
        <v>133.93</v>
      </c>
    </row>
    <row r="304" spans="1:32" x14ac:dyDescent="0.25">
      <c r="A304" s="7" t="s">
        <v>1755</v>
      </c>
      <c r="B304" s="9" t="s">
        <v>1771</v>
      </c>
      <c r="C304" s="70">
        <v>44777</v>
      </c>
      <c r="D304" s="70">
        <v>44777</v>
      </c>
      <c r="E304" s="73">
        <v>44778</v>
      </c>
      <c r="F304" s="9" t="s">
        <v>1788</v>
      </c>
      <c r="H304" s="9"/>
      <c r="I304" s="7" t="s">
        <v>63</v>
      </c>
      <c r="J304" s="51" t="s">
        <v>109</v>
      </c>
      <c r="K304" s="7"/>
      <c r="L304" s="10"/>
      <c r="M304" s="10"/>
      <c r="N304" s="10">
        <v>124932.15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33"/>
      <c r="AB304" s="10"/>
      <c r="AC304" s="33">
        <v>124932.15</v>
      </c>
      <c r="AD304" s="10">
        <f t="shared" si="3"/>
        <v>0</v>
      </c>
      <c r="AE304" s="82"/>
    </row>
    <row r="305" spans="1:32" x14ac:dyDescent="0.25">
      <c r="A305" s="7" t="s">
        <v>1756</v>
      </c>
      <c r="B305" s="9">
        <v>3996546</v>
      </c>
      <c r="C305" s="70">
        <v>44781</v>
      </c>
      <c r="D305" s="70">
        <v>44781</v>
      </c>
      <c r="E305" s="73"/>
      <c r="F305" s="9"/>
      <c r="H305" s="9"/>
      <c r="I305" s="7" t="s">
        <v>1774</v>
      </c>
      <c r="J305" s="51" t="s">
        <v>1775</v>
      </c>
      <c r="K305" s="7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33">
        <v>2500</v>
      </c>
      <c r="AB305" s="10"/>
      <c r="AC305" s="33">
        <v>2500</v>
      </c>
      <c r="AD305" s="10">
        <f t="shared" si="3"/>
        <v>0</v>
      </c>
      <c r="AE305" s="82"/>
    </row>
    <row r="306" spans="1:32" x14ac:dyDescent="0.25">
      <c r="A306" s="7" t="s">
        <v>1757</v>
      </c>
      <c r="B306" s="9">
        <v>3996547</v>
      </c>
      <c r="C306" s="70">
        <v>44781</v>
      </c>
      <c r="D306" s="70">
        <v>44781</v>
      </c>
      <c r="E306" s="73">
        <v>44782</v>
      </c>
      <c r="F306" s="9" t="s">
        <v>1787</v>
      </c>
      <c r="H306" s="9"/>
      <c r="I306" s="7" t="s">
        <v>1534</v>
      </c>
      <c r="J306" s="7" t="s">
        <v>109</v>
      </c>
      <c r="K306" s="7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33">
        <v>3550.94</v>
      </c>
      <c r="AB306" s="10"/>
      <c r="AC306" s="33">
        <v>3550.94</v>
      </c>
      <c r="AD306" s="10">
        <f t="shared" si="3"/>
        <v>0</v>
      </c>
      <c r="AE306" s="82"/>
    </row>
    <row r="307" spans="1:32" x14ac:dyDescent="0.25">
      <c r="A307" s="7" t="s">
        <v>1758</v>
      </c>
      <c r="B307" s="9">
        <v>3996548</v>
      </c>
      <c r="C307" s="70">
        <v>44781</v>
      </c>
      <c r="D307" s="70">
        <v>44781</v>
      </c>
      <c r="E307" s="73"/>
      <c r="F307" s="9"/>
      <c r="H307" s="9"/>
      <c r="I307" s="7" t="s">
        <v>1776</v>
      </c>
      <c r="J307" s="7" t="s">
        <v>43</v>
      </c>
      <c r="K307" s="7"/>
      <c r="L307" s="10">
        <v>148.61000000000001</v>
      </c>
      <c r="M307" s="10"/>
      <c r="N307" s="10"/>
      <c r="O307" s="10"/>
      <c r="P307" s="10"/>
      <c r="Q307" s="10"/>
      <c r="R307" s="10"/>
      <c r="S307" s="10">
        <v>1238.3800000000001</v>
      </c>
      <c r="T307" s="10"/>
      <c r="U307" s="10"/>
      <c r="V307" s="10"/>
      <c r="W307" s="10"/>
      <c r="X307" s="10"/>
      <c r="Y307" s="10"/>
      <c r="Z307" s="10"/>
      <c r="AA307" s="33"/>
      <c r="AB307" s="10"/>
      <c r="AC307" s="33">
        <v>1386.99</v>
      </c>
      <c r="AD307" s="10">
        <f t="shared" si="3"/>
        <v>0</v>
      </c>
      <c r="AE307" s="82"/>
    </row>
    <row r="308" spans="1:32" x14ac:dyDescent="0.25">
      <c r="A308" s="7" t="s">
        <v>1759</v>
      </c>
      <c r="B308" s="9">
        <v>3996549</v>
      </c>
      <c r="C308" s="70">
        <v>44781</v>
      </c>
      <c r="D308" s="70">
        <v>44781</v>
      </c>
      <c r="E308" s="73"/>
      <c r="F308" s="9"/>
      <c r="H308" s="9"/>
      <c r="I308" s="7" t="s">
        <v>1776</v>
      </c>
      <c r="J308" s="7" t="s">
        <v>43</v>
      </c>
      <c r="K308" s="7"/>
      <c r="L308" s="10"/>
      <c r="M308" s="10">
        <v>107.04</v>
      </c>
      <c r="N308" s="10"/>
      <c r="O308" s="10"/>
      <c r="P308" s="10"/>
      <c r="Q308" s="10"/>
      <c r="R308" s="10"/>
      <c r="S308" s="10">
        <v>891.96</v>
      </c>
      <c r="T308" s="10"/>
      <c r="U308" s="10"/>
      <c r="V308" s="10"/>
      <c r="W308" s="10"/>
      <c r="X308" s="10"/>
      <c r="Y308" s="10"/>
      <c r="Z308" s="10"/>
      <c r="AA308" s="33"/>
      <c r="AB308" s="10"/>
      <c r="AC308" s="33">
        <v>999</v>
      </c>
      <c r="AD308" s="10">
        <f t="shared" si="3"/>
        <v>0</v>
      </c>
      <c r="AE308" s="82"/>
    </row>
    <row r="309" spans="1:32" x14ac:dyDescent="0.25">
      <c r="A309" s="7" t="s">
        <v>1760</v>
      </c>
      <c r="B309" s="9">
        <v>3996550</v>
      </c>
      <c r="C309" s="70">
        <v>44781</v>
      </c>
      <c r="D309" s="70">
        <v>44781</v>
      </c>
      <c r="E309" s="73"/>
      <c r="F309" s="9"/>
      <c r="H309" s="9"/>
      <c r="I309" s="7" t="s">
        <v>1776</v>
      </c>
      <c r="J309" s="7" t="s">
        <v>43</v>
      </c>
      <c r="K309" s="7"/>
      <c r="L309" s="10">
        <v>39.4</v>
      </c>
      <c r="M309" s="10"/>
      <c r="N309" s="10"/>
      <c r="O309" s="10"/>
      <c r="P309" s="10"/>
      <c r="Q309" s="10"/>
      <c r="R309" s="10"/>
      <c r="S309" s="10">
        <v>328.34</v>
      </c>
      <c r="T309" s="10"/>
      <c r="U309" s="10"/>
      <c r="V309" s="10"/>
      <c r="W309" s="10"/>
      <c r="X309" s="10"/>
      <c r="Y309" s="10"/>
      <c r="Z309" s="10"/>
      <c r="AA309" s="33"/>
      <c r="AB309" s="10"/>
      <c r="AC309" s="33">
        <v>367.74</v>
      </c>
      <c r="AD309" s="10">
        <f t="shared" si="3"/>
        <v>0</v>
      </c>
      <c r="AE309" s="82"/>
    </row>
    <row r="310" spans="1:32" x14ac:dyDescent="0.25">
      <c r="A310" s="7" t="s">
        <v>1761</v>
      </c>
      <c r="B310" s="9">
        <v>3996551</v>
      </c>
      <c r="C310" s="70">
        <v>44783</v>
      </c>
      <c r="D310" s="70">
        <v>44783</v>
      </c>
      <c r="E310" s="73"/>
      <c r="F310" s="9"/>
      <c r="H310" s="9" t="s">
        <v>1826</v>
      </c>
      <c r="I310" s="7" t="s">
        <v>1174</v>
      </c>
      <c r="J310" s="51" t="s">
        <v>65</v>
      </c>
      <c r="K310" s="7"/>
      <c r="L310" s="10"/>
      <c r="M310" s="10"/>
      <c r="N310" s="10"/>
      <c r="O310" s="10"/>
      <c r="P310" s="10"/>
      <c r="Q310" s="10"/>
      <c r="R310" s="10"/>
      <c r="S310" s="10"/>
      <c r="T310" s="10">
        <v>7742</v>
      </c>
      <c r="U310" s="10"/>
      <c r="V310" s="10"/>
      <c r="W310" s="10"/>
      <c r="X310" s="10"/>
      <c r="Y310" s="10"/>
      <c r="Z310" s="10"/>
      <c r="AA310" s="33"/>
      <c r="AB310" s="10"/>
      <c r="AC310" s="33">
        <v>7742</v>
      </c>
      <c r="AD310" s="10">
        <f t="shared" si="3"/>
        <v>0</v>
      </c>
      <c r="AE310" s="82"/>
    </row>
    <row r="311" spans="1:32" x14ac:dyDescent="0.25">
      <c r="A311" s="7" t="s">
        <v>1762</v>
      </c>
      <c r="B311" s="9">
        <v>3996552</v>
      </c>
      <c r="C311" s="70">
        <v>44829</v>
      </c>
      <c r="D311" s="70">
        <v>44783</v>
      </c>
      <c r="E311" s="73">
        <v>44784</v>
      </c>
      <c r="F311" s="9" t="s">
        <v>1789</v>
      </c>
      <c r="G311" s="9" t="s">
        <v>1289</v>
      </c>
      <c r="H311" s="9"/>
      <c r="I311" s="7" t="s">
        <v>1275</v>
      </c>
      <c r="J311" s="51" t="s">
        <v>1226</v>
      </c>
      <c r="K311" s="7" t="s">
        <v>1039</v>
      </c>
      <c r="L311" s="10">
        <v>4553.57</v>
      </c>
      <c r="M311" s="10">
        <v>37946.43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33"/>
      <c r="AB311" s="10"/>
      <c r="AC311" s="33">
        <v>42500</v>
      </c>
      <c r="AD311" s="10">
        <f t="shared" si="3"/>
        <v>0</v>
      </c>
      <c r="AE311" s="82"/>
      <c r="AF311" s="17">
        <v>379.46</v>
      </c>
    </row>
    <row r="312" spans="1:32" x14ac:dyDescent="0.25">
      <c r="A312" s="7" t="s">
        <v>1763</v>
      </c>
      <c r="B312" s="9">
        <v>3996553</v>
      </c>
      <c r="C312" s="70">
        <v>44815</v>
      </c>
      <c r="D312" s="70">
        <v>44783</v>
      </c>
      <c r="E312" s="73">
        <v>44784</v>
      </c>
      <c r="F312" s="9" t="s">
        <v>1792</v>
      </c>
      <c r="G312" s="9" t="s">
        <v>1290</v>
      </c>
      <c r="H312" s="9"/>
      <c r="I312" s="7" t="s">
        <v>1791</v>
      </c>
      <c r="J312" s="51" t="s">
        <v>1226</v>
      </c>
      <c r="K312" s="7" t="s">
        <v>1039</v>
      </c>
      <c r="L312" s="10">
        <v>1071.43</v>
      </c>
      <c r="M312" s="10">
        <v>8928.57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33"/>
      <c r="AB312" s="10"/>
      <c r="AC312" s="33">
        <v>10000</v>
      </c>
      <c r="AD312" s="10">
        <f t="shared" si="3"/>
        <v>0</v>
      </c>
      <c r="AE312" s="82"/>
      <c r="AF312" s="17">
        <v>89.29</v>
      </c>
    </row>
    <row r="313" spans="1:32" x14ac:dyDescent="0.25">
      <c r="A313" s="7" t="s">
        <v>1777</v>
      </c>
      <c r="B313" s="9">
        <v>3996554</v>
      </c>
      <c r="C313" s="70">
        <v>44845</v>
      </c>
      <c r="D313" s="70">
        <v>44783</v>
      </c>
      <c r="E313" s="73">
        <v>44784</v>
      </c>
      <c r="F313" s="9" t="s">
        <v>1793</v>
      </c>
      <c r="G313" s="9" t="s">
        <v>1290</v>
      </c>
      <c r="H313" s="9"/>
      <c r="I313" s="7" t="s">
        <v>1791</v>
      </c>
      <c r="J313" s="51" t="s">
        <v>1226</v>
      </c>
      <c r="K313" s="7" t="s">
        <v>1039</v>
      </c>
      <c r="L313" s="10">
        <v>1071.43</v>
      </c>
      <c r="M313" s="10">
        <v>8928.57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33"/>
      <c r="AB313" s="10"/>
      <c r="AC313" s="33">
        <v>10000</v>
      </c>
      <c r="AD313" s="10">
        <f t="shared" si="3"/>
        <v>0</v>
      </c>
      <c r="AE313" s="82"/>
      <c r="AF313" s="17">
        <v>89.29</v>
      </c>
    </row>
    <row r="314" spans="1:32" x14ac:dyDescent="0.25">
      <c r="A314" s="7" t="s">
        <v>1778</v>
      </c>
      <c r="B314" s="9">
        <v>3996555</v>
      </c>
      <c r="C314" s="70">
        <v>44876</v>
      </c>
      <c r="D314" s="70">
        <v>44783</v>
      </c>
      <c r="E314" s="73">
        <v>44784</v>
      </c>
      <c r="F314" s="9" t="s">
        <v>1794</v>
      </c>
      <c r="G314" s="9" t="s">
        <v>1290</v>
      </c>
      <c r="H314" s="9"/>
      <c r="I314" s="7" t="s">
        <v>1791</v>
      </c>
      <c r="J314" s="51" t="s">
        <v>1226</v>
      </c>
      <c r="K314" s="7" t="s">
        <v>1039</v>
      </c>
      <c r="L314" s="10">
        <v>1071.43</v>
      </c>
      <c r="M314" s="10">
        <v>8928.57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33"/>
      <c r="AB314" s="10"/>
      <c r="AC314" s="33">
        <v>10000</v>
      </c>
      <c r="AD314" s="10">
        <f t="shared" si="3"/>
        <v>0</v>
      </c>
      <c r="AE314" s="82"/>
      <c r="AF314" s="17">
        <v>89.29</v>
      </c>
    </row>
    <row r="315" spans="1:32" x14ac:dyDescent="0.25">
      <c r="A315" s="7" t="s">
        <v>1779</v>
      </c>
      <c r="B315" s="9">
        <v>3996556</v>
      </c>
      <c r="C315" s="70">
        <v>44788</v>
      </c>
      <c r="D315" s="70">
        <v>44788</v>
      </c>
      <c r="E315" s="73">
        <v>44791</v>
      </c>
      <c r="F315" s="9" t="s">
        <v>1812</v>
      </c>
      <c r="H315" s="9"/>
      <c r="I315" s="7" t="s">
        <v>1796</v>
      </c>
      <c r="J315" s="7" t="s">
        <v>127</v>
      </c>
      <c r="K315" s="7"/>
      <c r="L315" s="10">
        <v>528</v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33">
        <v>4400</v>
      </c>
      <c r="AB315" s="10"/>
      <c r="AC315" s="33">
        <v>4928</v>
      </c>
      <c r="AD315" s="10">
        <f t="shared" si="3"/>
        <v>0</v>
      </c>
      <c r="AE315" s="82"/>
    </row>
    <row r="316" spans="1:32" x14ac:dyDescent="0.25">
      <c r="A316" s="7" t="s">
        <v>1780</v>
      </c>
      <c r="B316" s="9">
        <v>3996557</v>
      </c>
      <c r="C316" s="70">
        <v>44788</v>
      </c>
      <c r="D316" s="70">
        <v>44788</v>
      </c>
      <c r="E316" s="73"/>
      <c r="F316" s="9"/>
      <c r="H316" s="9"/>
      <c r="I316" s="7" t="s">
        <v>1807</v>
      </c>
      <c r="J316" s="7" t="s">
        <v>46</v>
      </c>
      <c r="K316" s="7"/>
      <c r="L316" s="10">
        <v>107.04</v>
      </c>
      <c r="M316" s="10"/>
      <c r="N316" s="10"/>
      <c r="O316" s="10"/>
      <c r="P316" s="10"/>
      <c r="Q316" s="10"/>
      <c r="R316" s="10"/>
      <c r="S316" s="10">
        <v>891.96</v>
      </c>
      <c r="T316" s="10"/>
      <c r="U316" s="10"/>
      <c r="V316" s="10"/>
      <c r="W316" s="10"/>
      <c r="X316" s="10"/>
      <c r="Y316" s="10"/>
      <c r="Z316" s="10"/>
      <c r="AA316" s="33"/>
      <c r="AB316" s="10"/>
      <c r="AC316" s="33">
        <v>999</v>
      </c>
      <c r="AD316" s="10">
        <f t="shared" si="3"/>
        <v>0</v>
      </c>
      <c r="AE316" s="82"/>
    </row>
    <row r="317" spans="1:32" x14ac:dyDescent="0.25">
      <c r="A317" s="7" t="s">
        <v>1781</v>
      </c>
      <c r="B317" s="9">
        <v>3996558</v>
      </c>
      <c r="C317" s="70">
        <v>44788</v>
      </c>
      <c r="D317" s="70">
        <v>44788</v>
      </c>
      <c r="E317" s="73"/>
      <c r="F317" s="9"/>
      <c r="H317" s="9"/>
      <c r="I317" s="7" t="s">
        <v>1808</v>
      </c>
      <c r="J317" s="7" t="s">
        <v>46</v>
      </c>
      <c r="K317" s="7"/>
      <c r="L317" s="10">
        <v>192.75</v>
      </c>
      <c r="M317" s="10"/>
      <c r="N317" s="10"/>
      <c r="O317" s="10"/>
      <c r="P317" s="10"/>
      <c r="Q317" s="10"/>
      <c r="R317" s="10"/>
      <c r="S317" s="10">
        <v>1606.25</v>
      </c>
      <c r="T317" s="10"/>
      <c r="U317" s="10"/>
      <c r="V317" s="10"/>
      <c r="W317" s="10"/>
      <c r="X317" s="10"/>
      <c r="Y317" s="10"/>
      <c r="Z317" s="10"/>
      <c r="AA317" s="33"/>
      <c r="AB317" s="10"/>
      <c r="AC317" s="33">
        <v>1799</v>
      </c>
      <c r="AD317" s="10">
        <f t="shared" si="3"/>
        <v>0</v>
      </c>
      <c r="AE317" s="82"/>
    </row>
    <row r="318" spans="1:32" x14ac:dyDescent="0.25">
      <c r="A318" s="7" t="s">
        <v>1782</v>
      </c>
      <c r="B318" s="9">
        <v>3996559</v>
      </c>
      <c r="C318" s="70">
        <v>44788</v>
      </c>
      <c r="D318" s="70">
        <v>44788</v>
      </c>
      <c r="E318" s="73"/>
      <c r="F318" s="9"/>
      <c r="H318" s="9"/>
      <c r="I318" s="7" t="s">
        <v>1807</v>
      </c>
      <c r="J318" s="7" t="s">
        <v>46</v>
      </c>
      <c r="K318" s="7"/>
      <c r="L318" s="10">
        <v>107.04</v>
      </c>
      <c r="M318" s="10"/>
      <c r="N318" s="10"/>
      <c r="O318" s="10"/>
      <c r="P318" s="10"/>
      <c r="Q318" s="10"/>
      <c r="R318" s="10"/>
      <c r="S318" s="10">
        <v>891.96</v>
      </c>
      <c r="T318" s="10"/>
      <c r="U318" s="10"/>
      <c r="V318" s="10"/>
      <c r="W318" s="10"/>
      <c r="X318" s="10"/>
      <c r="Y318" s="10"/>
      <c r="Z318" s="10"/>
      <c r="AA318" s="33"/>
      <c r="AB318" s="10"/>
      <c r="AC318" s="33">
        <v>999</v>
      </c>
      <c r="AD318" s="10">
        <f t="shared" si="3"/>
        <v>0</v>
      </c>
      <c r="AE318" s="82"/>
    </row>
    <row r="319" spans="1:32" x14ac:dyDescent="0.25">
      <c r="A319" s="7" t="s">
        <v>1783</v>
      </c>
      <c r="B319" s="9">
        <v>3996560</v>
      </c>
      <c r="C319" s="70">
        <v>44788</v>
      </c>
      <c r="D319" s="70">
        <v>44788</v>
      </c>
      <c r="E319" s="73"/>
      <c r="F319" s="9"/>
      <c r="H319" s="9"/>
      <c r="I319" s="7" t="s">
        <v>1807</v>
      </c>
      <c r="J319" s="7" t="s">
        <v>46</v>
      </c>
      <c r="K319" s="7"/>
      <c r="L319" s="10">
        <v>107.04</v>
      </c>
      <c r="M319" s="10"/>
      <c r="N319" s="10"/>
      <c r="O319" s="10"/>
      <c r="P319" s="10"/>
      <c r="Q319" s="10"/>
      <c r="R319" s="10"/>
      <c r="S319" s="10">
        <v>891.96</v>
      </c>
      <c r="T319" s="10"/>
      <c r="U319" s="10"/>
      <c r="V319" s="10"/>
      <c r="W319" s="10"/>
      <c r="X319" s="10"/>
      <c r="Y319" s="10"/>
      <c r="Z319" s="10"/>
      <c r="AA319" s="33"/>
      <c r="AB319" s="10"/>
      <c r="AC319" s="33">
        <v>999</v>
      </c>
      <c r="AD319" s="10">
        <f t="shared" si="3"/>
        <v>0</v>
      </c>
      <c r="AE319" s="82"/>
    </row>
    <row r="320" spans="1:32" x14ac:dyDescent="0.25">
      <c r="A320" s="7" t="s">
        <v>1784</v>
      </c>
      <c r="B320" s="9">
        <v>3996561</v>
      </c>
      <c r="C320" s="70">
        <v>44819</v>
      </c>
      <c r="D320" s="70">
        <v>44788</v>
      </c>
      <c r="E320" s="73">
        <v>44789</v>
      </c>
      <c r="F320" s="9" t="s">
        <v>1810</v>
      </c>
      <c r="G320" s="9" t="s">
        <v>1291</v>
      </c>
      <c r="H320" s="9"/>
      <c r="I320" s="7" t="s">
        <v>1809</v>
      </c>
      <c r="J320" s="51" t="s">
        <v>60</v>
      </c>
      <c r="K320" s="7" t="s">
        <v>61</v>
      </c>
      <c r="L320" s="10">
        <v>1853.57</v>
      </c>
      <c r="M320" s="10">
        <v>15446.43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33"/>
      <c r="AB320" s="10"/>
      <c r="AC320" s="33">
        <v>17300</v>
      </c>
      <c r="AD320" s="10">
        <f t="shared" si="3"/>
        <v>0</v>
      </c>
      <c r="AE320" s="82"/>
      <c r="AF320" s="17">
        <v>154.46</v>
      </c>
    </row>
    <row r="321" spans="1:32" x14ac:dyDescent="0.25">
      <c r="A321" s="7" t="s">
        <v>1785</v>
      </c>
      <c r="B321" s="9">
        <v>3996562</v>
      </c>
      <c r="C321" s="70">
        <v>44830</v>
      </c>
      <c r="D321" s="70">
        <v>44788</v>
      </c>
      <c r="E321" s="73">
        <v>44789</v>
      </c>
      <c r="F321" s="9" t="s">
        <v>1811</v>
      </c>
      <c r="G321" s="9" t="s">
        <v>1299</v>
      </c>
      <c r="H321" s="9"/>
      <c r="I321" s="7" t="s">
        <v>1184</v>
      </c>
      <c r="J321" s="51" t="s">
        <v>84</v>
      </c>
      <c r="K321" s="7" t="s">
        <v>36</v>
      </c>
      <c r="L321" s="10">
        <v>2357.14</v>
      </c>
      <c r="M321" s="10">
        <v>19642.86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33"/>
      <c r="AB321" s="10"/>
      <c r="AC321" s="33">
        <v>22000</v>
      </c>
      <c r="AD321" s="10">
        <f t="shared" si="3"/>
        <v>0</v>
      </c>
      <c r="AE321" s="82"/>
      <c r="AF321" s="17">
        <v>196.43</v>
      </c>
    </row>
    <row r="322" spans="1:32" x14ac:dyDescent="0.25">
      <c r="A322" s="7" t="s">
        <v>1786</v>
      </c>
      <c r="B322" s="9">
        <v>3996563</v>
      </c>
      <c r="C322" s="70">
        <v>44791</v>
      </c>
      <c r="D322" s="70">
        <v>44791</v>
      </c>
      <c r="E322" s="73"/>
      <c r="F322" s="9"/>
      <c r="H322" s="9"/>
      <c r="I322" s="7" t="s">
        <v>118</v>
      </c>
      <c r="J322" s="7" t="s">
        <v>125</v>
      </c>
      <c r="K322" s="7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33">
        <v>5000</v>
      </c>
      <c r="AB322" s="10"/>
      <c r="AC322" s="33">
        <v>5000</v>
      </c>
      <c r="AD322" s="10">
        <f t="shared" si="3"/>
        <v>0</v>
      </c>
      <c r="AE322" s="82"/>
    </row>
    <row r="323" spans="1:32" x14ac:dyDescent="0.25">
      <c r="A323" s="7" t="s">
        <v>1797</v>
      </c>
      <c r="B323" s="9">
        <v>3996564</v>
      </c>
      <c r="C323" s="70">
        <v>44791</v>
      </c>
      <c r="D323" s="70">
        <v>44791</v>
      </c>
      <c r="E323" s="73"/>
      <c r="F323" s="9"/>
      <c r="H323" s="9"/>
      <c r="I323" s="7" t="s">
        <v>1807</v>
      </c>
      <c r="J323" s="7" t="s">
        <v>44</v>
      </c>
      <c r="K323" s="7"/>
      <c r="L323" s="10">
        <v>643.76</v>
      </c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>
        <v>5364.65</v>
      </c>
      <c r="Y323" s="10"/>
      <c r="Z323" s="10"/>
      <c r="AA323" s="33"/>
      <c r="AB323" s="10"/>
      <c r="AC323" s="33">
        <v>6008.41</v>
      </c>
      <c r="AD323" s="10">
        <f t="shared" si="3"/>
        <v>0</v>
      </c>
      <c r="AE323" s="82"/>
    </row>
    <row r="324" spans="1:32" x14ac:dyDescent="0.25">
      <c r="A324" s="7" t="s">
        <v>1798</v>
      </c>
      <c r="B324" s="9">
        <v>3996565</v>
      </c>
      <c r="C324" s="70">
        <v>44791</v>
      </c>
      <c r="D324" s="70">
        <v>44791</v>
      </c>
      <c r="E324" s="73">
        <v>44796</v>
      </c>
      <c r="F324" s="9" t="s">
        <v>1827</v>
      </c>
      <c r="G324" s="9" t="s">
        <v>1300</v>
      </c>
      <c r="H324" s="9"/>
      <c r="I324" s="7" t="s">
        <v>1814</v>
      </c>
      <c r="J324" s="51" t="s">
        <v>83</v>
      </c>
      <c r="K324" s="7" t="s">
        <v>1336</v>
      </c>
      <c r="L324" s="10">
        <v>267.86</v>
      </c>
      <c r="M324" s="10">
        <v>2232.14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33"/>
      <c r="AB324" s="10"/>
      <c r="AC324" s="33">
        <v>2500</v>
      </c>
      <c r="AD324" s="10">
        <f t="shared" si="3"/>
        <v>0</v>
      </c>
      <c r="AE324" s="82"/>
      <c r="AF324" s="17">
        <v>22.32</v>
      </c>
    </row>
    <row r="325" spans="1:32" x14ac:dyDescent="0.25">
      <c r="A325" s="7" t="s">
        <v>1799</v>
      </c>
      <c r="B325" s="9">
        <v>3996566</v>
      </c>
      <c r="C325" s="70">
        <v>44826</v>
      </c>
      <c r="D325" s="70">
        <v>44791</v>
      </c>
      <c r="E325" s="73">
        <v>44792</v>
      </c>
      <c r="F325" s="9" t="s">
        <v>1825</v>
      </c>
      <c r="G325" s="9" t="s">
        <v>1302</v>
      </c>
      <c r="H325" s="9"/>
      <c r="I325" s="7" t="s">
        <v>1813</v>
      </c>
      <c r="J325" s="51" t="s">
        <v>84</v>
      </c>
      <c r="K325" s="7" t="s">
        <v>36</v>
      </c>
      <c r="L325" s="10">
        <v>2303.5700000000002</v>
      </c>
      <c r="M325" s="10">
        <v>19196.43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33"/>
      <c r="AB325" s="10"/>
      <c r="AC325" s="33">
        <v>21500</v>
      </c>
      <c r="AD325" s="10">
        <f t="shared" si="3"/>
        <v>0</v>
      </c>
      <c r="AE325" s="82"/>
      <c r="AF325" s="17">
        <v>191.96</v>
      </c>
    </row>
    <row r="326" spans="1:32" x14ac:dyDescent="0.25">
      <c r="A326" s="7" t="s">
        <v>1800</v>
      </c>
      <c r="B326" s="9" t="s">
        <v>1823</v>
      </c>
      <c r="C326" s="70">
        <v>44791</v>
      </c>
      <c r="D326" s="70">
        <v>44791</v>
      </c>
      <c r="E326" s="73">
        <v>44792</v>
      </c>
      <c r="F326" s="9" t="s">
        <v>1832</v>
      </c>
      <c r="G326" s="9" t="s">
        <v>1301</v>
      </c>
      <c r="H326" s="9"/>
      <c r="I326" s="7" t="s">
        <v>1824</v>
      </c>
      <c r="J326" s="51" t="s">
        <v>1208</v>
      </c>
      <c r="K326" s="7" t="s">
        <v>1209</v>
      </c>
      <c r="L326" s="10">
        <v>4872.8599999999997</v>
      </c>
      <c r="M326" s="10">
        <v>40607.14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33"/>
      <c r="AB326" s="10"/>
      <c r="AC326" s="33">
        <v>45480</v>
      </c>
      <c r="AD326" s="10">
        <f t="shared" si="3"/>
        <v>0</v>
      </c>
      <c r="AE326" s="82"/>
      <c r="AF326" s="17">
        <v>406.07</v>
      </c>
    </row>
    <row r="327" spans="1:32" x14ac:dyDescent="0.25">
      <c r="A327" s="7" t="s">
        <v>1801</v>
      </c>
      <c r="B327" s="9" t="s">
        <v>1830</v>
      </c>
      <c r="C327" s="70">
        <v>44795</v>
      </c>
      <c r="D327" s="70">
        <v>44795</v>
      </c>
      <c r="E327" s="73"/>
      <c r="F327" s="9"/>
      <c r="H327" s="9"/>
      <c r="I327" s="7" t="s">
        <v>64</v>
      </c>
      <c r="J327" s="51" t="s">
        <v>1831</v>
      </c>
      <c r="K327" s="7"/>
      <c r="L327" s="10"/>
      <c r="M327" s="10"/>
      <c r="N327" s="10"/>
      <c r="O327" s="10"/>
      <c r="P327" s="10">
        <v>35000</v>
      </c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33"/>
      <c r="AB327" s="10"/>
      <c r="AC327" s="33">
        <v>35000</v>
      </c>
      <c r="AD327" s="10">
        <f t="shared" si="3"/>
        <v>0</v>
      </c>
      <c r="AE327" s="82"/>
    </row>
    <row r="328" spans="1:32" x14ac:dyDescent="0.25">
      <c r="A328" s="7" t="s">
        <v>1802</v>
      </c>
      <c r="B328" s="9">
        <v>3996567</v>
      </c>
      <c r="C328" s="70">
        <v>44823</v>
      </c>
      <c r="D328" s="70">
        <v>44795</v>
      </c>
      <c r="E328" s="73">
        <v>44799</v>
      </c>
      <c r="F328" s="9" t="s">
        <v>1914</v>
      </c>
      <c r="G328" s="9" t="s">
        <v>1274</v>
      </c>
      <c r="H328" s="9"/>
      <c r="I328" s="7" t="s">
        <v>1829</v>
      </c>
      <c r="J328" s="51" t="s">
        <v>37</v>
      </c>
      <c r="K328" s="7" t="s">
        <v>38</v>
      </c>
      <c r="L328" s="10">
        <v>1178.57</v>
      </c>
      <c r="M328" s="10">
        <v>9821.43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33"/>
      <c r="AB328" s="10"/>
      <c r="AC328" s="33">
        <v>11000</v>
      </c>
      <c r="AD328" s="10">
        <f t="shared" si="3"/>
        <v>0</v>
      </c>
      <c r="AE328" s="82"/>
      <c r="AF328" s="17">
        <v>98.21</v>
      </c>
    </row>
    <row r="329" spans="1:32" x14ac:dyDescent="0.25">
      <c r="A329" s="7" t="s">
        <v>1803</v>
      </c>
      <c r="B329" s="9">
        <v>3996568</v>
      </c>
      <c r="C329" s="70">
        <v>44826</v>
      </c>
      <c r="D329" s="70">
        <v>44795</v>
      </c>
      <c r="E329" s="73"/>
      <c r="F329" s="9"/>
      <c r="G329" s="9" t="s">
        <v>1303</v>
      </c>
      <c r="H329" s="9"/>
      <c r="I329" s="7" t="s">
        <v>1553</v>
      </c>
      <c r="J329" s="51" t="s">
        <v>1449</v>
      </c>
      <c r="K329" s="7"/>
      <c r="L329" s="10">
        <v>11250</v>
      </c>
      <c r="M329" s="10">
        <v>93750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33"/>
      <c r="AB329" s="10"/>
      <c r="AC329" s="33">
        <v>105000</v>
      </c>
      <c r="AD329" s="10">
        <f t="shared" si="3"/>
        <v>0</v>
      </c>
      <c r="AE329" s="82"/>
      <c r="AF329" s="17">
        <v>937.5</v>
      </c>
    </row>
    <row r="330" spans="1:32" x14ac:dyDescent="0.25">
      <c r="A330" s="7" t="s">
        <v>1804</v>
      </c>
      <c r="B330" s="9">
        <v>3996569</v>
      </c>
      <c r="C330" s="70">
        <v>44827</v>
      </c>
      <c r="D330" s="70">
        <v>44795</v>
      </c>
      <c r="E330" s="73"/>
      <c r="F330" s="9"/>
      <c r="G330" s="9" t="s">
        <v>1304</v>
      </c>
      <c r="H330" s="9"/>
      <c r="I330" s="7" t="s">
        <v>1828</v>
      </c>
      <c r="J330" s="51" t="s">
        <v>1449</v>
      </c>
      <c r="K330" s="7"/>
      <c r="L330" s="10">
        <v>5625</v>
      </c>
      <c r="M330" s="10">
        <v>46875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33"/>
      <c r="AB330" s="10"/>
      <c r="AC330" s="33">
        <v>52500</v>
      </c>
      <c r="AD330" s="10">
        <f t="shared" si="3"/>
        <v>0</v>
      </c>
      <c r="AE330" s="82"/>
      <c r="AF330" s="17">
        <v>468.75</v>
      </c>
    </row>
    <row r="331" spans="1:32" x14ac:dyDescent="0.25">
      <c r="A331" s="7" t="s">
        <v>1805</v>
      </c>
      <c r="B331" s="9">
        <v>3996570</v>
      </c>
      <c r="C331" s="70">
        <v>44795</v>
      </c>
      <c r="D331" s="70">
        <v>44795</v>
      </c>
      <c r="E331" s="73">
        <v>44796</v>
      </c>
      <c r="F331" s="9" t="s">
        <v>1848</v>
      </c>
      <c r="H331" s="9"/>
      <c r="I331" s="7" t="s">
        <v>1534</v>
      </c>
      <c r="J331" s="7" t="s">
        <v>109</v>
      </c>
      <c r="K331" s="7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33">
        <v>1936.88</v>
      </c>
      <c r="AB331" s="10"/>
      <c r="AC331" s="33">
        <v>1936.88</v>
      </c>
      <c r="AD331" s="10">
        <f t="shared" si="3"/>
        <v>0</v>
      </c>
      <c r="AE331" s="82"/>
    </row>
    <row r="332" spans="1:32" x14ac:dyDescent="0.25">
      <c r="A332" s="7" t="s">
        <v>1806</v>
      </c>
      <c r="B332" s="9">
        <v>3996571</v>
      </c>
      <c r="C332" s="70">
        <v>44797</v>
      </c>
      <c r="D332" s="70">
        <v>44797</v>
      </c>
      <c r="E332" s="73">
        <v>44798</v>
      </c>
      <c r="F332" s="9" t="s">
        <v>1906</v>
      </c>
      <c r="H332" s="9"/>
      <c r="I332" s="7" t="s">
        <v>1833</v>
      </c>
      <c r="J332" s="51" t="s">
        <v>1069</v>
      </c>
      <c r="K332" s="7" t="s">
        <v>1070</v>
      </c>
      <c r="L332" s="10">
        <v>1639.29</v>
      </c>
      <c r="M332" s="10">
        <v>13660.71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33"/>
      <c r="AB332" s="10"/>
      <c r="AC332" s="33">
        <v>14995</v>
      </c>
      <c r="AD332" s="10">
        <f t="shared" si="3"/>
        <v>-305</v>
      </c>
      <c r="AE332" s="82" t="s">
        <v>1908</v>
      </c>
    </row>
    <row r="333" spans="1:32" x14ac:dyDescent="0.25">
      <c r="A333" s="7" t="s">
        <v>1815</v>
      </c>
      <c r="B333" s="9">
        <v>3996572</v>
      </c>
      <c r="C333" s="70">
        <v>44797</v>
      </c>
      <c r="D333" s="70">
        <v>44797</v>
      </c>
      <c r="E333" s="73"/>
      <c r="F333" s="9"/>
      <c r="H333" s="9" t="s">
        <v>1916</v>
      </c>
      <c r="I333" s="7" t="s">
        <v>1174</v>
      </c>
      <c r="J333" s="51" t="s">
        <v>65</v>
      </c>
      <c r="K333" s="7"/>
      <c r="L333" s="10"/>
      <c r="M333" s="10"/>
      <c r="N333" s="10"/>
      <c r="O333" s="10"/>
      <c r="P333" s="10"/>
      <c r="Q333" s="10"/>
      <c r="R333" s="10"/>
      <c r="S333" s="10"/>
      <c r="T333" s="10">
        <v>5097</v>
      </c>
      <c r="U333" s="10"/>
      <c r="V333" s="10"/>
      <c r="W333" s="10"/>
      <c r="X333" s="10"/>
      <c r="Y333" s="10"/>
      <c r="Z333" s="10"/>
      <c r="AA333" s="33"/>
      <c r="AB333" s="10"/>
      <c r="AC333" s="33">
        <v>5097</v>
      </c>
      <c r="AD333" s="10">
        <f t="shared" si="3"/>
        <v>0</v>
      </c>
      <c r="AE333" s="82"/>
    </row>
    <row r="334" spans="1:32" x14ac:dyDescent="0.25">
      <c r="A334" s="7" t="s">
        <v>1816</v>
      </c>
      <c r="B334" s="9">
        <v>3996573</v>
      </c>
      <c r="C334" s="70">
        <v>44797</v>
      </c>
      <c r="D334" s="70">
        <v>44797</v>
      </c>
      <c r="E334" s="73" t="s">
        <v>48</v>
      </c>
      <c r="F334" s="9" t="s">
        <v>48</v>
      </c>
      <c r="G334" s="9" t="s">
        <v>48</v>
      </c>
      <c r="H334" s="9" t="s">
        <v>48</v>
      </c>
      <c r="I334" s="7" t="s">
        <v>1846</v>
      </c>
      <c r="J334" s="7" t="s">
        <v>46</v>
      </c>
      <c r="K334" s="7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33"/>
      <c r="AB334" s="10"/>
      <c r="AC334" s="33"/>
      <c r="AD334" s="10">
        <f t="shared" si="3"/>
        <v>0</v>
      </c>
      <c r="AE334" s="82"/>
    </row>
    <row r="335" spans="1:32" x14ac:dyDescent="0.25">
      <c r="A335" s="7" t="s">
        <v>1817</v>
      </c>
      <c r="B335" s="9">
        <v>3996574</v>
      </c>
      <c r="C335" s="70">
        <v>44797</v>
      </c>
      <c r="D335" s="70">
        <v>44797</v>
      </c>
      <c r="E335" s="73"/>
      <c r="F335" s="9"/>
      <c r="H335" s="9"/>
      <c r="I335" s="7" t="s">
        <v>118</v>
      </c>
      <c r="J335" s="7" t="s">
        <v>1847</v>
      </c>
      <c r="K335" s="7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33">
        <v>1777</v>
      </c>
      <c r="AB335" s="10"/>
      <c r="AC335" s="33">
        <v>1777</v>
      </c>
      <c r="AD335" s="10">
        <f t="shared" si="3"/>
        <v>0</v>
      </c>
      <c r="AE335" s="82"/>
    </row>
    <row r="336" spans="1:32" x14ac:dyDescent="0.25">
      <c r="A336" s="7" t="s">
        <v>1818</v>
      </c>
      <c r="B336" s="9">
        <v>3996575</v>
      </c>
      <c r="C336" s="70">
        <v>44797</v>
      </c>
      <c r="D336" s="70">
        <v>44797</v>
      </c>
      <c r="E336" s="73"/>
      <c r="F336" s="9"/>
      <c r="H336" s="9"/>
      <c r="I336" s="7" t="s">
        <v>67</v>
      </c>
      <c r="J336" s="7" t="s">
        <v>4</v>
      </c>
      <c r="K336" s="7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33">
        <v>26875</v>
      </c>
      <c r="AB336" s="10"/>
      <c r="AC336" s="33">
        <v>26875</v>
      </c>
      <c r="AD336" s="10">
        <f t="shared" si="3"/>
        <v>0</v>
      </c>
      <c r="AE336" s="82"/>
    </row>
    <row r="337" spans="1:32" x14ac:dyDescent="0.25">
      <c r="A337" s="7" t="s">
        <v>1819</v>
      </c>
      <c r="B337" s="9">
        <v>3996576</v>
      </c>
      <c r="C337" s="70">
        <v>44819</v>
      </c>
      <c r="D337" s="70">
        <v>44797</v>
      </c>
      <c r="E337" s="73"/>
      <c r="F337" s="9"/>
      <c r="H337" s="9"/>
      <c r="I337" s="7" t="s">
        <v>68</v>
      </c>
      <c r="J337" s="7" t="s">
        <v>1849</v>
      </c>
      <c r="K337" s="7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33">
        <v>26875</v>
      </c>
      <c r="AB337" s="10"/>
      <c r="AC337" s="33">
        <v>26875</v>
      </c>
      <c r="AD337" s="10">
        <f t="shared" si="3"/>
        <v>0</v>
      </c>
      <c r="AE337" s="82"/>
    </row>
    <row r="338" spans="1:32" x14ac:dyDescent="0.25">
      <c r="A338" s="7" t="s">
        <v>1820</v>
      </c>
      <c r="B338" s="9">
        <v>3996577</v>
      </c>
      <c r="C338" s="70">
        <v>44849</v>
      </c>
      <c r="D338" s="70">
        <v>44797</v>
      </c>
      <c r="E338" s="73"/>
      <c r="F338" s="9"/>
      <c r="H338" s="9"/>
      <c r="I338" s="7" t="s">
        <v>69</v>
      </c>
      <c r="J338" s="7" t="s">
        <v>1849</v>
      </c>
      <c r="K338" s="7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33">
        <v>26875</v>
      </c>
      <c r="AB338" s="10"/>
      <c r="AC338" s="33">
        <v>26875</v>
      </c>
      <c r="AD338" s="10">
        <f t="shared" si="3"/>
        <v>0</v>
      </c>
      <c r="AE338" s="82"/>
    </row>
    <row r="339" spans="1:32" x14ac:dyDescent="0.25">
      <c r="A339" s="7" t="s">
        <v>1821</v>
      </c>
      <c r="B339" s="9">
        <v>3996578</v>
      </c>
      <c r="C339" s="70">
        <v>44880</v>
      </c>
      <c r="D339" s="70">
        <v>44797</v>
      </c>
      <c r="E339" s="73"/>
      <c r="F339" s="9"/>
      <c r="H339" s="9"/>
      <c r="I339" s="7" t="s">
        <v>70</v>
      </c>
      <c r="J339" s="7" t="s">
        <v>1849</v>
      </c>
      <c r="K339" s="7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33">
        <v>26875</v>
      </c>
      <c r="AB339" s="10"/>
      <c r="AC339" s="33">
        <v>26875</v>
      </c>
      <c r="AD339" s="10">
        <f t="shared" si="3"/>
        <v>0</v>
      </c>
      <c r="AE339" s="82"/>
    </row>
    <row r="340" spans="1:32" x14ac:dyDescent="0.25">
      <c r="A340" s="7" t="s">
        <v>1822</v>
      </c>
      <c r="B340" s="9">
        <v>3996579</v>
      </c>
      <c r="C340" s="70">
        <v>44910</v>
      </c>
      <c r="D340" s="70">
        <v>44797</v>
      </c>
      <c r="E340" s="73"/>
      <c r="F340" s="9"/>
      <c r="H340" s="9"/>
      <c r="I340" s="7" t="s">
        <v>71</v>
      </c>
      <c r="J340" s="7" t="s">
        <v>1849</v>
      </c>
      <c r="K340" s="7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33">
        <v>26875</v>
      </c>
      <c r="AB340" s="10"/>
      <c r="AC340" s="33">
        <v>26875</v>
      </c>
      <c r="AD340" s="10">
        <f t="shared" si="3"/>
        <v>0</v>
      </c>
      <c r="AE340" s="82"/>
    </row>
    <row r="341" spans="1:32" x14ac:dyDescent="0.25">
      <c r="A341" s="7" t="s">
        <v>1834</v>
      </c>
      <c r="B341" s="9">
        <v>3996580</v>
      </c>
      <c r="C341" s="70">
        <v>44941</v>
      </c>
      <c r="D341" s="70">
        <v>44797</v>
      </c>
      <c r="E341" s="73"/>
      <c r="F341" s="9"/>
      <c r="H341" s="9"/>
      <c r="I341" s="7" t="s">
        <v>72</v>
      </c>
      <c r="J341" s="7" t="s">
        <v>1849</v>
      </c>
      <c r="K341" s="7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33">
        <v>26875</v>
      </c>
      <c r="AB341" s="10"/>
      <c r="AC341" s="33">
        <v>26875</v>
      </c>
      <c r="AD341" s="10">
        <f t="shared" si="3"/>
        <v>0</v>
      </c>
      <c r="AE341" s="82"/>
    </row>
    <row r="342" spans="1:32" x14ac:dyDescent="0.25">
      <c r="A342" s="7" t="s">
        <v>1835</v>
      </c>
      <c r="B342" s="9">
        <v>3996582</v>
      </c>
      <c r="C342" s="70">
        <v>44972</v>
      </c>
      <c r="D342" s="70">
        <v>44797</v>
      </c>
      <c r="E342" s="73"/>
      <c r="F342" s="9"/>
      <c r="H342" s="9"/>
      <c r="I342" s="7" t="s">
        <v>73</v>
      </c>
      <c r="J342" s="7" t="s">
        <v>1849</v>
      </c>
      <c r="K342" s="7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33">
        <v>26875</v>
      </c>
      <c r="AB342" s="10"/>
      <c r="AC342" s="33">
        <v>26875</v>
      </c>
      <c r="AD342" s="10">
        <f t="shared" si="3"/>
        <v>0</v>
      </c>
      <c r="AE342" s="82"/>
    </row>
    <row r="343" spans="1:32" x14ac:dyDescent="0.25">
      <c r="A343" s="7" t="s">
        <v>1836</v>
      </c>
      <c r="B343" s="9">
        <v>3996583</v>
      </c>
      <c r="C343" s="70">
        <v>45000</v>
      </c>
      <c r="D343" s="70">
        <v>44797</v>
      </c>
      <c r="E343" s="73"/>
      <c r="F343" s="9"/>
      <c r="H343" s="9"/>
      <c r="I343" s="7" t="s">
        <v>74</v>
      </c>
      <c r="J343" s="7" t="s">
        <v>1849</v>
      </c>
      <c r="K343" s="7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33">
        <v>26875</v>
      </c>
      <c r="AB343" s="10"/>
      <c r="AC343" s="33">
        <v>26875</v>
      </c>
      <c r="AD343" s="10">
        <f t="shared" si="3"/>
        <v>0</v>
      </c>
      <c r="AE343" s="82"/>
    </row>
    <row r="344" spans="1:32" x14ac:dyDescent="0.25">
      <c r="A344" s="7" t="s">
        <v>1837</v>
      </c>
      <c r="B344" s="9">
        <v>3996584</v>
      </c>
      <c r="C344" s="70">
        <v>45031</v>
      </c>
      <c r="D344" s="70">
        <v>44797</v>
      </c>
      <c r="E344" s="73"/>
      <c r="F344" s="9"/>
      <c r="H344" s="9"/>
      <c r="I344" s="7" t="s">
        <v>75</v>
      </c>
      <c r="J344" s="7" t="s">
        <v>1849</v>
      </c>
      <c r="K344" s="7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33">
        <v>26875</v>
      </c>
      <c r="AB344" s="10"/>
      <c r="AC344" s="33">
        <v>26875</v>
      </c>
      <c r="AD344" s="10">
        <f t="shared" si="3"/>
        <v>0</v>
      </c>
      <c r="AE344" s="82"/>
    </row>
    <row r="345" spans="1:32" x14ac:dyDescent="0.25">
      <c r="A345" s="7" t="s">
        <v>1838</v>
      </c>
      <c r="B345" s="9">
        <v>3996585</v>
      </c>
      <c r="C345" s="70">
        <v>45061</v>
      </c>
      <c r="D345" s="70">
        <v>44797</v>
      </c>
      <c r="E345" s="73"/>
      <c r="F345" s="9"/>
      <c r="H345" s="9"/>
      <c r="I345" s="7" t="s">
        <v>76</v>
      </c>
      <c r="J345" s="7" t="s">
        <v>1849</v>
      </c>
      <c r="K345" s="7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33">
        <v>26875</v>
      </c>
      <c r="AB345" s="10"/>
      <c r="AC345" s="33">
        <v>26875</v>
      </c>
      <c r="AD345" s="10">
        <f t="shared" si="3"/>
        <v>0</v>
      </c>
      <c r="AE345" s="82"/>
    </row>
    <row r="346" spans="1:32" x14ac:dyDescent="0.25">
      <c r="A346" s="7" t="s">
        <v>1839</v>
      </c>
      <c r="B346" s="9">
        <v>3996586</v>
      </c>
      <c r="C346" s="70">
        <v>45092</v>
      </c>
      <c r="D346" s="70">
        <v>44797</v>
      </c>
      <c r="E346" s="73"/>
      <c r="F346" s="9"/>
      <c r="H346" s="9"/>
      <c r="I346" s="7" t="s">
        <v>77</v>
      </c>
      <c r="J346" s="7" t="s">
        <v>1849</v>
      </c>
      <c r="K346" s="7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33">
        <v>26875</v>
      </c>
      <c r="AB346" s="10"/>
      <c r="AC346" s="33">
        <v>26875</v>
      </c>
      <c r="AD346" s="10">
        <f t="shared" si="3"/>
        <v>0</v>
      </c>
      <c r="AE346" s="82"/>
    </row>
    <row r="347" spans="1:32" x14ac:dyDescent="0.25">
      <c r="A347" s="7" t="s">
        <v>1840</v>
      </c>
      <c r="B347" s="9">
        <v>3996587</v>
      </c>
      <c r="C347" s="70">
        <v>45122</v>
      </c>
      <c r="D347" s="70">
        <v>44797</v>
      </c>
      <c r="E347" s="73"/>
      <c r="F347" s="9"/>
      <c r="H347" s="9"/>
      <c r="I347" s="7" t="s">
        <v>78</v>
      </c>
      <c r="J347" s="7" t="s">
        <v>1849</v>
      </c>
      <c r="K347" s="7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33">
        <v>26875</v>
      </c>
      <c r="AB347" s="10"/>
      <c r="AC347" s="33">
        <v>26875</v>
      </c>
      <c r="AD347" s="10">
        <f t="shared" si="3"/>
        <v>0</v>
      </c>
      <c r="AE347" s="82"/>
    </row>
    <row r="348" spans="1:32" x14ac:dyDescent="0.25">
      <c r="A348" s="7" t="s">
        <v>1841</v>
      </c>
      <c r="B348" s="9" t="s">
        <v>1850</v>
      </c>
      <c r="C348" s="70">
        <v>44797</v>
      </c>
      <c r="D348" s="70">
        <v>44797</v>
      </c>
      <c r="E348" s="73"/>
      <c r="F348" s="9"/>
      <c r="H348" s="9"/>
      <c r="I348" s="7" t="s">
        <v>64</v>
      </c>
      <c r="J348" s="7" t="s">
        <v>33</v>
      </c>
      <c r="K348" s="7"/>
      <c r="L348" s="10"/>
      <c r="M348" s="10"/>
      <c r="N348" s="10"/>
      <c r="O348" s="10"/>
      <c r="P348" s="10">
        <v>5000</v>
      </c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33"/>
      <c r="AB348" s="10"/>
      <c r="AC348" s="33">
        <v>5000</v>
      </c>
      <c r="AD348" s="10">
        <f t="shared" si="3"/>
        <v>0</v>
      </c>
      <c r="AE348" s="82"/>
    </row>
    <row r="349" spans="1:32" x14ac:dyDescent="0.25">
      <c r="A349" s="7" t="s">
        <v>1842</v>
      </c>
      <c r="B349" s="9">
        <v>3996588</v>
      </c>
      <c r="C349" s="70">
        <v>44797</v>
      </c>
      <c r="D349" s="70">
        <v>44797</v>
      </c>
      <c r="E349" s="73">
        <v>44799</v>
      </c>
      <c r="F349" s="9" t="s">
        <v>1956</v>
      </c>
      <c r="G349" s="9" t="s">
        <v>1305</v>
      </c>
      <c r="H349" s="9"/>
      <c r="I349" s="7" t="s">
        <v>1905</v>
      </c>
      <c r="J349" s="51" t="s">
        <v>109</v>
      </c>
      <c r="K349" s="7"/>
      <c r="L349" s="10"/>
      <c r="M349" s="10">
        <v>400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33"/>
      <c r="AB349" s="10"/>
      <c r="AC349" s="33">
        <v>400</v>
      </c>
      <c r="AD349" s="10">
        <f t="shared" si="3"/>
        <v>0</v>
      </c>
      <c r="AE349" s="82"/>
    </row>
    <row r="350" spans="1:32" x14ac:dyDescent="0.25">
      <c r="A350" s="7" t="s">
        <v>1843</v>
      </c>
      <c r="B350" s="9">
        <v>3996590</v>
      </c>
      <c r="C350" s="70">
        <v>44798</v>
      </c>
      <c r="D350" s="70">
        <v>44798</v>
      </c>
      <c r="E350" s="73"/>
      <c r="F350" s="9"/>
      <c r="H350" s="9"/>
      <c r="I350" s="7" t="s">
        <v>1907</v>
      </c>
      <c r="J350" s="7" t="s">
        <v>56</v>
      </c>
      <c r="K350" s="7"/>
      <c r="L350" s="10">
        <v>2250</v>
      </c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33">
        <v>18750</v>
      </c>
      <c r="AB350" s="10"/>
      <c r="AC350" s="33">
        <v>21000</v>
      </c>
      <c r="AD350" s="10">
        <f t="shared" si="3"/>
        <v>0</v>
      </c>
      <c r="AE350" s="82"/>
    </row>
    <row r="351" spans="1:32" x14ac:dyDescent="0.25">
      <c r="A351" s="7" t="s">
        <v>1844</v>
      </c>
      <c r="B351" s="9">
        <v>3996591</v>
      </c>
      <c r="C351" s="70">
        <v>44798</v>
      </c>
      <c r="D351" s="70">
        <v>44798</v>
      </c>
      <c r="E351" s="73"/>
      <c r="F351" s="9"/>
      <c r="H351" s="9"/>
      <c r="I351" s="7" t="s">
        <v>1846</v>
      </c>
      <c r="J351" s="7" t="s">
        <v>46</v>
      </c>
      <c r="K351" s="7"/>
      <c r="L351" s="10">
        <v>1011.21</v>
      </c>
      <c r="M351" s="10"/>
      <c r="N351" s="10"/>
      <c r="O351" s="10"/>
      <c r="P351" s="10"/>
      <c r="Q351" s="10"/>
      <c r="R351" s="10"/>
      <c r="S351" s="10">
        <v>8426.7800000000007</v>
      </c>
      <c r="T351" s="10"/>
      <c r="U351" s="10"/>
      <c r="V351" s="10"/>
      <c r="W351" s="10"/>
      <c r="X351" s="10"/>
      <c r="Y351" s="10"/>
      <c r="Z351" s="10"/>
      <c r="AA351" s="33"/>
      <c r="AB351" s="10"/>
      <c r="AC351" s="33">
        <v>9437.99</v>
      </c>
      <c r="AD351" s="10">
        <f t="shared" si="3"/>
        <v>0</v>
      </c>
      <c r="AE351" s="82"/>
    </row>
    <row r="352" spans="1:32" x14ac:dyDescent="0.25">
      <c r="A352" s="7" t="s">
        <v>1845</v>
      </c>
      <c r="B352" s="9">
        <v>3996592</v>
      </c>
      <c r="C352" s="70">
        <v>44834</v>
      </c>
      <c r="D352" s="70">
        <v>44798</v>
      </c>
      <c r="E352" s="73">
        <v>44803</v>
      </c>
      <c r="F352" s="9" t="s">
        <v>1912</v>
      </c>
      <c r="G352" s="9" t="s">
        <v>1309</v>
      </c>
      <c r="H352" s="9"/>
      <c r="I352" s="7" t="s">
        <v>1184</v>
      </c>
      <c r="J352" s="51" t="s">
        <v>84</v>
      </c>
      <c r="K352" s="7" t="s">
        <v>36</v>
      </c>
      <c r="L352" s="10">
        <v>2485.71</v>
      </c>
      <c r="M352" s="10">
        <v>20714.29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33"/>
      <c r="AB352" s="10"/>
      <c r="AC352" s="33">
        <v>23200</v>
      </c>
      <c r="AD352" s="10">
        <f t="shared" si="3"/>
        <v>0</v>
      </c>
      <c r="AE352" s="82"/>
      <c r="AF352" s="17">
        <v>207.14</v>
      </c>
    </row>
    <row r="353" spans="1:32" x14ac:dyDescent="0.25">
      <c r="A353" s="7" t="s">
        <v>1851</v>
      </c>
      <c r="B353" s="9" t="s">
        <v>1909</v>
      </c>
      <c r="C353" s="70">
        <v>44798</v>
      </c>
      <c r="D353" s="70">
        <v>44798</v>
      </c>
      <c r="E353" s="73"/>
      <c r="F353" s="9"/>
      <c r="H353" s="9"/>
      <c r="I353" s="7" t="s">
        <v>82</v>
      </c>
      <c r="J353" s="51" t="s">
        <v>54</v>
      </c>
      <c r="K353" s="7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>
        <v>200000</v>
      </c>
      <c r="AA353" s="33"/>
      <c r="AB353" s="10"/>
      <c r="AC353" s="33">
        <v>200000</v>
      </c>
      <c r="AD353" s="10">
        <f t="shared" si="3"/>
        <v>0</v>
      </c>
      <c r="AE353" s="82"/>
    </row>
    <row r="354" spans="1:32" x14ac:dyDescent="0.25">
      <c r="A354" s="7" t="s">
        <v>1852</v>
      </c>
      <c r="B354" s="9">
        <v>3996593</v>
      </c>
      <c r="C354" s="70">
        <v>44803</v>
      </c>
      <c r="D354" s="70">
        <v>44803</v>
      </c>
      <c r="E354" s="73">
        <v>44804</v>
      </c>
      <c r="F354" s="9" t="s">
        <v>1923</v>
      </c>
      <c r="H354" s="9"/>
      <c r="I354" s="7" t="s">
        <v>1915</v>
      </c>
      <c r="J354" s="7" t="s">
        <v>127</v>
      </c>
      <c r="K354" s="7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33">
        <v>4928</v>
      </c>
      <c r="AB354" s="10"/>
      <c r="AC354" s="33">
        <v>4928</v>
      </c>
      <c r="AD354" s="10">
        <f t="shared" si="3"/>
        <v>0</v>
      </c>
      <c r="AE354" s="82"/>
    </row>
    <row r="355" spans="1:32" x14ac:dyDescent="0.25">
      <c r="A355" s="7" t="s">
        <v>1853</v>
      </c>
      <c r="B355" s="9">
        <v>3996594</v>
      </c>
      <c r="C355" s="70">
        <v>44803</v>
      </c>
      <c r="D355" s="70">
        <v>44803</v>
      </c>
      <c r="E355" s="73"/>
      <c r="F355" s="9"/>
      <c r="H355" s="9" t="s">
        <v>1917</v>
      </c>
      <c r="I355" s="7" t="s">
        <v>1165</v>
      </c>
      <c r="J355" s="51" t="s">
        <v>65</v>
      </c>
      <c r="K355" s="7"/>
      <c r="L355" s="10"/>
      <c r="M355" s="10"/>
      <c r="N355" s="10"/>
      <c r="O355" s="10"/>
      <c r="P355" s="10"/>
      <c r="Q355" s="10"/>
      <c r="R355" s="10"/>
      <c r="S355" s="10"/>
      <c r="T355" s="10">
        <v>9533.4</v>
      </c>
      <c r="U355" s="10"/>
      <c r="V355" s="10"/>
      <c r="W355" s="10"/>
      <c r="X355" s="10"/>
      <c r="Y355" s="10"/>
      <c r="Z355" s="10"/>
      <c r="AA355" s="33"/>
      <c r="AB355" s="10"/>
      <c r="AC355" s="33">
        <v>9533.4</v>
      </c>
      <c r="AD355" s="10">
        <f t="shared" si="3"/>
        <v>0</v>
      </c>
      <c r="AE355" s="82"/>
    </row>
    <row r="356" spans="1:32" x14ac:dyDescent="0.25">
      <c r="A356" s="7" t="s">
        <v>1854</v>
      </c>
      <c r="B356" s="9">
        <v>3996595</v>
      </c>
      <c r="C356" s="70">
        <v>44814</v>
      </c>
      <c r="D356" s="70">
        <v>44803</v>
      </c>
      <c r="E356" s="73">
        <v>44819</v>
      </c>
      <c r="F356" s="9" t="s">
        <v>1944</v>
      </c>
      <c r="G356" s="9" t="s">
        <v>1267</v>
      </c>
      <c r="H356" s="9"/>
      <c r="I356" s="7" t="s">
        <v>1910</v>
      </c>
      <c r="J356" s="51" t="s">
        <v>83</v>
      </c>
      <c r="K356" s="7" t="s">
        <v>1336</v>
      </c>
      <c r="L356" s="10">
        <v>23110.71</v>
      </c>
      <c r="M356" s="10">
        <v>192589.29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33"/>
      <c r="AB356" s="10"/>
      <c r="AC356" s="33">
        <v>215700</v>
      </c>
      <c r="AD356" s="10">
        <f t="shared" si="3"/>
        <v>0</v>
      </c>
      <c r="AE356" s="82"/>
      <c r="AF356" s="17">
        <v>1925.89</v>
      </c>
    </row>
    <row r="357" spans="1:32" x14ac:dyDescent="0.25">
      <c r="A357" s="7" t="s">
        <v>1855</v>
      </c>
      <c r="B357" s="9">
        <v>3996596</v>
      </c>
      <c r="C357" s="88">
        <v>44834</v>
      </c>
      <c r="D357" s="70">
        <v>44803</v>
      </c>
      <c r="E357" s="73">
        <v>44827</v>
      </c>
      <c r="F357" s="9" t="s">
        <v>1945</v>
      </c>
      <c r="G357" s="9" t="s">
        <v>1267</v>
      </c>
      <c r="H357" s="9"/>
      <c r="I357" s="7" t="s">
        <v>1911</v>
      </c>
      <c r="J357" s="51" t="s">
        <v>83</v>
      </c>
      <c r="K357" s="7" t="s">
        <v>1336</v>
      </c>
      <c r="L357" s="10">
        <v>23110.71</v>
      </c>
      <c r="M357" s="10">
        <v>192589.29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33"/>
      <c r="AB357" s="10"/>
      <c r="AC357" s="33">
        <v>215700</v>
      </c>
      <c r="AD357" s="10">
        <f t="shared" si="3"/>
        <v>0</v>
      </c>
      <c r="AE357" s="82"/>
      <c r="AF357" s="17">
        <v>1925.89</v>
      </c>
    </row>
    <row r="358" spans="1:32" s="39" customFormat="1" x14ac:dyDescent="0.25">
      <c r="A358" s="20"/>
      <c r="B358" s="19"/>
      <c r="C358" s="72"/>
      <c r="D358" s="72"/>
      <c r="E358" s="77"/>
      <c r="F358" s="19"/>
      <c r="G358" s="19"/>
      <c r="H358" s="19"/>
      <c r="I358" s="20"/>
      <c r="J358" s="20"/>
      <c r="K358" s="20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32"/>
      <c r="AB358" s="22"/>
      <c r="AC358" s="32"/>
      <c r="AD358" s="22"/>
      <c r="AE358" s="96"/>
      <c r="AF358" s="35"/>
    </row>
    <row r="359" spans="1:32" s="39" customFormat="1" x14ac:dyDescent="0.25">
      <c r="A359" s="25">
        <v>44805</v>
      </c>
      <c r="B359" s="19"/>
      <c r="C359" s="72"/>
      <c r="D359" s="72"/>
      <c r="E359" s="77"/>
      <c r="F359" s="19"/>
      <c r="G359" s="19"/>
      <c r="H359" s="19"/>
      <c r="I359" s="20"/>
      <c r="J359" s="20"/>
      <c r="K359" s="20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32"/>
      <c r="AB359" s="22"/>
      <c r="AC359" s="32"/>
      <c r="AD359" s="22"/>
      <c r="AE359" s="96"/>
      <c r="AF359" s="35"/>
    </row>
    <row r="360" spans="1:32" x14ac:dyDescent="0.25">
      <c r="A360" s="7" t="s">
        <v>1856</v>
      </c>
      <c r="B360" s="9">
        <v>3996597</v>
      </c>
      <c r="C360" s="70">
        <v>44809</v>
      </c>
      <c r="D360" s="70">
        <v>44809</v>
      </c>
      <c r="E360" s="73"/>
      <c r="F360" s="9"/>
      <c r="H360" s="9"/>
      <c r="I360" s="7" t="s">
        <v>147</v>
      </c>
      <c r="J360" s="7" t="s">
        <v>1921</v>
      </c>
      <c r="K360" s="7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33">
        <v>17277.5</v>
      </c>
      <c r="AB360" s="10"/>
      <c r="AC360" s="33">
        <v>17277.5</v>
      </c>
      <c r="AD360" s="10">
        <f t="shared" si="3"/>
        <v>0</v>
      </c>
      <c r="AE360" s="82"/>
    </row>
    <row r="361" spans="1:32" x14ac:dyDescent="0.25">
      <c r="A361" s="7" t="s">
        <v>1857</v>
      </c>
      <c r="B361" s="9">
        <v>3996598</v>
      </c>
      <c r="C361" s="70">
        <v>44809</v>
      </c>
      <c r="D361" s="70">
        <v>44809</v>
      </c>
      <c r="E361" s="73"/>
      <c r="F361" s="9"/>
      <c r="H361" s="9"/>
      <c r="I361" s="7" t="s">
        <v>1920</v>
      </c>
      <c r="J361" s="7" t="s">
        <v>18</v>
      </c>
      <c r="K361" s="7"/>
      <c r="L361" s="10">
        <v>151.09</v>
      </c>
      <c r="M361" s="10"/>
      <c r="N361" s="10"/>
      <c r="O361" s="10"/>
      <c r="P361" s="10"/>
      <c r="Q361" s="10"/>
      <c r="R361" s="10">
        <v>1259.06</v>
      </c>
      <c r="S361" s="10"/>
      <c r="T361" s="10"/>
      <c r="U361" s="10"/>
      <c r="V361" s="10"/>
      <c r="W361" s="10"/>
      <c r="X361" s="10"/>
      <c r="Y361" s="10"/>
      <c r="Z361" s="10"/>
      <c r="AA361" s="33"/>
      <c r="AB361" s="10"/>
      <c r="AC361" s="33">
        <v>1410.15</v>
      </c>
      <c r="AD361" s="10">
        <f t="shared" ref="AD361:AD425" si="4">SUM(AB361:AC361)-SUM(L361:AA361)</f>
        <v>0</v>
      </c>
      <c r="AE361" s="82"/>
    </row>
    <row r="362" spans="1:32" x14ac:dyDescent="0.25">
      <c r="A362" s="7" t="s">
        <v>1858</v>
      </c>
      <c r="B362" s="9">
        <v>3996599</v>
      </c>
      <c r="C362" s="70">
        <v>44809</v>
      </c>
      <c r="D362" s="70">
        <v>44809</v>
      </c>
      <c r="E362" s="73"/>
      <c r="F362" s="9"/>
      <c r="H362" s="9"/>
      <c r="I362" s="7" t="s">
        <v>1920</v>
      </c>
      <c r="J362" s="7" t="s">
        <v>18</v>
      </c>
      <c r="K362" s="7"/>
      <c r="L362" s="10">
        <v>811.09</v>
      </c>
      <c r="M362" s="10"/>
      <c r="N362" s="10"/>
      <c r="O362" s="10"/>
      <c r="P362" s="10"/>
      <c r="Q362" s="10"/>
      <c r="R362" s="10">
        <v>6759.06</v>
      </c>
      <c r="S362" s="10"/>
      <c r="T362" s="10"/>
      <c r="U362" s="10"/>
      <c r="V362" s="10"/>
      <c r="W362" s="10"/>
      <c r="X362" s="10"/>
      <c r="Y362" s="10"/>
      <c r="Z362" s="10"/>
      <c r="AA362" s="33"/>
      <c r="AB362" s="10"/>
      <c r="AC362" s="33">
        <v>7570.15</v>
      </c>
      <c r="AD362" s="10">
        <f t="shared" si="4"/>
        <v>0</v>
      </c>
      <c r="AE362" s="82"/>
    </row>
    <row r="363" spans="1:32" x14ac:dyDescent="0.25">
      <c r="A363" s="7" t="s">
        <v>1859</v>
      </c>
      <c r="B363" s="9">
        <v>3996600</v>
      </c>
      <c r="C363" s="70">
        <v>44809</v>
      </c>
      <c r="D363" s="70">
        <v>44809</v>
      </c>
      <c r="E363" s="73">
        <v>44810</v>
      </c>
      <c r="F363" s="9" t="s">
        <v>1960</v>
      </c>
      <c r="H363" s="9"/>
      <c r="I363" s="7" t="s">
        <v>1534</v>
      </c>
      <c r="J363" s="7" t="s">
        <v>109</v>
      </c>
      <c r="K363" s="7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33">
        <v>3640.59</v>
      </c>
      <c r="AB363" s="10"/>
      <c r="AC363" s="33">
        <v>3640.59</v>
      </c>
      <c r="AD363" s="10">
        <f t="shared" si="4"/>
        <v>0</v>
      </c>
      <c r="AE363" s="82"/>
    </row>
    <row r="364" spans="1:32" x14ac:dyDescent="0.25">
      <c r="A364" s="7" t="s">
        <v>1860</v>
      </c>
      <c r="B364" s="9">
        <v>3996601</v>
      </c>
      <c r="C364" s="70">
        <v>44809</v>
      </c>
      <c r="D364" s="70">
        <v>44809</v>
      </c>
      <c r="E364" s="73"/>
      <c r="F364" s="9"/>
      <c r="H364" s="9" t="s">
        <v>1935</v>
      </c>
      <c r="I364" s="7" t="s">
        <v>58</v>
      </c>
      <c r="J364" s="51" t="s">
        <v>65</v>
      </c>
      <c r="K364" s="7"/>
      <c r="L364" s="10"/>
      <c r="M364" s="10"/>
      <c r="N364" s="10"/>
      <c r="O364" s="10"/>
      <c r="P364" s="10"/>
      <c r="Q364" s="10"/>
      <c r="R364" s="10"/>
      <c r="S364" s="10"/>
      <c r="T364" s="10">
        <v>5678</v>
      </c>
      <c r="U364" s="10"/>
      <c r="V364" s="10"/>
      <c r="W364" s="10"/>
      <c r="X364" s="10"/>
      <c r="Y364" s="10"/>
      <c r="Z364" s="10"/>
      <c r="AA364" s="33"/>
      <c r="AB364" s="10"/>
      <c r="AC364" s="33">
        <v>5678</v>
      </c>
      <c r="AD364" s="10">
        <f t="shared" si="4"/>
        <v>0</v>
      </c>
      <c r="AE364" s="82"/>
    </row>
    <row r="365" spans="1:32" x14ac:dyDescent="0.25">
      <c r="A365" s="7" t="s">
        <v>1861</v>
      </c>
      <c r="B365" s="9">
        <v>3996602</v>
      </c>
      <c r="C365" s="70">
        <v>44850</v>
      </c>
      <c r="D365" s="70">
        <v>44809</v>
      </c>
      <c r="E365" s="73">
        <v>44813</v>
      </c>
      <c r="F365" s="9" t="s">
        <v>1928</v>
      </c>
      <c r="G365" s="9" t="s">
        <v>1144</v>
      </c>
      <c r="H365" s="9"/>
      <c r="I365" s="7" t="s">
        <v>1131</v>
      </c>
      <c r="J365" s="7" t="s">
        <v>1226</v>
      </c>
      <c r="K365" s="7" t="s">
        <v>1039</v>
      </c>
      <c r="L365" s="10">
        <v>8035.71</v>
      </c>
      <c r="M365" s="10">
        <v>66964.289999999994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33"/>
      <c r="AB365" s="10"/>
      <c r="AC365" s="33">
        <v>75000</v>
      </c>
      <c r="AD365" s="10">
        <f t="shared" si="4"/>
        <v>0</v>
      </c>
      <c r="AE365" s="82"/>
      <c r="AF365" s="17">
        <v>669.64</v>
      </c>
    </row>
    <row r="366" spans="1:32" x14ac:dyDescent="0.25">
      <c r="A366" s="7" t="s">
        <v>1862</v>
      </c>
      <c r="B366" s="9">
        <v>3996603</v>
      </c>
      <c r="C366" s="70">
        <v>44850</v>
      </c>
      <c r="D366" s="70">
        <v>44809</v>
      </c>
      <c r="E366" s="73">
        <v>44813</v>
      </c>
      <c r="F366" s="9" t="s">
        <v>1930</v>
      </c>
      <c r="G366" s="9" t="s">
        <v>1144</v>
      </c>
      <c r="H366" s="9"/>
      <c r="I366" s="7" t="s">
        <v>1318</v>
      </c>
      <c r="J366" s="7" t="s">
        <v>1226</v>
      </c>
      <c r="K366" s="7" t="s">
        <v>1039</v>
      </c>
      <c r="L366" s="10">
        <v>1146.43</v>
      </c>
      <c r="M366" s="10">
        <v>9553.57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33"/>
      <c r="AB366" s="10"/>
      <c r="AC366" s="33">
        <v>10700</v>
      </c>
      <c r="AD366" s="10">
        <f t="shared" si="4"/>
        <v>0</v>
      </c>
      <c r="AE366" s="82"/>
      <c r="AF366" s="17">
        <v>95.54</v>
      </c>
    </row>
    <row r="367" spans="1:32" x14ac:dyDescent="0.25">
      <c r="A367" s="7" t="s">
        <v>1863</v>
      </c>
      <c r="B367" s="9">
        <v>3996604</v>
      </c>
      <c r="C367" s="70">
        <v>44850</v>
      </c>
      <c r="D367" s="70">
        <v>44809</v>
      </c>
      <c r="E367" s="73">
        <v>44813</v>
      </c>
      <c r="F367" s="9" t="s">
        <v>1929</v>
      </c>
      <c r="G367" s="9" t="s">
        <v>1310</v>
      </c>
      <c r="H367" s="9"/>
      <c r="I367" s="7" t="s">
        <v>1918</v>
      </c>
      <c r="J367" s="7" t="s">
        <v>1226</v>
      </c>
      <c r="K367" s="7" t="s">
        <v>1039</v>
      </c>
      <c r="L367" s="10">
        <v>1607.14</v>
      </c>
      <c r="M367" s="10">
        <v>13392.86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33"/>
      <c r="AB367" s="10"/>
      <c r="AC367" s="33">
        <v>15000</v>
      </c>
      <c r="AD367" s="10">
        <f t="shared" si="4"/>
        <v>0</v>
      </c>
      <c r="AE367" s="82"/>
      <c r="AF367" s="17">
        <v>133.93</v>
      </c>
    </row>
    <row r="368" spans="1:32" x14ac:dyDescent="0.25">
      <c r="A368" s="7" t="s">
        <v>1864</v>
      </c>
      <c r="B368" s="9">
        <v>3996605</v>
      </c>
      <c r="C368" s="70">
        <v>44836</v>
      </c>
      <c r="D368" s="70">
        <v>44809</v>
      </c>
      <c r="E368" s="73">
        <v>44845</v>
      </c>
      <c r="F368" s="9" t="s">
        <v>2058</v>
      </c>
      <c r="G368" s="9" t="s">
        <v>1311</v>
      </c>
      <c r="H368" s="9"/>
      <c r="I368" s="7" t="s">
        <v>1919</v>
      </c>
      <c r="J368" s="7" t="s">
        <v>37</v>
      </c>
      <c r="K368" s="7" t="s">
        <v>38</v>
      </c>
      <c r="L368" s="10">
        <v>139.29</v>
      </c>
      <c r="M368" s="10">
        <v>1160.71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33"/>
      <c r="AB368" s="10"/>
      <c r="AC368" s="33">
        <v>1300</v>
      </c>
      <c r="AD368" s="10">
        <f t="shared" si="4"/>
        <v>0</v>
      </c>
      <c r="AE368" s="82"/>
      <c r="AF368" s="17">
        <v>11.61</v>
      </c>
    </row>
    <row r="369" spans="1:32" x14ac:dyDescent="0.25">
      <c r="A369" s="7" t="s">
        <v>1865</v>
      </c>
      <c r="B369" s="9" t="s">
        <v>1922</v>
      </c>
      <c r="C369" s="70">
        <v>44811</v>
      </c>
      <c r="D369" s="70">
        <v>44811</v>
      </c>
      <c r="E369" s="73"/>
      <c r="F369" s="9"/>
      <c r="H369" s="9"/>
      <c r="I369" s="7" t="s">
        <v>82</v>
      </c>
      <c r="J369" s="7" t="s">
        <v>54</v>
      </c>
      <c r="K369" s="7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>
        <v>300000</v>
      </c>
      <c r="AA369" s="33"/>
      <c r="AB369" s="10"/>
      <c r="AC369" s="33">
        <v>300000</v>
      </c>
      <c r="AD369" s="10">
        <f t="shared" si="4"/>
        <v>0</v>
      </c>
      <c r="AE369" s="82"/>
    </row>
    <row r="370" spans="1:32" x14ac:dyDescent="0.25">
      <c r="A370" s="7" t="s">
        <v>1866</v>
      </c>
      <c r="B370" s="9" t="s">
        <v>1924</v>
      </c>
      <c r="C370" s="70">
        <v>44811</v>
      </c>
      <c r="D370" s="70">
        <v>44811</v>
      </c>
      <c r="E370" s="73"/>
      <c r="F370" s="9"/>
      <c r="H370" s="9"/>
      <c r="I370" s="7" t="s">
        <v>1925</v>
      </c>
      <c r="J370" s="7" t="s">
        <v>1926</v>
      </c>
      <c r="K370" s="7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33">
        <v>125250</v>
      </c>
      <c r="AB370" s="10"/>
      <c r="AC370" s="33">
        <v>125250</v>
      </c>
      <c r="AD370" s="10">
        <f t="shared" si="4"/>
        <v>0</v>
      </c>
      <c r="AE370" s="82"/>
    </row>
    <row r="371" spans="1:32" x14ac:dyDescent="0.25">
      <c r="A371" s="7" t="s">
        <v>1867</v>
      </c>
      <c r="B371" s="9" t="s">
        <v>1927</v>
      </c>
      <c r="C371" s="70">
        <v>44811</v>
      </c>
      <c r="D371" s="70">
        <v>44811</v>
      </c>
      <c r="E371" s="73">
        <v>44812</v>
      </c>
      <c r="F371" s="9" t="s">
        <v>1959</v>
      </c>
      <c r="H371" s="9"/>
      <c r="I371" s="7" t="s">
        <v>63</v>
      </c>
      <c r="J371" s="51" t="s">
        <v>109</v>
      </c>
      <c r="K371" s="7"/>
      <c r="L371" s="10"/>
      <c r="M371" s="10"/>
      <c r="N371" s="10">
        <v>131712.57999999999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33"/>
      <c r="AB371" s="10"/>
      <c r="AC371" s="33">
        <v>131712.57999999999</v>
      </c>
      <c r="AD371" s="10">
        <f t="shared" si="4"/>
        <v>0</v>
      </c>
      <c r="AE371" s="82"/>
    </row>
    <row r="372" spans="1:32" x14ac:dyDescent="0.25">
      <c r="A372" s="7" t="s">
        <v>1868</v>
      </c>
      <c r="B372" s="9">
        <v>3996607</v>
      </c>
      <c r="C372" s="70">
        <v>44843</v>
      </c>
      <c r="D372" s="70">
        <v>44811</v>
      </c>
      <c r="E372" s="73">
        <v>44813</v>
      </c>
      <c r="F372" s="9" t="s">
        <v>1933</v>
      </c>
      <c r="G372" s="9" t="s">
        <v>1312</v>
      </c>
      <c r="H372" s="9"/>
      <c r="I372" s="7" t="s">
        <v>1934</v>
      </c>
      <c r="J372" s="7" t="s">
        <v>84</v>
      </c>
      <c r="K372" s="7" t="s">
        <v>36</v>
      </c>
      <c r="L372" s="10">
        <v>964.29</v>
      </c>
      <c r="M372" s="10">
        <v>8035.71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33"/>
      <c r="AB372" s="10"/>
      <c r="AC372" s="33">
        <v>9000</v>
      </c>
      <c r="AD372" s="10">
        <f t="shared" si="4"/>
        <v>0</v>
      </c>
      <c r="AE372" s="82"/>
      <c r="AF372" s="17">
        <v>80.36</v>
      </c>
    </row>
    <row r="373" spans="1:32" x14ac:dyDescent="0.25">
      <c r="A373" s="7" t="s">
        <v>1869</v>
      </c>
      <c r="B373" s="9">
        <v>3996608</v>
      </c>
      <c r="C373" s="70">
        <v>44843</v>
      </c>
      <c r="D373" s="70">
        <v>44811</v>
      </c>
      <c r="E373" s="73">
        <v>44813</v>
      </c>
      <c r="F373" s="9" t="s">
        <v>1931</v>
      </c>
      <c r="G373" s="9" t="s">
        <v>1315</v>
      </c>
      <c r="H373" s="9"/>
      <c r="I373" s="7" t="s">
        <v>1932</v>
      </c>
      <c r="J373" s="7" t="s">
        <v>84</v>
      </c>
      <c r="K373" s="7" t="s">
        <v>36</v>
      </c>
      <c r="L373" s="10">
        <v>321.43</v>
      </c>
      <c r="M373" s="10">
        <v>2678.57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33"/>
      <c r="AB373" s="10"/>
      <c r="AC373" s="33">
        <v>3000</v>
      </c>
      <c r="AD373" s="10">
        <f t="shared" si="4"/>
        <v>0</v>
      </c>
      <c r="AE373" s="82"/>
      <c r="AF373" s="17">
        <v>26.79</v>
      </c>
    </row>
    <row r="374" spans="1:32" x14ac:dyDescent="0.25">
      <c r="A374" s="7" t="s">
        <v>1870</v>
      </c>
      <c r="B374" s="9">
        <v>3996609</v>
      </c>
      <c r="C374" s="70">
        <v>44816</v>
      </c>
      <c r="D374" s="70">
        <v>44816</v>
      </c>
      <c r="E374" s="73"/>
      <c r="F374" s="9"/>
      <c r="H374" s="9"/>
      <c r="I374" s="7" t="s">
        <v>118</v>
      </c>
      <c r="J374" s="51" t="s">
        <v>125</v>
      </c>
      <c r="K374" s="7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33">
        <v>5000</v>
      </c>
      <c r="AB374" s="10"/>
      <c r="AC374" s="33">
        <v>5000</v>
      </c>
      <c r="AD374" s="10">
        <f t="shared" si="4"/>
        <v>0</v>
      </c>
      <c r="AE374" s="82"/>
    </row>
    <row r="375" spans="1:32" x14ac:dyDescent="0.25">
      <c r="A375" s="7" t="s">
        <v>1871</v>
      </c>
      <c r="B375" s="9">
        <v>3996610</v>
      </c>
      <c r="C375" s="70">
        <v>44816</v>
      </c>
      <c r="D375" s="70">
        <v>44816</v>
      </c>
      <c r="E375" s="73"/>
      <c r="F375" s="9"/>
      <c r="H375" s="9"/>
      <c r="I375" s="7" t="s">
        <v>1936</v>
      </c>
      <c r="J375" s="7" t="s">
        <v>65</v>
      </c>
      <c r="K375" s="7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33">
        <v>3000</v>
      </c>
      <c r="AB375" s="10"/>
      <c r="AC375" s="33">
        <v>3000</v>
      </c>
      <c r="AD375" s="10">
        <f t="shared" si="4"/>
        <v>0</v>
      </c>
      <c r="AE375" s="82"/>
    </row>
    <row r="376" spans="1:32" x14ac:dyDescent="0.25">
      <c r="A376" s="7" t="s">
        <v>1872</v>
      </c>
      <c r="B376" s="9">
        <v>3996611</v>
      </c>
      <c r="C376" s="70">
        <v>44858</v>
      </c>
      <c r="D376" s="70">
        <v>44816</v>
      </c>
      <c r="E376" s="73">
        <v>44827</v>
      </c>
      <c r="F376" s="9" t="s">
        <v>1946</v>
      </c>
      <c r="G376" s="9" t="s">
        <v>1144</v>
      </c>
      <c r="H376" s="9"/>
      <c r="I376" s="7" t="s">
        <v>1770</v>
      </c>
      <c r="J376" s="7" t="s">
        <v>1226</v>
      </c>
      <c r="K376" s="7" t="s">
        <v>1039</v>
      </c>
      <c r="L376" s="10">
        <v>1607.14</v>
      </c>
      <c r="M376" s="10">
        <v>13392.86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33"/>
      <c r="AB376" s="10"/>
      <c r="AC376" s="33">
        <v>15000</v>
      </c>
      <c r="AD376" s="10">
        <f t="shared" si="4"/>
        <v>0</v>
      </c>
      <c r="AE376" s="82"/>
      <c r="AF376" s="17">
        <v>133.93</v>
      </c>
    </row>
    <row r="377" spans="1:32" x14ac:dyDescent="0.25">
      <c r="A377" s="7" t="s">
        <v>1873</v>
      </c>
      <c r="B377" s="9">
        <v>3996612</v>
      </c>
      <c r="C377" s="70">
        <v>44858</v>
      </c>
      <c r="D377" s="70">
        <v>44816</v>
      </c>
      <c r="E377" s="73">
        <v>44827</v>
      </c>
      <c r="F377" s="9" t="s">
        <v>1947</v>
      </c>
      <c r="G377" s="9" t="s">
        <v>1172</v>
      </c>
      <c r="H377" s="9"/>
      <c r="I377" s="7" t="s">
        <v>1937</v>
      </c>
      <c r="J377" s="7" t="s">
        <v>1226</v>
      </c>
      <c r="K377" s="7" t="s">
        <v>1039</v>
      </c>
      <c r="L377" s="10">
        <v>803.57</v>
      </c>
      <c r="M377" s="10">
        <v>6696.43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33"/>
      <c r="AB377" s="10"/>
      <c r="AC377" s="33">
        <v>7500</v>
      </c>
      <c r="AD377" s="10">
        <f t="shared" si="4"/>
        <v>0</v>
      </c>
      <c r="AE377" s="82"/>
      <c r="AF377" s="17">
        <v>66.959999999999994</v>
      </c>
    </row>
    <row r="378" spans="1:32" x14ac:dyDescent="0.25">
      <c r="A378" s="7" t="s">
        <v>1874</v>
      </c>
      <c r="B378" s="9">
        <v>3996613</v>
      </c>
      <c r="C378" s="70">
        <v>44816</v>
      </c>
      <c r="D378" s="70">
        <v>44816</v>
      </c>
      <c r="E378" s="73"/>
      <c r="F378" s="9"/>
      <c r="H378" s="9"/>
      <c r="I378" s="7" t="s">
        <v>1938</v>
      </c>
      <c r="J378" s="7" t="s">
        <v>43</v>
      </c>
      <c r="K378" s="7"/>
      <c r="L378" s="10">
        <v>32.14</v>
      </c>
      <c r="M378" s="10"/>
      <c r="N378" s="10"/>
      <c r="O378" s="10"/>
      <c r="P378" s="10"/>
      <c r="Q378" s="10"/>
      <c r="R378" s="10"/>
      <c r="S378" s="10">
        <v>267.86</v>
      </c>
      <c r="T378" s="10"/>
      <c r="U378" s="10"/>
      <c r="V378" s="10"/>
      <c r="W378" s="10"/>
      <c r="X378" s="10"/>
      <c r="Y378" s="10"/>
      <c r="Z378" s="10"/>
      <c r="AA378" s="33"/>
      <c r="AB378" s="10"/>
      <c r="AC378" s="33">
        <v>300</v>
      </c>
      <c r="AD378" s="10">
        <f t="shared" si="4"/>
        <v>0</v>
      </c>
      <c r="AE378" s="82"/>
    </row>
    <row r="379" spans="1:32" x14ac:dyDescent="0.25">
      <c r="A379" s="7" t="s">
        <v>1875</v>
      </c>
      <c r="B379" s="9">
        <v>3996614</v>
      </c>
      <c r="C379" s="70">
        <v>44816</v>
      </c>
      <c r="D379" s="70">
        <v>44816</v>
      </c>
      <c r="E379" s="73"/>
      <c r="F379" s="9"/>
      <c r="H379" s="9"/>
      <c r="I379" s="7" t="s">
        <v>1938</v>
      </c>
      <c r="J379" s="7" t="s">
        <v>43</v>
      </c>
      <c r="K379" s="7"/>
      <c r="L379" s="10">
        <v>32.14</v>
      </c>
      <c r="M379" s="10"/>
      <c r="N379" s="10"/>
      <c r="O379" s="10"/>
      <c r="P379" s="10"/>
      <c r="Q379" s="10"/>
      <c r="R379" s="10"/>
      <c r="S379" s="10">
        <v>267.86</v>
      </c>
      <c r="T379" s="10"/>
      <c r="U379" s="10"/>
      <c r="V379" s="10"/>
      <c r="W379" s="10"/>
      <c r="X379" s="10"/>
      <c r="Y379" s="10"/>
      <c r="Z379" s="10"/>
      <c r="AA379" s="33"/>
      <c r="AB379" s="10"/>
      <c r="AC379" s="33">
        <v>300</v>
      </c>
      <c r="AD379" s="10">
        <f t="shared" si="4"/>
        <v>0</v>
      </c>
      <c r="AE379" s="82"/>
    </row>
    <row r="380" spans="1:32" x14ac:dyDescent="0.25">
      <c r="A380" s="7" t="s">
        <v>1876</v>
      </c>
      <c r="B380" s="9">
        <v>3996615</v>
      </c>
      <c r="C380" s="70">
        <v>44816</v>
      </c>
      <c r="D380" s="70">
        <v>44816</v>
      </c>
      <c r="E380" s="73"/>
      <c r="F380" s="9"/>
      <c r="H380" s="9"/>
      <c r="I380" s="7" t="s">
        <v>1938</v>
      </c>
      <c r="J380" s="7" t="s">
        <v>43</v>
      </c>
      <c r="K380" s="7"/>
      <c r="L380" s="10">
        <v>148.61000000000001</v>
      </c>
      <c r="M380" s="10"/>
      <c r="N380" s="10"/>
      <c r="O380" s="10"/>
      <c r="P380" s="10"/>
      <c r="Q380" s="10"/>
      <c r="R380" s="10"/>
      <c r="S380" s="10">
        <v>1238.3800000000001</v>
      </c>
      <c r="T380" s="10"/>
      <c r="U380" s="10"/>
      <c r="V380" s="10"/>
      <c r="W380" s="10"/>
      <c r="X380" s="10"/>
      <c r="Y380" s="10"/>
      <c r="Z380" s="10"/>
      <c r="AA380" s="33"/>
      <c r="AB380" s="10"/>
      <c r="AC380" s="33">
        <v>1386.99</v>
      </c>
      <c r="AD380" s="10">
        <f t="shared" si="4"/>
        <v>0</v>
      </c>
      <c r="AE380" s="82"/>
    </row>
    <row r="381" spans="1:32" x14ac:dyDescent="0.25">
      <c r="A381" s="7" t="s">
        <v>1877</v>
      </c>
      <c r="B381" s="9">
        <v>3996616</v>
      </c>
      <c r="C381" s="70">
        <v>44816</v>
      </c>
      <c r="D381" s="70">
        <v>44816</v>
      </c>
      <c r="E381" s="73"/>
      <c r="F381" s="9"/>
      <c r="H381" s="9"/>
      <c r="I381" s="7" t="s">
        <v>1938</v>
      </c>
      <c r="J381" s="7" t="s">
        <v>43</v>
      </c>
      <c r="K381" s="7"/>
      <c r="L381" s="10">
        <v>107.04</v>
      </c>
      <c r="M381" s="10"/>
      <c r="N381" s="10"/>
      <c r="O381" s="10"/>
      <c r="P381" s="10"/>
      <c r="Q381" s="10"/>
      <c r="R381" s="10"/>
      <c r="S381" s="10">
        <v>891.96</v>
      </c>
      <c r="T381" s="10"/>
      <c r="U381" s="10"/>
      <c r="V381" s="10"/>
      <c r="W381" s="10"/>
      <c r="X381" s="10"/>
      <c r="Y381" s="10"/>
      <c r="Z381" s="10"/>
      <c r="AA381" s="33"/>
      <c r="AB381" s="10"/>
      <c r="AC381" s="33">
        <v>999</v>
      </c>
      <c r="AD381" s="10">
        <f t="shared" si="4"/>
        <v>0</v>
      </c>
      <c r="AE381" s="82"/>
    </row>
    <row r="382" spans="1:32" x14ac:dyDescent="0.25">
      <c r="A382" s="7" t="s">
        <v>1878</v>
      </c>
      <c r="B382" s="9">
        <v>3996617</v>
      </c>
      <c r="C382" s="70">
        <v>44818</v>
      </c>
      <c r="D382" s="70">
        <v>44818</v>
      </c>
      <c r="E382" s="73"/>
      <c r="F382" s="9"/>
      <c r="H382" s="9" t="s">
        <v>1951</v>
      </c>
      <c r="I382" s="7" t="s">
        <v>1174</v>
      </c>
      <c r="J382" s="51" t="s">
        <v>65</v>
      </c>
      <c r="K382" s="7"/>
      <c r="L382" s="10"/>
      <c r="M382" s="10"/>
      <c r="N382" s="10"/>
      <c r="O382" s="10"/>
      <c r="P382" s="10"/>
      <c r="Q382" s="10"/>
      <c r="R382" s="10"/>
      <c r="S382" s="10"/>
      <c r="T382" s="10">
        <v>7625</v>
      </c>
      <c r="U382" s="10"/>
      <c r="V382" s="10"/>
      <c r="W382" s="10"/>
      <c r="X382" s="10"/>
      <c r="Y382" s="10"/>
      <c r="Z382" s="10"/>
      <c r="AA382" s="33"/>
      <c r="AB382" s="10"/>
      <c r="AC382" s="33">
        <v>7625</v>
      </c>
      <c r="AD382" s="10">
        <f t="shared" si="4"/>
        <v>0</v>
      </c>
      <c r="AE382" s="82"/>
    </row>
    <row r="383" spans="1:32" x14ac:dyDescent="0.25">
      <c r="A383" s="7" t="s">
        <v>1879</v>
      </c>
      <c r="B383" s="9">
        <v>3996618</v>
      </c>
      <c r="C383" s="70">
        <v>44818</v>
      </c>
      <c r="D383" s="70">
        <v>44818</v>
      </c>
      <c r="E383" s="73"/>
      <c r="F383" s="9"/>
      <c r="H383" s="9"/>
      <c r="I383" s="7" t="s">
        <v>1948</v>
      </c>
      <c r="J383" s="7" t="s">
        <v>44</v>
      </c>
      <c r="K383" s="7"/>
      <c r="L383" s="10">
        <v>621.88</v>
      </c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>
        <v>5182.37</v>
      </c>
      <c r="Y383" s="10"/>
      <c r="Z383" s="10"/>
      <c r="AA383" s="33"/>
      <c r="AB383" s="10"/>
      <c r="AC383" s="33">
        <v>5804.25</v>
      </c>
      <c r="AD383" s="10">
        <f t="shared" si="4"/>
        <v>0</v>
      </c>
      <c r="AE383" s="82"/>
    </row>
    <row r="384" spans="1:32" x14ac:dyDescent="0.25">
      <c r="A384" s="7" t="s">
        <v>1880</v>
      </c>
      <c r="B384" s="9">
        <v>3996619</v>
      </c>
      <c r="C384" s="70">
        <v>44823</v>
      </c>
      <c r="D384" s="70">
        <v>44823</v>
      </c>
      <c r="E384" s="73">
        <v>44827</v>
      </c>
      <c r="F384" s="9" t="s">
        <v>1949</v>
      </c>
      <c r="I384" s="7" t="s">
        <v>1950</v>
      </c>
      <c r="J384" s="7" t="s">
        <v>127</v>
      </c>
      <c r="K384" s="7"/>
      <c r="L384" s="10">
        <v>528</v>
      </c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33">
        <v>4400</v>
      </c>
      <c r="AC384" s="17">
        <v>4928</v>
      </c>
      <c r="AD384" s="10">
        <f>SUM(AB385:AC385)-SUM(L385:AA385)</f>
        <v>0</v>
      </c>
      <c r="AE384" s="82"/>
    </row>
    <row r="385" spans="1:32" x14ac:dyDescent="0.25">
      <c r="A385" s="7" t="s">
        <v>1881</v>
      </c>
      <c r="B385" s="9">
        <v>3996620</v>
      </c>
      <c r="C385" s="70">
        <v>44823</v>
      </c>
      <c r="D385" s="70">
        <v>44823</v>
      </c>
      <c r="E385" s="73">
        <v>44824</v>
      </c>
      <c r="F385" s="9" t="s">
        <v>1958</v>
      </c>
      <c r="H385" s="9"/>
      <c r="I385" s="7" t="s">
        <v>1534</v>
      </c>
      <c r="J385" s="7" t="s">
        <v>109</v>
      </c>
      <c r="K385" s="7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33">
        <v>4915.28</v>
      </c>
      <c r="AB385" s="10"/>
      <c r="AC385" s="33">
        <v>4915.28</v>
      </c>
      <c r="AD385" s="10">
        <f>SUM(AB386:AC386)-SUM(L386:AA386)</f>
        <v>0</v>
      </c>
      <c r="AE385" s="82"/>
    </row>
    <row r="386" spans="1:32" x14ac:dyDescent="0.25">
      <c r="A386" s="7" t="s">
        <v>1882</v>
      </c>
      <c r="B386" s="9">
        <v>3996621</v>
      </c>
      <c r="C386" s="70">
        <v>44823</v>
      </c>
      <c r="D386" s="70">
        <v>44823</v>
      </c>
      <c r="E386" s="73"/>
      <c r="F386" s="9"/>
      <c r="H386" s="9"/>
      <c r="I386" s="7" t="s">
        <v>1940</v>
      </c>
      <c r="J386" s="7" t="s">
        <v>46</v>
      </c>
      <c r="K386" s="7"/>
      <c r="L386" s="10">
        <v>136.76</v>
      </c>
      <c r="M386" s="10"/>
      <c r="N386" s="10"/>
      <c r="O386" s="10"/>
      <c r="P386" s="10"/>
      <c r="Q386" s="10"/>
      <c r="R386" s="10"/>
      <c r="S386" s="10">
        <v>1139.6600000000001</v>
      </c>
      <c r="T386" s="10"/>
      <c r="U386" s="10"/>
      <c r="V386" s="10"/>
      <c r="W386" s="10"/>
      <c r="X386" s="10"/>
      <c r="Y386" s="10"/>
      <c r="Z386" s="10"/>
      <c r="AA386" s="33"/>
      <c r="AB386" s="10"/>
      <c r="AC386" s="33">
        <v>1276.42</v>
      </c>
      <c r="AD386" s="10">
        <f>SUM(AB387:AC387)-SUM(L387:AA387)</f>
        <v>0</v>
      </c>
      <c r="AE386" s="82"/>
    </row>
    <row r="387" spans="1:32" x14ac:dyDescent="0.25">
      <c r="A387" s="7" t="s">
        <v>1883</v>
      </c>
      <c r="B387" s="9" t="s">
        <v>1941</v>
      </c>
      <c r="C387" s="70">
        <v>44823</v>
      </c>
      <c r="D387" s="70">
        <v>44823</v>
      </c>
      <c r="E387" s="73"/>
      <c r="F387" s="9"/>
      <c r="H387" s="9"/>
      <c r="I387" s="7" t="s">
        <v>64</v>
      </c>
      <c r="J387" s="7" t="s">
        <v>35</v>
      </c>
      <c r="K387" s="7"/>
      <c r="L387" s="10"/>
      <c r="M387" s="10"/>
      <c r="N387" s="10"/>
      <c r="O387" s="10"/>
      <c r="P387" s="10">
        <v>50000</v>
      </c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33"/>
      <c r="AB387" s="10"/>
      <c r="AC387" s="33">
        <v>50000</v>
      </c>
      <c r="AD387" s="10">
        <f t="shared" si="4"/>
        <v>0</v>
      </c>
      <c r="AE387" s="82"/>
    </row>
    <row r="388" spans="1:32" x14ac:dyDescent="0.25">
      <c r="A388" s="7" t="s">
        <v>1884</v>
      </c>
      <c r="B388" s="9">
        <v>3996622</v>
      </c>
      <c r="C388" s="70">
        <v>44824</v>
      </c>
      <c r="D388" s="70">
        <v>44824</v>
      </c>
      <c r="E388" s="73"/>
      <c r="F388" s="9"/>
      <c r="H388" s="9" t="s">
        <v>1952</v>
      </c>
      <c r="I388" s="7" t="s">
        <v>1174</v>
      </c>
      <c r="J388" s="51" t="s">
        <v>65</v>
      </c>
      <c r="K388" s="7"/>
      <c r="L388" s="10"/>
      <c r="M388" s="10"/>
      <c r="N388" s="10"/>
      <c r="O388" s="10"/>
      <c r="P388" s="10"/>
      <c r="Q388" s="10"/>
      <c r="R388" s="10"/>
      <c r="S388" s="10"/>
      <c r="T388" s="10">
        <v>5600</v>
      </c>
      <c r="U388" s="10"/>
      <c r="V388" s="10"/>
      <c r="W388" s="10"/>
      <c r="X388" s="10"/>
      <c r="Y388" s="10"/>
      <c r="Z388" s="10"/>
      <c r="AA388" s="33"/>
      <c r="AB388" s="10"/>
      <c r="AC388" s="33">
        <v>5600</v>
      </c>
      <c r="AD388" s="10">
        <f t="shared" si="4"/>
        <v>0</v>
      </c>
      <c r="AE388" s="82"/>
    </row>
    <row r="389" spans="1:32" x14ac:dyDescent="0.25">
      <c r="A389" s="7" t="s">
        <v>1885</v>
      </c>
      <c r="B389" s="9">
        <v>3996623</v>
      </c>
      <c r="C389" s="70">
        <v>44850</v>
      </c>
      <c r="D389" s="70">
        <v>44824</v>
      </c>
      <c r="E389" s="73">
        <v>44845</v>
      </c>
      <c r="F389" s="9" t="s">
        <v>1994</v>
      </c>
      <c r="G389" s="9" t="s">
        <v>1320</v>
      </c>
      <c r="H389" s="9"/>
      <c r="I389" s="7" t="s">
        <v>1690</v>
      </c>
      <c r="J389" s="7" t="s">
        <v>37</v>
      </c>
      <c r="K389" s="7" t="s">
        <v>38</v>
      </c>
      <c r="L389" s="10">
        <v>7023.21</v>
      </c>
      <c r="M389" s="10">
        <v>58526.79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33"/>
      <c r="AB389" s="10"/>
      <c r="AC389" s="33">
        <v>65550</v>
      </c>
      <c r="AD389" s="10">
        <f t="shared" si="4"/>
        <v>0</v>
      </c>
      <c r="AE389" s="82"/>
      <c r="AF389" s="17">
        <v>585.27</v>
      </c>
    </row>
    <row r="390" spans="1:32" x14ac:dyDescent="0.25">
      <c r="A390" s="7" t="s">
        <v>1886</v>
      </c>
      <c r="B390" s="9" t="s">
        <v>1939</v>
      </c>
      <c r="C390" s="70">
        <v>44824</v>
      </c>
      <c r="D390" s="70">
        <v>44824</v>
      </c>
      <c r="E390" s="73"/>
      <c r="F390" s="9"/>
      <c r="H390" s="9"/>
      <c r="I390" s="7" t="s">
        <v>55</v>
      </c>
      <c r="J390" s="7" t="s">
        <v>54</v>
      </c>
      <c r="K390" s="7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>
        <v>300000</v>
      </c>
      <c r="AA390" s="33"/>
      <c r="AB390" s="10"/>
      <c r="AC390" s="33">
        <v>300000</v>
      </c>
      <c r="AD390" s="10">
        <f t="shared" si="4"/>
        <v>0</v>
      </c>
      <c r="AE390" s="82"/>
    </row>
    <row r="391" spans="1:32" x14ac:dyDescent="0.25">
      <c r="A391" s="7" t="s">
        <v>1887</v>
      </c>
      <c r="B391" s="9">
        <v>3996624</v>
      </c>
      <c r="C391" s="70">
        <v>44826</v>
      </c>
      <c r="D391" s="70">
        <v>44826</v>
      </c>
      <c r="E391" s="73">
        <v>44827</v>
      </c>
      <c r="F391" s="9" t="s">
        <v>1957</v>
      </c>
      <c r="G391" s="9" t="s">
        <v>1314</v>
      </c>
      <c r="H391" s="9"/>
      <c r="I391" s="7" t="s">
        <v>1942</v>
      </c>
      <c r="J391" s="7" t="s">
        <v>109</v>
      </c>
      <c r="K391" s="7"/>
      <c r="L391" s="10"/>
      <c r="M391" s="10">
        <v>25785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33"/>
      <c r="AB391" s="10"/>
      <c r="AC391" s="33">
        <v>25785</v>
      </c>
      <c r="AD391" s="10">
        <f t="shared" si="4"/>
        <v>0</v>
      </c>
      <c r="AE391" s="82"/>
    </row>
    <row r="392" spans="1:32" x14ac:dyDescent="0.25">
      <c r="A392" s="7" t="s">
        <v>1888</v>
      </c>
      <c r="B392" s="9">
        <v>3996625</v>
      </c>
      <c r="C392" s="70">
        <v>44827</v>
      </c>
      <c r="D392" s="70">
        <v>44827</v>
      </c>
      <c r="E392" s="73"/>
      <c r="F392" s="9"/>
      <c r="H392" s="9"/>
      <c r="I392" s="7" t="s">
        <v>1943</v>
      </c>
      <c r="J392" s="7" t="s">
        <v>46</v>
      </c>
      <c r="K392" s="7"/>
      <c r="L392" s="10">
        <v>107.04</v>
      </c>
      <c r="M392" s="10"/>
      <c r="N392" s="10"/>
      <c r="O392" s="10"/>
      <c r="P392" s="10"/>
      <c r="Q392" s="10"/>
      <c r="R392" s="10"/>
      <c r="S392" s="10">
        <v>891.96</v>
      </c>
      <c r="T392" s="10"/>
      <c r="U392" s="10"/>
      <c r="V392" s="10"/>
      <c r="W392" s="10"/>
      <c r="X392" s="10"/>
      <c r="Y392" s="10"/>
      <c r="Z392" s="10"/>
      <c r="AA392" s="33"/>
      <c r="AB392" s="10"/>
      <c r="AC392" s="33">
        <v>999</v>
      </c>
      <c r="AD392" s="10">
        <f t="shared" si="4"/>
        <v>0</v>
      </c>
      <c r="AE392" s="82"/>
    </row>
    <row r="393" spans="1:32" x14ac:dyDescent="0.25">
      <c r="A393" s="7" t="s">
        <v>1889</v>
      </c>
      <c r="B393" s="9">
        <v>3996626</v>
      </c>
      <c r="C393" s="70">
        <v>44827</v>
      </c>
      <c r="D393" s="70">
        <v>44827</v>
      </c>
      <c r="E393" s="73"/>
      <c r="F393" s="9"/>
      <c r="H393" s="9"/>
      <c r="I393" s="7" t="s">
        <v>1943</v>
      </c>
      <c r="J393" s="7" t="s">
        <v>46</v>
      </c>
      <c r="K393" s="7"/>
      <c r="L393" s="10">
        <v>107.04</v>
      </c>
      <c r="M393" s="10"/>
      <c r="N393" s="10"/>
      <c r="O393" s="10"/>
      <c r="P393" s="10"/>
      <c r="Q393" s="10"/>
      <c r="R393" s="10"/>
      <c r="S393" s="10">
        <v>891.96</v>
      </c>
      <c r="T393" s="10"/>
      <c r="U393" s="10"/>
      <c r="V393" s="10"/>
      <c r="W393" s="10"/>
      <c r="X393" s="10"/>
      <c r="Y393" s="10"/>
      <c r="Z393" s="10"/>
      <c r="AA393" s="33"/>
      <c r="AB393" s="10"/>
      <c r="AC393" s="33">
        <v>999</v>
      </c>
      <c r="AD393" s="10">
        <f t="shared" si="4"/>
        <v>0</v>
      </c>
      <c r="AE393" s="82"/>
    </row>
    <row r="394" spans="1:32" x14ac:dyDescent="0.25">
      <c r="A394" s="7" t="s">
        <v>1890</v>
      </c>
      <c r="B394" s="9">
        <v>3996627</v>
      </c>
      <c r="C394" s="70">
        <v>44827</v>
      </c>
      <c r="D394" s="70">
        <v>44827</v>
      </c>
      <c r="E394" s="73"/>
      <c r="F394" s="9"/>
      <c r="H394" s="9"/>
      <c r="I394" s="7" t="s">
        <v>1943</v>
      </c>
      <c r="J394" s="7" t="s">
        <v>46</v>
      </c>
      <c r="K394" s="7"/>
      <c r="L394" s="10">
        <v>107.04</v>
      </c>
      <c r="M394" s="10"/>
      <c r="N394" s="10"/>
      <c r="O394" s="10"/>
      <c r="P394" s="10"/>
      <c r="Q394" s="10"/>
      <c r="R394" s="10"/>
      <c r="S394" s="10">
        <v>891.96</v>
      </c>
      <c r="T394" s="10"/>
      <c r="U394" s="10"/>
      <c r="V394" s="10"/>
      <c r="W394" s="10"/>
      <c r="X394" s="10"/>
      <c r="Y394" s="10"/>
      <c r="Z394" s="10"/>
      <c r="AA394" s="33"/>
      <c r="AB394" s="10"/>
      <c r="AC394" s="33">
        <v>999</v>
      </c>
      <c r="AD394" s="10">
        <f t="shared" si="4"/>
        <v>0</v>
      </c>
      <c r="AE394" s="82"/>
    </row>
    <row r="395" spans="1:32" x14ac:dyDescent="0.25">
      <c r="A395" s="7" t="s">
        <v>1891</v>
      </c>
      <c r="B395" s="9">
        <v>3996628</v>
      </c>
      <c r="C395" s="70">
        <v>44830</v>
      </c>
      <c r="D395" s="70">
        <v>44830</v>
      </c>
      <c r="E395" s="73"/>
      <c r="F395" s="9"/>
      <c r="H395" s="9"/>
      <c r="I395" s="7" t="s">
        <v>1691</v>
      </c>
      <c r="J395" s="7" t="s">
        <v>1953</v>
      </c>
      <c r="K395" s="7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33">
        <v>15148.29</v>
      </c>
      <c r="AB395" s="10"/>
      <c r="AC395" s="33">
        <v>15148.29</v>
      </c>
      <c r="AD395" s="10">
        <f t="shared" si="4"/>
        <v>0</v>
      </c>
      <c r="AE395" s="82"/>
    </row>
    <row r="396" spans="1:32" x14ac:dyDescent="0.25">
      <c r="A396" s="7" t="s">
        <v>1892</v>
      </c>
      <c r="B396" s="9">
        <v>3996629</v>
      </c>
      <c r="C396" s="70">
        <v>44830</v>
      </c>
      <c r="D396" s="70">
        <v>44830</v>
      </c>
      <c r="E396" s="73"/>
      <c r="F396" s="9"/>
      <c r="H396" s="9" t="s">
        <v>1995</v>
      </c>
      <c r="I396" s="7" t="s">
        <v>1174</v>
      </c>
      <c r="J396" s="51" t="s">
        <v>65</v>
      </c>
      <c r="K396" s="7"/>
      <c r="L396" s="10"/>
      <c r="M396" s="10"/>
      <c r="N396" s="10"/>
      <c r="O396" s="10"/>
      <c r="P396" s="10"/>
      <c r="Q396" s="10"/>
      <c r="R396" s="10"/>
      <c r="S396" s="10"/>
      <c r="T396" s="10">
        <v>8146</v>
      </c>
      <c r="U396" s="10"/>
      <c r="V396" s="10"/>
      <c r="W396" s="10"/>
      <c r="X396" s="10"/>
      <c r="Y396" s="10"/>
      <c r="Z396" s="10"/>
      <c r="AA396" s="33"/>
      <c r="AB396" s="10"/>
      <c r="AC396" s="33">
        <v>8146</v>
      </c>
      <c r="AD396" s="10">
        <f t="shared" si="4"/>
        <v>0</v>
      </c>
      <c r="AE396" s="82"/>
    </row>
    <row r="397" spans="1:32" x14ac:dyDescent="0.25">
      <c r="A397" s="7" t="s">
        <v>1893</v>
      </c>
      <c r="B397" s="9">
        <v>3996630</v>
      </c>
      <c r="C397" s="70">
        <v>44830</v>
      </c>
      <c r="D397" s="70">
        <v>44830</v>
      </c>
      <c r="E397" s="73"/>
      <c r="F397" s="9"/>
      <c r="H397" s="9" t="s">
        <v>1991</v>
      </c>
      <c r="I397" s="7" t="s">
        <v>114</v>
      </c>
      <c r="J397" s="7" t="s">
        <v>65</v>
      </c>
      <c r="K397" s="7"/>
      <c r="L397" s="10"/>
      <c r="M397" s="10"/>
      <c r="N397" s="10"/>
      <c r="O397" s="10"/>
      <c r="P397" s="10"/>
      <c r="Q397" s="10"/>
      <c r="R397" s="10"/>
      <c r="S397" s="10"/>
      <c r="T397" s="10">
        <v>12181.05</v>
      </c>
      <c r="U397" s="10"/>
      <c r="V397" s="10"/>
      <c r="W397" s="10"/>
      <c r="X397" s="10"/>
      <c r="Y397" s="10"/>
      <c r="Z397" s="10"/>
      <c r="AA397" s="33"/>
      <c r="AB397" s="10"/>
      <c r="AC397" s="33">
        <v>12181.05</v>
      </c>
      <c r="AD397" s="10">
        <f t="shared" si="4"/>
        <v>0</v>
      </c>
      <c r="AE397" s="82"/>
    </row>
    <row r="398" spans="1:32" x14ac:dyDescent="0.25">
      <c r="A398" s="7" t="s">
        <v>1894</v>
      </c>
      <c r="B398" s="9" t="s">
        <v>1954</v>
      </c>
      <c r="C398" s="70">
        <v>44830</v>
      </c>
      <c r="D398" s="70">
        <v>44830</v>
      </c>
      <c r="E398" s="73"/>
      <c r="F398" s="9"/>
      <c r="H398" s="9" t="s">
        <v>2079</v>
      </c>
      <c r="I398" s="7" t="s">
        <v>1955</v>
      </c>
      <c r="J398" s="7" t="s">
        <v>39</v>
      </c>
      <c r="K398" s="7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33">
        <v>37015.93</v>
      </c>
      <c r="AB398" s="10"/>
      <c r="AC398" s="33">
        <v>60000</v>
      </c>
      <c r="AD398" s="10">
        <f t="shared" si="4"/>
        <v>22984.07</v>
      </c>
      <c r="AE398" s="82" t="s">
        <v>2147</v>
      </c>
    </row>
    <row r="399" spans="1:32" x14ac:dyDescent="0.25">
      <c r="A399" s="7" t="s">
        <v>1895</v>
      </c>
      <c r="B399" s="9">
        <v>3996632</v>
      </c>
      <c r="C399" s="70">
        <v>44831</v>
      </c>
      <c r="D399" s="70">
        <v>44831</v>
      </c>
      <c r="E399" s="73"/>
      <c r="F399" s="9"/>
      <c r="H399" s="9"/>
      <c r="I399" s="7" t="s">
        <v>1961</v>
      </c>
      <c r="J399" s="7" t="s">
        <v>46</v>
      </c>
      <c r="K399" s="7"/>
      <c r="L399" s="10">
        <v>1016.57</v>
      </c>
      <c r="M399" s="10"/>
      <c r="N399" s="10"/>
      <c r="O399" s="10"/>
      <c r="P399" s="10"/>
      <c r="Q399" s="10"/>
      <c r="R399" s="10"/>
      <c r="S399" s="10">
        <v>8471.42</v>
      </c>
      <c r="T399" s="10"/>
      <c r="U399" s="10"/>
      <c r="V399" s="10"/>
      <c r="W399" s="10"/>
      <c r="X399" s="10"/>
      <c r="Y399" s="10"/>
      <c r="Z399" s="10"/>
      <c r="AA399" s="33"/>
      <c r="AB399" s="10"/>
      <c r="AC399" s="33">
        <v>9487.99</v>
      </c>
      <c r="AD399" s="10">
        <f t="shared" si="4"/>
        <v>0</v>
      </c>
      <c r="AE399" s="82"/>
      <c r="AF399" s="17">
        <v>169.47</v>
      </c>
    </row>
    <row r="400" spans="1:32" x14ac:dyDescent="0.25">
      <c r="A400" s="7" t="s">
        <v>1896</v>
      </c>
      <c r="B400" s="9">
        <v>3996633</v>
      </c>
      <c r="C400" s="70">
        <v>44832</v>
      </c>
      <c r="D400" s="70">
        <v>44832</v>
      </c>
      <c r="E400" s="73">
        <v>44841</v>
      </c>
      <c r="F400" s="9" t="s">
        <v>1971</v>
      </c>
      <c r="H400" s="9"/>
      <c r="I400" s="7" t="s">
        <v>1962</v>
      </c>
      <c r="J400" s="51" t="s">
        <v>1969</v>
      </c>
      <c r="K400" s="7" t="s">
        <v>1970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33">
        <v>5700</v>
      </c>
      <c r="AB400" s="10"/>
      <c r="AC400" s="33">
        <v>5700</v>
      </c>
      <c r="AD400" s="10">
        <f t="shared" si="4"/>
        <v>0</v>
      </c>
      <c r="AE400" s="82"/>
    </row>
    <row r="401" spans="1:32" x14ac:dyDescent="0.25">
      <c r="A401" s="7" t="s">
        <v>1897</v>
      </c>
      <c r="B401" s="9" t="s">
        <v>1963</v>
      </c>
      <c r="C401" s="70">
        <v>44832</v>
      </c>
      <c r="D401" s="70">
        <v>44832</v>
      </c>
      <c r="E401" s="73"/>
      <c r="F401" s="9"/>
      <c r="H401" s="9"/>
      <c r="I401" s="7" t="s">
        <v>55</v>
      </c>
      <c r="J401" s="7" t="s">
        <v>54</v>
      </c>
      <c r="K401" s="7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>
        <v>100000</v>
      </c>
      <c r="AA401" s="33"/>
      <c r="AB401" s="10"/>
      <c r="AC401" s="33">
        <v>100000</v>
      </c>
      <c r="AD401" s="10">
        <f t="shared" si="4"/>
        <v>0</v>
      </c>
      <c r="AE401" s="82"/>
    </row>
    <row r="402" spans="1:32" x14ac:dyDescent="0.25">
      <c r="A402" s="7" t="s">
        <v>1898</v>
      </c>
      <c r="B402" s="9">
        <v>3996634</v>
      </c>
      <c r="C402" s="70">
        <v>44837</v>
      </c>
      <c r="D402" s="70">
        <v>44832</v>
      </c>
      <c r="E402" s="73"/>
      <c r="F402" s="9" t="s">
        <v>1964</v>
      </c>
      <c r="H402" s="9"/>
      <c r="I402" s="7" t="s">
        <v>1534</v>
      </c>
      <c r="J402" s="51" t="s">
        <v>109</v>
      </c>
      <c r="K402" s="7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33">
        <v>7107.36</v>
      </c>
      <c r="AB402" s="10"/>
      <c r="AC402" s="33">
        <v>7107.36</v>
      </c>
      <c r="AD402" s="10">
        <f t="shared" si="4"/>
        <v>0</v>
      </c>
      <c r="AE402" s="82"/>
    </row>
    <row r="403" spans="1:32" x14ac:dyDescent="0.25">
      <c r="A403" s="7" t="s">
        <v>1899</v>
      </c>
      <c r="B403" s="9">
        <v>3996635</v>
      </c>
      <c r="C403" s="70">
        <v>44862</v>
      </c>
      <c r="D403" s="70">
        <v>44832</v>
      </c>
      <c r="E403" s="73">
        <v>44855</v>
      </c>
      <c r="F403" s="9" t="s">
        <v>2053</v>
      </c>
      <c r="G403" s="9" t="s">
        <v>1313</v>
      </c>
      <c r="H403" s="9"/>
      <c r="I403" s="7" t="s">
        <v>1965</v>
      </c>
      <c r="J403" s="7" t="s">
        <v>83</v>
      </c>
      <c r="K403" s="7" t="s">
        <v>1336</v>
      </c>
      <c r="L403" s="10">
        <v>5961.21</v>
      </c>
      <c r="M403" s="10">
        <v>49676.79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33"/>
      <c r="AB403" s="10"/>
      <c r="AC403" s="33">
        <v>55638</v>
      </c>
      <c r="AD403" s="10">
        <f t="shared" si="4"/>
        <v>0</v>
      </c>
      <c r="AE403" s="82"/>
      <c r="AF403" s="17">
        <v>496.77</v>
      </c>
    </row>
    <row r="404" spans="1:32" x14ac:dyDescent="0.25">
      <c r="A404" s="7" t="s">
        <v>1900</v>
      </c>
      <c r="B404" s="9" t="s">
        <v>1966</v>
      </c>
      <c r="C404" s="70">
        <v>44834</v>
      </c>
      <c r="D404" s="70">
        <v>44834</v>
      </c>
      <c r="E404" s="73"/>
      <c r="F404" s="9"/>
      <c r="H404" s="9"/>
      <c r="I404" s="7" t="s">
        <v>64</v>
      </c>
      <c r="J404" s="7" t="s">
        <v>1633</v>
      </c>
      <c r="K404" s="7"/>
      <c r="L404" s="10"/>
      <c r="M404" s="10"/>
      <c r="N404" s="10"/>
      <c r="O404" s="10"/>
      <c r="P404" s="10">
        <v>35000</v>
      </c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33"/>
      <c r="AB404" s="10"/>
      <c r="AC404" s="33">
        <v>35000</v>
      </c>
      <c r="AD404" s="10">
        <f t="shared" si="4"/>
        <v>0</v>
      </c>
      <c r="AE404" s="82"/>
    </row>
    <row r="405" spans="1:32" x14ac:dyDescent="0.25">
      <c r="A405" s="7" t="s">
        <v>1901</v>
      </c>
      <c r="B405" s="9" t="s">
        <v>1967</v>
      </c>
      <c r="C405" s="70">
        <v>44834</v>
      </c>
      <c r="D405" s="70">
        <v>44834</v>
      </c>
      <c r="E405" s="73"/>
      <c r="F405" s="9"/>
      <c r="H405" s="9" t="s">
        <v>2079</v>
      </c>
      <c r="I405" s="7" t="s">
        <v>1968</v>
      </c>
      <c r="J405" s="7" t="s">
        <v>39</v>
      </c>
      <c r="K405" s="7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33">
        <v>100000</v>
      </c>
      <c r="AB405" s="10"/>
      <c r="AC405" s="33">
        <v>100000</v>
      </c>
      <c r="AD405" s="10">
        <f t="shared" si="4"/>
        <v>0</v>
      </c>
      <c r="AE405" s="82"/>
    </row>
    <row r="406" spans="1:32" s="39" customFormat="1" x14ac:dyDescent="0.25">
      <c r="A406" s="20"/>
      <c r="B406" s="19"/>
      <c r="C406" s="72"/>
      <c r="D406" s="72"/>
      <c r="E406" s="77"/>
      <c r="F406" s="19"/>
      <c r="G406" s="19"/>
      <c r="H406" s="19"/>
      <c r="I406" s="20"/>
      <c r="J406" s="20"/>
      <c r="K406" s="20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32"/>
      <c r="AB406" s="22"/>
      <c r="AC406" s="32"/>
      <c r="AD406" s="22"/>
      <c r="AE406" s="96"/>
      <c r="AF406" s="35"/>
    </row>
    <row r="407" spans="1:32" s="39" customFormat="1" x14ac:dyDescent="0.25">
      <c r="A407" s="25">
        <v>44835</v>
      </c>
      <c r="B407" s="19"/>
      <c r="C407" s="72"/>
      <c r="D407" s="72"/>
      <c r="E407" s="77"/>
      <c r="F407" s="19"/>
      <c r="G407" s="19"/>
      <c r="H407" s="19"/>
      <c r="I407" s="20"/>
      <c r="J407" s="20"/>
      <c r="K407" s="20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32"/>
      <c r="AB407" s="22"/>
      <c r="AC407" s="32"/>
      <c r="AD407" s="22"/>
      <c r="AE407" s="96"/>
      <c r="AF407" s="35"/>
    </row>
    <row r="408" spans="1:32" x14ac:dyDescent="0.25">
      <c r="A408" s="43"/>
      <c r="C408" s="70"/>
      <c r="D408" s="70"/>
      <c r="E408" s="73"/>
      <c r="F408" s="9"/>
      <c r="H408" s="9"/>
      <c r="I408" s="7" t="s">
        <v>2000</v>
      </c>
      <c r="J408" s="7" t="s">
        <v>132</v>
      </c>
      <c r="K408" s="10"/>
      <c r="L408" s="10"/>
      <c r="M408" s="10"/>
      <c r="N408" s="10"/>
      <c r="O408" s="10"/>
      <c r="P408" s="10"/>
      <c r="Q408" s="10">
        <v>46654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33"/>
      <c r="AB408" s="10"/>
      <c r="AC408" s="33">
        <v>46654</v>
      </c>
      <c r="AD408" s="10">
        <f>SUM(AB408:AC408)-SUM(L408:AA408)</f>
        <v>0</v>
      </c>
      <c r="AE408" s="82" t="s">
        <v>133</v>
      </c>
      <c r="AF408" s="34"/>
    </row>
    <row r="409" spans="1:32" x14ac:dyDescent="0.25">
      <c r="A409" s="7" t="s">
        <v>1902</v>
      </c>
      <c r="B409" s="9" t="s">
        <v>1998</v>
      </c>
      <c r="C409" s="70">
        <v>44844</v>
      </c>
      <c r="D409" s="70">
        <v>44844</v>
      </c>
      <c r="E409" s="73">
        <v>44841</v>
      </c>
      <c r="F409" s="9" t="s">
        <v>2044</v>
      </c>
      <c r="G409" s="9" t="s">
        <v>1323</v>
      </c>
      <c r="H409" s="9"/>
      <c r="I409" s="7" t="s">
        <v>1988</v>
      </c>
      <c r="J409" s="51" t="s">
        <v>1999</v>
      </c>
      <c r="K409" s="7" t="s">
        <v>122</v>
      </c>
      <c r="L409" s="10">
        <v>11357.14</v>
      </c>
      <c r="M409" s="10">
        <v>94642.86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33"/>
      <c r="AB409" s="10"/>
      <c r="AC409" s="33">
        <v>106000</v>
      </c>
      <c r="AD409" s="10">
        <f t="shared" si="4"/>
        <v>0</v>
      </c>
      <c r="AE409" s="82"/>
      <c r="AF409" s="17">
        <v>946.43</v>
      </c>
    </row>
    <row r="410" spans="1:32" x14ac:dyDescent="0.25">
      <c r="A410" s="7" t="s">
        <v>1903</v>
      </c>
      <c r="B410" s="9" t="s">
        <v>1990</v>
      </c>
      <c r="C410" s="70">
        <v>44844</v>
      </c>
      <c r="D410" s="70">
        <v>44844</v>
      </c>
      <c r="E410" s="73"/>
      <c r="F410" s="9"/>
      <c r="H410" s="9"/>
      <c r="I410" s="7" t="s">
        <v>82</v>
      </c>
      <c r="J410" s="51" t="s">
        <v>54</v>
      </c>
      <c r="K410" s="7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>
        <v>150000</v>
      </c>
      <c r="AA410" s="33"/>
      <c r="AB410" s="10"/>
      <c r="AC410" s="33">
        <v>150000</v>
      </c>
      <c r="AD410" s="10">
        <f t="shared" si="4"/>
        <v>0</v>
      </c>
      <c r="AE410" s="82"/>
    </row>
    <row r="411" spans="1:32" x14ac:dyDescent="0.25">
      <c r="A411" s="7" t="s">
        <v>1904</v>
      </c>
      <c r="B411" s="9" t="s">
        <v>1989</v>
      </c>
      <c r="C411" s="70">
        <v>44844</v>
      </c>
      <c r="D411" s="70">
        <v>44844</v>
      </c>
      <c r="E411" s="73"/>
      <c r="F411" s="9"/>
      <c r="H411" s="9"/>
      <c r="I411" s="7" t="s">
        <v>64</v>
      </c>
      <c r="J411" s="51" t="s">
        <v>65</v>
      </c>
      <c r="K411" s="7"/>
      <c r="L411" s="10"/>
      <c r="M411" s="10"/>
      <c r="N411" s="10"/>
      <c r="O411" s="10"/>
      <c r="P411" s="10">
        <v>50000</v>
      </c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33"/>
      <c r="AB411" s="10"/>
      <c r="AC411" s="33">
        <v>50000</v>
      </c>
      <c r="AD411" s="10">
        <f t="shared" si="4"/>
        <v>0</v>
      </c>
      <c r="AE411" s="82"/>
    </row>
    <row r="412" spans="1:32" x14ac:dyDescent="0.25">
      <c r="A412" s="7" t="s">
        <v>1972</v>
      </c>
      <c r="B412" s="9">
        <v>3996636</v>
      </c>
      <c r="C412" s="47">
        <v>44883</v>
      </c>
      <c r="D412" s="70">
        <v>44844</v>
      </c>
      <c r="E412" s="73">
        <v>44847</v>
      </c>
      <c r="F412" s="47" t="s">
        <v>2001</v>
      </c>
      <c r="G412" s="9" t="s">
        <v>1172</v>
      </c>
      <c r="H412" s="9"/>
      <c r="I412" s="7" t="s">
        <v>1987</v>
      </c>
      <c r="J412" s="51" t="s">
        <v>1226</v>
      </c>
      <c r="K412" s="7" t="s">
        <v>1039</v>
      </c>
      <c r="L412" s="10">
        <v>3214.29</v>
      </c>
      <c r="M412" s="10">
        <v>26785.71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33"/>
      <c r="AB412" s="10"/>
      <c r="AC412" s="33">
        <v>30000</v>
      </c>
      <c r="AD412" s="10">
        <f t="shared" si="4"/>
        <v>0</v>
      </c>
      <c r="AE412" s="82"/>
      <c r="AF412" s="17">
        <v>267.86</v>
      </c>
    </row>
    <row r="413" spans="1:32" x14ac:dyDescent="0.25">
      <c r="A413" s="7" t="s">
        <v>1973</v>
      </c>
      <c r="B413" s="9">
        <v>3996637</v>
      </c>
      <c r="C413" s="47">
        <v>44875</v>
      </c>
      <c r="D413" s="70">
        <v>44844</v>
      </c>
      <c r="E413" s="73">
        <v>44845</v>
      </c>
      <c r="F413" s="9" t="s">
        <v>1993</v>
      </c>
      <c r="G413" s="9" t="s">
        <v>1324</v>
      </c>
      <c r="H413" s="9"/>
      <c r="I413" s="7" t="s">
        <v>1986</v>
      </c>
      <c r="J413" s="51" t="s">
        <v>84</v>
      </c>
      <c r="K413" s="7" t="s">
        <v>36</v>
      </c>
      <c r="L413" s="10">
        <v>3439.29</v>
      </c>
      <c r="M413" s="10">
        <v>28660.71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33"/>
      <c r="AB413" s="10"/>
      <c r="AC413" s="33">
        <v>32100</v>
      </c>
      <c r="AD413" s="10">
        <f t="shared" si="4"/>
        <v>0</v>
      </c>
      <c r="AE413" s="82"/>
      <c r="AF413" s="17">
        <v>286.61</v>
      </c>
    </row>
    <row r="414" spans="1:32" x14ac:dyDescent="0.25">
      <c r="A414" s="7" t="s">
        <v>1974</v>
      </c>
      <c r="B414" s="9">
        <v>3996638</v>
      </c>
      <c r="C414" s="47">
        <v>44844</v>
      </c>
      <c r="D414" s="70">
        <v>44844</v>
      </c>
      <c r="E414" s="73"/>
      <c r="F414" s="9"/>
      <c r="H414" s="9" t="s">
        <v>1992</v>
      </c>
      <c r="I414" s="7" t="s">
        <v>1174</v>
      </c>
      <c r="J414" s="51" t="s">
        <v>65</v>
      </c>
      <c r="K414" s="7"/>
      <c r="L414" s="10"/>
      <c r="M414" s="10"/>
      <c r="N414" s="10"/>
      <c r="O414" s="10"/>
      <c r="P414" s="10"/>
      <c r="Q414" s="10"/>
      <c r="R414" s="10"/>
      <c r="S414" s="10"/>
      <c r="T414" s="10">
        <v>5026</v>
      </c>
      <c r="U414" s="10"/>
      <c r="V414" s="10"/>
      <c r="W414" s="10"/>
      <c r="X414" s="10"/>
      <c r="Y414" s="10"/>
      <c r="Z414" s="10"/>
      <c r="AA414" s="33"/>
      <c r="AB414" s="10"/>
      <c r="AC414" s="33">
        <v>5026</v>
      </c>
      <c r="AD414" s="10">
        <f t="shared" si="4"/>
        <v>0</v>
      </c>
      <c r="AE414" s="82"/>
    </row>
    <row r="415" spans="1:32" x14ac:dyDescent="0.25">
      <c r="A415" s="7" t="s">
        <v>1975</v>
      </c>
      <c r="B415" s="9">
        <v>3996639</v>
      </c>
      <c r="C415" s="70">
        <v>44847</v>
      </c>
      <c r="D415" s="70">
        <v>44844</v>
      </c>
      <c r="E415" s="73"/>
      <c r="F415" s="9"/>
      <c r="H415" s="9"/>
      <c r="I415" s="7" t="s">
        <v>118</v>
      </c>
      <c r="J415" s="51" t="s">
        <v>1847</v>
      </c>
      <c r="K415" s="7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33">
        <v>7440.43</v>
      </c>
      <c r="AB415" s="10"/>
      <c r="AC415" s="33">
        <v>7440.43</v>
      </c>
      <c r="AD415" s="10">
        <f t="shared" si="4"/>
        <v>0</v>
      </c>
      <c r="AE415" s="82"/>
    </row>
    <row r="416" spans="1:32" x14ac:dyDescent="0.25">
      <c r="A416" s="7" t="s">
        <v>1976</v>
      </c>
      <c r="B416" s="9">
        <v>3996640</v>
      </c>
      <c r="C416" s="70">
        <v>44845</v>
      </c>
      <c r="D416" s="70">
        <v>44845</v>
      </c>
      <c r="E416" s="73">
        <v>44853</v>
      </c>
      <c r="F416" s="9" t="s">
        <v>2052</v>
      </c>
      <c r="H416" s="9"/>
      <c r="I416" s="7" t="s">
        <v>1997</v>
      </c>
      <c r="J416" s="51" t="s">
        <v>187</v>
      </c>
      <c r="K416" s="7"/>
      <c r="L416" s="10">
        <v>528</v>
      </c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33">
        <v>4400</v>
      </c>
      <c r="AB416" s="10"/>
      <c r="AC416" s="33">
        <v>4928</v>
      </c>
      <c r="AD416" s="10">
        <f t="shared" si="4"/>
        <v>0</v>
      </c>
      <c r="AE416" s="82"/>
    </row>
    <row r="417" spans="1:32" x14ac:dyDescent="0.25">
      <c r="A417" s="7" t="s">
        <v>1977</v>
      </c>
      <c r="B417" s="9">
        <v>3996641</v>
      </c>
      <c r="C417" s="70">
        <v>44877</v>
      </c>
      <c r="D417" s="70">
        <v>44845</v>
      </c>
      <c r="E417" s="73"/>
      <c r="F417" s="9"/>
      <c r="G417" s="9" t="s">
        <v>1340</v>
      </c>
      <c r="H417" s="9"/>
      <c r="I417" s="7" t="s">
        <v>1417</v>
      </c>
      <c r="J417" s="51" t="s">
        <v>37</v>
      </c>
      <c r="K417" s="7" t="s">
        <v>38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33"/>
      <c r="AB417" s="10"/>
      <c r="AC417" s="33"/>
      <c r="AD417" s="10">
        <f t="shared" si="4"/>
        <v>0</v>
      </c>
      <c r="AE417" s="82"/>
    </row>
    <row r="418" spans="1:32" x14ac:dyDescent="0.25">
      <c r="A418" s="7" t="s">
        <v>1978</v>
      </c>
      <c r="B418" s="9">
        <v>3996643</v>
      </c>
      <c r="C418" s="70">
        <v>44845</v>
      </c>
      <c r="D418" s="70">
        <v>44845</v>
      </c>
      <c r="E418" s="73"/>
      <c r="F418" s="9"/>
      <c r="H418" s="9"/>
      <c r="I418" s="7" t="s">
        <v>1711</v>
      </c>
      <c r="J418" s="51" t="s">
        <v>1996</v>
      </c>
      <c r="K418" s="7"/>
      <c r="L418" s="10"/>
      <c r="M418" s="10">
        <v>37500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33"/>
      <c r="AB418" s="10"/>
      <c r="AC418" s="33">
        <v>37500</v>
      </c>
      <c r="AD418" s="10">
        <f t="shared" si="4"/>
        <v>0</v>
      </c>
      <c r="AE418" s="82"/>
    </row>
    <row r="419" spans="1:32" x14ac:dyDescent="0.25">
      <c r="A419" s="7" t="s">
        <v>1979</v>
      </c>
      <c r="B419" s="9">
        <v>3996644</v>
      </c>
      <c r="C419" s="70">
        <v>44851</v>
      </c>
      <c r="D419" s="70">
        <v>44851</v>
      </c>
      <c r="E419" s="73"/>
      <c r="F419" s="9"/>
      <c r="H419" s="9"/>
      <c r="I419" s="7" t="s">
        <v>2041</v>
      </c>
      <c r="J419" s="51" t="s">
        <v>44</v>
      </c>
      <c r="K419" s="7"/>
      <c r="L419" s="10">
        <v>603.6</v>
      </c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>
        <v>5030.01</v>
      </c>
      <c r="Y419" s="10"/>
      <c r="Z419" s="10"/>
      <c r="AA419" s="33"/>
      <c r="AB419" s="10"/>
      <c r="AC419" s="33">
        <v>5633.61</v>
      </c>
      <c r="AD419" s="10">
        <f t="shared" si="4"/>
        <v>0</v>
      </c>
      <c r="AE419" s="82"/>
    </row>
    <row r="420" spans="1:32" x14ac:dyDescent="0.25">
      <c r="A420" s="7" t="s">
        <v>1980</v>
      </c>
      <c r="B420" s="9">
        <v>3996645</v>
      </c>
      <c r="C420" s="70">
        <v>44851</v>
      </c>
      <c r="D420" s="70">
        <v>44851</v>
      </c>
      <c r="E420" s="73"/>
      <c r="F420" s="9"/>
      <c r="H420" s="9"/>
      <c r="I420" s="7" t="s">
        <v>2047</v>
      </c>
      <c r="J420" s="51" t="s">
        <v>18</v>
      </c>
      <c r="K420" s="7"/>
      <c r="L420" s="10">
        <v>151.09</v>
      </c>
      <c r="M420" s="10"/>
      <c r="N420" s="10"/>
      <c r="O420" s="10"/>
      <c r="P420" s="10"/>
      <c r="Q420" s="10"/>
      <c r="R420" s="10">
        <v>1259.06</v>
      </c>
      <c r="S420" s="10"/>
      <c r="T420" s="10"/>
      <c r="U420" s="10"/>
      <c r="V420" s="10"/>
      <c r="W420" s="10"/>
      <c r="X420" s="10"/>
      <c r="Y420" s="10"/>
      <c r="Z420" s="10"/>
      <c r="AA420" s="33"/>
      <c r="AB420" s="10"/>
      <c r="AC420" s="33">
        <v>1410.15</v>
      </c>
      <c r="AD420" s="10">
        <f t="shared" si="4"/>
        <v>0</v>
      </c>
      <c r="AE420" s="82"/>
    </row>
    <row r="421" spans="1:32" x14ac:dyDescent="0.25">
      <c r="A421" s="7" t="s">
        <v>1981</v>
      </c>
      <c r="B421" s="9">
        <v>3996646</v>
      </c>
      <c r="C421" s="70">
        <v>44851</v>
      </c>
      <c r="D421" s="70">
        <v>44851</v>
      </c>
      <c r="E421" s="73"/>
      <c r="F421" s="9"/>
      <c r="H421" s="9"/>
      <c r="I421" s="7" t="s">
        <v>2047</v>
      </c>
      <c r="J421" s="51" t="s">
        <v>18</v>
      </c>
      <c r="K421" s="7"/>
      <c r="L421" s="10">
        <v>811.09</v>
      </c>
      <c r="M421" s="10"/>
      <c r="N421" s="10"/>
      <c r="O421" s="10"/>
      <c r="P421" s="10"/>
      <c r="Q421" s="10"/>
      <c r="R421" s="10">
        <v>6759.06</v>
      </c>
      <c r="S421" s="10"/>
      <c r="T421" s="10"/>
      <c r="U421" s="10"/>
      <c r="V421" s="10"/>
      <c r="W421" s="10"/>
      <c r="X421" s="10"/>
      <c r="Y421" s="10"/>
      <c r="Z421" s="10"/>
      <c r="AA421" s="33"/>
      <c r="AB421" s="10"/>
      <c r="AC421" s="33">
        <v>7570.15</v>
      </c>
      <c r="AD421" s="10">
        <f t="shared" si="4"/>
        <v>0</v>
      </c>
      <c r="AE421" s="82"/>
    </row>
    <row r="422" spans="1:32" x14ac:dyDescent="0.25">
      <c r="A422" s="7" t="s">
        <v>1982</v>
      </c>
      <c r="B422" s="9">
        <v>3996647</v>
      </c>
      <c r="C422" s="70">
        <v>44894</v>
      </c>
      <c r="D422" s="70">
        <v>44851</v>
      </c>
      <c r="E422" s="73">
        <v>44855</v>
      </c>
      <c r="F422" s="9" t="s">
        <v>2055</v>
      </c>
      <c r="G422" s="9" t="s">
        <v>1227</v>
      </c>
      <c r="H422" s="9"/>
      <c r="I422" s="7" t="s">
        <v>2045</v>
      </c>
      <c r="J422" s="51" t="s">
        <v>1226</v>
      </c>
      <c r="K422" s="7" t="s">
        <v>1039</v>
      </c>
      <c r="L422" s="10">
        <v>1607.14</v>
      </c>
      <c r="M422" s="10">
        <v>13392.86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33"/>
      <c r="AB422" s="10"/>
      <c r="AC422" s="33">
        <v>15000</v>
      </c>
      <c r="AD422" s="10">
        <f t="shared" si="4"/>
        <v>0</v>
      </c>
      <c r="AE422" s="82"/>
      <c r="AF422" s="17">
        <v>133.93</v>
      </c>
    </row>
    <row r="423" spans="1:32" x14ac:dyDescent="0.25">
      <c r="A423" s="7" t="s">
        <v>1983</v>
      </c>
      <c r="B423" s="9">
        <v>3996648</v>
      </c>
      <c r="C423" s="70">
        <v>44893</v>
      </c>
      <c r="D423" s="70">
        <v>44851</v>
      </c>
      <c r="E423" s="73">
        <v>44855</v>
      </c>
      <c r="F423" s="9" t="s">
        <v>2054</v>
      </c>
      <c r="G423" s="9" t="s">
        <v>1343</v>
      </c>
      <c r="H423" s="9"/>
      <c r="I423" s="7" t="s">
        <v>2045</v>
      </c>
      <c r="J423" s="51" t="s">
        <v>1226</v>
      </c>
      <c r="K423" s="7" t="s">
        <v>1039</v>
      </c>
      <c r="L423" s="10">
        <v>1607.14</v>
      </c>
      <c r="M423" s="10">
        <v>13392.86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33"/>
      <c r="AB423" s="10"/>
      <c r="AC423" s="33">
        <v>15000</v>
      </c>
      <c r="AD423" s="10">
        <f t="shared" si="4"/>
        <v>0</v>
      </c>
      <c r="AE423" s="82"/>
      <c r="AF423" s="17">
        <v>133.93</v>
      </c>
    </row>
    <row r="424" spans="1:32" x14ac:dyDescent="0.25">
      <c r="A424" s="7" t="s">
        <v>1984</v>
      </c>
      <c r="B424" s="9">
        <v>3996649</v>
      </c>
      <c r="C424" s="70">
        <v>44851</v>
      </c>
      <c r="D424" s="70">
        <v>44851</v>
      </c>
      <c r="E424" s="73"/>
      <c r="F424" s="9" t="s">
        <v>2040</v>
      </c>
      <c r="G424" s="9" t="s">
        <v>1345</v>
      </c>
      <c r="H424" s="9"/>
      <c r="I424" s="7" t="s">
        <v>2039</v>
      </c>
      <c r="J424" s="51" t="s">
        <v>109</v>
      </c>
      <c r="K424" s="7"/>
      <c r="L424" s="10"/>
      <c r="M424" s="10">
        <v>5500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33"/>
      <c r="AB424" s="10"/>
      <c r="AC424" s="33">
        <v>5500</v>
      </c>
      <c r="AD424" s="10">
        <f t="shared" si="4"/>
        <v>0</v>
      </c>
      <c r="AE424" s="82"/>
    </row>
    <row r="425" spans="1:32" x14ac:dyDescent="0.25">
      <c r="A425" s="7" t="s">
        <v>1985</v>
      </c>
      <c r="B425" s="9">
        <v>3996650</v>
      </c>
      <c r="C425" s="70">
        <v>44897</v>
      </c>
      <c r="D425" s="70">
        <v>44851</v>
      </c>
      <c r="E425" s="73">
        <v>44855</v>
      </c>
      <c r="F425" s="9" t="s">
        <v>2056</v>
      </c>
      <c r="G425" s="9" t="s">
        <v>1346</v>
      </c>
      <c r="H425" s="9"/>
      <c r="I425" s="7" t="s">
        <v>1293</v>
      </c>
      <c r="J425" s="51" t="s">
        <v>1226</v>
      </c>
      <c r="K425" s="7" t="s">
        <v>1039</v>
      </c>
      <c r="L425" s="10">
        <v>803.57</v>
      </c>
      <c r="M425" s="10">
        <v>6696.43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33"/>
      <c r="AB425" s="10"/>
      <c r="AC425" s="33">
        <v>7500</v>
      </c>
      <c r="AD425" s="10">
        <f t="shared" si="4"/>
        <v>0</v>
      </c>
      <c r="AE425" s="82"/>
      <c r="AF425" s="17">
        <v>66.959999999999994</v>
      </c>
    </row>
    <row r="426" spans="1:32" x14ac:dyDescent="0.25">
      <c r="A426" s="7" t="s">
        <v>2002</v>
      </c>
      <c r="B426" s="9">
        <v>3996651</v>
      </c>
      <c r="C426" s="70">
        <v>44851</v>
      </c>
      <c r="D426" s="70">
        <v>44851</v>
      </c>
      <c r="E426" s="73">
        <v>44855</v>
      </c>
      <c r="F426" s="9" t="s">
        <v>2057</v>
      </c>
      <c r="G426" s="9" t="s">
        <v>1347</v>
      </c>
      <c r="H426" s="9"/>
      <c r="I426" s="7" t="s">
        <v>2046</v>
      </c>
      <c r="J426" s="51" t="s">
        <v>60</v>
      </c>
      <c r="K426" s="7" t="s">
        <v>61</v>
      </c>
      <c r="L426" s="10">
        <v>251.79</v>
      </c>
      <c r="M426" s="10">
        <v>2098.21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33"/>
      <c r="AB426" s="10"/>
      <c r="AC426" s="33">
        <v>2350</v>
      </c>
      <c r="AD426" s="10">
        <f t="shared" ref="AD426:AD489" si="5">SUM(AB426:AC426)-SUM(L426:AA426)</f>
        <v>0</v>
      </c>
      <c r="AE426" s="82"/>
      <c r="AF426" s="17">
        <v>20.98</v>
      </c>
    </row>
    <row r="427" spans="1:32" x14ac:dyDescent="0.25">
      <c r="A427" s="7" t="s">
        <v>2003</v>
      </c>
      <c r="B427" s="9">
        <v>3996652</v>
      </c>
      <c r="C427" s="70">
        <v>44869</v>
      </c>
      <c r="D427" s="70">
        <v>44851</v>
      </c>
      <c r="E427" s="73">
        <v>44886</v>
      </c>
      <c r="F427" s="9" t="s">
        <v>2091</v>
      </c>
      <c r="G427" s="9" t="s">
        <v>1348</v>
      </c>
      <c r="H427" s="9"/>
      <c r="I427" s="7" t="s">
        <v>2042</v>
      </c>
      <c r="J427" s="51" t="s">
        <v>2043</v>
      </c>
      <c r="K427" s="7" t="s">
        <v>2138</v>
      </c>
      <c r="L427" s="10">
        <v>6755.36</v>
      </c>
      <c r="M427" s="10">
        <v>56294.64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33"/>
      <c r="AB427" s="10"/>
      <c r="AC427" s="33">
        <v>63050</v>
      </c>
      <c r="AD427" s="10">
        <f t="shared" si="5"/>
        <v>0</v>
      </c>
      <c r="AE427" s="82"/>
      <c r="AF427" s="17">
        <v>562.95000000000005</v>
      </c>
    </row>
    <row r="428" spans="1:32" x14ac:dyDescent="0.25">
      <c r="A428" s="7" t="s">
        <v>2004</v>
      </c>
      <c r="B428" s="9">
        <v>3996653</v>
      </c>
      <c r="C428" s="70">
        <v>44854</v>
      </c>
      <c r="D428" s="70">
        <v>44854</v>
      </c>
      <c r="E428" s="73"/>
      <c r="F428" s="9"/>
      <c r="H428" s="9" t="s">
        <v>2080</v>
      </c>
      <c r="I428" s="7" t="s">
        <v>114</v>
      </c>
      <c r="J428" s="51" t="s">
        <v>65</v>
      </c>
      <c r="K428" s="7"/>
      <c r="L428" s="10"/>
      <c r="M428" s="10"/>
      <c r="N428" s="10"/>
      <c r="O428" s="10"/>
      <c r="P428" s="10"/>
      <c r="Q428" s="10"/>
      <c r="R428" s="10"/>
      <c r="S428" s="10"/>
      <c r="T428" s="10">
        <v>14176</v>
      </c>
      <c r="U428" s="10"/>
      <c r="V428" s="10"/>
      <c r="W428" s="10"/>
      <c r="X428" s="10"/>
      <c r="Y428" s="10"/>
      <c r="Z428" s="10"/>
      <c r="AA428" s="33"/>
      <c r="AB428" s="10"/>
      <c r="AC428" s="33">
        <v>14176</v>
      </c>
      <c r="AD428" s="10">
        <f t="shared" si="5"/>
        <v>0</v>
      </c>
      <c r="AE428" s="82"/>
    </row>
    <row r="429" spans="1:32" x14ac:dyDescent="0.25">
      <c r="A429" s="7" t="s">
        <v>2005</v>
      </c>
      <c r="B429" s="9">
        <v>3996654</v>
      </c>
      <c r="C429" s="70">
        <v>44854</v>
      </c>
      <c r="D429" s="70">
        <v>44854</v>
      </c>
      <c r="E429" s="73"/>
      <c r="F429" s="9"/>
      <c r="H429" s="9" t="s">
        <v>2073</v>
      </c>
      <c r="I429" s="7" t="s">
        <v>1174</v>
      </c>
      <c r="J429" s="51" t="s">
        <v>65</v>
      </c>
      <c r="K429" s="7"/>
      <c r="L429" s="10"/>
      <c r="M429" s="10"/>
      <c r="N429" s="10"/>
      <c r="O429" s="10"/>
      <c r="P429" s="10"/>
      <c r="Q429" s="10"/>
      <c r="R429" s="10"/>
      <c r="S429" s="10"/>
      <c r="T429" s="10">
        <v>7761</v>
      </c>
      <c r="U429" s="10"/>
      <c r="V429" s="10"/>
      <c r="W429" s="10"/>
      <c r="X429" s="10"/>
      <c r="Y429" s="10"/>
      <c r="Z429" s="10"/>
      <c r="AA429" s="33"/>
      <c r="AB429" s="10"/>
      <c r="AC429" s="33">
        <v>7761</v>
      </c>
      <c r="AD429" s="10">
        <f t="shared" si="5"/>
        <v>0</v>
      </c>
      <c r="AE429" s="82"/>
    </row>
    <row r="430" spans="1:32" x14ac:dyDescent="0.25">
      <c r="A430" s="7" t="s">
        <v>2006</v>
      </c>
      <c r="B430" s="9">
        <v>3996655</v>
      </c>
      <c r="C430" s="70">
        <v>44854</v>
      </c>
      <c r="D430" s="70">
        <v>44854</v>
      </c>
      <c r="E430" s="73"/>
      <c r="F430" s="9"/>
      <c r="H430" s="9"/>
      <c r="I430" s="7" t="s">
        <v>2050</v>
      </c>
      <c r="J430" s="51" t="s">
        <v>2051</v>
      </c>
      <c r="K430" s="7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33">
        <v>2699</v>
      </c>
      <c r="AB430" s="10"/>
      <c r="AC430" s="33">
        <v>3000</v>
      </c>
      <c r="AD430" s="10">
        <f t="shared" si="5"/>
        <v>301</v>
      </c>
      <c r="AE430" s="82" t="s">
        <v>2174</v>
      </c>
    </row>
    <row r="431" spans="1:32" x14ac:dyDescent="0.25">
      <c r="A431" s="7" t="s">
        <v>2007</v>
      </c>
      <c r="B431" s="9">
        <v>3996656</v>
      </c>
      <c r="C431" s="70">
        <v>44889</v>
      </c>
      <c r="D431" s="70">
        <v>44854</v>
      </c>
      <c r="E431" s="73"/>
      <c r="F431" s="9"/>
      <c r="G431" s="9" t="s">
        <v>1417</v>
      </c>
      <c r="H431" s="9"/>
      <c r="I431" s="7" t="s">
        <v>1417</v>
      </c>
      <c r="J431" s="51" t="s">
        <v>1417</v>
      </c>
      <c r="K431" s="7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33"/>
      <c r="AB431" s="10"/>
      <c r="AC431" s="33"/>
      <c r="AD431" s="10">
        <f t="shared" si="5"/>
        <v>0</v>
      </c>
      <c r="AE431" s="82"/>
    </row>
    <row r="432" spans="1:32" x14ac:dyDescent="0.25">
      <c r="A432" s="7" t="s">
        <v>2008</v>
      </c>
      <c r="B432" s="9">
        <v>3996657</v>
      </c>
      <c r="C432" s="70">
        <v>44889</v>
      </c>
      <c r="D432" s="70">
        <v>44854</v>
      </c>
      <c r="E432" s="73">
        <v>44858</v>
      </c>
      <c r="F432" s="9" t="s">
        <v>2078</v>
      </c>
      <c r="G432" s="9" t="s">
        <v>1350</v>
      </c>
      <c r="H432" s="9"/>
      <c r="I432" s="7" t="s">
        <v>2059</v>
      </c>
      <c r="J432" s="51" t="s">
        <v>37</v>
      </c>
      <c r="K432" s="7" t="s">
        <v>38</v>
      </c>
      <c r="L432" s="10">
        <v>1071.43</v>
      </c>
      <c r="M432" s="10">
        <v>8928.57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33"/>
      <c r="AB432" s="10"/>
      <c r="AC432" s="33">
        <v>10000</v>
      </c>
      <c r="AD432" s="10">
        <f t="shared" si="5"/>
        <v>0</v>
      </c>
      <c r="AE432" s="82"/>
      <c r="AF432" s="17">
        <v>89.29</v>
      </c>
    </row>
    <row r="433" spans="1:32" x14ac:dyDescent="0.25">
      <c r="A433" s="7" t="s">
        <v>2009</v>
      </c>
      <c r="B433" s="9">
        <v>3996658</v>
      </c>
      <c r="C433" s="70">
        <v>44873</v>
      </c>
      <c r="D433" s="70">
        <v>44854</v>
      </c>
      <c r="E433" s="73">
        <v>44858</v>
      </c>
      <c r="F433" s="9" t="s">
        <v>2063</v>
      </c>
      <c r="G433" s="9" t="s">
        <v>1351</v>
      </c>
      <c r="H433" s="9"/>
      <c r="I433" s="7" t="s">
        <v>2060</v>
      </c>
      <c r="J433" s="51" t="s">
        <v>2061</v>
      </c>
      <c r="K433" s="7" t="s">
        <v>2062</v>
      </c>
      <c r="L433" s="10">
        <v>12198.21</v>
      </c>
      <c r="M433" s="10">
        <v>101651.79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33"/>
      <c r="AB433" s="10"/>
      <c r="AC433" s="33">
        <v>113850</v>
      </c>
      <c r="AD433" s="10">
        <f t="shared" si="5"/>
        <v>0</v>
      </c>
      <c r="AE433" s="82"/>
      <c r="AF433" s="17">
        <v>1016.52</v>
      </c>
    </row>
    <row r="434" spans="1:32" x14ac:dyDescent="0.25">
      <c r="A434" s="7" t="s">
        <v>2010</v>
      </c>
      <c r="B434" s="9">
        <v>3996659</v>
      </c>
      <c r="C434" s="70">
        <v>44888</v>
      </c>
      <c r="D434" s="70">
        <v>44854</v>
      </c>
      <c r="E434" s="73">
        <v>44858</v>
      </c>
      <c r="F434" s="9" t="s">
        <v>2064</v>
      </c>
      <c r="G434" s="9" t="s">
        <v>1351</v>
      </c>
      <c r="H434" s="9"/>
      <c r="I434" s="7" t="s">
        <v>2060</v>
      </c>
      <c r="J434" s="51" t="s">
        <v>2061</v>
      </c>
      <c r="K434" s="7" t="s">
        <v>2062</v>
      </c>
      <c r="L434" s="10">
        <v>12198.21</v>
      </c>
      <c r="M434" s="10">
        <v>101651.79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33"/>
      <c r="AB434" s="10"/>
      <c r="AC434" s="33">
        <v>113850</v>
      </c>
      <c r="AD434" s="10">
        <f t="shared" si="5"/>
        <v>0</v>
      </c>
      <c r="AE434" s="82"/>
      <c r="AF434" s="17">
        <v>1016.52</v>
      </c>
    </row>
    <row r="435" spans="1:32" x14ac:dyDescent="0.25">
      <c r="A435" s="7" t="s">
        <v>2011</v>
      </c>
      <c r="B435" s="9">
        <v>3996660</v>
      </c>
      <c r="C435" s="70">
        <v>44854</v>
      </c>
      <c r="D435" s="70">
        <v>44854</v>
      </c>
      <c r="E435" s="73"/>
      <c r="F435" s="9"/>
      <c r="H435" s="9"/>
      <c r="I435" s="7" t="s">
        <v>2048</v>
      </c>
      <c r="J435" s="51" t="s">
        <v>46</v>
      </c>
      <c r="K435" s="7"/>
      <c r="L435" s="10">
        <v>107.04</v>
      </c>
      <c r="M435" s="10"/>
      <c r="N435" s="10"/>
      <c r="O435" s="10"/>
      <c r="P435" s="10"/>
      <c r="Q435" s="10"/>
      <c r="R435" s="10"/>
      <c r="S435" s="10">
        <v>891.96</v>
      </c>
      <c r="T435" s="10"/>
      <c r="U435" s="10"/>
      <c r="V435" s="10"/>
      <c r="W435" s="10"/>
      <c r="X435" s="10"/>
      <c r="Y435" s="10"/>
      <c r="Z435" s="10"/>
      <c r="AA435" s="33"/>
      <c r="AB435" s="10"/>
      <c r="AC435" s="33">
        <v>999</v>
      </c>
      <c r="AD435" s="10">
        <f t="shared" si="5"/>
        <v>0</v>
      </c>
      <c r="AE435" s="82"/>
    </row>
    <row r="436" spans="1:32" x14ac:dyDescent="0.25">
      <c r="A436" s="7" t="s">
        <v>2012</v>
      </c>
      <c r="B436" s="9">
        <v>3996661</v>
      </c>
      <c r="C436" s="70">
        <v>44854</v>
      </c>
      <c r="D436" s="70">
        <v>44854</v>
      </c>
      <c r="E436" s="73"/>
      <c r="F436" s="9"/>
      <c r="H436" s="9"/>
      <c r="I436" s="7" t="s">
        <v>2048</v>
      </c>
      <c r="J436" s="51" t="s">
        <v>46</v>
      </c>
      <c r="K436" s="7"/>
      <c r="L436" s="10">
        <v>107.04</v>
      </c>
      <c r="M436" s="10"/>
      <c r="N436" s="10"/>
      <c r="O436" s="10"/>
      <c r="P436" s="10"/>
      <c r="Q436" s="10"/>
      <c r="R436" s="10"/>
      <c r="S436" s="10">
        <v>891.96</v>
      </c>
      <c r="T436" s="10"/>
      <c r="U436" s="10"/>
      <c r="V436" s="10"/>
      <c r="W436" s="10"/>
      <c r="X436" s="10"/>
      <c r="Y436" s="10"/>
      <c r="Z436" s="10"/>
      <c r="AA436" s="33"/>
      <c r="AB436" s="10"/>
      <c r="AC436" s="33">
        <v>999</v>
      </c>
      <c r="AD436" s="10">
        <f t="shared" si="5"/>
        <v>0</v>
      </c>
      <c r="AE436" s="82"/>
    </row>
    <row r="437" spans="1:32" x14ac:dyDescent="0.25">
      <c r="A437" s="7" t="s">
        <v>2013</v>
      </c>
      <c r="B437" s="9">
        <v>3996662</v>
      </c>
      <c r="C437" s="70">
        <v>44854</v>
      </c>
      <c r="D437" s="70">
        <v>44854</v>
      </c>
      <c r="E437" s="73"/>
      <c r="F437" s="9"/>
      <c r="H437" s="9"/>
      <c r="I437" s="7" t="s">
        <v>2048</v>
      </c>
      <c r="J437" s="51" t="s">
        <v>46</v>
      </c>
      <c r="K437" s="7"/>
      <c r="L437" s="10">
        <v>107.04</v>
      </c>
      <c r="M437" s="10"/>
      <c r="N437" s="10"/>
      <c r="O437" s="10"/>
      <c r="P437" s="10"/>
      <c r="Q437" s="10"/>
      <c r="R437" s="10"/>
      <c r="S437" s="10">
        <v>891.96</v>
      </c>
      <c r="T437" s="10"/>
      <c r="U437" s="10"/>
      <c r="V437" s="10"/>
      <c r="W437" s="10"/>
      <c r="X437" s="10"/>
      <c r="Y437" s="10"/>
      <c r="Z437" s="10"/>
      <c r="AA437" s="33"/>
      <c r="AB437" s="10"/>
      <c r="AC437" s="33">
        <v>999</v>
      </c>
      <c r="AD437" s="10">
        <f t="shared" si="5"/>
        <v>0</v>
      </c>
      <c r="AE437" s="82"/>
    </row>
    <row r="438" spans="1:32" x14ac:dyDescent="0.25">
      <c r="A438" s="7" t="s">
        <v>2014</v>
      </c>
      <c r="B438" s="9">
        <v>3996663</v>
      </c>
      <c r="C438" s="70">
        <v>44854</v>
      </c>
      <c r="D438" s="70">
        <v>44854</v>
      </c>
      <c r="E438" s="73"/>
      <c r="F438" s="9"/>
      <c r="H438" s="9"/>
      <c r="I438" s="7" t="s">
        <v>2049</v>
      </c>
      <c r="J438" s="51" t="s">
        <v>46</v>
      </c>
      <c r="K438" s="7"/>
      <c r="L438" s="10">
        <v>160.61000000000001</v>
      </c>
      <c r="M438" s="10"/>
      <c r="N438" s="10"/>
      <c r="O438" s="10"/>
      <c r="P438" s="10"/>
      <c r="Q438" s="10"/>
      <c r="R438" s="10"/>
      <c r="S438" s="10">
        <v>1338.39</v>
      </c>
      <c r="T438" s="10"/>
      <c r="U438" s="10"/>
      <c r="V438" s="10"/>
      <c r="W438" s="10"/>
      <c r="X438" s="10"/>
      <c r="Y438" s="10"/>
      <c r="Z438" s="10"/>
      <c r="AA438" s="33"/>
      <c r="AB438" s="10"/>
      <c r="AC438" s="33">
        <v>1499</v>
      </c>
      <c r="AD438" s="10">
        <f t="shared" si="5"/>
        <v>0</v>
      </c>
      <c r="AE438" s="82"/>
    </row>
    <row r="439" spans="1:32" x14ac:dyDescent="0.25">
      <c r="A439" s="7" t="s">
        <v>2015</v>
      </c>
      <c r="B439" s="9">
        <v>3996664</v>
      </c>
      <c r="C439" s="70">
        <v>44859</v>
      </c>
      <c r="D439" s="70">
        <v>44859</v>
      </c>
      <c r="E439" s="73"/>
      <c r="F439" s="9"/>
      <c r="H439" s="9"/>
      <c r="I439" s="7" t="s">
        <v>2069</v>
      </c>
      <c r="J439" s="51" t="s">
        <v>35</v>
      </c>
      <c r="K439" s="7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33">
        <v>3800</v>
      </c>
      <c r="AB439" s="10"/>
      <c r="AC439" s="33">
        <v>3800</v>
      </c>
      <c r="AD439" s="10">
        <f t="shared" si="5"/>
        <v>0</v>
      </c>
      <c r="AE439" s="82"/>
    </row>
    <row r="440" spans="1:32" x14ac:dyDescent="0.25">
      <c r="A440" s="7" t="s">
        <v>2016</v>
      </c>
      <c r="B440" s="9">
        <v>3996665</v>
      </c>
      <c r="C440" s="70">
        <v>44889</v>
      </c>
      <c r="D440" s="70">
        <v>44859</v>
      </c>
      <c r="E440" s="73">
        <v>44889</v>
      </c>
      <c r="F440" s="9" t="s">
        <v>2135</v>
      </c>
      <c r="G440" s="9" t="s">
        <v>1352</v>
      </c>
      <c r="H440" s="9"/>
      <c r="I440" s="7" t="s">
        <v>2067</v>
      </c>
      <c r="J440" s="51" t="s">
        <v>83</v>
      </c>
      <c r="K440" s="7" t="s">
        <v>1336</v>
      </c>
      <c r="L440" s="10">
        <v>4320</v>
      </c>
      <c r="M440" s="10">
        <v>36000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33"/>
      <c r="AB440" s="10"/>
      <c r="AC440" s="33">
        <v>40320</v>
      </c>
      <c r="AD440" s="10">
        <f t="shared" si="5"/>
        <v>0</v>
      </c>
      <c r="AE440" s="82"/>
      <c r="AF440" s="17">
        <v>360</v>
      </c>
    </row>
    <row r="441" spans="1:32" x14ac:dyDescent="0.25">
      <c r="A441" s="7" t="s">
        <v>2017</v>
      </c>
      <c r="B441" s="9">
        <v>3996666</v>
      </c>
      <c r="C441" s="70">
        <v>44893</v>
      </c>
      <c r="D441" s="70">
        <v>44859</v>
      </c>
      <c r="E441" s="73">
        <v>44862</v>
      </c>
      <c r="F441" s="9" t="s">
        <v>2072</v>
      </c>
      <c r="G441" s="9" t="s">
        <v>1355</v>
      </c>
      <c r="H441" s="9"/>
      <c r="I441" s="7" t="s">
        <v>2068</v>
      </c>
      <c r="J441" s="51" t="s">
        <v>84</v>
      </c>
      <c r="K441" s="7" t="s">
        <v>36</v>
      </c>
      <c r="L441" s="10">
        <v>1419.64</v>
      </c>
      <c r="M441" s="10">
        <v>11830.36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33"/>
      <c r="AB441" s="10"/>
      <c r="AC441" s="33">
        <v>13250</v>
      </c>
      <c r="AD441" s="10">
        <f t="shared" si="5"/>
        <v>0</v>
      </c>
      <c r="AE441" s="82"/>
      <c r="AF441" s="17">
        <v>118.3</v>
      </c>
    </row>
    <row r="442" spans="1:32" x14ac:dyDescent="0.25">
      <c r="A442" s="7" t="s">
        <v>2018</v>
      </c>
      <c r="B442" s="9">
        <v>3996667</v>
      </c>
      <c r="C442" s="70">
        <v>44859</v>
      </c>
      <c r="D442" s="70">
        <v>44859</v>
      </c>
      <c r="E442" s="73"/>
      <c r="F442" s="9"/>
      <c r="H442" s="9"/>
      <c r="I442" s="7" t="s">
        <v>2071</v>
      </c>
      <c r="J442" s="51" t="s">
        <v>43</v>
      </c>
      <c r="K442" s="7"/>
      <c r="L442" s="10">
        <v>148.61000000000001</v>
      </c>
      <c r="M442" s="10"/>
      <c r="N442" s="10"/>
      <c r="O442" s="10"/>
      <c r="P442" s="10"/>
      <c r="Q442" s="10"/>
      <c r="R442" s="10"/>
      <c r="S442" s="10">
        <v>1238.3800000000001</v>
      </c>
      <c r="T442" s="10"/>
      <c r="U442" s="10"/>
      <c r="V442" s="10"/>
      <c r="W442" s="10"/>
      <c r="X442" s="10"/>
      <c r="Y442" s="10"/>
      <c r="Z442" s="10"/>
      <c r="AA442" s="33"/>
      <c r="AB442" s="10"/>
      <c r="AC442" s="33">
        <v>1386.99</v>
      </c>
      <c r="AD442" s="10">
        <f t="shared" si="5"/>
        <v>0</v>
      </c>
      <c r="AE442" s="82"/>
    </row>
    <row r="443" spans="1:32" x14ac:dyDescent="0.25">
      <c r="A443" s="7" t="s">
        <v>2019</v>
      </c>
      <c r="B443" s="9">
        <v>3996668</v>
      </c>
      <c r="C443" s="70">
        <v>44859</v>
      </c>
      <c r="D443" s="70">
        <v>44859</v>
      </c>
      <c r="E443" s="73"/>
      <c r="F443" s="9"/>
      <c r="H443" s="9"/>
      <c r="I443" s="7" t="s">
        <v>2071</v>
      </c>
      <c r="J443" s="51" t="s">
        <v>43</v>
      </c>
      <c r="K443" s="7"/>
      <c r="L443" s="10">
        <v>107.04</v>
      </c>
      <c r="M443" s="10"/>
      <c r="N443" s="10"/>
      <c r="O443" s="10"/>
      <c r="P443" s="10"/>
      <c r="Q443" s="10"/>
      <c r="R443" s="10"/>
      <c r="S443" s="10">
        <v>891.96</v>
      </c>
      <c r="T443" s="10"/>
      <c r="U443" s="10"/>
      <c r="V443" s="10"/>
      <c r="W443" s="10"/>
      <c r="X443" s="10"/>
      <c r="Y443" s="10"/>
      <c r="Z443" s="10"/>
      <c r="AA443" s="33"/>
      <c r="AB443" s="10"/>
      <c r="AC443" s="33">
        <v>999</v>
      </c>
      <c r="AD443" s="10">
        <f t="shared" si="5"/>
        <v>0</v>
      </c>
      <c r="AE443" s="82"/>
    </row>
    <row r="444" spans="1:32" x14ac:dyDescent="0.25">
      <c r="A444" s="7" t="s">
        <v>2020</v>
      </c>
      <c r="B444" s="9">
        <v>3996669</v>
      </c>
      <c r="C444" s="70">
        <v>44861</v>
      </c>
      <c r="D444" s="70">
        <v>44859</v>
      </c>
      <c r="E444" s="73"/>
      <c r="F444" s="9"/>
      <c r="H444" s="9"/>
      <c r="I444" s="7" t="s">
        <v>118</v>
      </c>
      <c r="J444" s="51" t="s">
        <v>1847</v>
      </c>
      <c r="K444" s="7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33">
        <v>7995.77</v>
      </c>
      <c r="AB444" s="10"/>
      <c r="AC444" s="33">
        <v>7995.77</v>
      </c>
      <c r="AD444" s="10">
        <f t="shared" si="5"/>
        <v>0</v>
      </c>
      <c r="AE444" s="82"/>
    </row>
    <row r="445" spans="1:32" x14ac:dyDescent="0.25">
      <c r="A445" s="7" t="s">
        <v>2021</v>
      </c>
      <c r="B445" s="9" t="s">
        <v>2070</v>
      </c>
      <c r="C445" s="70">
        <v>44859</v>
      </c>
      <c r="D445" s="70">
        <v>44859</v>
      </c>
      <c r="E445" s="73"/>
      <c r="F445" s="9"/>
      <c r="H445" s="9"/>
      <c r="I445" s="7" t="s">
        <v>82</v>
      </c>
      <c r="J445" s="51" t="s">
        <v>54</v>
      </c>
      <c r="K445" s="7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>
        <v>300000</v>
      </c>
      <c r="AA445" s="33"/>
      <c r="AB445" s="10"/>
      <c r="AC445" s="33">
        <v>300000</v>
      </c>
      <c r="AD445" s="10">
        <f t="shared" si="5"/>
        <v>0</v>
      </c>
      <c r="AE445" s="82"/>
    </row>
    <row r="446" spans="1:32" s="39" customFormat="1" x14ac:dyDescent="0.25">
      <c r="A446" s="20"/>
      <c r="B446" s="19"/>
      <c r="C446" s="72"/>
      <c r="D446" s="72"/>
      <c r="E446" s="77"/>
      <c r="F446" s="19"/>
      <c r="G446" s="19"/>
      <c r="H446" s="19"/>
      <c r="I446" s="20"/>
      <c r="J446" s="20"/>
      <c r="K446" s="20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32"/>
      <c r="AB446" s="22"/>
      <c r="AC446" s="32"/>
      <c r="AD446" s="22"/>
      <c r="AE446" s="96"/>
      <c r="AF446" s="35"/>
    </row>
    <row r="447" spans="1:32" s="39" customFormat="1" x14ac:dyDescent="0.25">
      <c r="A447" s="25">
        <v>44866</v>
      </c>
      <c r="B447" s="19"/>
      <c r="C447" s="72"/>
      <c r="D447" s="72"/>
      <c r="E447" s="77"/>
      <c r="F447" s="19"/>
      <c r="G447" s="19"/>
      <c r="H447" s="19"/>
      <c r="I447" s="20"/>
      <c r="J447" s="20"/>
      <c r="K447" s="20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32"/>
      <c r="AB447" s="22"/>
      <c r="AC447" s="32"/>
      <c r="AD447" s="22"/>
      <c r="AE447" s="96"/>
      <c r="AF447" s="35"/>
    </row>
    <row r="448" spans="1:32" x14ac:dyDescent="0.25">
      <c r="A448" s="7" t="s">
        <v>2022</v>
      </c>
      <c r="B448" s="9">
        <v>3996670</v>
      </c>
      <c r="C448" s="70">
        <v>44867</v>
      </c>
      <c r="D448" s="70">
        <v>44867</v>
      </c>
      <c r="E448" s="73"/>
      <c r="F448" s="9"/>
      <c r="H448" s="9"/>
      <c r="I448" s="7" t="s">
        <v>2074</v>
      </c>
      <c r="J448" s="51" t="s">
        <v>46</v>
      </c>
      <c r="K448" s="7"/>
      <c r="L448" s="10">
        <v>1151</v>
      </c>
      <c r="M448" s="10"/>
      <c r="N448" s="10"/>
      <c r="O448" s="10"/>
      <c r="P448" s="10"/>
      <c r="Q448" s="10"/>
      <c r="R448" s="10"/>
      <c r="S448" s="10">
        <v>9591.67</v>
      </c>
      <c r="T448" s="10"/>
      <c r="U448" s="10"/>
      <c r="V448" s="10"/>
      <c r="W448" s="10"/>
      <c r="X448" s="10"/>
      <c r="Y448" s="10"/>
      <c r="Z448" s="10"/>
      <c r="AA448" s="33"/>
      <c r="AB448" s="10"/>
      <c r="AC448" s="33">
        <v>10742.67</v>
      </c>
      <c r="AD448" s="10">
        <f t="shared" si="5"/>
        <v>0</v>
      </c>
      <c r="AE448" s="82"/>
      <c r="AF448" s="17">
        <v>195.32</v>
      </c>
    </row>
    <row r="449" spans="1:32" x14ac:dyDescent="0.25">
      <c r="A449" s="7" t="s">
        <v>2023</v>
      </c>
      <c r="B449" s="9">
        <v>3996671</v>
      </c>
      <c r="C449" s="70">
        <v>44867</v>
      </c>
      <c r="D449" s="70">
        <v>44867</v>
      </c>
      <c r="E449" s="73"/>
      <c r="F449" s="9"/>
      <c r="H449" s="9"/>
      <c r="I449" s="7" t="s">
        <v>2075</v>
      </c>
      <c r="J449" s="51" t="s">
        <v>1996</v>
      </c>
      <c r="K449" s="7"/>
      <c r="L449" s="10"/>
      <c r="M449" s="10">
        <v>37500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33"/>
      <c r="AB449" s="10"/>
      <c r="AC449" s="33">
        <v>37500</v>
      </c>
      <c r="AD449" s="10">
        <f t="shared" si="5"/>
        <v>0</v>
      </c>
      <c r="AE449" s="82"/>
    </row>
    <row r="450" spans="1:32" x14ac:dyDescent="0.25">
      <c r="A450" s="7" t="s">
        <v>2024</v>
      </c>
      <c r="B450" s="9">
        <v>3996672</v>
      </c>
      <c r="C450" s="70">
        <v>44867</v>
      </c>
      <c r="D450" s="70">
        <v>44867</v>
      </c>
      <c r="E450" s="73"/>
      <c r="F450" s="9"/>
      <c r="H450" s="9"/>
      <c r="I450" s="7" t="s">
        <v>2076</v>
      </c>
      <c r="J450" s="51" t="s">
        <v>34</v>
      </c>
      <c r="K450" s="7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33">
        <v>10000</v>
      </c>
      <c r="AB450" s="10"/>
      <c r="AC450" s="33">
        <v>10000</v>
      </c>
      <c r="AD450" s="10">
        <f t="shared" si="5"/>
        <v>0</v>
      </c>
      <c r="AE450" s="82"/>
    </row>
    <row r="451" spans="1:32" x14ac:dyDescent="0.25">
      <c r="A451" s="7" t="s">
        <v>2025</v>
      </c>
      <c r="B451" s="9">
        <v>3996673</v>
      </c>
      <c r="C451" s="70">
        <v>44867</v>
      </c>
      <c r="D451" s="70">
        <v>44867</v>
      </c>
      <c r="E451" s="73"/>
      <c r="F451" s="9"/>
      <c r="H451" s="9" t="s">
        <v>2081</v>
      </c>
      <c r="I451" s="7" t="s">
        <v>2077</v>
      </c>
      <c r="J451" s="51" t="s">
        <v>39</v>
      </c>
      <c r="K451" s="7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33">
        <v>4800</v>
      </c>
      <c r="AB451" s="10"/>
      <c r="AC451" s="33">
        <v>4800</v>
      </c>
      <c r="AD451" s="10">
        <f t="shared" si="5"/>
        <v>0</v>
      </c>
      <c r="AE451" s="82"/>
    </row>
    <row r="452" spans="1:32" x14ac:dyDescent="0.25">
      <c r="A452" s="7" t="s">
        <v>2026</v>
      </c>
      <c r="B452" s="9">
        <v>3996674</v>
      </c>
      <c r="C452" s="70">
        <v>44872</v>
      </c>
      <c r="D452" s="70">
        <v>44872</v>
      </c>
      <c r="E452" s="73"/>
      <c r="F452" s="9"/>
      <c r="H452" s="9"/>
      <c r="I452" s="7" t="s">
        <v>2082</v>
      </c>
      <c r="J452" s="51" t="s">
        <v>65</v>
      </c>
      <c r="K452" s="7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33">
        <v>8655</v>
      </c>
      <c r="AB452" s="10"/>
      <c r="AC452" s="33">
        <v>8655</v>
      </c>
      <c r="AD452" s="10">
        <f t="shared" si="5"/>
        <v>0</v>
      </c>
      <c r="AE452" s="82"/>
    </row>
    <row r="453" spans="1:32" x14ac:dyDescent="0.25">
      <c r="A453" s="7" t="s">
        <v>2027</v>
      </c>
      <c r="B453" s="9">
        <v>3996675</v>
      </c>
      <c r="C453" s="70">
        <v>44872</v>
      </c>
      <c r="D453" s="70">
        <v>44872</v>
      </c>
      <c r="E453" s="73"/>
      <c r="F453" s="9"/>
      <c r="H453" s="9" t="s">
        <v>2089</v>
      </c>
      <c r="I453" s="7" t="s">
        <v>114</v>
      </c>
      <c r="J453" s="51" t="s">
        <v>65</v>
      </c>
      <c r="K453" s="7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33">
        <v>9275.75</v>
      </c>
      <c r="AB453" s="10"/>
      <c r="AC453" s="33">
        <v>9275.75</v>
      </c>
      <c r="AD453" s="10">
        <f t="shared" si="5"/>
        <v>0</v>
      </c>
      <c r="AE453" s="82"/>
    </row>
    <row r="454" spans="1:32" x14ac:dyDescent="0.25">
      <c r="A454" s="7" t="s">
        <v>2028</v>
      </c>
      <c r="B454" s="9">
        <v>3996676</v>
      </c>
      <c r="C454" s="70">
        <v>44872</v>
      </c>
      <c r="D454" s="70">
        <v>44872</v>
      </c>
      <c r="E454" s="73"/>
      <c r="F454" s="9"/>
      <c r="H454" s="9" t="s">
        <v>2090</v>
      </c>
      <c r="I454" s="7" t="s">
        <v>1174</v>
      </c>
      <c r="J454" s="51" t="s">
        <v>65</v>
      </c>
      <c r="K454" s="7"/>
      <c r="L454" s="10"/>
      <c r="M454" s="10"/>
      <c r="N454" s="10"/>
      <c r="O454" s="10"/>
      <c r="P454" s="10"/>
      <c r="Q454" s="10"/>
      <c r="R454" s="10"/>
      <c r="S454" s="10"/>
      <c r="T454" s="10">
        <v>9461</v>
      </c>
      <c r="U454" s="10"/>
      <c r="V454" s="10"/>
      <c r="W454" s="10"/>
      <c r="X454" s="10"/>
      <c r="Y454" s="10"/>
      <c r="Z454" s="10"/>
      <c r="AA454" s="33"/>
      <c r="AB454" s="10"/>
      <c r="AC454" s="33">
        <v>9461</v>
      </c>
      <c r="AD454" s="10">
        <f t="shared" si="5"/>
        <v>0</v>
      </c>
      <c r="AE454" s="82"/>
    </row>
    <row r="455" spans="1:32" x14ac:dyDescent="0.25">
      <c r="A455" s="7" t="s">
        <v>2029</v>
      </c>
      <c r="B455" s="9">
        <v>3996677</v>
      </c>
      <c r="C455" s="70">
        <v>44901</v>
      </c>
      <c r="D455" s="70">
        <v>44872</v>
      </c>
      <c r="E455" s="73">
        <v>44872</v>
      </c>
      <c r="F455" s="9" t="s">
        <v>2118</v>
      </c>
      <c r="G455" s="9" t="s">
        <v>1357</v>
      </c>
      <c r="H455" s="9"/>
      <c r="I455" s="7" t="s">
        <v>1014</v>
      </c>
      <c r="J455" s="51" t="s">
        <v>2087</v>
      </c>
      <c r="K455" s="7" t="s">
        <v>2088</v>
      </c>
      <c r="L455" s="10">
        <v>2678.57</v>
      </c>
      <c r="M455" s="10">
        <v>22321.43</v>
      </c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33"/>
      <c r="AB455" s="10"/>
      <c r="AC455" s="33">
        <v>25000</v>
      </c>
      <c r="AD455" s="10">
        <f t="shared" si="5"/>
        <v>0</v>
      </c>
      <c r="AE455" s="82"/>
      <c r="AF455" s="17">
        <v>223.21</v>
      </c>
    </row>
    <row r="456" spans="1:32" x14ac:dyDescent="0.25">
      <c r="A456" s="7" t="s">
        <v>2030</v>
      </c>
      <c r="B456" s="9">
        <v>3996678</v>
      </c>
      <c r="C456" s="70">
        <v>44872</v>
      </c>
      <c r="D456" s="70">
        <v>44872</v>
      </c>
      <c r="E456" s="73"/>
      <c r="F456" s="9"/>
      <c r="H456" s="9"/>
      <c r="I456" s="7" t="s">
        <v>2086</v>
      </c>
      <c r="J456" s="51" t="s">
        <v>18</v>
      </c>
      <c r="K456" s="7"/>
      <c r="L456" s="10">
        <v>151.09</v>
      </c>
      <c r="M456" s="10"/>
      <c r="N456" s="10"/>
      <c r="O456" s="10"/>
      <c r="P456" s="10"/>
      <c r="Q456" s="10"/>
      <c r="R456" s="10">
        <v>1259.06</v>
      </c>
      <c r="S456" s="10"/>
      <c r="T456" s="10"/>
      <c r="U456" s="10"/>
      <c r="V456" s="10"/>
      <c r="W456" s="10"/>
      <c r="X456" s="10"/>
      <c r="Y456" s="10"/>
      <c r="Z456" s="10"/>
      <c r="AA456" s="33"/>
      <c r="AB456" s="10"/>
      <c r="AC456" s="33">
        <v>1410.15</v>
      </c>
      <c r="AD456" s="10">
        <f t="shared" si="5"/>
        <v>0</v>
      </c>
      <c r="AE456" s="82"/>
    </row>
    <row r="457" spans="1:32" x14ac:dyDescent="0.25">
      <c r="A457" s="7" t="s">
        <v>2031</v>
      </c>
      <c r="B457" s="9">
        <v>3996679</v>
      </c>
      <c r="C457" s="70">
        <v>44872</v>
      </c>
      <c r="D457" s="70">
        <v>44872</v>
      </c>
      <c r="E457" s="73"/>
      <c r="F457" s="9"/>
      <c r="H457" s="9"/>
      <c r="I457" s="7" t="s">
        <v>2086</v>
      </c>
      <c r="J457" s="51" t="s">
        <v>18</v>
      </c>
      <c r="K457" s="7"/>
      <c r="L457" s="10">
        <v>811.09</v>
      </c>
      <c r="M457" s="10"/>
      <c r="N457" s="10"/>
      <c r="O457" s="10"/>
      <c r="P457" s="10"/>
      <c r="Q457" s="10"/>
      <c r="R457" s="10">
        <v>6759.06</v>
      </c>
      <c r="S457" s="10"/>
      <c r="T457" s="10"/>
      <c r="U457" s="10"/>
      <c r="V457" s="10"/>
      <c r="W457" s="10"/>
      <c r="X457" s="10"/>
      <c r="Y457" s="10"/>
      <c r="Z457" s="10"/>
      <c r="AA457" s="33"/>
      <c r="AB457" s="10"/>
      <c r="AC457" s="33">
        <v>7570.15</v>
      </c>
      <c r="AD457" s="10">
        <f t="shared" si="5"/>
        <v>0</v>
      </c>
      <c r="AE457" s="82"/>
    </row>
    <row r="458" spans="1:32" x14ac:dyDescent="0.25">
      <c r="A458" s="7" t="s">
        <v>2032</v>
      </c>
      <c r="B458" s="9">
        <v>3996680</v>
      </c>
      <c r="C458" s="70">
        <v>44872</v>
      </c>
      <c r="D458" s="70">
        <v>44872</v>
      </c>
      <c r="E458" s="73"/>
      <c r="F458" s="9"/>
      <c r="H458" s="9"/>
      <c r="I458" s="7" t="s">
        <v>2083</v>
      </c>
      <c r="J458" s="51" t="s">
        <v>43</v>
      </c>
      <c r="K458" s="7"/>
      <c r="L458" s="10">
        <v>64.290000000000006</v>
      </c>
      <c r="M458" s="10"/>
      <c r="N458" s="10"/>
      <c r="O458" s="10"/>
      <c r="P458" s="10"/>
      <c r="Q458" s="10"/>
      <c r="R458" s="10"/>
      <c r="S458" s="10">
        <v>535.71</v>
      </c>
      <c r="T458" s="10"/>
      <c r="U458" s="10"/>
      <c r="V458" s="10"/>
      <c r="W458" s="10"/>
      <c r="X458" s="10"/>
      <c r="Y458" s="10"/>
      <c r="Z458" s="10"/>
      <c r="AA458" s="33"/>
      <c r="AB458" s="10"/>
      <c r="AC458" s="33">
        <v>600</v>
      </c>
      <c r="AD458" s="10">
        <f t="shared" si="5"/>
        <v>0</v>
      </c>
      <c r="AE458" s="82"/>
    </row>
    <row r="459" spans="1:32" x14ac:dyDescent="0.25">
      <c r="A459" s="7" t="s">
        <v>2033</v>
      </c>
      <c r="B459" s="9">
        <v>3996681</v>
      </c>
      <c r="C459" s="70">
        <v>44898</v>
      </c>
      <c r="D459" s="70">
        <v>44872</v>
      </c>
      <c r="E459" s="73">
        <v>44872</v>
      </c>
      <c r="F459" s="9" t="s">
        <v>2084</v>
      </c>
      <c r="G459" s="9" t="s">
        <v>1349</v>
      </c>
      <c r="H459" s="9"/>
      <c r="I459" s="7" t="s">
        <v>2065</v>
      </c>
      <c r="J459" s="51" t="s">
        <v>52</v>
      </c>
      <c r="K459" s="7" t="s">
        <v>2066</v>
      </c>
      <c r="L459" s="10">
        <v>8153.04</v>
      </c>
      <c r="M459" s="10">
        <v>67941.960000000006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33"/>
      <c r="AB459" s="10"/>
      <c r="AC459" s="33">
        <v>76095</v>
      </c>
      <c r="AD459" s="10">
        <f>SUM(AB459:AC459)-SUM(L459:AA459)</f>
        <v>0</v>
      </c>
      <c r="AE459" s="82"/>
      <c r="AF459" s="17">
        <v>679.42</v>
      </c>
    </row>
    <row r="460" spans="1:32" x14ac:dyDescent="0.25">
      <c r="A460" s="7" t="s">
        <v>2034</v>
      </c>
      <c r="B460" s="9" t="s">
        <v>2085</v>
      </c>
      <c r="C460" s="70">
        <v>44872</v>
      </c>
      <c r="D460" s="70">
        <v>44872</v>
      </c>
      <c r="E460" s="73"/>
      <c r="F460" s="9"/>
      <c r="H460" s="9"/>
      <c r="I460" s="7" t="s">
        <v>82</v>
      </c>
      <c r="J460" s="51" t="s">
        <v>54</v>
      </c>
      <c r="K460" s="7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>
        <v>250000</v>
      </c>
      <c r="AA460" s="33"/>
      <c r="AB460" s="10"/>
      <c r="AC460" s="33">
        <v>250000</v>
      </c>
      <c r="AD460" s="10">
        <f t="shared" si="5"/>
        <v>0</v>
      </c>
      <c r="AE460" s="82"/>
    </row>
    <row r="461" spans="1:32" x14ac:dyDescent="0.25">
      <c r="A461" s="7" t="s">
        <v>2035</v>
      </c>
      <c r="B461" s="9" t="s">
        <v>2107</v>
      </c>
      <c r="C461" s="70">
        <v>44879</v>
      </c>
      <c r="D461" s="70">
        <v>44879</v>
      </c>
      <c r="E461" s="73"/>
      <c r="F461" s="9"/>
      <c r="H461" s="9"/>
      <c r="I461" s="7" t="s">
        <v>2108</v>
      </c>
      <c r="J461" s="51" t="s">
        <v>2109</v>
      </c>
      <c r="K461" s="7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33">
        <v>10000</v>
      </c>
      <c r="AB461" s="10"/>
      <c r="AC461" s="33">
        <v>10000</v>
      </c>
      <c r="AD461" s="10">
        <f t="shared" si="5"/>
        <v>0</v>
      </c>
      <c r="AE461" s="82"/>
    </row>
    <row r="462" spans="1:32" x14ac:dyDescent="0.25">
      <c r="A462" s="7" t="s">
        <v>2036</v>
      </c>
      <c r="B462" s="9">
        <v>3996682</v>
      </c>
      <c r="C462" s="70">
        <v>44879</v>
      </c>
      <c r="D462" s="70">
        <v>44879</v>
      </c>
      <c r="E462" s="73">
        <v>44882</v>
      </c>
      <c r="F462" s="9" t="s">
        <v>2111</v>
      </c>
      <c r="H462" s="9"/>
      <c r="I462" s="7" t="s">
        <v>2110</v>
      </c>
      <c r="J462" s="51" t="s">
        <v>1226</v>
      </c>
      <c r="K462" s="7" t="s">
        <v>1039</v>
      </c>
      <c r="L462" s="10">
        <v>122.14</v>
      </c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33">
        <v>1017.86</v>
      </c>
      <c r="AB462" s="10"/>
      <c r="AC462" s="33">
        <v>1140</v>
      </c>
      <c r="AD462" s="10">
        <f t="shared" si="5"/>
        <v>0</v>
      </c>
      <c r="AE462" s="82"/>
      <c r="AF462" s="17">
        <v>20.18</v>
      </c>
    </row>
    <row r="463" spans="1:32" x14ac:dyDescent="0.25">
      <c r="A463" s="7" t="s">
        <v>2037</v>
      </c>
      <c r="B463" s="9">
        <v>3996683</v>
      </c>
      <c r="C463" s="70">
        <v>44879</v>
      </c>
      <c r="D463" s="70">
        <v>44879</v>
      </c>
      <c r="E463" s="73"/>
      <c r="F463" s="9" t="s">
        <v>2112</v>
      </c>
      <c r="H463" s="9"/>
      <c r="I463" s="7" t="s">
        <v>63</v>
      </c>
      <c r="J463" s="51" t="s">
        <v>109</v>
      </c>
      <c r="K463" s="7"/>
      <c r="L463" s="10"/>
      <c r="M463" s="10"/>
      <c r="N463" s="10">
        <v>134418.9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33"/>
      <c r="AB463" s="10"/>
      <c r="AC463" s="33">
        <v>134418.9</v>
      </c>
      <c r="AD463" s="10">
        <f t="shared" si="5"/>
        <v>0</v>
      </c>
      <c r="AE463" s="82"/>
    </row>
    <row r="464" spans="1:32" x14ac:dyDescent="0.25">
      <c r="A464" s="7" t="s">
        <v>2038</v>
      </c>
      <c r="B464" s="9">
        <v>3996684</v>
      </c>
      <c r="C464" s="70">
        <v>44901</v>
      </c>
      <c r="D464" s="70">
        <v>44879</v>
      </c>
      <c r="E464" s="73">
        <v>44879</v>
      </c>
      <c r="F464" s="9" t="s">
        <v>2140</v>
      </c>
      <c r="G464" s="9" t="s">
        <v>1356</v>
      </c>
      <c r="H464" s="9"/>
      <c r="I464" s="7" t="s">
        <v>756</v>
      </c>
      <c r="J464" s="51" t="s">
        <v>37</v>
      </c>
      <c r="K464" s="7" t="s">
        <v>38</v>
      </c>
      <c r="L464" s="10">
        <v>4682.1400000000003</v>
      </c>
      <c r="M464" s="10">
        <v>39017.86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33"/>
      <c r="AB464" s="10"/>
      <c r="AC464" s="33">
        <v>43700</v>
      </c>
      <c r="AD464" s="10">
        <f t="shared" si="5"/>
        <v>0</v>
      </c>
      <c r="AE464" s="82"/>
      <c r="AF464" s="17">
        <v>390.18</v>
      </c>
    </row>
    <row r="465" spans="1:32" x14ac:dyDescent="0.25">
      <c r="A465" s="7" t="s">
        <v>2092</v>
      </c>
      <c r="B465" s="9">
        <v>3996685</v>
      </c>
      <c r="C465" s="70">
        <v>44908</v>
      </c>
      <c r="D465" s="70">
        <v>44879</v>
      </c>
      <c r="E465" s="73">
        <v>44880</v>
      </c>
      <c r="F465" s="9" t="s">
        <v>2115</v>
      </c>
      <c r="G465" s="9" t="s">
        <v>1358</v>
      </c>
      <c r="H465" s="9"/>
      <c r="I465" s="7" t="s">
        <v>2114</v>
      </c>
      <c r="J465" s="51" t="s">
        <v>60</v>
      </c>
      <c r="K465" s="7" t="s">
        <v>61</v>
      </c>
      <c r="L465" s="10">
        <v>1125</v>
      </c>
      <c r="M465" s="10">
        <v>9375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33"/>
      <c r="AB465" s="10"/>
      <c r="AC465" s="33">
        <v>10500</v>
      </c>
      <c r="AD465" s="10">
        <f t="shared" si="5"/>
        <v>0</v>
      </c>
      <c r="AE465" s="82"/>
      <c r="AF465" s="17">
        <v>93.75</v>
      </c>
    </row>
    <row r="466" spans="1:32" x14ac:dyDescent="0.25">
      <c r="A466" s="7" t="s">
        <v>2093</v>
      </c>
      <c r="B466" s="9">
        <v>3996686</v>
      </c>
      <c r="C466" s="70">
        <v>44908</v>
      </c>
      <c r="D466" s="70">
        <v>44879</v>
      </c>
      <c r="E466" s="73"/>
      <c r="F466" s="9"/>
      <c r="G466" s="9" t="s">
        <v>1381</v>
      </c>
      <c r="H466" s="9"/>
      <c r="I466" s="7" t="s">
        <v>1417</v>
      </c>
      <c r="J466" s="7" t="s">
        <v>1417</v>
      </c>
      <c r="K466" s="7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33"/>
      <c r="AB466" s="10"/>
      <c r="AC466" s="33"/>
      <c r="AD466" s="10">
        <f t="shared" si="5"/>
        <v>0</v>
      </c>
      <c r="AE466" s="82"/>
    </row>
    <row r="467" spans="1:32" x14ac:dyDescent="0.25">
      <c r="A467" s="7" t="s">
        <v>2094</v>
      </c>
      <c r="B467" s="9">
        <v>3996687</v>
      </c>
      <c r="C467" s="70">
        <v>44879</v>
      </c>
      <c r="D467" s="70">
        <v>44879</v>
      </c>
      <c r="E467" s="73"/>
      <c r="F467" s="9"/>
      <c r="H467" s="9"/>
      <c r="I467" s="7" t="s">
        <v>118</v>
      </c>
      <c r="J467" s="51" t="s">
        <v>1847</v>
      </c>
      <c r="K467" s="7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33">
        <v>13548.4</v>
      </c>
      <c r="AB467" s="10"/>
      <c r="AC467" s="33">
        <v>13548.4</v>
      </c>
      <c r="AD467" s="10">
        <f t="shared" si="5"/>
        <v>0</v>
      </c>
      <c r="AE467" s="82"/>
    </row>
    <row r="468" spans="1:32" x14ac:dyDescent="0.25">
      <c r="A468" s="7" t="s">
        <v>2095</v>
      </c>
      <c r="B468" s="9">
        <v>3996688</v>
      </c>
      <c r="C468" s="70">
        <v>44883</v>
      </c>
      <c r="D468" s="70">
        <v>44883</v>
      </c>
      <c r="E468" s="73"/>
      <c r="F468" s="9"/>
      <c r="H468" s="9"/>
      <c r="I468" s="7" t="s">
        <v>2116</v>
      </c>
      <c r="J468" s="51" t="s">
        <v>46</v>
      </c>
      <c r="K468" s="7"/>
      <c r="L468" s="10">
        <v>160.61000000000001</v>
      </c>
      <c r="M468" s="10"/>
      <c r="N468" s="10"/>
      <c r="O468" s="10"/>
      <c r="P468" s="10"/>
      <c r="Q468" s="10"/>
      <c r="R468" s="10"/>
      <c r="S468" s="10">
        <v>1338.39</v>
      </c>
      <c r="T468" s="10"/>
      <c r="U468" s="10"/>
      <c r="V468" s="10"/>
      <c r="W468" s="10"/>
      <c r="X468" s="10"/>
      <c r="Y468" s="10"/>
      <c r="Z468" s="10"/>
      <c r="AA468" s="33"/>
      <c r="AB468" s="10"/>
      <c r="AC468" s="33">
        <v>1499</v>
      </c>
      <c r="AD468" s="10">
        <f t="shared" si="5"/>
        <v>0</v>
      </c>
      <c r="AE468" s="82"/>
    </row>
    <row r="469" spans="1:32" x14ac:dyDescent="0.25">
      <c r="A469" s="7" t="s">
        <v>2096</v>
      </c>
      <c r="B469" s="9">
        <v>3996689</v>
      </c>
      <c r="C469" s="70">
        <v>44883</v>
      </c>
      <c r="D469" s="70">
        <v>44883</v>
      </c>
      <c r="E469" s="73"/>
      <c r="F469" s="9"/>
      <c r="H469" s="9"/>
      <c r="I469" s="7" t="s">
        <v>2117</v>
      </c>
      <c r="J469" s="51" t="s">
        <v>46</v>
      </c>
      <c r="K469" s="7"/>
      <c r="L469" s="10">
        <v>107.04</v>
      </c>
      <c r="M469" s="10"/>
      <c r="N469" s="10"/>
      <c r="O469" s="10"/>
      <c r="P469" s="10"/>
      <c r="Q469" s="10"/>
      <c r="R469" s="10"/>
      <c r="S469" s="10">
        <v>891.96</v>
      </c>
      <c r="T469" s="10"/>
      <c r="U469" s="10"/>
      <c r="V469" s="10"/>
      <c r="W469" s="10"/>
      <c r="X469" s="10"/>
      <c r="Y469" s="10"/>
      <c r="Z469" s="10"/>
      <c r="AA469" s="33"/>
      <c r="AB469" s="10"/>
      <c r="AC469" s="33">
        <v>999</v>
      </c>
      <c r="AD469" s="10">
        <f t="shared" si="5"/>
        <v>0</v>
      </c>
      <c r="AE469" s="82"/>
    </row>
    <row r="470" spans="1:32" x14ac:dyDescent="0.25">
      <c r="A470" s="7" t="s">
        <v>2097</v>
      </c>
      <c r="B470" s="9">
        <v>3996690</v>
      </c>
      <c r="C470" s="70">
        <v>44883</v>
      </c>
      <c r="D470" s="70">
        <v>44883</v>
      </c>
      <c r="E470" s="73"/>
      <c r="F470" s="9"/>
      <c r="H470" s="9"/>
      <c r="I470" s="7" t="s">
        <v>2117</v>
      </c>
      <c r="J470" s="51" t="s">
        <v>46</v>
      </c>
      <c r="K470" s="7"/>
      <c r="L470" s="10">
        <v>107.04</v>
      </c>
      <c r="M470" s="10"/>
      <c r="N470" s="10"/>
      <c r="O470" s="10"/>
      <c r="P470" s="10"/>
      <c r="Q470" s="10"/>
      <c r="R470" s="10"/>
      <c r="S470" s="10">
        <v>891.96</v>
      </c>
      <c r="T470" s="10"/>
      <c r="U470" s="10"/>
      <c r="V470" s="10"/>
      <c r="W470" s="10"/>
      <c r="X470" s="10"/>
      <c r="Y470" s="10"/>
      <c r="Z470" s="10"/>
      <c r="AA470" s="33"/>
      <c r="AB470" s="10"/>
      <c r="AC470" s="33">
        <v>999</v>
      </c>
      <c r="AD470" s="10">
        <f t="shared" si="5"/>
        <v>0</v>
      </c>
      <c r="AE470" s="82"/>
    </row>
    <row r="471" spans="1:32" x14ac:dyDescent="0.25">
      <c r="A471" s="7" t="s">
        <v>2098</v>
      </c>
      <c r="B471" s="9">
        <v>3996691</v>
      </c>
      <c r="C471" s="70">
        <v>44883</v>
      </c>
      <c r="D471" s="70">
        <v>44883</v>
      </c>
      <c r="E471" s="73"/>
      <c r="F471" s="9"/>
      <c r="H471" s="9"/>
      <c r="I471" s="7" t="s">
        <v>2117</v>
      </c>
      <c r="J471" s="51" t="s">
        <v>46</v>
      </c>
      <c r="K471" s="7"/>
      <c r="L471" s="10">
        <v>107.04</v>
      </c>
      <c r="M471" s="10"/>
      <c r="N471" s="10"/>
      <c r="O471" s="10"/>
      <c r="P471" s="10"/>
      <c r="Q471" s="10"/>
      <c r="R471" s="10"/>
      <c r="S471" s="10">
        <v>891.96</v>
      </c>
      <c r="T471" s="10"/>
      <c r="U471" s="10"/>
      <c r="V471" s="10"/>
      <c r="W471" s="10"/>
      <c r="X471" s="10"/>
      <c r="Y471" s="10"/>
      <c r="Z471" s="10"/>
      <c r="AA471" s="33"/>
      <c r="AB471" s="10"/>
      <c r="AC471" s="33">
        <v>999</v>
      </c>
      <c r="AD471" s="10">
        <f t="shared" si="5"/>
        <v>0</v>
      </c>
      <c r="AE471" s="82"/>
    </row>
    <row r="472" spans="1:32" x14ac:dyDescent="0.25">
      <c r="A472" s="7" t="s">
        <v>2099</v>
      </c>
      <c r="B472" s="9">
        <v>3996692</v>
      </c>
      <c r="C472" s="70">
        <v>44883</v>
      </c>
      <c r="D472" s="70">
        <v>44883</v>
      </c>
      <c r="E472" s="73"/>
      <c r="F472" s="9"/>
      <c r="H472" s="9"/>
      <c r="I472" s="7" t="s">
        <v>2113</v>
      </c>
      <c r="J472" s="51" t="s">
        <v>44</v>
      </c>
      <c r="K472" s="7"/>
      <c r="L472" s="10">
        <v>735.51</v>
      </c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>
        <v>6129.28</v>
      </c>
      <c r="Y472" s="10"/>
      <c r="Z472" s="10"/>
      <c r="AA472" s="33"/>
      <c r="AB472" s="10"/>
      <c r="AC472" s="33">
        <v>6864.79</v>
      </c>
      <c r="AD472" s="10">
        <f t="shared" si="5"/>
        <v>0</v>
      </c>
      <c r="AE472" s="82"/>
    </row>
    <row r="473" spans="1:32" x14ac:dyDescent="0.25">
      <c r="A473" s="7" t="s">
        <v>2100</v>
      </c>
      <c r="B473" s="9" t="s">
        <v>2105</v>
      </c>
      <c r="C473" s="70">
        <v>44883</v>
      </c>
      <c r="D473" s="70">
        <v>44883</v>
      </c>
      <c r="E473" s="73"/>
      <c r="F473" s="9"/>
      <c r="H473" s="9" t="s">
        <v>2143</v>
      </c>
      <c r="I473" s="7" t="s">
        <v>2106</v>
      </c>
      <c r="J473" s="51" t="s">
        <v>39</v>
      </c>
      <c r="K473" s="7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33">
        <v>39706.639999999999</v>
      </c>
      <c r="AB473" s="10"/>
      <c r="AC473" s="33">
        <v>50000</v>
      </c>
      <c r="AD473" s="10">
        <f t="shared" si="5"/>
        <v>10293.36</v>
      </c>
      <c r="AE473" s="82" t="s">
        <v>2146</v>
      </c>
    </row>
    <row r="474" spans="1:32" x14ac:dyDescent="0.25">
      <c r="A474" s="7" t="s">
        <v>2101</v>
      </c>
      <c r="B474" s="9">
        <v>3996693</v>
      </c>
      <c r="C474" s="70">
        <v>44888</v>
      </c>
      <c r="D474" s="70">
        <v>44888</v>
      </c>
      <c r="E474" s="73"/>
      <c r="F474" s="9"/>
      <c r="H474" s="9" t="s">
        <v>2144</v>
      </c>
      <c r="I474" s="7" t="s">
        <v>1174</v>
      </c>
      <c r="J474" s="51" t="s">
        <v>65</v>
      </c>
      <c r="K474" s="7"/>
      <c r="L474" s="10"/>
      <c r="M474" s="10"/>
      <c r="N474" s="10"/>
      <c r="O474" s="10"/>
      <c r="P474" s="10"/>
      <c r="Q474" s="10"/>
      <c r="R474" s="10"/>
      <c r="S474" s="10"/>
      <c r="T474" s="10">
        <v>9937</v>
      </c>
      <c r="U474" s="10"/>
      <c r="V474" s="10"/>
      <c r="W474" s="10"/>
      <c r="X474" s="10"/>
      <c r="Y474" s="10"/>
      <c r="Z474" s="10"/>
      <c r="AA474" s="33"/>
      <c r="AB474" s="10"/>
      <c r="AC474" s="33">
        <v>9937</v>
      </c>
      <c r="AD474" s="10">
        <f t="shared" si="5"/>
        <v>0</v>
      </c>
      <c r="AE474" s="82"/>
    </row>
    <row r="475" spans="1:32" x14ac:dyDescent="0.25">
      <c r="A475" s="7" t="s">
        <v>2102</v>
      </c>
      <c r="B475" s="9">
        <v>3996694</v>
      </c>
      <c r="C475" s="47">
        <v>44888</v>
      </c>
      <c r="D475" s="70">
        <v>44888</v>
      </c>
      <c r="E475" s="73"/>
      <c r="F475" s="9"/>
      <c r="H475" s="9" t="s">
        <v>2145</v>
      </c>
      <c r="I475" s="7" t="s">
        <v>114</v>
      </c>
      <c r="J475" s="51" t="s">
        <v>65</v>
      </c>
      <c r="K475" s="7"/>
      <c r="L475" s="10"/>
      <c r="M475" s="10"/>
      <c r="N475" s="10"/>
      <c r="O475" s="10"/>
      <c r="P475" s="10"/>
      <c r="Q475" s="10"/>
      <c r="R475" s="10"/>
      <c r="S475" s="10"/>
      <c r="T475" s="10">
        <v>12750.75</v>
      </c>
      <c r="U475" s="10"/>
      <c r="V475" s="10"/>
      <c r="W475" s="10"/>
      <c r="X475" s="10"/>
      <c r="Y475" s="10"/>
      <c r="Z475" s="10"/>
      <c r="AA475" s="33"/>
      <c r="AB475" s="10"/>
      <c r="AC475" s="33">
        <v>12750.75</v>
      </c>
      <c r="AD475" s="10">
        <f t="shared" si="5"/>
        <v>0</v>
      </c>
      <c r="AE475" s="82"/>
    </row>
    <row r="476" spans="1:32" x14ac:dyDescent="0.25">
      <c r="A476" s="7" t="s">
        <v>2103</v>
      </c>
      <c r="B476" s="9">
        <v>3996695</v>
      </c>
      <c r="C476" s="47">
        <v>44888</v>
      </c>
      <c r="D476" s="70">
        <v>44888</v>
      </c>
      <c r="E476" s="73"/>
      <c r="F476" s="9"/>
      <c r="H476" s="9"/>
      <c r="I476" s="7" t="s">
        <v>2136</v>
      </c>
      <c r="J476" s="51" t="s">
        <v>46</v>
      </c>
      <c r="K476" s="7"/>
      <c r="L476" s="10">
        <v>982.53</v>
      </c>
      <c r="M476" s="10"/>
      <c r="N476" s="10"/>
      <c r="O476" s="10"/>
      <c r="P476" s="10"/>
      <c r="Q476" s="10"/>
      <c r="R476" s="10"/>
      <c r="S476" s="10">
        <v>8187.73</v>
      </c>
      <c r="T476" s="10"/>
      <c r="U476" s="10"/>
      <c r="V476" s="10"/>
      <c r="W476" s="10"/>
      <c r="X476" s="10"/>
      <c r="Y476" s="10"/>
      <c r="Z476" s="10"/>
      <c r="AA476" s="33"/>
      <c r="AB476" s="10"/>
      <c r="AC476" s="33">
        <v>9170.26</v>
      </c>
      <c r="AD476" s="10">
        <f t="shared" si="5"/>
        <v>0</v>
      </c>
      <c r="AE476" s="82"/>
      <c r="AF476" s="17">
        <v>166.73</v>
      </c>
    </row>
    <row r="477" spans="1:32" x14ac:dyDescent="0.25">
      <c r="A477" s="7" t="s">
        <v>2104</v>
      </c>
      <c r="B477" s="9">
        <v>3996696</v>
      </c>
      <c r="C477" s="47">
        <v>44911</v>
      </c>
      <c r="D477" s="70">
        <v>44888</v>
      </c>
      <c r="E477" s="73"/>
      <c r="F477" s="9"/>
      <c r="G477" s="9" t="s">
        <v>1342</v>
      </c>
      <c r="H477" s="9"/>
      <c r="I477" s="7" t="s">
        <v>2132</v>
      </c>
      <c r="J477" s="51" t="s">
        <v>83</v>
      </c>
      <c r="K477" s="7" t="s">
        <v>1336</v>
      </c>
      <c r="L477" s="10">
        <v>43586.36</v>
      </c>
      <c r="M477" s="10">
        <v>363219.64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33"/>
      <c r="AB477" s="10"/>
      <c r="AC477" s="33"/>
      <c r="AD477" s="10">
        <f t="shared" si="5"/>
        <v>-406806</v>
      </c>
      <c r="AE477" s="82"/>
      <c r="AF477" s="17">
        <v>3632.2</v>
      </c>
    </row>
    <row r="478" spans="1:32" x14ac:dyDescent="0.25">
      <c r="A478" s="7" t="s">
        <v>2119</v>
      </c>
      <c r="B478" s="9">
        <v>3996697</v>
      </c>
      <c r="C478" s="70">
        <v>44919</v>
      </c>
      <c r="D478" s="70">
        <v>44888</v>
      </c>
      <c r="E478" s="73">
        <v>44889</v>
      </c>
      <c r="F478" s="9" t="s">
        <v>2139</v>
      </c>
      <c r="G478" s="9" t="s">
        <v>1344</v>
      </c>
      <c r="H478" s="9"/>
      <c r="I478" s="7" t="s">
        <v>1001</v>
      </c>
      <c r="J478" s="51" t="s">
        <v>2087</v>
      </c>
      <c r="K478" s="7" t="s">
        <v>2088</v>
      </c>
      <c r="L478" s="10">
        <v>11250</v>
      </c>
      <c r="M478" s="10">
        <v>93750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33"/>
      <c r="AB478" s="10"/>
      <c r="AC478" s="33"/>
      <c r="AD478" s="10">
        <f t="shared" si="5"/>
        <v>-105000</v>
      </c>
      <c r="AE478" s="82"/>
      <c r="AF478" s="17">
        <v>937.5</v>
      </c>
    </row>
    <row r="479" spans="1:32" x14ac:dyDescent="0.25">
      <c r="A479" s="7" t="s">
        <v>2120</v>
      </c>
      <c r="B479" s="9">
        <v>3996698</v>
      </c>
      <c r="C479" s="70">
        <v>44909</v>
      </c>
      <c r="D479" s="70">
        <v>44888</v>
      </c>
      <c r="E479" s="73">
        <v>44889</v>
      </c>
      <c r="F479" s="9" t="s">
        <v>2142</v>
      </c>
      <c r="G479" s="9" t="s">
        <v>1380</v>
      </c>
      <c r="H479" s="9"/>
      <c r="I479" s="7" t="s">
        <v>2141</v>
      </c>
      <c r="J479" s="51" t="s">
        <v>37</v>
      </c>
      <c r="K479" s="7" t="s">
        <v>38</v>
      </c>
      <c r="L479" s="10">
        <v>6507.86</v>
      </c>
      <c r="M479" s="10">
        <v>54232.14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33"/>
      <c r="AB479" s="10"/>
      <c r="AC479" s="33">
        <v>60740</v>
      </c>
      <c r="AD479" s="10">
        <f t="shared" si="5"/>
        <v>0</v>
      </c>
      <c r="AE479" s="82"/>
      <c r="AF479" s="17">
        <v>542.32000000000005</v>
      </c>
    </row>
    <row r="480" spans="1:32" x14ac:dyDescent="0.25">
      <c r="A480" s="7" t="s">
        <v>2121</v>
      </c>
      <c r="B480" s="9">
        <v>3996699</v>
      </c>
      <c r="C480" s="70">
        <v>44920</v>
      </c>
      <c r="D480" s="70">
        <v>44888</v>
      </c>
      <c r="E480" s="73">
        <v>44896</v>
      </c>
      <c r="F480" s="9" t="s">
        <v>2163</v>
      </c>
      <c r="G480" s="9" t="s">
        <v>1381</v>
      </c>
      <c r="H480" s="9"/>
      <c r="I480" s="7" t="s">
        <v>2137</v>
      </c>
      <c r="J480" s="51" t="s">
        <v>2043</v>
      </c>
      <c r="K480" s="7" t="s">
        <v>2138</v>
      </c>
      <c r="L480" s="10">
        <v>1800</v>
      </c>
      <c r="M480" s="10">
        <v>15000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33"/>
      <c r="AB480" s="10"/>
      <c r="AC480" s="33">
        <v>16800</v>
      </c>
      <c r="AD480" s="10">
        <f t="shared" si="5"/>
        <v>0</v>
      </c>
      <c r="AE480" s="82"/>
      <c r="AF480" s="17">
        <v>150</v>
      </c>
    </row>
    <row r="481" spans="1:32" x14ac:dyDescent="0.25">
      <c r="A481" s="7" t="s">
        <v>2122</v>
      </c>
      <c r="B481" s="9">
        <v>3996700</v>
      </c>
      <c r="C481" s="70">
        <v>44888</v>
      </c>
      <c r="D481" s="70">
        <v>44888</v>
      </c>
      <c r="E481" s="73"/>
      <c r="F481" s="9"/>
      <c r="H481" s="9"/>
      <c r="I481" s="7" t="s">
        <v>2133</v>
      </c>
      <c r="J481" s="51" t="s">
        <v>43</v>
      </c>
      <c r="K481" s="7"/>
      <c r="L481" s="10">
        <v>210.07</v>
      </c>
      <c r="M481" s="10"/>
      <c r="N481" s="10"/>
      <c r="O481" s="10"/>
      <c r="P481" s="10"/>
      <c r="Q481" s="10"/>
      <c r="R481" s="10"/>
      <c r="S481" s="10">
        <v>1750.63</v>
      </c>
      <c r="T481" s="10"/>
      <c r="U481" s="10"/>
      <c r="V481" s="10"/>
      <c r="W481" s="10"/>
      <c r="X481" s="10"/>
      <c r="Y481" s="10"/>
      <c r="Z481" s="10"/>
      <c r="AA481" s="33"/>
      <c r="AB481" s="10"/>
      <c r="AC481" s="33">
        <v>1960.7</v>
      </c>
      <c r="AD481" s="10">
        <f t="shared" si="5"/>
        <v>0</v>
      </c>
      <c r="AE481" s="82"/>
    </row>
    <row r="482" spans="1:32" x14ac:dyDescent="0.25">
      <c r="A482" s="7" t="s">
        <v>2123</v>
      </c>
      <c r="B482" s="9" t="s">
        <v>2134</v>
      </c>
      <c r="C482" s="70">
        <v>44888</v>
      </c>
      <c r="D482" s="70">
        <v>44888</v>
      </c>
      <c r="E482" s="73"/>
      <c r="F482" s="9"/>
      <c r="H482" s="9"/>
      <c r="I482" s="7" t="s">
        <v>55</v>
      </c>
      <c r="J482" s="51" t="s">
        <v>54</v>
      </c>
      <c r="K482" s="7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>
        <v>300000</v>
      </c>
      <c r="AA482" s="33"/>
      <c r="AB482" s="10"/>
      <c r="AC482" s="33">
        <v>300000</v>
      </c>
      <c r="AD482" s="10">
        <f t="shared" si="5"/>
        <v>0</v>
      </c>
      <c r="AE482" s="82"/>
    </row>
    <row r="483" spans="1:32" x14ac:dyDescent="0.25">
      <c r="A483" s="7" t="s">
        <v>2124</v>
      </c>
      <c r="B483" s="9">
        <v>3996701</v>
      </c>
      <c r="C483" s="70">
        <v>44919</v>
      </c>
      <c r="D483" s="70">
        <v>44893</v>
      </c>
      <c r="E483" s="73">
        <v>44910</v>
      </c>
      <c r="F483" s="9" t="s">
        <v>2213</v>
      </c>
      <c r="G483" s="9" t="s">
        <v>1342</v>
      </c>
      <c r="H483" s="9"/>
      <c r="I483" s="7" t="s">
        <v>2150</v>
      </c>
      <c r="J483" s="51" t="s">
        <v>83</v>
      </c>
      <c r="K483" s="7" t="s">
        <v>1336</v>
      </c>
      <c r="L483" s="10">
        <v>2311.0700000000002</v>
      </c>
      <c r="M483" s="10">
        <v>19258.93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33"/>
      <c r="AB483" s="10"/>
      <c r="AC483" s="33">
        <v>21570</v>
      </c>
      <c r="AD483" s="10">
        <f t="shared" si="5"/>
        <v>0</v>
      </c>
      <c r="AE483" s="82"/>
      <c r="AF483" s="17">
        <v>192.59</v>
      </c>
    </row>
    <row r="484" spans="1:32" x14ac:dyDescent="0.25">
      <c r="A484" s="7" t="s">
        <v>2125</v>
      </c>
      <c r="B484" s="9">
        <v>3996702</v>
      </c>
      <c r="C484" s="70">
        <v>44918</v>
      </c>
      <c r="D484" s="70">
        <v>44893</v>
      </c>
      <c r="E484" s="73">
        <v>44894</v>
      </c>
      <c r="F484" s="9" t="s">
        <v>2164</v>
      </c>
      <c r="G484" s="9" t="s">
        <v>1382</v>
      </c>
      <c r="H484" s="9"/>
      <c r="I484" s="7" t="s">
        <v>2148</v>
      </c>
      <c r="J484" s="51" t="s">
        <v>37</v>
      </c>
      <c r="K484" s="7" t="s">
        <v>38</v>
      </c>
      <c r="L484" s="10">
        <v>7763.57</v>
      </c>
      <c r="M484" s="10">
        <v>64696.43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33"/>
      <c r="AB484" s="10"/>
      <c r="AC484" s="33">
        <v>72460</v>
      </c>
      <c r="AD484" s="10">
        <f t="shared" si="5"/>
        <v>0</v>
      </c>
      <c r="AE484" s="82"/>
      <c r="AF484" s="17">
        <v>646.96</v>
      </c>
    </row>
    <row r="485" spans="1:32" x14ac:dyDescent="0.25">
      <c r="A485" s="7" t="s">
        <v>2126</v>
      </c>
      <c r="B485" s="9">
        <v>3996703</v>
      </c>
      <c r="C485" s="70">
        <v>44893</v>
      </c>
      <c r="D485" s="70">
        <v>44893</v>
      </c>
      <c r="E485" s="73">
        <v>44910</v>
      </c>
      <c r="F485" s="9" t="s">
        <v>2212</v>
      </c>
      <c r="H485" s="9"/>
      <c r="I485" s="7" t="s">
        <v>2154</v>
      </c>
      <c r="J485" s="51" t="s">
        <v>54</v>
      </c>
      <c r="K485" s="7"/>
      <c r="L485" s="10">
        <v>160.71</v>
      </c>
      <c r="M485" s="10">
        <v>1339.29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33"/>
      <c r="AB485" s="10"/>
      <c r="AC485" s="33">
        <v>1500</v>
      </c>
      <c r="AD485" s="10">
        <f t="shared" si="5"/>
        <v>0</v>
      </c>
      <c r="AE485" s="82"/>
    </row>
    <row r="486" spans="1:32" x14ac:dyDescent="0.25">
      <c r="A486" s="7" t="s">
        <v>2127</v>
      </c>
      <c r="B486" s="9">
        <v>3996704</v>
      </c>
      <c r="C486" s="70">
        <v>44900</v>
      </c>
      <c r="D486" s="70">
        <v>44893</v>
      </c>
      <c r="E486" s="73"/>
      <c r="F486" s="9"/>
      <c r="H486" s="9"/>
      <c r="I486" s="7" t="s">
        <v>147</v>
      </c>
      <c r="J486" s="51" t="s">
        <v>39</v>
      </c>
      <c r="K486" s="7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33">
        <v>17277.5</v>
      </c>
      <c r="AB486" s="10"/>
      <c r="AC486" s="33">
        <v>17277.5</v>
      </c>
      <c r="AD486" s="10">
        <f t="shared" si="5"/>
        <v>0</v>
      </c>
      <c r="AE486" s="82"/>
    </row>
    <row r="487" spans="1:32" x14ac:dyDescent="0.25">
      <c r="A487" s="7" t="s">
        <v>2128</v>
      </c>
      <c r="B487" s="9">
        <v>3996705</v>
      </c>
      <c r="C487" s="70">
        <v>44893</v>
      </c>
      <c r="D487" s="70">
        <v>44893</v>
      </c>
      <c r="E487" s="73"/>
      <c r="F487" s="9"/>
      <c r="H487" s="9"/>
      <c r="I487" s="7" t="s">
        <v>2153</v>
      </c>
      <c r="J487" s="51" t="s">
        <v>126</v>
      </c>
      <c r="K487" s="7"/>
      <c r="L487" s="10">
        <v>3375</v>
      </c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33">
        <v>28125</v>
      </c>
      <c r="AB487" s="10"/>
      <c r="AC487" s="33"/>
      <c r="AD487" s="10">
        <f t="shared" si="5"/>
        <v>-31500</v>
      </c>
      <c r="AE487" s="82"/>
    </row>
    <row r="488" spans="1:32" x14ac:dyDescent="0.25">
      <c r="A488" s="7" t="s">
        <v>2129</v>
      </c>
      <c r="B488" s="9">
        <v>3996706</v>
      </c>
      <c r="C488" s="70">
        <v>44893</v>
      </c>
      <c r="D488" s="70">
        <v>44893</v>
      </c>
      <c r="E488" s="73"/>
      <c r="F488" s="9"/>
      <c r="H488" s="9"/>
      <c r="I488" s="7" t="s">
        <v>118</v>
      </c>
      <c r="J488" s="51" t="s">
        <v>1847</v>
      </c>
      <c r="K488" s="7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33">
        <v>10438.93</v>
      </c>
      <c r="AB488" s="10"/>
      <c r="AC488" s="33">
        <v>10438.93</v>
      </c>
      <c r="AD488" s="10">
        <f t="shared" si="5"/>
        <v>0</v>
      </c>
      <c r="AE488" s="82"/>
    </row>
    <row r="489" spans="1:32" x14ac:dyDescent="0.25">
      <c r="A489" s="7" t="s">
        <v>2130</v>
      </c>
      <c r="B489" s="9">
        <v>3996707</v>
      </c>
      <c r="C489" s="70">
        <v>44893</v>
      </c>
      <c r="D489" s="70">
        <v>44893</v>
      </c>
      <c r="E489" s="73"/>
      <c r="F489" s="9"/>
      <c r="H489" s="9"/>
      <c r="I489" s="7" t="s">
        <v>2149</v>
      </c>
      <c r="J489" s="51" t="s">
        <v>109</v>
      </c>
      <c r="K489" s="7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33">
        <v>16799.5</v>
      </c>
      <c r="AB489" s="10"/>
      <c r="AC489" s="33">
        <v>16799.5</v>
      </c>
      <c r="AD489" s="10">
        <f t="shared" si="5"/>
        <v>0</v>
      </c>
      <c r="AE489" s="82"/>
    </row>
    <row r="490" spans="1:32" x14ac:dyDescent="0.25">
      <c r="A490" s="7" t="s">
        <v>2131</v>
      </c>
      <c r="B490" s="9" t="s">
        <v>2151</v>
      </c>
      <c r="C490" s="70">
        <v>44893</v>
      </c>
      <c r="D490" s="70">
        <v>44893</v>
      </c>
      <c r="E490" s="73"/>
      <c r="F490" s="9"/>
      <c r="H490" s="9" t="s">
        <v>2226</v>
      </c>
      <c r="I490" s="7" t="s">
        <v>2152</v>
      </c>
      <c r="J490" s="51" t="s">
        <v>39</v>
      </c>
      <c r="K490" s="7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33">
        <v>120000</v>
      </c>
      <c r="AB490" s="10"/>
      <c r="AC490" s="33">
        <v>120000</v>
      </c>
      <c r="AD490" s="10">
        <f t="shared" ref="AD490:AD524" si="6">SUM(AB490:AC490)-SUM(L490:AA490)</f>
        <v>0</v>
      </c>
      <c r="AE490" s="82"/>
    </row>
    <row r="491" spans="1:32" s="39" customFormat="1" x14ac:dyDescent="0.25">
      <c r="A491" s="20"/>
      <c r="B491" s="19"/>
      <c r="C491" s="72"/>
      <c r="D491" s="72"/>
      <c r="E491" s="77"/>
      <c r="F491" s="19"/>
      <c r="G491" s="19"/>
      <c r="H491" s="19"/>
      <c r="I491" s="20"/>
      <c r="J491" s="20"/>
      <c r="K491" s="20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32"/>
      <c r="AB491" s="22"/>
      <c r="AC491" s="32"/>
      <c r="AD491" s="22"/>
      <c r="AE491" s="96"/>
      <c r="AF491" s="35"/>
    </row>
    <row r="492" spans="1:32" s="39" customFormat="1" x14ac:dyDescent="0.25">
      <c r="A492" s="25">
        <v>44896</v>
      </c>
      <c r="B492" s="19"/>
      <c r="C492" s="72"/>
      <c r="D492" s="72"/>
      <c r="E492" s="77"/>
      <c r="F492" s="19"/>
      <c r="G492" s="19"/>
      <c r="H492" s="19"/>
      <c r="I492" s="20"/>
      <c r="J492" s="20"/>
      <c r="K492" s="20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32"/>
      <c r="AB492" s="22"/>
      <c r="AC492" s="32"/>
      <c r="AD492" s="22"/>
      <c r="AE492" s="96"/>
      <c r="AF492" s="35"/>
    </row>
    <row r="493" spans="1:32" x14ac:dyDescent="0.25">
      <c r="A493" s="7" t="s">
        <v>2155</v>
      </c>
      <c r="B493" s="9" t="s">
        <v>2157</v>
      </c>
      <c r="C493" s="70">
        <v>44896</v>
      </c>
      <c r="D493" s="70">
        <v>44896</v>
      </c>
      <c r="E493" s="73"/>
      <c r="F493" s="9"/>
      <c r="H493" s="9"/>
      <c r="I493" s="7" t="s">
        <v>55</v>
      </c>
      <c r="J493" s="51" t="s">
        <v>54</v>
      </c>
      <c r="K493" s="7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>
        <v>400000</v>
      </c>
      <c r="AA493" s="33"/>
      <c r="AB493" s="10"/>
      <c r="AC493" s="33">
        <v>400000</v>
      </c>
      <c r="AD493" s="10">
        <f t="shared" si="6"/>
        <v>0</v>
      </c>
      <c r="AE493" s="82"/>
    </row>
    <row r="494" spans="1:32" x14ac:dyDescent="0.25">
      <c r="A494" s="7" t="s">
        <v>2156</v>
      </c>
      <c r="B494" s="9">
        <v>3996708</v>
      </c>
      <c r="C494" s="70">
        <v>44896</v>
      </c>
      <c r="D494" s="70">
        <v>44896</v>
      </c>
      <c r="E494" s="73"/>
      <c r="F494" s="9"/>
      <c r="H494" s="9" t="s">
        <v>2179</v>
      </c>
      <c r="I494" s="7" t="s">
        <v>1174</v>
      </c>
      <c r="J494" s="51" t="s">
        <v>65</v>
      </c>
      <c r="K494" s="7"/>
      <c r="L494" s="10"/>
      <c r="M494" s="10"/>
      <c r="N494" s="10"/>
      <c r="O494" s="10"/>
      <c r="P494" s="10"/>
      <c r="Q494" s="10"/>
      <c r="R494" s="10"/>
      <c r="S494" s="10"/>
      <c r="T494" s="10">
        <v>7403</v>
      </c>
      <c r="U494" s="10"/>
      <c r="V494" s="10"/>
      <c r="W494" s="10"/>
      <c r="X494" s="10"/>
      <c r="Y494" s="10"/>
      <c r="Z494" s="10"/>
      <c r="AA494" s="33"/>
      <c r="AB494" s="10"/>
      <c r="AC494" s="33">
        <v>7403</v>
      </c>
      <c r="AD494" s="10">
        <f t="shared" si="6"/>
        <v>0</v>
      </c>
      <c r="AE494" s="82"/>
    </row>
    <row r="495" spans="1:32" x14ac:dyDescent="0.25">
      <c r="A495" s="7" t="s">
        <v>2158</v>
      </c>
      <c r="B495" s="9">
        <v>3996709</v>
      </c>
      <c r="C495" s="88">
        <v>44923</v>
      </c>
      <c r="D495" s="70">
        <v>44896</v>
      </c>
      <c r="E495" s="73"/>
      <c r="F495" s="9"/>
      <c r="G495" s="9" t="s">
        <v>1383</v>
      </c>
      <c r="H495" s="9"/>
      <c r="I495" s="7" t="s">
        <v>2162</v>
      </c>
      <c r="J495" s="51" t="s">
        <v>37</v>
      </c>
      <c r="K495" s="7" t="s">
        <v>38</v>
      </c>
      <c r="L495" s="10">
        <v>6728.57</v>
      </c>
      <c r="M495" s="10">
        <v>56071.43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33"/>
      <c r="AB495" s="10"/>
      <c r="AC495" s="33"/>
      <c r="AD495" s="10">
        <f t="shared" si="6"/>
        <v>-62800</v>
      </c>
      <c r="AE495" s="82"/>
      <c r="AF495" s="17">
        <v>560.71</v>
      </c>
    </row>
    <row r="496" spans="1:32" x14ac:dyDescent="0.25">
      <c r="A496" s="7" t="s">
        <v>2159</v>
      </c>
      <c r="B496" s="9">
        <v>3996710</v>
      </c>
      <c r="C496" s="70">
        <v>44901</v>
      </c>
      <c r="D496" s="70">
        <v>44901</v>
      </c>
      <c r="E496" s="73"/>
      <c r="F496" s="9"/>
      <c r="H496" s="9"/>
      <c r="I496" s="7" t="s">
        <v>2171</v>
      </c>
      <c r="J496" s="51" t="s">
        <v>2172</v>
      </c>
      <c r="K496" s="7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33">
        <v>5200</v>
      </c>
      <c r="AB496" s="10"/>
      <c r="AC496" s="33">
        <v>5200</v>
      </c>
      <c r="AD496" s="10">
        <f t="shared" si="6"/>
        <v>0</v>
      </c>
      <c r="AE496" s="82"/>
    </row>
    <row r="497" spans="1:32" x14ac:dyDescent="0.25">
      <c r="A497" s="7" t="s">
        <v>2160</v>
      </c>
      <c r="B497" s="9">
        <v>3996711</v>
      </c>
      <c r="C497" s="70">
        <v>44901</v>
      </c>
      <c r="D497" s="70">
        <v>44901</v>
      </c>
      <c r="E497" s="73">
        <v>44907</v>
      </c>
      <c r="F497" s="9" t="s">
        <v>2177</v>
      </c>
      <c r="H497" s="9"/>
      <c r="I497" s="7" t="s">
        <v>2173</v>
      </c>
      <c r="J497" s="51" t="s">
        <v>1069</v>
      </c>
      <c r="K497" s="7" t="s">
        <v>2176</v>
      </c>
      <c r="L497" s="10">
        <v>1639.29</v>
      </c>
      <c r="M497" s="10">
        <v>13660.71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33"/>
      <c r="AB497" s="10"/>
      <c r="AC497" s="33">
        <v>15300</v>
      </c>
      <c r="AD497" s="10">
        <f t="shared" si="6"/>
        <v>0</v>
      </c>
      <c r="AE497" s="82"/>
    </row>
    <row r="498" spans="1:32" x14ac:dyDescent="0.25">
      <c r="A498" s="7" t="s">
        <v>2161</v>
      </c>
      <c r="B498" s="9">
        <v>3996712</v>
      </c>
      <c r="C498" s="70">
        <v>44907</v>
      </c>
      <c r="D498" s="70">
        <v>44907</v>
      </c>
      <c r="E498" s="73"/>
      <c r="F498" s="9"/>
      <c r="H498" s="9" t="s">
        <v>2180</v>
      </c>
      <c r="I498" s="7" t="s">
        <v>1174</v>
      </c>
      <c r="J498" s="51" t="s">
        <v>65</v>
      </c>
      <c r="K498" s="7"/>
      <c r="L498" s="10"/>
      <c r="M498" s="10"/>
      <c r="N498" s="10"/>
      <c r="O498" s="10"/>
      <c r="P498" s="10"/>
      <c r="Q498" s="10"/>
      <c r="R498" s="10"/>
      <c r="S498" s="10"/>
      <c r="T498" s="10">
        <v>8877</v>
      </c>
      <c r="U498" s="10"/>
      <c r="V498" s="10"/>
      <c r="W498" s="10"/>
      <c r="X498" s="10"/>
      <c r="Y498" s="10"/>
      <c r="Z498" s="10"/>
      <c r="AA498" s="33"/>
      <c r="AB498" s="10"/>
      <c r="AC498" s="33">
        <v>8877</v>
      </c>
      <c r="AD498" s="10">
        <f t="shared" si="6"/>
        <v>0</v>
      </c>
      <c r="AE498" s="82"/>
    </row>
    <row r="499" spans="1:32" x14ac:dyDescent="0.25">
      <c r="A499" s="7" t="s">
        <v>2165</v>
      </c>
      <c r="B499" s="9">
        <v>3996713</v>
      </c>
      <c r="C499" s="70">
        <v>44907</v>
      </c>
      <c r="D499" s="70">
        <v>44907</v>
      </c>
      <c r="E499" s="73"/>
      <c r="F499" s="9"/>
      <c r="H499" s="9"/>
      <c r="I499" s="7" t="s">
        <v>2175</v>
      </c>
      <c r="J499" s="51" t="s">
        <v>1235</v>
      </c>
      <c r="K499" s="7"/>
      <c r="L499" s="10">
        <v>32.14</v>
      </c>
      <c r="M499" s="10"/>
      <c r="N499" s="10"/>
      <c r="O499" s="10"/>
      <c r="P499" s="10"/>
      <c r="Q499" s="10"/>
      <c r="R499" s="10"/>
      <c r="S499" s="10">
        <v>267.86</v>
      </c>
      <c r="T499" s="10"/>
      <c r="U499" s="10"/>
      <c r="V499" s="10"/>
      <c r="W499" s="10"/>
      <c r="X499" s="10"/>
      <c r="Y499" s="10"/>
      <c r="Z499" s="10"/>
      <c r="AA499" s="33"/>
      <c r="AB499" s="10"/>
      <c r="AC499" s="33">
        <v>300</v>
      </c>
      <c r="AD499" s="10">
        <f t="shared" si="6"/>
        <v>0</v>
      </c>
      <c r="AE499" s="82"/>
    </row>
    <row r="500" spans="1:32" x14ac:dyDescent="0.25">
      <c r="A500" s="7" t="s">
        <v>2166</v>
      </c>
      <c r="B500" s="9">
        <v>3996714</v>
      </c>
      <c r="C500" s="70">
        <v>44907</v>
      </c>
      <c r="D500" s="70">
        <v>44907</v>
      </c>
      <c r="E500" s="73"/>
      <c r="F500" s="9"/>
      <c r="H500" s="9"/>
      <c r="I500" s="7" t="s">
        <v>2178</v>
      </c>
      <c r="J500" s="51" t="s">
        <v>46</v>
      </c>
      <c r="K500" s="7"/>
      <c r="L500" s="10">
        <v>107.04</v>
      </c>
      <c r="M500" s="10"/>
      <c r="N500" s="10"/>
      <c r="O500" s="10"/>
      <c r="P500" s="10"/>
      <c r="Q500" s="10"/>
      <c r="R500" s="10"/>
      <c r="S500" s="10">
        <v>891.96</v>
      </c>
      <c r="T500" s="10"/>
      <c r="U500" s="10"/>
      <c r="V500" s="10"/>
      <c r="W500" s="10"/>
      <c r="X500" s="10"/>
      <c r="Y500" s="10"/>
      <c r="Z500" s="10"/>
      <c r="AA500" s="33"/>
      <c r="AB500" s="10"/>
      <c r="AC500" s="33">
        <v>999</v>
      </c>
      <c r="AD500" s="10">
        <f t="shared" si="6"/>
        <v>0</v>
      </c>
      <c r="AE500" s="82"/>
    </row>
    <row r="501" spans="1:32" x14ac:dyDescent="0.25">
      <c r="A501" s="7" t="s">
        <v>2167</v>
      </c>
      <c r="B501" s="9">
        <v>3996715</v>
      </c>
      <c r="C501" s="70">
        <v>44907</v>
      </c>
      <c r="D501" s="70">
        <v>44907</v>
      </c>
      <c r="E501" s="73"/>
      <c r="F501" s="9"/>
      <c r="H501" s="9"/>
      <c r="I501" s="7" t="s">
        <v>2178</v>
      </c>
      <c r="J501" s="51" t="s">
        <v>46</v>
      </c>
      <c r="K501" s="7"/>
      <c r="L501" s="10">
        <v>107.04</v>
      </c>
      <c r="M501" s="10"/>
      <c r="N501" s="10"/>
      <c r="O501" s="10"/>
      <c r="P501" s="10"/>
      <c r="Q501" s="10"/>
      <c r="R501" s="10"/>
      <c r="S501" s="10">
        <v>891.96</v>
      </c>
      <c r="T501" s="10"/>
      <c r="U501" s="10"/>
      <c r="V501" s="10"/>
      <c r="W501" s="10"/>
      <c r="X501" s="10"/>
      <c r="Y501" s="10"/>
      <c r="Z501" s="10"/>
      <c r="AA501" s="33"/>
      <c r="AB501" s="10"/>
      <c r="AC501" s="33">
        <v>999</v>
      </c>
      <c r="AD501" s="10">
        <f t="shared" si="6"/>
        <v>0</v>
      </c>
      <c r="AE501" s="82"/>
    </row>
    <row r="502" spans="1:32" x14ac:dyDescent="0.25">
      <c r="A502" s="7" t="s">
        <v>2168</v>
      </c>
      <c r="B502" s="9">
        <v>3996716</v>
      </c>
      <c r="C502" s="70">
        <v>44907</v>
      </c>
      <c r="D502" s="70">
        <v>44907</v>
      </c>
      <c r="E502" s="73"/>
      <c r="F502" s="9"/>
      <c r="H502" s="9"/>
      <c r="I502" s="7" t="s">
        <v>2175</v>
      </c>
      <c r="J502" s="51" t="s">
        <v>1235</v>
      </c>
      <c r="K502" s="7"/>
      <c r="L502" s="10">
        <v>107.04</v>
      </c>
      <c r="M502" s="10"/>
      <c r="N502" s="10"/>
      <c r="O502" s="10"/>
      <c r="P502" s="10"/>
      <c r="Q502" s="10"/>
      <c r="R502" s="10"/>
      <c r="S502" s="10">
        <v>891.96</v>
      </c>
      <c r="T502" s="10"/>
      <c r="U502" s="10"/>
      <c r="V502" s="10"/>
      <c r="W502" s="10"/>
      <c r="X502" s="10"/>
      <c r="Y502" s="10"/>
      <c r="Z502" s="10"/>
      <c r="AA502" s="33"/>
      <c r="AB502" s="10"/>
      <c r="AC502" s="33">
        <v>999</v>
      </c>
      <c r="AD502" s="10">
        <f t="shared" si="6"/>
        <v>0</v>
      </c>
      <c r="AE502" s="82"/>
    </row>
    <row r="503" spans="1:32" x14ac:dyDescent="0.25">
      <c r="A503" s="7" t="s">
        <v>2169</v>
      </c>
      <c r="B503" s="9">
        <v>3996717</v>
      </c>
      <c r="C503" s="70">
        <v>44907</v>
      </c>
      <c r="D503" s="70">
        <v>44907</v>
      </c>
      <c r="E503" s="73"/>
      <c r="F503" s="9"/>
      <c r="H503" s="9"/>
      <c r="I503" s="7" t="s">
        <v>2175</v>
      </c>
      <c r="J503" s="51" t="s">
        <v>1235</v>
      </c>
      <c r="K503" s="7"/>
      <c r="L503" s="10">
        <v>107.04</v>
      </c>
      <c r="M503" s="10"/>
      <c r="N503" s="10"/>
      <c r="O503" s="10"/>
      <c r="P503" s="10"/>
      <c r="Q503" s="10"/>
      <c r="R503" s="10"/>
      <c r="S503" s="10">
        <v>891.96</v>
      </c>
      <c r="T503" s="10"/>
      <c r="U503" s="10"/>
      <c r="V503" s="10"/>
      <c r="W503" s="10"/>
      <c r="X503" s="10"/>
      <c r="Y503" s="10"/>
      <c r="Z503" s="10"/>
      <c r="AA503" s="33"/>
      <c r="AB503" s="10"/>
      <c r="AC503" s="33">
        <v>999</v>
      </c>
      <c r="AD503" s="10">
        <f t="shared" si="6"/>
        <v>0</v>
      </c>
      <c r="AE503" s="82"/>
    </row>
    <row r="504" spans="1:32" x14ac:dyDescent="0.25">
      <c r="A504" s="7" t="s">
        <v>2170</v>
      </c>
      <c r="B504" s="9">
        <v>3996718</v>
      </c>
      <c r="C504" s="70">
        <v>44909</v>
      </c>
      <c r="D504" s="70">
        <v>44909</v>
      </c>
      <c r="E504" s="73"/>
      <c r="F504" s="9"/>
      <c r="H504" s="9"/>
      <c r="I504" s="7" t="s">
        <v>118</v>
      </c>
      <c r="J504" s="51" t="s">
        <v>125</v>
      </c>
      <c r="K504" s="7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33">
        <v>10000</v>
      </c>
      <c r="AB504" s="10"/>
      <c r="AC504" s="33">
        <v>10000</v>
      </c>
      <c r="AD504" s="10">
        <f t="shared" si="6"/>
        <v>0</v>
      </c>
      <c r="AE504" s="82"/>
    </row>
    <row r="505" spans="1:32" x14ac:dyDescent="0.25">
      <c r="A505" s="7" t="s">
        <v>2181</v>
      </c>
      <c r="B505" s="9">
        <v>3996719</v>
      </c>
      <c r="C505" s="70">
        <v>44909</v>
      </c>
      <c r="D505" s="70">
        <v>44909</v>
      </c>
      <c r="E505" s="73">
        <v>44895</v>
      </c>
      <c r="F505" s="9" t="s">
        <v>2222</v>
      </c>
      <c r="H505" s="9"/>
      <c r="I505" s="7" t="s">
        <v>2193</v>
      </c>
      <c r="J505" s="51" t="s">
        <v>187</v>
      </c>
      <c r="K505" s="7"/>
      <c r="L505" s="10">
        <v>528</v>
      </c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33">
        <v>4400</v>
      </c>
      <c r="AB505" s="10"/>
      <c r="AC505" s="33">
        <v>4928</v>
      </c>
      <c r="AD505" s="10">
        <f t="shared" si="6"/>
        <v>0</v>
      </c>
      <c r="AE505" s="82"/>
    </row>
    <row r="506" spans="1:32" x14ac:dyDescent="0.25">
      <c r="A506" s="7" t="s">
        <v>2182</v>
      </c>
      <c r="B506" s="9">
        <v>3996720</v>
      </c>
      <c r="C506" s="70">
        <v>44909</v>
      </c>
      <c r="D506" s="70">
        <v>44909</v>
      </c>
      <c r="E506" s="73"/>
      <c r="F506" s="9"/>
      <c r="H506" s="9" t="s">
        <v>2219</v>
      </c>
      <c r="I506" s="7" t="s">
        <v>114</v>
      </c>
      <c r="J506" s="51" t="s">
        <v>65</v>
      </c>
      <c r="K506" s="7"/>
      <c r="L506" s="10"/>
      <c r="M506" s="10"/>
      <c r="N506" s="10"/>
      <c r="O506" s="10"/>
      <c r="P506" s="10"/>
      <c r="Q506" s="10"/>
      <c r="R506" s="10"/>
      <c r="S506" s="10"/>
      <c r="T506" s="10">
        <v>10656.75</v>
      </c>
      <c r="U506" s="10"/>
      <c r="V506" s="10"/>
      <c r="W506" s="10"/>
      <c r="X506" s="10"/>
      <c r="Y506" s="10"/>
      <c r="Z506" s="10"/>
      <c r="AA506" s="33"/>
      <c r="AB506" s="10"/>
      <c r="AC506" s="33">
        <v>10656.75</v>
      </c>
      <c r="AD506" s="10">
        <f t="shared" si="6"/>
        <v>0</v>
      </c>
      <c r="AE506" s="82"/>
    </row>
    <row r="507" spans="1:32" x14ac:dyDescent="0.25">
      <c r="A507" s="7" t="s">
        <v>2183</v>
      </c>
      <c r="B507" s="9">
        <v>3996721</v>
      </c>
      <c r="C507" s="70">
        <v>44909</v>
      </c>
      <c r="D507" s="70">
        <v>44909</v>
      </c>
      <c r="E507" s="73">
        <v>44907</v>
      </c>
      <c r="F507" s="9" t="s">
        <v>2197</v>
      </c>
      <c r="H507" s="9"/>
      <c r="I507" s="7" t="s">
        <v>2194</v>
      </c>
      <c r="J507" s="51" t="s">
        <v>2195</v>
      </c>
      <c r="K507" s="7" t="s">
        <v>2196</v>
      </c>
      <c r="L507" s="10">
        <v>645.54</v>
      </c>
      <c r="M507" s="10">
        <v>5379.46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33"/>
      <c r="AB507" s="10"/>
      <c r="AC507" s="33">
        <v>6025</v>
      </c>
      <c r="AD507" s="10">
        <f t="shared" si="6"/>
        <v>0</v>
      </c>
      <c r="AE507" s="82"/>
    </row>
    <row r="508" spans="1:32" x14ac:dyDescent="0.25">
      <c r="A508" s="7" t="s">
        <v>2184</v>
      </c>
      <c r="B508" s="9">
        <v>3996722</v>
      </c>
      <c r="C508" s="70">
        <v>44909</v>
      </c>
      <c r="D508" s="70">
        <v>44909</v>
      </c>
      <c r="E508" s="73">
        <v>44910</v>
      </c>
      <c r="F508" s="9" t="s">
        <v>2223</v>
      </c>
      <c r="H508" s="9"/>
      <c r="I508" s="7" t="s">
        <v>2198</v>
      </c>
      <c r="J508" s="51" t="s">
        <v>83</v>
      </c>
      <c r="K508" s="7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33">
        <v>1500</v>
      </c>
      <c r="AB508" s="10"/>
      <c r="AC508" s="33">
        <v>1500</v>
      </c>
      <c r="AD508" s="10">
        <f t="shared" si="6"/>
        <v>0</v>
      </c>
      <c r="AE508" s="82"/>
    </row>
    <row r="509" spans="1:32" x14ac:dyDescent="0.25">
      <c r="A509" s="7" t="s">
        <v>2185</v>
      </c>
      <c r="B509" s="9">
        <v>3996723</v>
      </c>
      <c r="C509" s="70">
        <v>44909</v>
      </c>
      <c r="D509" s="70">
        <v>44909</v>
      </c>
      <c r="E509" s="73"/>
      <c r="F509" s="9"/>
      <c r="H509" s="9"/>
      <c r="I509" s="7" t="s">
        <v>2192</v>
      </c>
      <c r="J509" s="51" t="s">
        <v>1996</v>
      </c>
      <c r="K509" s="7"/>
      <c r="L509" s="10"/>
      <c r="M509" s="10">
        <v>25000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33"/>
      <c r="AB509" s="10"/>
      <c r="AC509" s="33">
        <v>25000</v>
      </c>
      <c r="AD509" s="10">
        <f t="shared" si="6"/>
        <v>0</v>
      </c>
      <c r="AE509" s="82"/>
    </row>
    <row r="510" spans="1:32" x14ac:dyDescent="0.25">
      <c r="A510" s="7" t="s">
        <v>2186</v>
      </c>
      <c r="B510" s="9">
        <v>3996724</v>
      </c>
      <c r="C510" s="70">
        <v>44918</v>
      </c>
      <c r="D510" s="70">
        <v>44909</v>
      </c>
      <c r="E510" s="73"/>
      <c r="F510" s="9"/>
      <c r="H510" s="9"/>
      <c r="I510" s="7" t="s">
        <v>2191</v>
      </c>
      <c r="J510" s="51" t="s">
        <v>1996</v>
      </c>
      <c r="K510" s="7"/>
      <c r="L510" s="10"/>
      <c r="M510" s="10">
        <v>25000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33"/>
      <c r="AB510" s="10"/>
      <c r="AC510" s="33">
        <v>25000</v>
      </c>
      <c r="AD510" s="10">
        <f t="shared" si="6"/>
        <v>0</v>
      </c>
      <c r="AE510" s="82"/>
    </row>
    <row r="511" spans="1:32" x14ac:dyDescent="0.25">
      <c r="A511" s="7" t="s">
        <v>2187</v>
      </c>
      <c r="B511" s="9">
        <v>3996725</v>
      </c>
      <c r="C511" s="70">
        <v>44939</v>
      </c>
      <c r="D511" s="70">
        <v>44909</v>
      </c>
      <c r="E511" s="73">
        <v>44931</v>
      </c>
      <c r="F511" s="9" t="s">
        <v>2277</v>
      </c>
      <c r="G511" s="9" t="s">
        <v>1406</v>
      </c>
      <c r="H511" s="9"/>
      <c r="I511" s="7" t="s">
        <v>2210</v>
      </c>
      <c r="J511" s="51" t="s">
        <v>37</v>
      </c>
      <c r="K511" s="7" t="s">
        <v>38</v>
      </c>
      <c r="L511" s="10">
        <v>6535.71</v>
      </c>
      <c r="M511" s="10">
        <v>54464.29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33"/>
      <c r="AB511" s="10"/>
      <c r="AC511" s="33">
        <v>61000</v>
      </c>
      <c r="AD511" s="10">
        <f t="shared" si="6"/>
        <v>0</v>
      </c>
      <c r="AE511" s="82"/>
      <c r="AF511" s="17">
        <v>544.64</v>
      </c>
    </row>
    <row r="512" spans="1:32" x14ac:dyDescent="0.25">
      <c r="A512" s="7" t="s">
        <v>2188</v>
      </c>
      <c r="B512" s="9">
        <v>3996726</v>
      </c>
      <c r="C512" s="70">
        <v>44940</v>
      </c>
      <c r="D512" s="70">
        <v>44909</v>
      </c>
      <c r="E512" s="73">
        <v>44910</v>
      </c>
      <c r="F512" s="9" t="s">
        <v>2218</v>
      </c>
      <c r="G512" s="9" t="s">
        <v>1407</v>
      </c>
      <c r="H512" s="9"/>
      <c r="I512" s="7" t="s">
        <v>2211</v>
      </c>
      <c r="J512" s="51" t="s">
        <v>2087</v>
      </c>
      <c r="K512" s="7" t="s">
        <v>2088</v>
      </c>
      <c r="L512" s="10">
        <v>375</v>
      </c>
      <c r="M512" s="10">
        <v>3125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33"/>
      <c r="AB512" s="10"/>
      <c r="AC512" s="33">
        <v>3500</v>
      </c>
      <c r="AD512" s="10">
        <f t="shared" si="6"/>
        <v>0</v>
      </c>
      <c r="AE512" s="82"/>
      <c r="AF512" s="17">
        <v>31.25</v>
      </c>
    </row>
    <row r="513" spans="1:32" x14ac:dyDescent="0.25">
      <c r="A513" s="7" t="s">
        <v>2189</v>
      </c>
      <c r="B513" s="9">
        <v>3996727</v>
      </c>
      <c r="C513" s="70">
        <v>44942</v>
      </c>
      <c r="D513" s="70">
        <v>44909</v>
      </c>
      <c r="E513" s="73">
        <v>44916</v>
      </c>
      <c r="F513" s="9" t="s">
        <v>2225</v>
      </c>
      <c r="G513" s="9" t="s">
        <v>1408</v>
      </c>
      <c r="H513" s="9"/>
      <c r="I513" s="7" t="s">
        <v>2209</v>
      </c>
      <c r="J513" s="51" t="s">
        <v>2043</v>
      </c>
      <c r="K513" s="7" t="s">
        <v>2138</v>
      </c>
      <c r="L513" s="10">
        <v>2871.43</v>
      </c>
      <c r="M513" s="10">
        <v>23928.57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33"/>
      <c r="AB513" s="10"/>
      <c r="AC513" s="33">
        <v>26800</v>
      </c>
      <c r="AD513" s="10">
        <f t="shared" si="6"/>
        <v>0</v>
      </c>
      <c r="AE513" s="82"/>
      <c r="AF513" s="17">
        <v>239.29</v>
      </c>
    </row>
    <row r="514" spans="1:32" x14ac:dyDescent="0.25">
      <c r="A514" s="7" t="s">
        <v>2190</v>
      </c>
      <c r="B514" s="9">
        <v>3996731</v>
      </c>
      <c r="C514" s="70">
        <v>44914</v>
      </c>
      <c r="D514" s="70">
        <v>44914</v>
      </c>
      <c r="E514" s="73"/>
      <c r="F514" s="9"/>
      <c r="H514" s="9"/>
      <c r="I514" s="7" t="s">
        <v>2216</v>
      </c>
      <c r="J514" s="51" t="s">
        <v>18</v>
      </c>
      <c r="K514" s="7"/>
      <c r="L514" s="10">
        <v>151.09</v>
      </c>
      <c r="M514" s="10"/>
      <c r="N514" s="10"/>
      <c r="O514" s="10"/>
      <c r="P514" s="10"/>
      <c r="Q514" s="10"/>
      <c r="R514" s="10">
        <v>1259.06</v>
      </c>
      <c r="S514" s="10"/>
      <c r="T514" s="10"/>
      <c r="U514" s="10"/>
      <c r="V514" s="10"/>
      <c r="W514" s="10"/>
      <c r="X514" s="10"/>
      <c r="Y514" s="10"/>
      <c r="Z514" s="10"/>
      <c r="AA514" s="33"/>
      <c r="AB514" s="10"/>
      <c r="AC514" s="33">
        <v>1410.15</v>
      </c>
      <c r="AD514" s="10">
        <f t="shared" si="6"/>
        <v>0</v>
      </c>
      <c r="AE514" s="82"/>
    </row>
    <row r="515" spans="1:32" x14ac:dyDescent="0.25">
      <c r="A515" s="7" t="s">
        <v>2199</v>
      </c>
      <c r="B515" s="9">
        <v>3996732</v>
      </c>
      <c r="C515" s="70">
        <v>44914</v>
      </c>
      <c r="D515" s="70">
        <v>44914</v>
      </c>
      <c r="E515" s="73"/>
      <c r="F515" s="9"/>
      <c r="H515" s="9"/>
      <c r="I515" s="7" t="s">
        <v>2216</v>
      </c>
      <c r="J515" s="51" t="s">
        <v>18</v>
      </c>
      <c r="K515" s="7"/>
      <c r="L515" s="10">
        <v>811.09</v>
      </c>
      <c r="M515" s="10"/>
      <c r="N515" s="10"/>
      <c r="O515" s="10"/>
      <c r="P515" s="10"/>
      <c r="Q515" s="10"/>
      <c r="R515" s="10">
        <v>6759.06</v>
      </c>
      <c r="S515" s="10"/>
      <c r="T515" s="10"/>
      <c r="U515" s="10"/>
      <c r="V515" s="10"/>
      <c r="W515" s="10"/>
      <c r="X515" s="10"/>
      <c r="Y515" s="10"/>
      <c r="Z515" s="10"/>
      <c r="AA515" s="33"/>
      <c r="AB515" s="10"/>
      <c r="AC515" s="33">
        <v>7570.15</v>
      </c>
      <c r="AD515" s="10">
        <f t="shared" si="6"/>
        <v>0</v>
      </c>
      <c r="AE515" s="82"/>
    </row>
    <row r="516" spans="1:32" x14ac:dyDescent="0.25">
      <c r="A516" s="7" t="s">
        <v>2200</v>
      </c>
      <c r="B516" s="9">
        <v>3996733</v>
      </c>
      <c r="C516" s="70">
        <v>44914</v>
      </c>
      <c r="D516" s="70">
        <v>44914</v>
      </c>
      <c r="E516" s="73"/>
      <c r="F516" s="9"/>
      <c r="H516" s="9"/>
      <c r="I516" s="7" t="s">
        <v>2215</v>
      </c>
      <c r="J516" s="51" t="s">
        <v>44</v>
      </c>
      <c r="K516" s="7"/>
      <c r="L516" s="10">
        <v>722.98</v>
      </c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>
        <v>6024.81</v>
      </c>
      <c r="Y516" s="10"/>
      <c r="Z516" s="10"/>
      <c r="AA516" s="33"/>
      <c r="AB516" s="10"/>
      <c r="AC516" s="33">
        <v>6747.79</v>
      </c>
      <c r="AD516" s="10">
        <f t="shared" si="6"/>
        <v>0</v>
      </c>
      <c r="AE516" s="82"/>
    </row>
    <row r="517" spans="1:32" x14ac:dyDescent="0.25">
      <c r="A517" s="7" t="s">
        <v>2201</v>
      </c>
      <c r="B517" s="9">
        <v>3996734</v>
      </c>
      <c r="C517" s="70">
        <v>44914</v>
      </c>
      <c r="D517" s="70">
        <v>44914</v>
      </c>
      <c r="E517" s="73"/>
      <c r="F517" s="9"/>
      <c r="H517" s="9"/>
      <c r="I517" s="7" t="s">
        <v>2214</v>
      </c>
      <c r="J517" s="51" t="s">
        <v>1202</v>
      </c>
      <c r="K517" s="7"/>
      <c r="L517" s="10">
        <v>1157.1400000000001</v>
      </c>
      <c r="M517" s="10"/>
      <c r="N517" s="10"/>
      <c r="O517" s="10"/>
      <c r="P517" s="10"/>
      <c r="Q517" s="10"/>
      <c r="R517" s="10"/>
      <c r="S517" s="10">
        <v>9642.86</v>
      </c>
      <c r="T517" s="10"/>
      <c r="U517" s="10"/>
      <c r="V517" s="10"/>
      <c r="W517" s="10"/>
      <c r="X517" s="10"/>
      <c r="Y517" s="10"/>
      <c r="Z517" s="10"/>
      <c r="AA517" s="33"/>
      <c r="AB517" s="10"/>
      <c r="AC517" s="33">
        <v>10800</v>
      </c>
      <c r="AD517" s="10">
        <f t="shared" si="6"/>
        <v>0</v>
      </c>
      <c r="AE517" s="82"/>
    </row>
    <row r="518" spans="1:32" x14ac:dyDescent="0.25">
      <c r="A518" s="7" t="s">
        <v>2202</v>
      </c>
      <c r="B518" s="9">
        <v>3996735</v>
      </c>
      <c r="C518" s="70">
        <v>44914</v>
      </c>
      <c r="D518" s="70">
        <v>44914</v>
      </c>
      <c r="E518" s="73"/>
      <c r="F518" s="9"/>
      <c r="H518" s="9"/>
      <c r="I518" s="7" t="s">
        <v>2217</v>
      </c>
      <c r="J518" s="51" t="s">
        <v>1202</v>
      </c>
      <c r="K518" s="7"/>
      <c r="L518" s="10">
        <v>85.61</v>
      </c>
      <c r="M518" s="10"/>
      <c r="N518" s="10"/>
      <c r="O518" s="10"/>
      <c r="P518" s="10"/>
      <c r="Q518" s="10"/>
      <c r="R518" s="10"/>
      <c r="S518" s="10">
        <v>713.39</v>
      </c>
      <c r="T518" s="10"/>
      <c r="U518" s="10"/>
      <c r="V518" s="10"/>
      <c r="W518" s="10"/>
      <c r="X518" s="10"/>
      <c r="Y518" s="10"/>
      <c r="Z518" s="10"/>
      <c r="AA518" s="33"/>
      <c r="AB518" s="10"/>
      <c r="AC518" s="33">
        <v>799</v>
      </c>
      <c r="AD518" s="10">
        <f t="shared" si="6"/>
        <v>0</v>
      </c>
      <c r="AE518" s="82"/>
    </row>
    <row r="519" spans="1:32" x14ac:dyDescent="0.25">
      <c r="A519" s="7" t="s">
        <v>2203</v>
      </c>
      <c r="B519" s="9">
        <v>3996737</v>
      </c>
      <c r="C519" s="70">
        <v>44917</v>
      </c>
      <c r="D519" s="70">
        <v>44917</v>
      </c>
      <c r="E519" s="73"/>
      <c r="F519" s="9"/>
      <c r="H519" s="9" t="s">
        <v>2224</v>
      </c>
      <c r="I519" s="7" t="s">
        <v>1174</v>
      </c>
      <c r="J519" s="51" t="s">
        <v>65</v>
      </c>
      <c r="K519" s="7"/>
      <c r="L519" s="10"/>
      <c r="M519" s="10"/>
      <c r="N519" s="10"/>
      <c r="O519" s="10"/>
      <c r="P519" s="10"/>
      <c r="Q519" s="10"/>
      <c r="R519" s="10"/>
      <c r="S519" s="10"/>
      <c r="T519" s="10">
        <v>8637</v>
      </c>
      <c r="U519" s="10"/>
      <c r="V519" s="10"/>
      <c r="W519" s="10"/>
      <c r="X519" s="10"/>
      <c r="Y519" s="10"/>
      <c r="Z519" s="10"/>
      <c r="AA519" s="33"/>
      <c r="AB519" s="10"/>
      <c r="AC519" s="33">
        <v>8637</v>
      </c>
      <c r="AD519" s="10">
        <f t="shared" si="6"/>
        <v>0</v>
      </c>
      <c r="AE519" s="82"/>
    </row>
    <row r="520" spans="1:32" x14ac:dyDescent="0.25">
      <c r="A520" s="7" t="s">
        <v>2204</v>
      </c>
      <c r="B520" s="9">
        <v>3996738</v>
      </c>
      <c r="C520" s="70">
        <v>44985</v>
      </c>
      <c r="D520" s="70">
        <v>44917</v>
      </c>
      <c r="E520" s="73">
        <v>44938</v>
      </c>
      <c r="F520" s="9" t="s">
        <v>2282</v>
      </c>
      <c r="G520" s="9" t="s">
        <v>1409</v>
      </c>
      <c r="H520" s="9"/>
      <c r="I520" s="7" t="s">
        <v>1769</v>
      </c>
      <c r="J520" s="51" t="s">
        <v>1226</v>
      </c>
      <c r="K520" s="7" t="s">
        <v>1039</v>
      </c>
      <c r="L520" s="10">
        <v>2394.64</v>
      </c>
      <c r="M520" s="10">
        <v>19955.36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33"/>
      <c r="AB520" s="10"/>
      <c r="AC520" s="33">
        <v>22350</v>
      </c>
      <c r="AD520" s="10">
        <f t="shared" si="6"/>
        <v>0</v>
      </c>
      <c r="AE520" s="82"/>
      <c r="AF520" s="17">
        <v>199.55</v>
      </c>
    </row>
    <row r="521" spans="1:32" x14ac:dyDescent="0.25">
      <c r="A521" s="7" t="s">
        <v>2205</v>
      </c>
      <c r="B521" s="9">
        <v>3996737</v>
      </c>
      <c r="C521" s="70">
        <v>44582</v>
      </c>
      <c r="D521" s="70">
        <v>44917</v>
      </c>
      <c r="E521" s="73">
        <v>44951</v>
      </c>
      <c r="F521" s="9" t="s">
        <v>2322</v>
      </c>
      <c r="G521" s="9" t="s">
        <v>1410</v>
      </c>
      <c r="H521" s="9"/>
      <c r="I521" s="7" t="s">
        <v>2220</v>
      </c>
      <c r="J521" s="51" t="s">
        <v>2043</v>
      </c>
      <c r="K521" s="7" t="s">
        <v>2138</v>
      </c>
      <c r="L521" s="10">
        <v>3573.21</v>
      </c>
      <c r="M521" s="10">
        <v>29776.79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33"/>
      <c r="AB521" s="10"/>
      <c r="AC521" s="33">
        <v>33350</v>
      </c>
      <c r="AD521" s="10">
        <f t="shared" si="6"/>
        <v>0</v>
      </c>
      <c r="AE521" s="82"/>
      <c r="AF521" s="17">
        <v>297.77</v>
      </c>
    </row>
    <row r="522" spans="1:32" x14ac:dyDescent="0.25">
      <c r="A522" s="7" t="s">
        <v>2206</v>
      </c>
      <c r="B522" s="9">
        <v>3996740</v>
      </c>
      <c r="C522" s="70">
        <v>44917</v>
      </c>
      <c r="D522" s="70">
        <v>44917</v>
      </c>
      <c r="E522" s="73"/>
      <c r="F522" s="9"/>
      <c r="H522" s="9"/>
      <c r="I522" s="7" t="s">
        <v>2221</v>
      </c>
      <c r="J522" s="51" t="s">
        <v>46</v>
      </c>
      <c r="K522" s="7"/>
      <c r="L522" s="10">
        <v>1078.1099999999999</v>
      </c>
      <c r="M522" s="10"/>
      <c r="N522" s="10"/>
      <c r="O522" s="10"/>
      <c r="P522" s="10"/>
      <c r="Q522" s="10"/>
      <c r="R522" s="10"/>
      <c r="S522" s="10">
        <v>8984.26</v>
      </c>
      <c r="T522" s="10"/>
      <c r="U522" s="10"/>
      <c r="V522" s="10"/>
      <c r="W522" s="10"/>
      <c r="X522" s="10"/>
      <c r="Y522" s="10"/>
      <c r="Z522" s="10"/>
      <c r="AA522" s="33"/>
      <c r="AB522" s="10"/>
      <c r="AC522" s="33">
        <v>10062.370000000001</v>
      </c>
      <c r="AD522" s="10">
        <f t="shared" si="6"/>
        <v>0</v>
      </c>
      <c r="AE522" s="82"/>
      <c r="AF522" s="17">
        <v>179.69</v>
      </c>
    </row>
    <row r="523" spans="1:32" x14ac:dyDescent="0.25">
      <c r="A523" s="7" t="s">
        <v>2207</v>
      </c>
      <c r="B523" s="9">
        <v>3996741</v>
      </c>
      <c r="C523" s="70">
        <v>44917</v>
      </c>
      <c r="D523" s="70">
        <v>44917</v>
      </c>
      <c r="E523" s="73"/>
      <c r="F523" s="9"/>
      <c r="H523" s="9"/>
      <c r="I523" s="7" t="s">
        <v>118</v>
      </c>
      <c r="J523" s="51" t="s">
        <v>1847</v>
      </c>
      <c r="K523" s="7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33">
        <v>4000</v>
      </c>
      <c r="AB523" s="10"/>
      <c r="AC523" s="33">
        <v>4000</v>
      </c>
      <c r="AD523" s="10">
        <f t="shared" si="6"/>
        <v>0</v>
      </c>
      <c r="AE523" s="82"/>
    </row>
    <row r="524" spans="1:32" x14ac:dyDescent="0.25">
      <c r="A524" s="7" t="s">
        <v>2208</v>
      </c>
      <c r="B524" s="9" t="s">
        <v>2227</v>
      </c>
      <c r="C524" s="70">
        <v>44923</v>
      </c>
      <c r="D524" s="70">
        <v>44923</v>
      </c>
      <c r="E524" s="73">
        <v>44923</v>
      </c>
      <c r="F524" s="9" t="s">
        <v>2290</v>
      </c>
      <c r="H524" s="9"/>
      <c r="I524" s="7" t="s">
        <v>2228</v>
      </c>
      <c r="J524" s="51" t="s">
        <v>2229</v>
      </c>
      <c r="K524" s="7"/>
      <c r="L524" s="10"/>
      <c r="M524" s="10"/>
      <c r="N524" s="10">
        <v>100000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33"/>
      <c r="AB524" s="10"/>
      <c r="AC524" s="33">
        <v>100000</v>
      </c>
      <c r="AD524" s="10">
        <f t="shared" si="6"/>
        <v>0</v>
      </c>
      <c r="AE524" s="82"/>
    </row>
    <row r="525" spans="1:32" ht="15.75" thickBot="1" x14ac:dyDescent="0.3">
      <c r="A525" s="93" t="s">
        <v>8</v>
      </c>
      <c r="B525" s="67"/>
      <c r="C525" s="65"/>
      <c r="D525" s="65"/>
      <c r="E525" s="66"/>
      <c r="F525" s="66"/>
      <c r="G525" s="66"/>
      <c r="H525" s="66"/>
      <c r="I525" s="63"/>
      <c r="J525" s="63"/>
      <c r="K525" s="63"/>
      <c r="L525" s="63" t="e">
        <f>SUM(#REF!)</f>
        <v>#REF!</v>
      </c>
      <c r="M525" s="63" t="e">
        <f>SUM(#REF!)</f>
        <v>#REF!</v>
      </c>
      <c r="N525" s="63" t="e">
        <f>SUM(#REF!)</f>
        <v>#REF!</v>
      </c>
      <c r="O525" s="63" t="e">
        <f>SUM(#REF!)</f>
        <v>#REF!</v>
      </c>
      <c r="P525" s="63" t="e">
        <f>SUM(#REF!)</f>
        <v>#REF!</v>
      </c>
      <c r="Q525" s="63" t="e">
        <f>SUM(#REF!)</f>
        <v>#REF!</v>
      </c>
      <c r="R525" s="63" t="e">
        <f>SUM(#REF!)</f>
        <v>#REF!</v>
      </c>
      <c r="S525" s="63" t="e">
        <f>SUM(#REF!)</f>
        <v>#REF!</v>
      </c>
      <c r="T525" s="63" t="e">
        <f>SUM(#REF!)</f>
        <v>#REF!</v>
      </c>
      <c r="U525" s="63" t="e">
        <f>SUM(#REF!)</f>
        <v>#REF!</v>
      </c>
      <c r="V525" s="63" t="e">
        <f>SUM(#REF!)</f>
        <v>#REF!</v>
      </c>
      <c r="W525" s="63" t="e">
        <f>SUM(#REF!)</f>
        <v>#REF!</v>
      </c>
      <c r="X525" s="63" t="e">
        <f>SUM(#REF!)</f>
        <v>#REF!</v>
      </c>
      <c r="Y525" s="63" t="e">
        <f>SUM(#REF!)</f>
        <v>#REF!</v>
      </c>
      <c r="Z525" s="63" t="e">
        <f>SUM(#REF!)</f>
        <v>#REF!</v>
      </c>
      <c r="AA525" s="63" t="e">
        <f>SUM(#REF!)</f>
        <v>#REF!</v>
      </c>
      <c r="AB525" s="63"/>
      <c r="AC525" s="63" t="e">
        <f>SUM(#REF!)</f>
        <v>#REF!</v>
      </c>
      <c r="AD525" s="63"/>
      <c r="AE525" s="10"/>
      <c r="AF525"/>
    </row>
    <row r="526" spans="1:32" ht="15.75" thickTop="1" x14ac:dyDescent="0.25">
      <c r="A526" s="7"/>
      <c r="C526" s="70"/>
      <c r="D526" s="70"/>
      <c r="E526" s="73"/>
      <c r="F526" s="9"/>
      <c r="H526" s="9"/>
      <c r="I526" s="10"/>
      <c r="J526" s="10"/>
      <c r="K526" s="7"/>
      <c r="L526" s="10"/>
      <c r="M526" s="10"/>
      <c r="N526" s="10"/>
      <c r="O526" s="10"/>
      <c r="P526" s="10"/>
      <c r="Q526" s="10"/>
      <c r="R526" s="10"/>
      <c r="S526" s="10"/>
      <c r="T526" s="14"/>
      <c r="U526" s="10"/>
      <c r="V526" s="10"/>
      <c r="W526" s="10"/>
      <c r="X526" s="7"/>
      <c r="Y526" s="7"/>
      <c r="Z526" s="7"/>
      <c r="AA526" s="34"/>
      <c r="AB526" s="7"/>
      <c r="AC526" s="34"/>
      <c r="AD526" s="10"/>
      <c r="AF526"/>
    </row>
    <row r="527" spans="1:32" x14ac:dyDescent="0.25">
      <c r="A527" s="7"/>
      <c r="C527" s="70"/>
      <c r="D527" s="70"/>
      <c r="E527" s="73"/>
      <c r="F527" s="9"/>
      <c r="H527" s="9"/>
      <c r="I527" s="10"/>
      <c r="J527" s="10"/>
      <c r="K527" s="7"/>
      <c r="L527" s="10"/>
      <c r="M527" s="10"/>
      <c r="N527" s="10"/>
      <c r="O527" s="10"/>
      <c r="P527" s="10"/>
      <c r="Q527" s="10"/>
      <c r="R527" s="10"/>
      <c r="S527" s="10"/>
      <c r="T527" s="14"/>
      <c r="U527" s="10"/>
      <c r="V527" s="10"/>
      <c r="W527" s="10"/>
      <c r="X527" s="7"/>
      <c r="Y527" s="7"/>
      <c r="Z527" s="7"/>
      <c r="AA527" s="34"/>
      <c r="AB527" s="7"/>
      <c r="AC527" s="34"/>
      <c r="AD527" s="10"/>
      <c r="AF527"/>
    </row>
    <row r="528" spans="1:32" x14ac:dyDescent="0.25">
      <c r="A528" s="7"/>
      <c r="C528" s="70"/>
      <c r="D528" s="70"/>
      <c r="E528" s="73"/>
      <c r="F528" s="9"/>
      <c r="H528" s="9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4"/>
      <c r="U528" s="10"/>
      <c r="V528" s="10"/>
      <c r="W528" s="10"/>
      <c r="X528" s="7"/>
      <c r="Y528" s="7"/>
      <c r="Z528" s="7"/>
      <c r="AA528" s="34"/>
      <c r="AB528" s="7"/>
      <c r="AC528" s="34"/>
      <c r="AD528" s="10"/>
      <c r="AF528"/>
    </row>
    <row r="529" spans="1:32" x14ac:dyDescent="0.25">
      <c r="A529" s="7"/>
      <c r="C529" s="70"/>
      <c r="D529" s="70"/>
      <c r="E529" s="73"/>
      <c r="F529" s="9"/>
      <c r="H529" s="9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4"/>
      <c r="U529" s="10"/>
      <c r="V529" s="10"/>
      <c r="W529" s="10"/>
      <c r="X529" s="7"/>
      <c r="Y529" s="7"/>
      <c r="Z529" s="7"/>
      <c r="AA529" s="34"/>
      <c r="AB529" s="7"/>
      <c r="AC529" s="34"/>
      <c r="AD529" s="10"/>
      <c r="AF529"/>
    </row>
    <row r="530" spans="1:32" x14ac:dyDescent="0.25">
      <c r="A530" s="7"/>
      <c r="C530" s="70"/>
      <c r="D530" s="70"/>
      <c r="E530" s="73"/>
      <c r="F530" s="9"/>
      <c r="H530" s="9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4"/>
      <c r="U530" s="10"/>
      <c r="V530" s="10"/>
      <c r="W530" s="10"/>
      <c r="X530" s="7"/>
      <c r="Y530" s="7"/>
      <c r="Z530" s="7"/>
      <c r="AA530" s="34"/>
      <c r="AB530" s="7"/>
      <c r="AC530" s="34"/>
      <c r="AD530" s="10"/>
      <c r="AF530"/>
    </row>
    <row r="531" spans="1:32" x14ac:dyDescent="0.25">
      <c r="A531" s="7"/>
      <c r="C531" s="70"/>
      <c r="D531" s="70"/>
      <c r="E531" s="73"/>
      <c r="F531" s="9"/>
      <c r="H531" s="9"/>
      <c r="I531" s="10"/>
      <c r="J531" s="10"/>
      <c r="K531" s="7"/>
      <c r="L531" s="10"/>
      <c r="M531" s="10"/>
      <c r="N531" s="10"/>
      <c r="O531" s="10"/>
      <c r="P531" s="10"/>
      <c r="Q531" s="10"/>
      <c r="R531" s="10"/>
      <c r="S531" s="10"/>
      <c r="T531" s="14"/>
      <c r="U531" s="10"/>
      <c r="V531" s="10"/>
      <c r="W531" s="10"/>
      <c r="X531" s="7"/>
      <c r="Y531" s="7"/>
      <c r="Z531" s="34"/>
      <c r="AA531" s="34"/>
      <c r="AB531" s="7"/>
      <c r="AC531" s="34"/>
      <c r="AD531" s="10"/>
      <c r="AF531"/>
    </row>
    <row r="532" spans="1:32" x14ac:dyDescent="0.25">
      <c r="A532" s="7"/>
      <c r="C532" s="70"/>
      <c r="D532" s="70"/>
      <c r="E532" s="73"/>
      <c r="F532" s="9"/>
      <c r="H532" s="9"/>
      <c r="I532" s="10"/>
      <c r="J532" s="10"/>
      <c r="K532" s="7"/>
      <c r="L532" s="10"/>
      <c r="M532" s="10"/>
      <c r="N532" s="10"/>
      <c r="O532" s="10"/>
      <c r="P532" s="10"/>
      <c r="Q532" s="10"/>
      <c r="R532" s="10"/>
      <c r="S532" s="10"/>
      <c r="T532" s="14"/>
      <c r="U532" s="10"/>
      <c r="V532" s="10"/>
      <c r="W532" s="10"/>
      <c r="X532" s="7"/>
      <c r="Y532" s="7"/>
      <c r="Z532" s="7"/>
      <c r="AA532" s="34"/>
      <c r="AB532" s="7"/>
      <c r="AC532" s="34"/>
      <c r="AD532" s="10"/>
      <c r="AF532"/>
    </row>
    <row r="533" spans="1:32" x14ac:dyDescent="0.25">
      <c r="A533" s="7"/>
      <c r="C533" s="70"/>
      <c r="D533" s="70"/>
      <c r="E533" s="73"/>
      <c r="F533" s="9"/>
      <c r="H533" s="9"/>
      <c r="I533" s="10"/>
      <c r="J533" s="10"/>
      <c r="K533" s="7"/>
      <c r="L533" s="10"/>
      <c r="M533" s="10"/>
      <c r="N533" s="10"/>
      <c r="O533" s="10"/>
      <c r="P533" s="10"/>
      <c r="Q533" s="10"/>
      <c r="R533" s="10"/>
      <c r="S533" s="10"/>
      <c r="T533" s="14"/>
      <c r="U533" s="10"/>
      <c r="V533" s="10"/>
      <c r="W533" s="10"/>
      <c r="X533" s="7"/>
      <c r="Y533" s="7"/>
      <c r="Z533" s="7"/>
      <c r="AA533" s="34"/>
      <c r="AB533" s="7"/>
      <c r="AC533" s="34"/>
      <c r="AD533" s="10"/>
      <c r="AF533"/>
    </row>
    <row r="534" spans="1:32" x14ac:dyDescent="0.25">
      <c r="A534" s="7"/>
      <c r="C534" s="70"/>
      <c r="D534" s="70"/>
      <c r="E534" s="73"/>
      <c r="F534" s="9"/>
      <c r="H534" s="9"/>
      <c r="I534" s="10"/>
      <c r="J534" s="7"/>
      <c r="K534" s="7"/>
      <c r="L534" s="10"/>
      <c r="M534" s="10"/>
      <c r="N534" s="10"/>
      <c r="O534" s="10"/>
      <c r="P534" s="10"/>
      <c r="Q534" s="10"/>
      <c r="R534" s="10"/>
      <c r="S534" s="10"/>
      <c r="T534" s="14"/>
      <c r="U534" s="10"/>
      <c r="V534" s="10"/>
      <c r="W534" s="10"/>
      <c r="X534" s="7"/>
      <c r="Y534" s="7"/>
      <c r="Z534" s="7"/>
      <c r="AA534" s="34"/>
      <c r="AB534" s="7"/>
      <c r="AC534" s="34"/>
      <c r="AD534" s="10"/>
      <c r="AF534"/>
    </row>
    <row r="535" spans="1:32" x14ac:dyDescent="0.25">
      <c r="A535" s="7"/>
      <c r="C535" s="70"/>
      <c r="D535" s="70"/>
      <c r="E535" s="73"/>
      <c r="F535" s="9"/>
      <c r="H535" s="9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4"/>
      <c r="U535" s="10"/>
      <c r="V535" s="10"/>
      <c r="W535" s="10"/>
      <c r="X535" s="7"/>
      <c r="Y535" s="7"/>
      <c r="Z535" s="7"/>
      <c r="AA535" s="34"/>
      <c r="AB535" s="7"/>
      <c r="AC535" s="34"/>
      <c r="AD535" s="10"/>
      <c r="AF535"/>
    </row>
    <row r="536" spans="1:32" x14ac:dyDescent="0.25">
      <c r="A536" s="7"/>
      <c r="C536" s="70"/>
      <c r="D536" s="70"/>
      <c r="E536" s="73"/>
      <c r="F536" s="9"/>
      <c r="H536" s="9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4"/>
      <c r="U536" s="10"/>
      <c r="V536" s="10"/>
      <c r="W536" s="10"/>
      <c r="X536" s="7"/>
      <c r="Y536" s="7"/>
      <c r="Z536" s="7"/>
      <c r="AA536" s="34"/>
      <c r="AB536" s="7"/>
      <c r="AC536" s="34"/>
      <c r="AD536" s="10"/>
      <c r="AF536"/>
    </row>
    <row r="537" spans="1:32" x14ac:dyDescent="0.25">
      <c r="A537" s="43"/>
      <c r="C537" s="70"/>
      <c r="D537" s="70"/>
      <c r="E537" s="73"/>
      <c r="F537" s="9"/>
      <c r="H537" s="9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4"/>
      <c r="U537" s="10"/>
      <c r="V537" s="10"/>
      <c r="W537" s="10"/>
      <c r="X537" s="7"/>
      <c r="Y537" s="7"/>
      <c r="Z537" s="7"/>
      <c r="AA537" s="34"/>
      <c r="AB537" s="7"/>
      <c r="AC537" s="34"/>
      <c r="AD537" s="10"/>
      <c r="AF537"/>
    </row>
    <row r="538" spans="1:32" x14ac:dyDescent="0.25">
      <c r="A538" s="7"/>
      <c r="C538" s="70"/>
      <c r="D538" s="70"/>
      <c r="E538" s="73"/>
      <c r="F538" s="9"/>
      <c r="H538" s="9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4"/>
      <c r="U538" s="10"/>
      <c r="V538" s="10"/>
      <c r="W538" s="10"/>
      <c r="X538" s="7"/>
      <c r="Y538" s="7"/>
      <c r="Z538" s="34"/>
      <c r="AA538" s="34"/>
      <c r="AB538" s="7"/>
      <c r="AC538" s="34"/>
      <c r="AD538" s="10"/>
      <c r="AF538"/>
    </row>
    <row r="539" spans="1:32" x14ac:dyDescent="0.25">
      <c r="A539" s="7"/>
      <c r="C539" s="70"/>
      <c r="D539" s="70"/>
      <c r="E539" s="73"/>
      <c r="F539" s="9"/>
      <c r="H539" s="9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4"/>
      <c r="U539" s="10"/>
      <c r="V539" s="10"/>
      <c r="W539" s="10"/>
      <c r="X539" s="7"/>
      <c r="Y539" s="7"/>
      <c r="Z539" s="7"/>
      <c r="AA539" s="34"/>
      <c r="AB539" s="7"/>
      <c r="AC539" s="34"/>
      <c r="AD539" s="10"/>
      <c r="AF539"/>
    </row>
    <row r="540" spans="1:32" x14ac:dyDescent="0.25">
      <c r="A540" s="7"/>
      <c r="C540" s="70"/>
      <c r="D540" s="70"/>
      <c r="E540" s="73"/>
      <c r="F540" s="9"/>
      <c r="H540" s="9"/>
      <c r="I540" s="10"/>
      <c r="J540" s="7"/>
      <c r="K540" s="7"/>
      <c r="L540" s="10"/>
      <c r="M540" s="10"/>
      <c r="N540" s="10"/>
      <c r="O540" s="10"/>
      <c r="P540" s="10"/>
      <c r="Q540" s="10"/>
      <c r="R540" s="10"/>
      <c r="S540" s="10"/>
      <c r="T540" s="14"/>
      <c r="U540" s="10"/>
      <c r="V540" s="10"/>
      <c r="W540" s="10"/>
      <c r="X540" s="7"/>
      <c r="Y540" s="7"/>
      <c r="Z540" s="7"/>
      <c r="AA540" s="34"/>
      <c r="AB540" s="7"/>
      <c r="AC540" s="34"/>
      <c r="AD540" s="10"/>
      <c r="AF540"/>
    </row>
    <row r="541" spans="1:32" x14ac:dyDescent="0.25">
      <c r="A541" s="7"/>
      <c r="C541" s="70"/>
      <c r="D541" s="70"/>
      <c r="E541" s="73"/>
      <c r="F541" s="45"/>
      <c r="H541" s="9"/>
      <c r="I541" s="10"/>
      <c r="J541" s="7"/>
      <c r="K541" s="7"/>
      <c r="L541" s="10"/>
      <c r="M541" s="10"/>
      <c r="N541" s="10"/>
      <c r="O541" s="10"/>
      <c r="P541" s="10"/>
      <c r="Q541" s="10"/>
      <c r="R541" s="10"/>
      <c r="S541" s="10"/>
      <c r="T541" s="14"/>
      <c r="U541" s="10"/>
      <c r="V541" s="10"/>
      <c r="W541" s="10"/>
      <c r="X541" s="7"/>
      <c r="Y541" s="34"/>
      <c r="Z541" s="7"/>
      <c r="AA541" s="34"/>
      <c r="AB541" s="7"/>
      <c r="AC541" s="34"/>
      <c r="AD541" s="10"/>
      <c r="AF541"/>
    </row>
    <row r="542" spans="1:32" x14ac:dyDescent="0.25">
      <c r="A542" s="7"/>
      <c r="C542" s="70"/>
      <c r="D542" s="70"/>
      <c r="E542" s="73"/>
      <c r="F542" s="9"/>
      <c r="H542" s="9"/>
      <c r="I542" s="10"/>
      <c r="J542" s="7"/>
      <c r="K542" s="7"/>
      <c r="L542" s="10"/>
      <c r="M542" s="10"/>
      <c r="N542" s="10"/>
      <c r="O542" s="10"/>
      <c r="P542" s="10"/>
      <c r="Q542" s="10"/>
      <c r="R542" s="10"/>
      <c r="S542" s="10"/>
      <c r="T542" s="14"/>
      <c r="U542" s="10"/>
      <c r="V542" s="10"/>
      <c r="W542" s="10"/>
      <c r="X542" s="7"/>
      <c r="Y542" s="7"/>
      <c r="Z542" s="7"/>
      <c r="AA542" s="34"/>
      <c r="AB542" s="7"/>
      <c r="AC542" s="34"/>
      <c r="AD542" s="10"/>
      <c r="AF542"/>
    </row>
    <row r="543" spans="1:32" x14ac:dyDescent="0.25">
      <c r="A543" s="7"/>
      <c r="C543" s="70"/>
      <c r="D543" s="70"/>
      <c r="E543" s="73"/>
      <c r="F543" s="9"/>
      <c r="H543" s="9"/>
      <c r="I543" s="10"/>
      <c r="J543" s="7"/>
      <c r="K543" s="7"/>
      <c r="L543" s="10"/>
      <c r="M543" s="10"/>
      <c r="N543" s="10"/>
      <c r="O543" s="10"/>
      <c r="P543" s="10"/>
      <c r="Q543" s="10"/>
      <c r="R543" s="10"/>
      <c r="S543" s="10"/>
      <c r="T543" s="14"/>
      <c r="U543" s="10"/>
      <c r="V543" s="10"/>
      <c r="W543" s="10"/>
      <c r="X543" s="7"/>
      <c r="Y543" s="7"/>
      <c r="Z543" s="7"/>
      <c r="AA543" s="34"/>
      <c r="AB543" s="7"/>
      <c r="AC543" s="34"/>
      <c r="AD543" s="10"/>
      <c r="AF543"/>
    </row>
    <row r="544" spans="1:32" x14ac:dyDescent="0.25">
      <c r="A544" s="7"/>
      <c r="C544" s="70"/>
      <c r="D544" s="70"/>
      <c r="E544" s="73"/>
      <c r="F544" s="9"/>
      <c r="H544" s="9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4"/>
      <c r="U544" s="10"/>
      <c r="V544" s="10"/>
      <c r="W544" s="10"/>
      <c r="X544" s="7"/>
      <c r="Y544" s="7"/>
      <c r="Z544" s="7"/>
      <c r="AA544" s="34"/>
      <c r="AB544" s="7"/>
      <c r="AC544" s="34"/>
      <c r="AD544" s="10"/>
      <c r="AF544"/>
    </row>
    <row r="545" spans="1:32" x14ac:dyDescent="0.25">
      <c r="A545" s="7"/>
      <c r="C545" s="70"/>
      <c r="D545" s="70"/>
      <c r="E545" s="73"/>
      <c r="F545" s="9"/>
      <c r="H545" s="9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4"/>
      <c r="U545" s="10"/>
      <c r="V545" s="10"/>
      <c r="W545" s="10"/>
      <c r="X545" s="7"/>
      <c r="Y545" s="7"/>
      <c r="Z545" s="34"/>
      <c r="AA545" s="34"/>
      <c r="AB545" s="7"/>
      <c r="AC545" s="34"/>
      <c r="AD545" s="10"/>
      <c r="AF545"/>
    </row>
    <row r="546" spans="1:32" x14ac:dyDescent="0.25">
      <c r="A546" s="7"/>
      <c r="C546" s="70"/>
      <c r="D546" s="70"/>
      <c r="E546" s="73"/>
      <c r="F546" s="9"/>
      <c r="H546" s="9"/>
      <c r="I546" s="10"/>
      <c r="J546" s="7"/>
      <c r="K546" s="7"/>
      <c r="L546" s="10"/>
      <c r="M546" s="10"/>
      <c r="N546" s="10"/>
      <c r="O546" s="10"/>
      <c r="P546" s="10"/>
      <c r="Q546" s="10"/>
      <c r="R546" s="10"/>
      <c r="S546" s="10"/>
      <c r="T546" s="14"/>
      <c r="U546" s="10"/>
      <c r="V546" s="10"/>
      <c r="W546" s="10"/>
      <c r="X546" s="7"/>
      <c r="Y546" s="7"/>
      <c r="Z546" s="7"/>
      <c r="AA546" s="34"/>
      <c r="AB546" s="7"/>
      <c r="AC546" s="34"/>
      <c r="AD546" s="10"/>
      <c r="AF546"/>
    </row>
    <row r="547" spans="1:32" x14ac:dyDescent="0.25">
      <c r="A547" s="7"/>
      <c r="C547" s="70"/>
      <c r="D547" s="70"/>
      <c r="E547" s="73"/>
      <c r="F547" s="9"/>
      <c r="H547" s="9"/>
      <c r="I547" s="10"/>
      <c r="J547" s="7"/>
      <c r="K547" s="7"/>
      <c r="L547" s="10"/>
      <c r="M547" s="10"/>
      <c r="N547" s="10"/>
      <c r="O547" s="10"/>
      <c r="P547" s="10"/>
      <c r="Q547" s="10"/>
      <c r="R547" s="10"/>
      <c r="S547" s="10"/>
      <c r="T547" s="14"/>
      <c r="U547" s="10"/>
      <c r="V547" s="10"/>
      <c r="W547" s="10"/>
      <c r="X547" s="7"/>
      <c r="Y547" s="7"/>
      <c r="Z547" s="7"/>
      <c r="AA547" s="34"/>
      <c r="AB547" s="7"/>
      <c r="AC547" s="34"/>
      <c r="AD547" s="10"/>
      <c r="AF547"/>
    </row>
    <row r="548" spans="1:32" x14ac:dyDescent="0.25">
      <c r="A548" s="7"/>
      <c r="C548" s="70"/>
      <c r="D548" s="70"/>
      <c r="E548" s="73"/>
      <c r="F548" s="45"/>
      <c r="H548" s="9"/>
      <c r="I548" s="10"/>
      <c r="J548" s="7"/>
      <c r="K548" s="7"/>
      <c r="L548" s="10"/>
      <c r="M548" s="10"/>
      <c r="N548" s="10"/>
      <c r="O548" s="10"/>
      <c r="P548" s="10"/>
      <c r="Q548" s="10"/>
      <c r="R548" s="10"/>
      <c r="S548" s="10"/>
      <c r="T548" s="14"/>
      <c r="U548" s="10"/>
      <c r="V548" s="10"/>
      <c r="W548" s="10"/>
      <c r="X548" s="7"/>
      <c r="Y548" s="34"/>
      <c r="Z548" s="7"/>
      <c r="AA548" s="34"/>
      <c r="AB548" s="7"/>
      <c r="AC548" s="34"/>
      <c r="AD548" s="10"/>
      <c r="AF548"/>
    </row>
    <row r="549" spans="1:32" x14ac:dyDescent="0.25">
      <c r="A549" s="7"/>
      <c r="C549" s="70"/>
      <c r="D549" s="70"/>
      <c r="E549" s="73"/>
      <c r="F549" s="9"/>
      <c r="H549" s="9"/>
      <c r="I549" s="10"/>
      <c r="J549" s="7"/>
      <c r="K549" s="7"/>
      <c r="L549" s="10"/>
      <c r="M549" s="10"/>
      <c r="N549" s="10"/>
      <c r="O549" s="10"/>
      <c r="P549" s="10"/>
      <c r="Q549" s="10"/>
      <c r="R549" s="10"/>
      <c r="S549" s="10"/>
      <c r="T549" s="14"/>
      <c r="U549" s="10"/>
      <c r="V549" s="10"/>
      <c r="W549" s="10"/>
      <c r="X549" s="7"/>
      <c r="Y549" s="7"/>
      <c r="Z549" s="7"/>
      <c r="AA549" s="34"/>
      <c r="AB549" s="7"/>
      <c r="AC549" s="34"/>
      <c r="AD549" s="10"/>
      <c r="AF549"/>
    </row>
    <row r="550" spans="1:32" x14ac:dyDescent="0.25">
      <c r="A550" s="7"/>
      <c r="C550" s="70"/>
      <c r="D550" s="70"/>
      <c r="E550" s="73"/>
      <c r="F550" s="9"/>
      <c r="H550" s="9"/>
      <c r="I550" s="10"/>
      <c r="J550" s="7"/>
      <c r="K550" s="7"/>
      <c r="L550" s="10"/>
      <c r="M550" s="10"/>
      <c r="N550" s="10"/>
      <c r="O550" s="10"/>
      <c r="P550" s="10"/>
      <c r="Q550" s="10"/>
      <c r="R550" s="10"/>
      <c r="S550" s="10"/>
      <c r="T550" s="14"/>
      <c r="U550" s="10"/>
      <c r="V550" s="10"/>
      <c r="W550" s="10"/>
      <c r="X550" s="7"/>
      <c r="Y550" s="7"/>
      <c r="Z550" s="7"/>
      <c r="AA550" s="34"/>
      <c r="AB550" s="7"/>
      <c r="AC550" s="34"/>
      <c r="AD550" s="10"/>
      <c r="AF550"/>
    </row>
    <row r="551" spans="1:32" x14ac:dyDescent="0.25">
      <c r="A551" s="7"/>
      <c r="C551" s="70"/>
      <c r="D551" s="70"/>
      <c r="E551" s="73"/>
      <c r="F551" s="9"/>
      <c r="H551" s="9"/>
      <c r="I551" s="10"/>
      <c r="J551" s="7"/>
      <c r="K551" s="7"/>
      <c r="L551" s="10"/>
      <c r="M551" s="10"/>
      <c r="N551" s="10"/>
      <c r="O551" s="10"/>
      <c r="P551" s="10"/>
      <c r="Q551" s="10"/>
      <c r="R551" s="10"/>
      <c r="S551" s="10"/>
      <c r="T551" s="14"/>
      <c r="U551" s="10"/>
      <c r="V551" s="10"/>
      <c r="W551" s="10"/>
      <c r="X551" s="7"/>
      <c r="Y551" s="7"/>
      <c r="Z551" s="7"/>
      <c r="AA551" s="34"/>
      <c r="AB551" s="7"/>
      <c r="AC551" s="34"/>
      <c r="AD551" s="10"/>
      <c r="AF551"/>
    </row>
    <row r="552" spans="1:32" x14ac:dyDescent="0.25">
      <c r="A552" s="7"/>
      <c r="C552" s="70"/>
      <c r="D552" s="70"/>
      <c r="E552" s="73"/>
      <c r="F552" s="9"/>
      <c r="H552" s="9"/>
      <c r="I552" s="10"/>
      <c r="J552" s="7"/>
      <c r="K552" s="24"/>
      <c r="L552" s="10"/>
      <c r="M552" s="10"/>
      <c r="N552" s="10"/>
      <c r="O552" s="10"/>
      <c r="P552" s="10"/>
      <c r="Q552" s="10"/>
      <c r="R552" s="10"/>
      <c r="S552" s="10"/>
      <c r="T552" s="14"/>
      <c r="U552" s="10"/>
      <c r="V552" s="10"/>
      <c r="W552" s="10"/>
      <c r="X552" s="7"/>
      <c r="Y552" s="7"/>
      <c r="Z552" s="7"/>
      <c r="AA552" s="34"/>
      <c r="AB552" s="7"/>
      <c r="AC552" s="34"/>
      <c r="AD552" s="10"/>
      <c r="AF552"/>
    </row>
    <row r="553" spans="1:32" x14ac:dyDescent="0.25">
      <c r="A553" s="7"/>
      <c r="C553" s="70"/>
      <c r="D553" s="70"/>
      <c r="E553" s="73"/>
      <c r="F553" s="9"/>
      <c r="H553" s="9"/>
      <c r="I553" s="10"/>
      <c r="J553" s="7"/>
      <c r="K553" s="7"/>
      <c r="L553" s="10"/>
      <c r="M553" s="10"/>
      <c r="N553" s="10"/>
      <c r="O553" s="10"/>
      <c r="P553" s="10"/>
      <c r="Q553" s="10"/>
      <c r="R553" s="10"/>
      <c r="S553" s="10"/>
      <c r="T553" s="14"/>
      <c r="U553" s="10"/>
      <c r="V553" s="10"/>
      <c r="W553" s="10"/>
      <c r="X553" s="7"/>
      <c r="Y553" s="7"/>
      <c r="Z553" s="7"/>
      <c r="AA553" s="34"/>
      <c r="AB553" s="7"/>
      <c r="AC553" s="34"/>
      <c r="AD553" s="10"/>
      <c r="AF553"/>
    </row>
    <row r="554" spans="1:32" x14ac:dyDescent="0.25">
      <c r="A554" s="7"/>
      <c r="C554" s="70"/>
      <c r="D554" s="70"/>
      <c r="E554" s="73"/>
      <c r="F554" s="9"/>
      <c r="H554" s="9"/>
      <c r="I554" s="10"/>
      <c r="J554" s="7"/>
      <c r="K554" s="24"/>
      <c r="L554" s="10"/>
      <c r="M554" s="10"/>
      <c r="N554" s="10"/>
      <c r="O554" s="10"/>
      <c r="P554" s="10"/>
      <c r="Q554" s="10"/>
      <c r="R554" s="10"/>
      <c r="S554" s="10"/>
      <c r="T554" s="14"/>
      <c r="U554" s="10"/>
      <c r="V554" s="10"/>
      <c r="W554" s="10"/>
      <c r="X554" s="7"/>
      <c r="Y554" s="7"/>
      <c r="Z554" s="7"/>
      <c r="AA554" s="34"/>
      <c r="AB554" s="7"/>
      <c r="AC554" s="34"/>
      <c r="AD554" s="10"/>
      <c r="AF554"/>
    </row>
    <row r="555" spans="1:32" x14ac:dyDescent="0.25">
      <c r="A555" s="7"/>
      <c r="C555" s="70"/>
      <c r="D555" s="70"/>
      <c r="E555" s="73"/>
      <c r="F555" s="9"/>
      <c r="H555" s="9"/>
      <c r="I555" s="10"/>
      <c r="J555" s="7"/>
      <c r="K555" s="7"/>
      <c r="L555" s="10"/>
      <c r="M555" s="10"/>
      <c r="N555" s="10"/>
      <c r="O555" s="10"/>
      <c r="P555" s="10"/>
      <c r="Q555" s="10"/>
      <c r="R555" s="10"/>
      <c r="S555" s="10"/>
      <c r="T555" s="14"/>
      <c r="U555" s="10"/>
      <c r="V555" s="10"/>
      <c r="W555" s="10"/>
      <c r="X555" s="7"/>
      <c r="Y555" s="7"/>
      <c r="Z555" s="7"/>
      <c r="AA555" s="34"/>
      <c r="AB555" s="7"/>
      <c r="AC555" s="34"/>
      <c r="AD555" s="10"/>
      <c r="AF555"/>
    </row>
    <row r="556" spans="1:32" x14ac:dyDescent="0.25">
      <c r="A556" s="7"/>
      <c r="C556" s="70"/>
      <c r="D556" s="70"/>
      <c r="E556" s="73"/>
      <c r="F556" s="9"/>
      <c r="H556" s="9"/>
      <c r="I556" s="10"/>
      <c r="J556" s="7"/>
      <c r="K556" s="7"/>
      <c r="L556" s="10"/>
      <c r="M556" s="10"/>
      <c r="N556" s="10"/>
      <c r="O556" s="10"/>
      <c r="P556" s="10"/>
      <c r="Q556" s="10"/>
      <c r="R556" s="10"/>
      <c r="S556" s="10"/>
      <c r="T556" s="14"/>
      <c r="U556" s="10"/>
      <c r="V556" s="10"/>
      <c r="W556" s="10"/>
      <c r="X556" s="7"/>
      <c r="Y556" s="7"/>
      <c r="Z556" s="7"/>
      <c r="AA556" s="34"/>
      <c r="AB556" s="7"/>
      <c r="AC556" s="34"/>
      <c r="AD556" s="10"/>
      <c r="AF556"/>
    </row>
    <row r="557" spans="1:32" x14ac:dyDescent="0.25">
      <c r="A557" s="7"/>
      <c r="C557" s="70"/>
      <c r="D557" s="70"/>
      <c r="E557" s="73"/>
      <c r="F557" s="9"/>
      <c r="H557" s="9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4"/>
      <c r="U557" s="10"/>
      <c r="V557" s="10"/>
      <c r="W557" s="10"/>
      <c r="X557" s="7"/>
      <c r="Y557" s="7"/>
      <c r="Z557" s="34"/>
      <c r="AA557" s="34"/>
      <c r="AB557" s="7"/>
      <c r="AC557" s="34"/>
      <c r="AD557" s="10"/>
      <c r="AF557"/>
    </row>
    <row r="558" spans="1:32" x14ac:dyDescent="0.25">
      <c r="A558" s="7"/>
      <c r="C558" s="70"/>
      <c r="D558" s="70"/>
      <c r="E558" s="73"/>
      <c r="F558" s="9"/>
      <c r="H558" s="9"/>
      <c r="I558" s="10"/>
      <c r="J558" s="60"/>
      <c r="K558" s="42"/>
      <c r="L558" s="10"/>
      <c r="M558" s="10"/>
      <c r="N558" s="10"/>
      <c r="O558" s="10"/>
      <c r="P558" s="10"/>
      <c r="Q558" s="10"/>
      <c r="R558" s="10"/>
      <c r="S558" s="10"/>
      <c r="T558" s="14"/>
      <c r="U558" s="10"/>
      <c r="V558" s="10"/>
      <c r="W558" s="10"/>
      <c r="X558" s="7"/>
      <c r="Y558" s="7"/>
      <c r="Z558" s="34"/>
      <c r="AA558" s="34"/>
      <c r="AB558" s="7"/>
      <c r="AC558" s="34"/>
      <c r="AD558" s="10"/>
      <c r="AF558"/>
    </row>
    <row r="559" spans="1:32" x14ac:dyDescent="0.25">
      <c r="A559" s="7"/>
      <c r="C559" s="70"/>
      <c r="D559" s="70"/>
      <c r="E559" s="73"/>
      <c r="F559" s="9"/>
      <c r="H559" s="9"/>
      <c r="I559" s="10"/>
      <c r="J559" s="7"/>
      <c r="K559" s="7"/>
      <c r="L559" s="10"/>
      <c r="M559" s="10"/>
      <c r="N559" s="10"/>
      <c r="O559" s="10"/>
      <c r="P559" s="10"/>
      <c r="Q559" s="10"/>
      <c r="R559" s="10"/>
      <c r="S559" s="10"/>
      <c r="T559" s="14"/>
      <c r="U559" s="10"/>
      <c r="V559" s="10"/>
      <c r="W559" s="10"/>
      <c r="X559" s="7"/>
      <c r="Y559" s="7"/>
      <c r="Z559" s="7"/>
      <c r="AA559" s="34"/>
      <c r="AB559" s="7"/>
      <c r="AC559" s="34"/>
      <c r="AD559" s="10"/>
      <c r="AF559"/>
    </row>
    <row r="560" spans="1:32" x14ac:dyDescent="0.25">
      <c r="A560" s="7"/>
      <c r="C560" s="70"/>
      <c r="D560" s="70"/>
      <c r="E560" s="73"/>
      <c r="F560" s="9"/>
      <c r="H560" s="9"/>
      <c r="I560" s="10"/>
      <c r="J560" s="7"/>
      <c r="K560" s="7"/>
      <c r="L560" s="10"/>
      <c r="M560" s="10"/>
      <c r="N560" s="10"/>
      <c r="O560" s="10"/>
      <c r="P560" s="10"/>
      <c r="Q560" s="10"/>
      <c r="R560" s="10"/>
      <c r="S560" s="10"/>
      <c r="T560" s="14"/>
      <c r="U560" s="10"/>
      <c r="V560" s="10"/>
      <c r="W560" s="10"/>
      <c r="X560" s="7"/>
      <c r="Y560" s="7"/>
      <c r="Z560" s="7"/>
      <c r="AA560" s="34"/>
      <c r="AB560" s="7"/>
      <c r="AC560" s="34"/>
      <c r="AD560" s="10"/>
      <c r="AF560"/>
    </row>
    <row r="561" spans="1:32" x14ac:dyDescent="0.25">
      <c r="A561" s="7"/>
      <c r="C561" s="70"/>
      <c r="D561" s="70"/>
      <c r="E561" s="73"/>
      <c r="F561" s="9"/>
      <c r="H561" s="9"/>
      <c r="I561" s="10"/>
      <c r="J561" s="7"/>
      <c r="K561" s="10"/>
      <c r="L561" s="10"/>
      <c r="M561" s="10"/>
      <c r="N561" s="10"/>
      <c r="O561" s="10"/>
      <c r="P561" s="10"/>
      <c r="Q561" s="10"/>
      <c r="R561" s="10"/>
      <c r="S561" s="10"/>
      <c r="T561" s="14"/>
      <c r="U561" s="10"/>
      <c r="V561" s="10"/>
      <c r="W561" s="10"/>
      <c r="X561" s="7"/>
      <c r="Y561" s="7"/>
      <c r="Z561" s="7"/>
      <c r="AA561" s="34"/>
      <c r="AB561" s="7"/>
      <c r="AC561" s="34"/>
      <c r="AD561" s="10"/>
      <c r="AF561"/>
    </row>
    <row r="562" spans="1:32" x14ac:dyDescent="0.25">
      <c r="A562" s="7"/>
      <c r="C562" s="70"/>
      <c r="D562" s="70"/>
      <c r="E562" s="73"/>
      <c r="F562" s="9"/>
      <c r="H562" s="9"/>
      <c r="I562" s="10"/>
      <c r="J562" s="7"/>
      <c r="K562" s="7"/>
      <c r="L562" s="10"/>
      <c r="M562" s="10"/>
      <c r="N562" s="10"/>
      <c r="O562" s="10"/>
      <c r="P562" s="10"/>
      <c r="Q562" s="10"/>
      <c r="R562" s="10"/>
      <c r="S562" s="10"/>
      <c r="T562" s="14"/>
      <c r="U562" s="10"/>
      <c r="V562" s="10"/>
      <c r="W562" s="10"/>
      <c r="X562" s="7"/>
      <c r="Y562" s="7"/>
      <c r="Z562" s="7"/>
      <c r="AA562" s="34"/>
      <c r="AB562" s="7"/>
      <c r="AC562" s="34"/>
      <c r="AD562" s="10"/>
      <c r="AF562"/>
    </row>
    <row r="563" spans="1:32" x14ac:dyDescent="0.25">
      <c r="A563" s="7"/>
      <c r="C563" s="70"/>
      <c r="D563" s="70"/>
      <c r="E563" s="73"/>
      <c r="F563" s="9"/>
      <c r="H563" s="9"/>
      <c r="I563" s="10"/>
      <c r="J563" s="7"/>
      <c r="K563" s="7"/>
      <c r="L563" s="10"/>
      <c r="M563" s="10"/>
      <c r="N563" s="10"/>
      <c r="O563" s="10"/>
      <c r="P563" s="10"/>
      <c r="Q563" s="10"/>
      <c r="R563" s="10"/>
      <c r="S563" s="10"/>
      <c r="T563" s="14"/>
      <c r="U563" s="10"/>
      <c r="V563" s="10"/>
      <c r="W563" s="10"/>
      <c r="X563" s="7"/>
      <c r="Y563" s="7"/>
      <c r="Z563" s="7"/>
      <c r="AA563" s="34"/>
      <c r="AB563" s="7"/>
      <c r="AC563" s="34"/>
      <c r="AD563" s="10"/>
      <c r="AF563"/>
    </row>
    <row r="564" spans="1:32" x14ac:dyDescent="0.25">
      <c r="A564" s="7"/>
      <c r="C564" s="70"/>
      <c r="D564" s="70"/>
      <c r="E564" s="73"/>
      <c r="F564" s="9"/>
      <c r="H564" s="9"/>
      <c r="I564" s="10"/>
      <c r="J564" s="7"/>
      <c r="K564" s="7"/>
      <c r="L564" s="10"/>
      <c r="M564" s="10"/>
      <c r="N564" s="10"/>
      <c r="O564" s="10"/>
      <c r="P564" s="10"/>
      <c r="Q564" s="10"/>
      <c r="R564" s="10"/>
      <c r="S564" s="10"/>
      <c r="T564" s="14"/>
      <c r="U564" s="10"/>
      <c r="V564" s="10"/>
      <c r="W564" s="10"/>
      <c r="X564" s="7"/>
      <c r="Y564" s="7"/>
      <c r="Z564" s="7"/>
      <c r="AA564" s="34"/>
      <c r="AB564" s="7"/>
      <c r="AC564" s="34"/>
      <c r="AD564" s="10"/>
      <c r="AF564"/>
    </row>
    <row r="565" spans="1:32" x14ac:dyDescent="0.25">
      <c r="A565" s="7"/>
      <c r="C565" s="70"/>
      <c r="D565" s="70"/>
      <c r="E565" s="73"/>
      <c r="F565" s="9"/>
      <c r="H565" s="9"/>
      <c r="I565" s="10"/>
      <c r="J565" s="7"/>
      <c r="K565" s="7"/>
      <c r="L565" s="10"/>
      <c r="M565" s="10"/>
      <c r="N565" s="10"/>
      <c r="O565" s="10"/>
      <c r="P565" s="10"/>
      <c r="Q565" s="10"/>
      <c r="R565" s="10"/>
      <c r="S565" s="10"/>
      <c r="T565" s="14"/>
      <c r="U565" s="10"/>
      <c r="V565" s="10"/>
      <c r="W565" s="10"/>
      <c r="X565" s="7"/>
      <c r="Y565" s="7"/>
      <c r="Z565" s="7"/>
      <c r="AA565" s="34"/>
      <c r="AB565" s="7"/>
      <c r="AC565" s="34"/>
      <c r="AD565" s="10"/>
      <c r="AF565"/>
    </row>
    <row r="566" spans="1:32" x14ac:dyDescent="0.25">
      <c r="A566" s="7"/>
      <c r="C566" s="70"/>
      <c r="D566" s="70"/>
      <c r="E566" s="73"/>
      <c r="F566" s="9"/>
      <c r="H566" s="9"/>
      <c r="I566" s="10"/>
      <c r="J566" s="7"/>
      <c r="K566" s="24"/>
      <c r="L566" s="10"/>
      <c r="M566" s="10"/>
      <c r="N566" s="10"/>
      <c r="O566" s="10"/>
      <c r="P566" s="10"/>
      <c r="Q566" s="10"/>
      <c r="R566" s="10"/>
      <c r="S566" s="10"/>
      <c r="T566" s="14"/>
      <c r="U566" s="10"/>
      <c r="V566" s="10"/>
      <c r="W566" s="10"/>
      <c r="X566" s="7"/>
      <c r="Y566" s="7"/>
      <c r="Z566" s="34"/>
      <c r="AA566" s="34"/>
      <c r="AB566" s="7"/>
      <c r="AC566" s="34"/>
      <c r="AD566" s="10"/>
      <c r="AF566"/>
    </row>
    <row r="567" spans="1:32" x14ac:dyDescent="0.25">
      <c r="A567" s="7"/>
      <c r="C567" s="70"/>
      <c r="D567" s="70"/>
      <c r="E567" s="73"/>
      <c r="F567" s="9"/>
      <c r="H567" s="9"/>
      <c r="I567" s="10"/>
      <c r="J567" s="10"/>
      <c r="K567" s="10"/>
      <c r="L567" s="34"/>
      <c r="M567" s="10"/>
      <c r="N567" s="10"/>
      <c r="O567" s="10"/>
      <c r="P567" s="10"/>
      <c r="Q567" s="10"/>
      <c r="R567" s="10"/>
      <c r="S567" s="10"/>
      <c r="T567" s="14"/>
      <c r="U567" s="10"/>
      <c r="V567" s="10"/>
      <c r="W567" s="10"/>
      <c r="X567" s="34"/>
      <c r="Y567" s="7"/>
      <c r="Z567" s="34"/>
      <c r="AA567" s="34"/>
      <c r="AB567" s="7"/>
      <c r="AC567" s="34"/>
      <c r="AD567" s="10"/>
      <c r="AF567"/>
    </row>
    <row r="568" spans="1:32" x14ac:dyDescent="0.25">
      <c r="A568" s="7"/>
      <c r="C568" s="70"/>
      <c r="D568" s="70"/>
      <c r="E568" s="73"/>
      <c r="F568" s="9"/>
      <c r="H568" s="9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4"/>
      <c r="U568" s="10"/>
      <c r="V568" s="10"/>
      <c r="W568" s="10"/>
      <c r="X568" s="7"/>
      <c r="Y568" s="7"/>
      <c r="Z568" s="7"/>
      <c r="AA568" s="34"/>
      <c r="AB568" s="7"/>
      <c r="AC568" s="34"/>
      <c r="AD568" s="10"/>
      <c r="AF568"/>
    </row>
    <row r="569" spans="1:32" x14ac:dyDescent="0.25">
      <c r="A569" s="7"/>
      <c r="C569" s="70"/>
      <c r="D569" s="70"/>
      <c r="E569" s="73"/>
      <c r="F569" s="9"/>
      <c r="H569" s="9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4"/>
      <c r="U569" s="10"/>
      <c r="V569" s="10"/>
      <c r="W569" s="10"/>
      <c r="X569" s="7"/>
      <c r="Y569" s="7"/>
      <c r="Z569" s="7"/>
      <c r="AA569" s="34"/>
      <c r="AB569" s="7"/>
      <c r="AC569" s="34"/>
      <c r="AD569" s="10"/>
      <c r="AF569"/>
    </row>
    <row r="570" spans="1:32" x14ac:dyDescent="0.25">
      <c r="A570" s="7"/>
      <c r="C570" s="70"/>
      <c r="D570" s="70"/>
      <c r="E570" s="73"/>
      <c r="F570" s="9"/>
      <c r="H570" s="9"/>
      <c r="I570" s="10"/>
      <c r="J570" s="7"/>
      <c r="K570" s="7"/>
      <c r="L570" s="10"/>
      <c r="M570" s="10"/>
      <c r="N570" s="10"/>
      <c r="O570" s="10"/>
      <c r="P570" s="10"/>
      <c r="Q570" s="10"/>
      <c r="R570" s="10"/>
      <c r="S570" s="10"/>
      <c r="T570" s="14"/>
      <c r="U570" s="10"/>
      <c r="V570" s="10"/>
      <c r="W570" s="10"/>
      <c r="X570" s="7"/>
      <c r="Y570" s="7"/>
      <c r="Z570" s="7"/>
      <c r="AA570" s="34"/>
      <c r="AB570" s="7"/>
      <c r="AC570" s="34"/>
      <c r="AD570" s="10"/>
      <c r="AF570"/>
    </row>
    <row r="571" spans="1:32" x14ac:dyDescent="0.25">
      <c r="A571" s="7"/>
      <c r="C571" s="70"/>
      <c r="D571" s="70"/>
      <c r="E571" s="73"/>
      <c r="F571" s="9"/>
      <c r="H571" s="9"/>
      <c r="I571" s="10"/>
      <c r="J571" s="7"/>
      <c r="K571" s="7"/>
      <c r="L571" s="10"/>
      <c r="M571" s="10"/>
      <c r="N571" s="10"/>
      <c r="O571" s="10"/>
      <c r="P571" s="10"/>
      <c r="Q571" s="10"/>
      <c r="R571" s="10"/>
      <c r="S571" s="10"/>
      <c r="T571" s="14"/>
      <c r="U571" s="10"/>
      <c r="V571" s="10"/>
      <c r="W571" s="10"/>
      <c r="X571" s="7"/>
      <c r="Y571" s="7"/>
      <c r="Z571" s="34"/>
      <c r="AA571" s="34"/>
      <c r="AB571" s="7"/>
      <c r="AC571" s="34"/>
      <c r="AD571" s="10"/>
      <c r="AF571"/>
    </row>
    <row r="572" spans="1:32" x14ac:dyDescent="0.25">
      <c r="A572" s="7"/>
      <c r="C572" s="70"/>
      <c r="D572" s="70"/>
      <c r="E572" s="73"/>
      <c r="F572" s="9"/>
      <c r="H572" s="9"/>
      <c r="I572" s="10"/>
      <c r="J572" s="7"/>
      <c r="K572" s="7"/>
      <c r="L572" s="10"/>
      <c r="M572" s="10"/>
      <c r="N572" s="10"/>
      <c r="O572" s="10"/>
      <c r="P572" s="10"/>
      <c r="Q572" s="10"/>
      <c r="R572" s="10"/>
      <c r="S572" s="10"/>
      <c r="T572" s="14"/>
      <c r="U572" s="10"/>
      <c r="V572" s="10"/>
      <c r="W572" s="10"/>
      <c r="X572" s="7"/>
      <c r="Y572" s="7"/>
      <c r="Z572" s="34"/>
      <c r="AA572" s="34"/>
      <c r="AB572" s="7"/>
      <c r="AC572" s="34"/>
      <c r="AD572" s="10"/>
      <c r="AF572"/>
    </row>
    <row r="573" spans="1:32" x14ac:dyDescent="0.25">
      <c r="A573" s="7"/>
      <c r="C573" s="70"/>
      <c r="D573" s="70"/>
      <c r="E573" s="73"/>
      <c r="F573" s="9"/>
      <c r="H573" s="9"/>
      <c r="I573" s="10"/>
      <c r="J573" s="7"/>
      <c r="K573" s="7"/>
      <c r="L573" s="10"/>
      <c r="M573" s="10"/>
      <c r="N573" s="10"/>
      <c r="O573" s="10"/>
      <c r="P573" s="10"/>
      <c r="Q573" s="10"/>
      <c r="R573" s="10"/>
      <c r="S573" s="10"/>
      <c r="T573" s="14"/>
      <c r="U573" s="10"/>
      <c r="V573" s="10"/>
      <c r="W573" s="10"/>
      <c r="X573" s="7"/>
      <c r="Y573" s="7"/>
      <c r="Z573" s="7"/>
      <c r="AA573" s="34"/>
      <c r="AB573" s="7"/>
      <c r="AC573" s="34"/>
      <c r="AD573" s="10"/>
      <c r="AF573"/>
    </row>
    <row r="574" spans="1:32" x14ac:dyDescent="0.25">
      <c r="A574" s="7"/>
      <c r="C574" s="70"/>
      <c r="D574" s="70"/>
      <c r="E574" s="73"/>
      <c r="F574" s="9"/>
      <c r="H574" s="9"/>
      <c r="I574" s="10"/>
      <c r="J574" s="7"/>
      <c r="K574" s="7"/>
      <c r="L574" s="10"/>
      <c r="M574" s="10"/>
      <c r="N574" s="10"/>
      <c r="O574" s="10"/>
      <c r="P574" s="10"/>
      <c r="Q574" s="10"/>
      <c r="R574" s="10"/>
      <c r="S574" s="10"/>
      <c r="T574" s="14"/>
      <c r="U574" s="10"/>
      <c r="V574" s="10"/>
      <c r="W574" s="10"/>
      <c r="X574" s="7"/>
      <c r="Y574" s="7"/>
      <c r="Z574" s="7"/>
      <c r="AA574" s="34"/>
      <c r="AB574" s="7"/>
      <c r="AC574" s="34"/>
      <c r="AD574" s="10"/>
      <c r="AF574"/>
    </row>
    <row r="575" spans="1:32" x14ac:dyDescent="0.25">
      <c r="A575" s="7"/>
      <c r="C575" s="70"/>
      <c r="D575" s="70"/>
      <c r="E575" s="73"/>
      <c r="F575" s="9"/>
      <c r="H575" s="9"/>
      <c r="I575" s="10"/>
      <c r="J575" s="7"/>
      <c r="K575" s="7"/>
      <c r="L575" s="10"/>
      <c r="M575" s="10"/>
      <c r="N575" s="10"/>
      <c r="O575" s="10"/>
      <c r="P575" s="10"/>
      <c r="Q575" s="10"/>
      <c r="R575" s="10"/>
      <c r="S575" s="10"/>
      <c r="T575" s="14"/>
      <c r="U575" s="10"/>
      <c r="V575" s="10"/>
      <c r="W575" s="10"/>
      <c r="X575" s="7"/>
      <c r="Y575" s="7"/>
      <c r="Z575" s="7"/>
      <c r="AA575" s="34"/>
      <c r="AB575" s="7"/>
      <c r="AC575" s="34"/>
      <c r="AD575" s="10"/>
      <c r="AF575"/>
    </row>
    <row r="576" spans="1:32" x14ac:dyDescent="0.25">
      <c r="A576" s="7"/>
      <c r="C576" s="70"/>
      <c r="D576" s="70"/>
      <c r="E576" s="73"/>
      <c r="F576" s="9"/>
      <c r="H576" s="9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4"/>
      <c r="U576" s="10"/>
      <c r="V576" s="10"/>
      <c r="W576" s="10"/>
      <c r="X576" s="7"/>
      <c r="Y576" s="7"/>
      <c r="Z576" s="7"/>
      <c r="AA576" s="34"/>
      <c r="AB576" s="7"/>
      <c r="AC576" s="34"/>
      <c r="AD576" s="10"/>
      <c r="AF576"/>
    </row>
    <row r="577" spans="1:32" x14ac:dyDescent="0.25">
      <c r="A577" s="7"/>
      <c r="C577" s="70"/>
      <c r="D577" s="70"/>
      <c r="E577" s="73"/>
      <c r="F577" s="9"/>
      <c r="H577" s="9"/>
      <c r="I577" s="10"/>
      <c r="J577" s="7"/>
      <c r="K577" s="24"/>
      <c r="L577" s="10"/>
      <c r="M577" s="10"/>
      <c r="N577" s="10"/>
      <c r="O577" s="10"/>
      <c r="P577" s="10"/>
      <c r="Q577" s="10"/>
      <c r="R577" s="10"/>
      <c r="S577" s="10"/>
      <c r="T577" s="14"/>
      <c r="U577" s="10"/>
      <c r="V577" s="10"/>
      <c r="W577" s="10"/>
      <c r="X577" s="7"/>
      <c r="Y577" s="7"/>
      <c r="Z577" s="7"/>
      <c r="AA577" s="34"/>
      <c r="AB577" s="7"/>
      <c r="AC577" s="34"/>
      <c r="AD577" s="10"/>
      <c r="AF577"/>
    </row>
    <row r="578" spans="1:32" x14ac:dyDescent="0.25">
      <c r="A578" s="7"/>
      <c r="C578" s="70"/>
      <c r="D578" s="70"/>
      <c r="E578" s="73"/>
      <c r="F578" s="48"/>
      <c r="H578" s="9"/>
      <c r="I578" s="10"/>
      <c r="J578" s="7"/>
      <c r="K578" s="24"/>
      <c r="L578" s="10"/>
      <c r="M578" s="10"/>
      <c r="N578" s="10"/>
      <c r="O578" s="10"/>
      <c r="P578" s="10"/>
      <c r="Q578" s="10"/>
      <c r="R578" s="10"/>
      <c r="S578" s="10"/>
      <c r="T578" s="14"/>
      <c r="U578" s="10"/>
      <c r="V578" s="10"/>
      <c r="W578" s="10"/>
      <c r="X578" s="7"/>
      <c r="Y578" s="34"/>
      <c r="Z578" s="7"/>
      <c r="AA578" s="34"/>
      <c r="AB578" s="7"/>
      <c r="AC578" s="34"/>
      <c r="AD578" s="10"/>
      <c r="AF578"/>
    </row>
    <row r="579" spans="1:32" x14ac:dyDescent="0.25">
      <c r="A579" s="7"/>
      <c r="C579" s="70"/>
      <c r="D579" s="70"/>
      <c r="E579" s="73"/>
      <c r="F579" s="9"/>
      <c r="H579" s="9"/>
      <c r="I579" s="10"/>
      <c r="J579" s="7"/>
      <c r="K579" s="24"/>
      <c r="L579" s="10"/>
      <c r="M579" s="10"/>
      <c r="N579" s="10"/>
      <c r="O579" s="10"/>
      <c r="P579" s="10"/>
      <c r="Q579" s="10"/>
      <c r="R579" s="10"/>
      <c r="S579" s="10"/>
      <c r="T579" s="14"/>
      <c r="U579" s="10"/>
      <c r="V579" s="10"/>
      <c r="W579" s="10"/>
      <c r="X579" s="7"/>
      <c r="Y579" s="7"/>
      <c r="Z579" s="7"/>
      <c r="AA579" s="34"/>
      <c r="AB579" s="7"/>
      <c r="AC579" s="34"/>
      <c r="AD579" s="10"/>
      <c r="AF579"/>
    </row>
    <row r="580" spans="1:32" x14ac:dyDescent="0.25">
      <c r="A580" s="7"/>
      <c r="C580" s="70"/>
      <c r="D580" s="70"/>
      <c r="E580" s="73"/>
      <c r="F580" s="9"/>
      <c r="H580" s="9"/>
      <c r="I580" s="10"/>
      <c r="J580" s="7"/>
      <c r="K580" s="7"/>
      <c r="L580" s="10"/>
      <c r="M580" s="10"/>
      <c r="N580" s="10"/>
      <c r="O580" s="10"/>
      <c r="P580" s="10"/>
      <c r="Q580" s="10"/>
      <c r="R580" s="10"/>
      <c r="S580" s="10"/>
      <c r="T580" s="14"/>
      <c r="U580" s="10"/>
      <c r="V580" s="10"/>
      <c r="W580" s="10"/>
      <c r="X580" s="7"/>
      <c r="Y580" s="7"/>
      <c r="Z580" s="7"/>
      <c r="AA580" s="34"/>
      <c r="AB580" s="7"/>
      <c r="AC580" s="34"/>
      <c r="AD580" s="10"/>
      <c r="AF580"/>
    </row>
    <row r="581" spans="1:32" x14ac:dyDescent="0.25">
      <c r="A581" s="7"/>
      <c r="C581" s="70"/>
      <c r="D581" s="70"/>
      <c r="E581" s="73"/>
      <c r="F581" s="9"/>
      <c r="H581" s="9"/>
      <c r="I581" s="10"/>
      <c r="J581" s="10"/>
      <c r="K581" s="7"/>
      <c r="L581" s="10"/>
      <c r="M581" s="10"/>
      <c r="N581" s="10"/>
      <c r="O581" s="10"/>
      <c r="P581" s="10"/>
      <c r="Q581" s="10"/>
      <c r="R581" s="10"/>
      <c r="S581" s="10"/>
      <c r="T581" s="14"/>
      <c r="U581" s="10"/>
      <c r="V581" s="10"/>
      <c r="W581" s="10"/>
      <c r="X581" s="7"/>
      <c r="Y581" s="7"/>
      <c r="Z581" s="34"/>
      <c r="AA581" s="34"/>
      <c r="AB581" s="7"/>
      <c r="AC581" s="34"/>
      <c r="AD581" s="10"/>
      <c r="AF581"/>
    </row>
    <row r="582" spans="1:32" x14ac:dyDescent="0.25">
      <c r="A582" s="7"/>
      <c r="C582" s="70"/>
      <c r="D582" s="70"/>
      <c r="E582" s="73"/>
      <c r="F582" s="9"/>
      <c r="H582" s="9"/>
      <c r="I582" s="10"/>
      <c r="J582" s="7"/>
      <c r="K582" s="24"/>
      <c r="L582" s="10"/>
      <c r="M582" s="10"/>
      <c r="N582" s="10"/>
      <c r="O582" s="10"/>
      <c r="P582" s="10"/>
      <c r="Q582" s="10"/>
      <c r="R582" s="10"/>
      <c r="S582" s="10"/>
      <c r="T582" s="14"/>
      <c r="U582" s="10"/>
      <c r="V582" s="10"/>
      <c r="W582" s="10"/>
      <c r="X582" s="7"/>
      <c r="Y582" s="7"/>
      <c r="Z582" s="34"/>
      <c r="AA582" s="34"/>
      <c r="AB582" s="7"/>
      <c r="AC582" s="34"/>
      <c r="AD582" s="10"/>
      <c r="AF582"/>
    </row>
    <row r="583" spans="1:32" x14ac:dyDescent="0.25">
      <c r="A583" s="7"/>
      <c r="C583" s="70"/>
      <c r="D583" s="70"/>
      <c r="E583" s="73"/>
      <c r="F583" s="9"/>
      <c r="H583" s="9"/>
      <c r="I583" s="10"/>
      <c r="J583" s="7"/>
      <c r="K583" s="7"/>
      <c r="L583" s="10"/>
      <c r="M583" s="10"/>
      <c r="N583" s="10"/>
      <c r="O583" s="10"/>
      <c r="P583" s="10"/>
      <c r="Q583" s="10"/>
      <c r="R583" s="10"/>
      <c r="S583" s="10"/>
      <c r="T583" s="14"/>
      <c r="U583" s="10"/>
      <c r="V583" s="10"/>
      <c r="W583" s="10"/>
      <c r="X583" s="7"/>
      <c r="Y583" s="7"/>
      <c r="Z583" s="7"/>
      <c r="AA583" s="34"/>
      <c r="AB583" s="7"/>
      <c r="AC583" s="34"/>
      <c r="AD583" s="10"/>
      <c r="AF583"/>
    </row>
    <row r="584" spans="1:32" x14ac:dyDescent="0.25">
      <c r="A584" s="7"/>
      <c r="C584" s="70"/>
      <c r="D584" s="70"/>
      <c r="E584" s="73"/>
      <c r="F584" s="9"/>
      <c r="H584" s="9"/>
      <c r="I584" s="10"/>
      <c r="J584" s="7"/>
      <c r="K584" s="7"/>
      <c r="L584" s="10"/>
      <c r="M584" s="10"/>
      <c r="N584" s="10"/>
      <c r="O584" s="10"/>
      <c r="P584" s="10"/>
      <c r="Q584" s="10"/>
      <c r="R584" s="10"/>
      <c r="S584" s="10"/>
      <c r="T584" s="14"/>
      <c r="U584" s="10"/>
      <c r="V584" s="10"/>
      <c r="W584" s="10"/>
      <c r="X584" s="7"/>
      <c r="Y584" s="7"/>
      <c r="Z584" s="7"/>
      <c r="AA584" s="34"/>
      <c r="AB584" s="7"/>
      <c r="AC584" s="34"/>
      <c r="AD584" s="10"/>
      <c r="AF584"/>
    </row>
    <row r="585" spans="1:32" x14ac:dyDescent="0.25">
      <c r="A585" s="7"/>
      <c r="C585" s="70"/>
      <c r="D585" s="70"/>
      <c r="E585" s="73"/>
      <c r="F585" s="9"/>
      <c r="H585" s="9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4"/>
      <c r="U585" s="10"/>
      <c r="V585" s="10"/>
      <c r="W585" s="10"/>
      <c r="X585" s="34"/>
      <c r="Y585" s="7"/>
      <c r="Z585" s="7"/>
      <c r="AA585" s="34"/>
      <c r="AB585" s="7"/>
      <c r="AC585" s="34"/>
      <c r="AD585" s="10"/>
      <c r="AF585"/>
    </row>
    <row r="586" spans="1:32" x14ac:dyDescent="0.25">
      <c r="A586" s="7"/>
      <c r="C586" s="70"/>
      <c r="D586" s="70"/>
      <c r="E586" s="73"/>
      <c r="F586" s="9"/>
      <c r="H586" s="9"/>
      <c r="I586" s="10"/>
      <c r="J586" s="10"/>
      <c r="K586" s="7"/>
      <c r="L586" s="10"/>
      <c r="M586" s="10"/>
      <c r="N586" s="10"/>
      <c r="O586" s="10"/>
      <c r="P586" s="10"/>
      <c r="Q586" s="10"/>
      <c r="R586" s="10"/>
      <c r="S586" s="10"/>
      <c r="T586" s="14"/>
      <c r="U586" s="10"/>
      <c r="V586" s="10"/>
      <c r="W586" s="10"/>
      <c r="X586" s="7"/>
      <c r="Y586" s="7"/>
      <c r="Z586" s="7"/>
      <c r="AA586" s="34"/>
      <c r="AB586" s="7"/>
      <c r="AC586" s="34"/>
      <c r="AD586" s="10"/>
      <c r="AF586"/>
    </row>
    <row r="587" spans="1:32" x14ac:dyDescent="0.25">
      <c r="A587" s="7"/>
      <c r="C587" s="70"/>
      <c r="D587" s="70"/>
      <c r="E587" s="73"/>
      <c r="F587" s="9"/>
      <c r="H587" s="9"/>
      <c r="I587" s="10"/>
      <c r="J587" s="7"/>
      <c r="K587" s="7"/>
      <c r="L587" s="10"/>
      <c r="M587" s="10"/>
      <c r="N587" s="10"/>
      <c r="O587" s="10"/>
      <c r="P587" s="10"/>
      <c r="Q587" s="10"/>
      <c r="R587" s="10"/>
      <c r="S587" s="10"/>
      <c r="T587" s="14"/>
      <c r="U587" s="10"/>
      <c r="V587" s="10"/>
      <c r="W587" s="10"/>
      <c r="X587" s="7"/>
      <c r="Y587" s="7"/>
      <c r="Z587" s="7"/>
      <c r="AA587" s="34"/>
      <c r="AB587" s="7"/>
      <c r="AC587" s="34"/>
      <c r="AD587" s="10"/>
      <c r="AF587"/>
    </row>
    <row r="588" spans="1:32" x14ac:dyDescent="0.25">
      <c r="A588" s="7"/>
      <c r="C588" s="70"/>
      <c r="D588" s="70"/>
      <c r="E588" s="73"/>
      <c r="F588" s="9"/>
      <c r="H588" s="9"/>
      <c r="I588" s="10"/>
      <c r="J588" s="7"/>
      <c r="K588" s="7"/>
      <c r="L588" s="10"/>
      <c r="M588" s="10"/>
      <c r="N588" s="10"/>
      <c r="O588" s="10"/>
      <c r="P588" s="10"/>
      <c r="Q588" s="10"/>
      <c r="R588" s="10"/>
      <c r="S588" s="10"/>
      <c r="T588" s="14"/>
      <c r="U588" s="10"/>
      <c r="V588" s="10"/>
      <c r="W588" s="10"/>
      <c r="X588" s="7"/>
      <c r="Y588" s="7"/>
      <c r="Z588" s="7"/>
      <c r="AA588" s="34"/>
      <c r="AB588" s="7"/>
      <c r="AC588" s="34"/>
      <c r="AD588" s="10"/>
      <c r="AF588"/>
    </row>
    <row r="589" spans="1:32" x14ac:dyDescent="0.25">
      <c r="A589" s="7"/>
      <c r="C589" s="70"/>
      <c r="D589" s="70"/>
      <c r="E589" s="73"/>
      <c r="F589" s="9"/>
      <c r="H589" s="9"/>
      <c r="I589" s="10"/>
      <c r="J589" s="7"/>
      <c r="K589" s="7"/>
      <c r="L589" s="10"/>
      <c r="M589" s="10"/>
      <c r="N589" s="10"/>
      <c r="O589" s="10"/>
      <c r="P589" s="10"/>
      <c r="Q589" s="10"/>
      <c r="R589" s="10"/>
      <c r="S589" s="10"/>
      <c r="T589" s="14"/>
      <c r="U589" s="10"/>
      <c r="V589" s="10"/>
      <c r="W589" s="10"/>
      <c r="X589" s="34"/>
      <c r="Y589" s="7"/>
      <c r="Z589" s="7"/>
      <c r="AA589" s="34"/>
      <c r="AB589" s="7"/>
      <c r="AC589" s="34"/>
      <c r="AD589" s="10"/>
      <c r="AF589"/>
    </row>
    <row r="590" spans="1:32" x14ac:dyDescent="0.25">
      <c r="A590" s="7"/>
      <c r="C590" s="70"/>
      <c r="D590" s="70"/>
      <c r="E590" s="73"/>
      <c r="F590" s="9"/>
      <c r="H590" s="9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4"/>
      <c r="U590" s="10"/>
      <c r="V590" s="10"/>
      <c r="W590" s="10"/>
      <c r="X590" s="7"/>
      <c r="Y590" s="7"/>
      <c r="Z590" s="7"/>
      <c r="AA590" s="34"/>
      <c r="AB590" s="7"/>
      <c r="AC590" s="34"/>
      <c r="AD590" s="10"/>
      <c r="AF590"/>
    </row>
    <row r="591" spans="1:32" x14ac:dyDescent="0.25">
      <c r="A591" s="7"/>
      <c r="C591" s="70"/>
      <c r="D591" s="70"/>
      <c r="E591" s="73"/>
      <c r="F591" s="9"/>
      <c r="H591" s="9"/>
      <c r="I591" s="10"/>
      <c r="J591" s="7"/>
      <c r="K591" s="7"/>
      <c r="L591" s="10"/>
      <c r="M591" s="10"/>
      <c r="N591" s="10"/>
      <c r="O591" s="10"/>
      <c r="P591" s="10"/>
      <c r="Q591" s="10"/>
      <c r="R591" s="10"/>
      <c r="S591" s="10"/>
      <c r="T591" s="14"/>
      <c r="U591" s="10"/>
      <c r="V591" s="10"/>
      <c r="W591" s="10"/>
      <c r="X591" s="7"/>
      <c r="Y591" s="7"/>
      <c r="Z591" s="34"/>
      <c r="AA591" s="34"/>
      <c r="AB591" s="7"/>
      <c r="AC591" s="34"/>
      <c r="AD591" s="10"/>
      <c r="AF591"/>
    </row>
    <row r="592" spans="1:32" x14ac:dyDescent="0.25">
      <c r="A592" s="7"/>
      <c r="C592" s="70"/>
      <c r="D592" s="70"/>
      <c r="E592" s="73"/>
      <c r="F592" s="9"/>
      <c r="H592" s="9"/>
      <c r="I592" s="10"/>
      <c r="J592" s="7"/>
      <c r="K592" s="7"/>
      <c r="L592" s="10"/>
      <c r="M592" s="10"/>
      <c r="N592" s="10"/>
      <c r="O592" s="10"/>
      <c r="P592" s="10"/>
      <c r="Q592" s="10"/>
      <c r="R592" s="10"/>
      <c r="S592" s="10"/>
      <c r="T592" s="14"/>
      <c r="U592" s="10"/>
      <c r="V592" s="10"/>
      <c r="W592" s="10"/>
      <c r="X592" s="7"/>
      <c r="Y592" s="7"/>
      <c r="Z592" s="7"/>
      <c r="AA592" s="34"/>
      <c r="AB592" s="7"/>
      <c r="AC592" s="34"/>
      <c r="AD592" s="10"/>
      <c r="AF592"/>
    </row>
    <row r="593" spans="1:32" x14ac:dyDescent="0.25">
      <c r="A593" s="7"/>
      <c r="C593" s="70"/>
      <c r="D593" s="70"/>
      <c r="E593" s="73"/>
      <c r="F593" s="9"/>
      <c r="H593" s="9"/>
      <c r="I593" s="10"/>
      <c r="J593" s="7"/>
      <c r="K593" s="10"/>
      <c r="L593" s="10"/>
      <c r="M593" s="10"/>
      <c r="N593" s="10"/>
      <c r="O593" s="10"/>
      <c r="P593" s="10"/>
      <c r="Q593" s="10"/>
      <c r="R593" s="10"/>
      <c r="S593" s="10"/>
      <c r="T593" s="14"/>
      <c r="U593" s="10"/>
      <c r="V593" s="10"/>
      <c r="W593" s="10"/>
      <c r="X593" s="7"/>
      <c r="Y593" s="7"/>
      <c r="Z593" s="7"/>
      <c r="AA593" s="34"/>
      <c r="AB593" s="7"/>
      <c r="AC593" s="34"/>
      <c r="AD593" s="10"/>
      <c r="AF593"/>
    </row>
    <row r="594" spans="1:32" x14ac:dyDescent="0.25">
      <c r="A594" s="7"/>
      <c r="C594" s="70"/>
      <c r="D594" s="70"/>
      <c r="E594" s="73"/>
      <c r="F594" s="9"/>
      <c r="H594" s="9"/>
      <c r="I594" s="10"/>
      <c r="J594" s="7"/>
      <c r="K594" s="24"/>
      <c r="L594" s="10"/>
      <c r="M594" s="10"/>
      <c r="N594" s="10"/>
      <c r="O594" s="10"/>
      <c r="P594" s="10"/>
      <c r="Q594" s="10"/>
      <c r="R594" s="10"/>
      <c r="S594" s="10"/>
      <c r="T594" s="14"/>
      <c r="U594" s="10"/>
      <c r="V594" s="10"/>
      <c r="W594" s="10"/>
      <c r="X594" s="7"/>
      <c r="Y594" s="7"/>
      <c r="Z594" s="7"/>
      <c r="AA594" s="34"/>
      <c r="AB594" s="7"/>
      <c r="AC594" s="34"/>
      <c r="AD594" s="10"/>
      <c r="AF594"/>
    </row>
    <row r="595" spans="1:32" x14ac:dyDescent="0.25">
      <c r="A595" s="7"/>
      <c r="C595" s="70"/>
      <c r="D595" s="70"/>
      <c r="E595" s="73"/>
      <c r="F595" s="9"/>
      <c r="H595" s="9"/>
      <c r="I595" s="10"/>
      <c r="J595" s="7"/>
      <c r="K595" s="7"/>
      <c r="L595" s="10"/>
      <c r="M595" s="10"/>
      <c r="N595" s="10"/>
      <c r="O595" s="10"/>
      <c r="P595" s="10"/>
      <c r="Q595" s="10"/>
      <c r="R595" s="10"/>
      <c r="S595" s="10"/>
      <c r="T595" s="14"/>
      <c r="U595" s="10"/>
      <c r="V595" s="10"/>
      <c r="W595" s="10"/>
      <c r="X595" s="7"/>
      <c r="Y595" s="7"/>
      <c r="Z595" s="7"/>
      <c r="AA595" s="34"/>
      <c r="AB595" s="7"/>
      <c r="AC595" s="34"/>
      <c r="AD595" s="10"/>
      <c r="AF595"/>
    </row>
    <row r="596" spans="1:32" x14ac:dyDescent="0.25">
      <c r="A596" s="7"/>
      <c r="C596" s="70"/>
      <c r="D596" s="70"/>
      <c r="E596" s="73"/>
      <c r="F596" s="9"/>
      <c r="H596" s="9"/>
      <c r="I596" s="10"/>
      <c r="J596" s="60"/>
      <c r="K596" s="42"/>
      <c r="L596" s="10"/>
      <c r="M596" s="10"/>
      <c r="N596" s="10"/>
      <c r="O596" s="10"/>
      <c r="P596" s="10"/>
      <c r="Q596" s="10"/>
      <c r="R596" s="10"/>
      <c r="S596" s="10"/>
      <c r="T596" s="14"/>
      <c r="U596" s="10"/>
      <c r="V596" s="10"/>
      <c r="W596" s="10"/>
      <c r="X596" s="7"/>
      <c r="Y596" s="7"/>
      <c r="Z596" s="34"/>
      <c r="AA596" s="34"/>
      <c r="AB596" s="7"/>
      <c r="AC596" s="34"/>
      <c r="AD596" s="10"/>
      <c r="AF596"/>
    </row>
    <row r="597" spans="1:32" x14ac:dyDescent="0.25">
      <c r="A597" s="7"/>
      <c r="C597" s="70"/>
      <c r="D597" s="70"/>
      <c r="E597" s="73"/>
      <c r="F597" s="9"/>
      <c r="H597" s="9"/>
      <c r="I597" s="10"/>
      <c r="J597" s="7"/>
      <c r="K597" s="7"/>
      <c r="L597" s="10"/>
      <c r="M597" s="10"/>
      <c r="N597" s="10"/>
      <c r="O597" s="10"/>
      <c r="P597" s="10"/>
      <c r="Q597" s="10"/>
      <c r="R597" s="10"/>
      <c r="S597" s="10"/>
      <c r="T597" s="14"/>
      <c r="U597" s="10"/>
      <c r="V597" s="10"/>
      <c r="W597" s="10"/>
      <c r="X597" s="7"/>
      <c r="Y597" s="7"/>
      <c r="Z597" s="7"/>
      <c r="AA597" s="34"/>
      <c r="AB597" s="7"/>
      <c r="AC597" s="34"/>
      <c r="AD597" s="10"/>
      <c r="AF597"/>
    </row>
    <row r="598" spans="1:32" x14ac:dyDescent="0.25">
      <c r="A598" s="7"/>
      <c r="C598" s="70"/>
      <c r="D598" s="70"/>
      <c r="E598" s="73"/>
      <c r="F598" s="9"/>
      <c r="H598" s="9"/>
      <c r="I598" s="10"/>
      <c r="J598" s="10"/>
      <c r="K598" s="7"/>
      <c r="L598" s="10"/>
      <c r="M598" s="10"/>
      <c r="N598" s="10"/>
      <c r="O598" s="10"/>
      <c r="P598" s="10"/>
      <c r="Q598" s="10"/>
      <c r="R598" s="10"/>
      <c r="S598" s="10"/>
      <c r="T598" s="14"/>
      <c r="U598" s="10"/>
      <c r="V598" s="10"/>
      <c r="W598" s="10"/>
      <c r="X598" s="7"/>
      <c r="Y598" s="7"/>
      <c r="Z598" s="7"/>
      <c r="AA598" s="34"/>
      <c r="AB598" s="7"/>
      <c r="AC598" s="34"/>
      <c r="AD598" s="10"/>
      <c r="AF598"/>
    </row>
    <row r="599" spans="1:32" x14ac:dyDescent="0.25">
      <c r="A599" s="7"/>
      <c r="C599" s="70"/>
      <c r="D599" s="70"/>
      <c r="E599" s="73"/>
      <c r="F599" s="9"/>
      <c r="H599" s="9"/>
      <c r="I599" s="10"/>
      <c r="J599" s="7"/>
      <c r="K599" s="7"/>
      <c r="L599" s="10"/>
      <c r="M599" s="10"/>
      <c r="N599" s="10"/>
      <c r="O599" s="10"/>
      <c r="P599" s="10"/>
      <c r="Q599" s="10"/>
      <c r="R599" s="10"/>
      <c r="S599" s="10"/>
      <c r="T599" s="14"/>
      <c r="U599" s="10"/>
      <c r="V599" s="10"/>
      <c r="W599" s="10"/>
      <c r="X599" s="7"/>
      <c r="Y599" s="7"/>
      <c r="Z599" s="7"/>
      <c r="AA599" s="34"/>
      <c r="AB599" s="7"/>
      <c r="AC599" s="34"/>
      <c r="AD599" s="10"/>
      <c r="AF599"/>
    </row>
    <row r="600" spans="1:32" x14ac:dyDescent="0.25">
      <c r="A600" s="7"/>
      <c r="C600" s="70"/>
      <c r="D600" s="70"/>
      <c r="E600" s="73"/>
      <c r="F600" s="9"/>
      <c r="H600" s="9"/>
      <c r="I600" s="10"/>
      <c r="J600" s="10"/>
      <c r="K600" s="7"/>
      <c r="L600" s="10"/>
      <c r="M600" s="10"/>
      <c r="N600" s="10"/>
      <c r="O600" s="10"/>
      <c r="P600" s="10"/>
      <c r="Q600" s="10"/>
      <c r="R600" s="10"/>
      <c r="S600" s="10"/>
      <c r="T600" s="14"/>
      <c r="U600" s="10"/>
      <c r="V600" s="10"/>
      <c r="W600" s="10"/>
      <c r="X600" s="7"/>
      <c r="Y600" s="7"/>
      <c r="Z600" s="7"/>
      <c r="AA600" s="34"/>
      <c r="AB600" s="7"/>
      <c r="AC600" s="34"/>
      <c r="AD600" s="10"/>
      <c r="AF600"/>
    </row>
    <row r="601" spans="1:32" x14ac:dyDescent="0.25">
      <c r="A601" s="7"/>
      <c r="C601" s="70"/>
      <c r="D601" s="70"/>
      <c r="E601" s="73"/>
      <c r="F601" s="9"/>
      <c r="H601" s="9"/>
      <c r="I601" s="10"/>
      <c r="J601" s="7"/>
      <c r="K601" s="7"/>
      <c r="L601" s="10"/>
      <c r="M601" s="10"/>
      <c r="N601" s="10"/>
      <c r="O601" s="10"/>
      <c r="P601" s="10"/>
      <c r="Q601" s="10"/>
      <c r="R601" s="10"/>
      <c r="S601" s="10"/>
      <c r="T601" s="14"/>
      <c r="U601" s="10"/>
      <c r="V601" s="10"/>
      <c r="W601" s="10"/>
      <c r="X601" s="7"/>
      <c r="Y601" s="34"/>
      <c r="Z601" s="7"/>
      <c r="AA601" s="34"/>
      <c r="AB601" s="7"/>
      <c r="AC601" s="34"/>
      <c r="AD601" s="10"/>
      <c r="AF601"/>
    </row>
    <row r="602" spans="1:32" x14ac:dyDescent="0.25">
      <c r="A602" s="7"/>
      <c r="C602" s="70"/>
      <c r="D602" s="70"/>
      <c r="E602" s="73"/>
      <c r="F602" s="9"/>
      <c r="H602" s="9"/>
      <c r="I602" s="10"/>
      <c r="J602" s="7"/>
      <c r="K602" s="7"/>
      <c r="L602" s="10"/>
      <c r="M602" s="10"/>
      <c r="N602" s="10"/>
      <c r="O602" s="10"/>
      <c r="P602" s="10"/>
      <c r="Q602" s="10"/>
      <c r="R602" s="10"/>
      <c r="S602" s="10"/>
      <c r="T602" s="14"/>
      <c r="U602" s="10"/>
      <c r="V602" s="10"/>
      <c r="W602" s="10"/>
      <c r="X602" s="7"/>
      <c r="Y602" s="7"/>
      <c r="Z602" s="7"/>
      <c r="AA602" s="34"/>
      <c r="AB602" s="7"/>
      <c r="AC602" s="34"/>
      <c r="AD602" s="10"/>
      <c r="AF602"/>
    </row>
    <row r="603" spans="1:32" x14ac:dyDescent="0.25">
      <c r="A603" s="7"/>
      <c r="C603" s="70"/>
      <c r="D603" s="70"/>
      <c r="E603" s="73"/>
      <c r="F603" s="9"/>
      <c r="H603" s="9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4"/>
      <c r="U603" s="10"/>
      <c r="V603" s="10"/>
      <c r="W603" s="10"/>
      <c r="X603" s="7"/>
      <c r="Y603" s="7"/>
      <c r="Z603" s="7"/>
      <c r="AA603" s="34"/>
      <c r="AB603" s="7"/>
      <c r="AC603" s="34"/>
      <c r="AD603" s="10"/>
      <c r="AF603"/>
    </row>
    <row r="604" spans="1:32" x14ac:dyDescent="0.25">
      <c r="A604" s="7"/>
      <c r="C604" s="70"/>
      <c r="D604" s="70"/>
      <c r="E604" s="73"/>
      <c r="F604" s="9"/>
      <c r="H604" s="9"/>
      <c r="I604" s="10"/>
      <c r="J604" s="7"/>
      <c r="K604" s="7"/>
      <c r="L604" s="10"/>
      <c r="M604" s="10"/>
      <c r="N604" s="10"/>
      <c r="O604" s="10"/>
      <c r="P604" s="10"/>
      <c r="Q604" s="10"/>
      <c r="R604" s="10"/>
      <c r="S604" s="10"/>
      <c r="T604" s="14"/>
      <c r="U604" s="10"/>
      <c r="V604" s="10"/>
      <c r="W604" s="10"/>
      <c r="X604" s="7"/>
      <c r="Y604" s="7"/>
      <c r="Z604" s="7"/>
      <c r="AA604" s="34"/>
      <c r="AB604" s="7"/>
      <c r="AC604" s="34"/>
      <c r="AD604" s="10"/>
      <c r="AF604"/>
    </row>
    <row r="605" spans="1:32" x14ac:dyDescent="0.25">
      <c r="A605" s="7"/>
      <c r="C605" s="70"/>
      <c r="D605" s="70"/>
      <c r="E605" s="73"/>
      <c r="F605" s="9"/>
      <c r="H605" s="9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4"/>
      <c r="U605" s="10"/>
      <c r="V605" s="10"/>
      <c r="W605" s="10"/>
      <c r="X605" s="7"/>
      <c r="Y605" s="7"/>
      <c r="Z605" s="7"/>
      <c r="AA605" s="34"/>
      <c r="AB605" s="7"/>
      <c r="AC605" s="34"/>
      <c r="AD605" s="10"/>
      <c r="AF605"/>
    </row>
    <row r="606" spans="1:32" x14ac:dyDescent="0.25">
      <c r="A606" s="7"/>
      <c r="C606" s="70"/>
      <c r="D606" s="70"/>
      <c r="E606" s="73"/>
      <c r="F606" s="9"/>
      <c r="H606" s="9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4"/>
      <c r="U606" s="10"/>
      <c r="V606" s="10"/>
      <c r="W606" s="10"/>
      <c r="X606" s="7"/>
      <c r="Y606" s="7"/>
      <c r="Z606" s="34"/>
      <c r="AA606" s="34"/>
      <c r="AB606" s="7"/>
      <c r="AC606" s="34"/>
      <c r="AD606" s="10"/>
      <c r="AF606"/>
    </row>
    <row r="607" spans="1:32" x14ac:dyDescent="0.25">
      <c r="A607" s="7"/>
      <c r="C607" s="70"/>
      <c r="D607" s="70"/>
      <c r="E607" s="73"/>
      <c r="F607" s="9"/>
      <c r="H607" s="9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4"/>
      <c r="U607" s="10"/>
      <c r="V607" s="10"/>
      <c r="W607" s="10"/>
      <c r="X607" s="7"/>
      <c r="Y607" s="7"/>
      <c r="Z607" s="7"/>
      <c r="AA607" s="34"/>
      <c r="AB607" s="7"/>
      <c r="AC607" s="34"/>
      <c r="AD607" s="10"/>
      <c r="AF607"/>
    </row>
    <row r="608" spans="1:32" x14ac:dyDescent="0.25">
      <c r="A608" s="7"/>
      <c r="C608" s="70"/>
      <c r="D608" s="70"/>
      <c r="E608" s="73"/>
      <c r="F608" s="9"/>
      <c r="H608" s="9"/>
      <c r="I608" s="10"/>
      <c r="J608" s="7"/>
      <c r="K608" s="7"/>
      <c r="L608" s="10"/>
      <c r="M608" s="10"/>
      <c r="N608" s="10"/>
      <c r="O608" s="10"/>
      <c r="P608" s="10"/>
      <c r="Q608" s="10"/>
      <c r="R608" s="10"/>
      <c r="S608" s="10"/>
      <c r="T608" s="14"/>
      <c r="U608" s="10"/>
      <c r="V608" s="10"/>
      <c r="W608" s="10"/>
      <c r="X608" s="7"/>
      <c r="Y608" s="7"/>
      <c r="Z608" s="7"/>
      <c r="AA608" s="34"/>
      <c r="AB608" s="7"/>
      <c r="AC608" s="34"/>
      <c r="AD608" s="10"/>
      <c r="AF608"/>
    </row>
    <row r="609" spans="1:32" x14ac:dyDescent="0.25">
      <c r="A609" s="7"/>
      <c r="C609" s="70"/>
      <c r="D609" s="70"/>
      <c r="E609" s="73"/>
      <c r="F609" s="48"/>
      <c r="H609" s="9"/>
      <c r="I609" s="10"/>
      <c r="J609" s="10"/>
      <c r="K609" s="7"/>
      <c r="L609" s="10"/>
      <c r="M609" s="10"/>
      <c r="N609" s="10"/>
      <c r="O609" s="10"/>
      <c r="P609" s="10"/>
      <c r="Q609" s="10"/>
      <c r="R609" s="10"/>
      <c r="S609" s="10"/>
      <c r="T609" s="14"/>
      <c r="U609" s="10"/>
      <c r="V609" s="10"/>
      <c r="W609" s="10"/>
      <c r="X609" s="7"/>
      <c r="Y609" s="34"/>
      <c r="Z609" s="7"/>
      <c r="AA609" s="34"/>
      <c r="AB609" s="7"/>
      <c r="AC609" s="34"/>
      <c r="AD609" s="10"/>
      <c r="AF609"/>
    </row>
    <row r="610" spans="1:32" x14ac:dyDescent="0.25">
      <c r="A610" s="7"/>
      <c r="C610" s="70"/>
      <c r="D610" s="70"/>
      <c r="E610" s="73"/>
      <c r="F610" s="9"/>
      <c r="H610" s="9"/>
      <c r="I610" s="10"/>
      <c r="J610" s="10"/>
      <c r="K610" s="7"/>
      <c r="L610" s="10"/>
      <c r="M610" s="10"/>
      <c r="N610" s="10"/>
      <c r="O610" s="10"/>
      <c r="P610" s="10"/>
      <c r="Q610" s="10"/>
      <c r="R610" s="10"/>
      <c r="S610" s="10"/>
      <c r="T610" s="14"/>
      <c r="U610" s="10"/>
      <c r="V610" s="10"/>
      <c r="W610" s="10"/>
      <c r="X610" s="7"/>
      <c r="Y610" s="7"/>
      <c r="Z610" s="7"/>
      <c r="AA610" s="34"/>
      <c r="AB610" s="7"/>
      <c r="AC610" s="34"/>
      <c r="AD610" s="10"/>
      <c r="AF610"/>
    </row>
    <row r="611" spans="1:32" x14ac:dyDescent="0.25">
      <c r="A611" s="7"/>
      <c r="C611" s="70"/>
      <c r="D611" s="70"/>
      <c r="E611" s="73"/>
      <c r="F611" s="9"/>
      <c r="H611" s="9"/>
      <c r="I611" s="10"/>
      <c r="J611" s="10"/>
      <c r="K611" s="7"/>
      <c r="L611" s="10"/>
      <c r="M611" s="10"/>
      <c r="N611" s="10"/>
      <c r="O611" s="10"/>
      <c r="P611" s="10"/>
      <c r="Q611" s="10"/>
      <c r="R611" s="10"/>
      <c r="S611" s="10"/>
      <c r="T611" s="14"/>
      <c r="U611" s="10"/>
      <c r="V611" s="10"/>
      <c r="W611" s="10"/>
      <c r="X611" s="7"/>
      <c r="Y611" s="7"/>
      <c r="Z611" s="7"/>
      <c r="AA611" s="34"/>
      <c r="AB611" s="7"/>
      <c r="AC611" s="34"/>
      <c r="AD611" s="10"/>
      <c r="AF611"/>
    </row>
    <row r="612" spans="1:32" x14ac:dyDescent="0.25">
      <c r="A612" s="7"/>
      <c r="C612" s="70"/>
      <c r="D612" s="70"/>
      <c r="E612" s="73"/>
      <c r="F612" s="9"/>
      <c r="H612" s="9"/>
      <c r="I612" s="10"/>
      <c r="J612" s="7"/>
      <c r="K612" s="7"/>
      <c r="L612" s="10"/>
      <c r="M612" s="10"/>
      <c r="N612" s="10"/>
      <c r="O612" s="10"/>
      <c r="P612" s="10"/>
      <c r="Q612" s="10"/>
      <c r="R612" s="10"/>
      <c r="S612" s="10"/>
      <c r="T612" s="14"/>
      <c r="U612" s="10"/>
      <c r="V612" s="10"/>
      <c r="W612" s="10"/>
      <c r="X612" s="7"/>
      <c r="Y612" s="7"/>
      <c r="Z612" s="7"/>
      <c r="AA612" s="34"/>
      <c r="AB612" s="7"/>
      <c r="AC612" s="34"/>
      <c r="AD612" s="10"/>
      <c r="AF612"/>
    </row>
    <row r="613" spans="1:32" x14ac:dyDescent="0.25">
      <c r="A613" s="7"/>
      <c r="C613" s="70"/>
      <c r="D613" s="70"/>
      <c r="E613" s="73"/>
      <c r="F613" s="9"/>
      <c r="H613" s="9"/>
      <c r="I613" s="10"/>
      <c r="J613" s="7"/>
      <c r="K613" s="7"/>
      <c r="L613" s="10"/>
      <c r="M613" s="10"/>
      <c r="N613" s="10"/>
      <c r="O613" s="10"/>
      <c r="P613" s="10"/>
      <c r="Q613" s="10"/>
      <c r="R613" s="10"/>
      <c r="S613" s="10"/>
      <c r="T613" s="14"/>
      <c r="U613" s="10"/>
      <c r="V613" s="10"/>
      <c r="W613" s="10"/>
      <c r="X613" s="7"/>
      <c r="Y613" s="7"/>
      <c r="Z613" s="34"/>
      <c r="AA613" s="34"/>
      <c r="AB613" s="7"/>
      <c r="AC613" s="34"/>
      <c r="AD613" s="10"/>
      <c r="AF613"/>
    </row>
    <row r="614" spans="1:32" x14ac:dyDescent="0.25">
      <c r="A614" s="7"/>
      <c r="C614" s="70"/>
      <c r="D614" s="70"/>
      <c r="E614" s="73"/>
      <c r="F614" s="9"/>
      <c r="H614" s="9"/>
      <c r="I614" s="10"/>
      <c r="J614" s="7"/>
      <c r="K614" s="7"/>
      <c r="L614" s="10"/>
      <c r="M614" s="10"/>
      <c r="N614" s="10"/>
      <c r="O614" s="10"/>
      <c r="P614" s="10"/>
      <c r="Q614" s="10"/>
      <c r="R614" s="10"/>
      <c r="S614" s="10"/>
      <c r="T614" s="14"/>
      <c r="U614" s="10"/>
      <c r="V614" s="10"/>
      <c r="W614" s="10"/>
      <c r="X614" s="7"/>
      <c r="Y614" s="7"/>
      <c r="Z614" s="34"/>
      <c r="AA614" s="34"/>
      <c r="AB614" s="7"/>
      <c r="AC614" s="34"/>
      <c r="AD614" s="10"/>
      <c r="AF614"/>
    </row>
    <row r="615" spans="1:32" x14ac:dyDescent="0.25">
      <c r="A615" s="7"/>
      <c r="C615" s="70"/>
      <c r="D615" s="70"/>
      <c r="E615" s="73"/>
      <c r="F615" s="9"/>
      <c r="H615" s="9"/>
      <c r="I615" s="10"/>
      <c r="J615" s="7"/>
      <c r="K615" s="7"/>
      <c r="L615" s="10"/>
      <c r="M615" s="10"/>
      <c r="N615" s="10"/>
      <c r="O615" s="10"/>
      <c r="P615" s="10"/>
      <c r="Q615" s="10"/>
      <c r="R615" s="10"/>
      <c r="S615" s="10"/>
      <c r="T615" s="14"/>
      <c r="U615" s="10"/>
      <c r="V615" s="10"/>
      <c r="W615" s="10"/>
      <c r="X615" s="7"/>
      <c r="Y615" s="7"/>
      <c r="Z615" s="7"/>
      <c r="AA615" s="34"/>
      <c r="AB615" s="7"/>
      <c r="AC615" s="34"/>
      <c r="AD615" s="10"/>
      <c r="AF615"/>
    </row>
    <row r="616" spans="1:32" x14ac:dyDescent="0.25">
      <c r="A616" s="7"/>
      <c r="C616" s="70"/>
      <c r="D616" s="70"/>
      <c r="E616" s="73"/>
      <c r="F616" s="9"/>
      <c r="H616" s="9"/>
      <c r="I616" s="10"/>
      <c r="J616" s="7"/>
      <c r="K616" s="7"/>
      <c r="L616" s="10"/>
      <c r="M616" s="10"/>
      <c r="N616" s="10"/>
      <c r="O616" s="10"/>
      <c r="P616" s="10"/>
      <c r="Q616" s="10"/>
      <c r="R616" s="10"/>
      <c r="S616" s="10"/>
      <c r="T616" s="14"/>
      <c r="U616" s="10"/>
      <c r="V616" s="10"/>
      <c r="W616" s="10"/>
      <c r="X616" s="7"/>
      <c r="Y616" s="7"/>
      <c r="Z616" s="34"/>
      <c r="AA616" s="34"/>
      <c r="AB616" s="7"/>
      <c r="AC616" s="34"/>
      <c r="AD616" s="10"/>
      <c r="AF616"/>
    </row>
    <row r="617" spans="1:32" x14ac:dyDescent="0.25">
      <c r="A617" s="7"/>
      <c r="C617" s="70"/>
      <c r="D617" s="70"/>
      <c r="E617" s="73"/>
      <c r="F617" s="9"/>
      <c r="H617" s="9"/>
      <c r="I617" s="10"/>
      <c r="J617" s="7"/>
      <c r="K617" s="7"/>
      <c r="L617" s="10"/>
      <c r="M617" s="10"/>
      <c r="N617" s="10"/>
      <c r="O617" s="10"/>
      <c r="P617" s="10"/>
      <c r="Q617" s="10"/>
      <c r="R617" s="10"/>
      <c r="S617" s="10"/>
      <c r="T617" s="14"/>
      <c r="U617" s="10"/>
      <c r="V617" s="10"/>
      <c r="W617" s="10"/>
      <c r="X617" s="7"/>
      <c r="Y617" s="7"/>
      <c r="Z617" s="7"/>
      <c r="AA617" s="34"/>
      <c r="AB617" s="7"/>
      <c r="AC617" s="34"/>
      <c r="AD617" s="10"/>
      <c r="AF617"/>
    </row>
    <row r="618" spans="1:32" x14ac:dyDescent="0.25">
      <c r="A618" s="7"/>
      <c r="C618" s="70"/>
      <c r="D618" s="70"/>
      <c r="E618" s="73"/>
      <c r="F618" s="9"/>
      <c r="H618" s="9"/>
      <c r="I618" s="10"/>
      <c r="J618" s="7"/>
      <c r="K618" s="7"/>
      <c r="L618" s="10"/>
      <c r="M618" s="10"/>
      <c r="N618" s="10"/>
      <c r="O618" s="10"/>
      <c r="P618" s="10"/>
      <c r="Q618" s="10"/>
      <c r="R618" s="10"/>
      <c r="S618" s="10"/>
      <c r="T618" s="14"/>
      <c r="U618" s="10"/>
      <c r="V618" s="10"/>
      <c r="W618" s="10"/>
      <c r="X618" s="7"/>
      <c r="Y618" s="7"/>
      <c r="Z618" s="7"/>
      <c r="AA618" s="34"/>
      <c r="AB618" s="7"/>
      <c r="AC618" s="34"/>
      <c r="AD618" s="10"/>
      <c r="AF618"/>
    </row>
    <row r="619" spans="1:32" x14ac:dyDescent="0.25">
      <c r="A619" s="7"/>
      <c r="C619" s="70"/>
      <c r="D619" s="70"/>
      <c r="E619" s="73"/>
      <c r="F619" s="9"/>
      <c r="H619" s="9"/>
      <c r="I619" s="10"/>
      <c r="J619" s="7"/>
      <c r="K619" s="7"/>
      <c r="L619" s="10"/>
      <c r="M619" s="10"/>
      <c r="N619" s="10"/>
      <c r="O619" s="10"/>
      <c r="P619" s="10"/>
      <c r="Q619" s="10"/>
      <c r="R619" s="10"/>
      <c r="S619" s="10"/>
      <c r="T619" s="14"/>
      <c r="U619" s="10"/>
      <c r="V619" s="10"/>
      <c r="W619" s="10"/>
      <c r="X619" s="7"/>
      <c r="Y619" s="7"/>
      <c r="Z619" s="7"/>
      <c r="AA619" s="34"/>
      <c r="AB619" s="7"/>
      <c r="AC619" s="34"/>
      <c r="AD619" s="10"/>
      <c r="AF619"/>
    </row>
    <row r="620" spans="1:32" x14ac:dyDescent="0.25">
      <c r="A620" s="7"/>
      <c r="C620" s="70"/>
      <c r="D620" s="70"/>
      <c r="E620" s="73"/>
      <c r="F620" s="9"/>
      <c r="H620" s="9"/>
      <c r="I620" s="10"/>
      <c r="J620" s="7"/>
      <c r="K620" s="24"/>
      <c r="L620" s="10"/>
      <c r="M620" s="10"/>
      <c r="N620" s="10"/>
      <c r="O620" s="10"/>
      <c r="P620" s="10"/>
      <c r="Q620" s="10"/>
      <c r="R620" s="10"/>
      <c r="S620" s="10"/>
      <c r="T620" s="14"/>
      <c r="U620" s="10"/>
      <c r="V620" s="10"/>
      <c r="W620" s="10"/>
      <c r="X620" s="7"/>
      <c r="Y620" s="7"/>
      <c r="Z620" s="7"/>
      <c r="AA620" s="34"/>
      <c r="AB620" s="7"/>
      <c r="AC620" s="34"/>
      <c r="AD620" s="10"/>
      <c r="AF620"/>
    </row>
    <row r="621" spans="1:32" x14ac:dyDescent="0.25">
      <c r="A621" s="7"/>
      <c r="C621" s="70"/>
      <c r="D621" s="70"/>
      <c r="E621" s="73"/>
      <c r="F621" s="9"/>
      <c r="H621" s="9"/>
      <c r="I621" s="10"/>
      <c r="J621" s="10"/>
      <c r="K621" s="7"/>
      <c r="L621" s="10"/>
      <c r="M621" s="10"/>
      <c r="N621" s="10"/>
      <c r="O621" s="10"/>
      <c r="P621" s="10"/>
      <c r="Q621" s="10"/>
      <c r="R621" s="10"/>
      <c r="S621" s="10"/>
      <c r="T621" s="14"/>
      <c r="U621" s="10"/>
      <c r="V621" s="10"/>
      <c r="W621" s="10"/>
      <c r="X621" s="7"/>
      <c r="Y621" s="7"/>
      <c r="Z621" s="34"/>
      <c r="AA621" s="34"/>
      <c r="AB621" s="7"/>
      <c r="AC621" s="34"/>
      <c r="AD621" s="10"/>
      <c r="AF621"/>
    </row>
    <row r="622" spans="1:32" x14ac:dyDescent="0.25">
      <c r="A622" s="7"/>
      <c r="C622" s="70"/>
      <c r="D622" s="70"/>
      <c r="E622" s="73"/>
      <c r="F622" s="9"/>
      <c r="H622" s="9"/>
      <c r="I622" s="10"/>
      <c r="J622" s="7"/>
      <c r="K622" s="7"/>
      <c r="L622" s="10"/>
      <c r="M622" s="10"/>
      <c r="N622" s="10"/>
      <c r="O622" s="10"/>
      <c r="P622" s="10"/>
      <c r="Q622" s="10"/>
      <c r="R622" s="10"/>
      <c r="S622" s="10"/>
      <c r="T622" s="14"/>
      <c r="U622" s="10"/>
      <c r="V622" s="10"/>
      <c r="W622" s="10"/>
      <c r="X622" s="7"/>
      <c r="Y622" s="7"/>
      <c r="Z622" s="7"/>
      <c r="AA622" s="34"/>
      <c r="AB622" s="7"/>
      <c r="AC622" s="34"/>
      <c r="AD622" s="10"/>
      <c r="AF622"/>
    </row>
    <row r="623" spans="1:32" x14ac:dyDescent="0.25">
      <c r="A623" s="7"/>
      <c r="C623" s="70"/>
      <c r="D623" s="70"/>
      <c r="E623" s="73"/>
      <c r="F623" s="45"/>
      <c r="H623" s="9"/>
      <c r="I623" s="10"/>
      <c r="J623" s="7"/>
      <c r="K623" s="7"/>
      <c r="L623" s="10"/>
      <c r="M623" s="10"/>
      <c r="N623" s="10"/>
      <c r="O623" s="10"/>
      <c r="P623" s="10"/>
      <c r="Q623" s="10"/>
      <c r="R623" s="10"/>
      <c r="S623" s="10"/>
      <c r="T623" s="14"/>
      <c r="U623" s="10"/>
      <c r="V623" s="10"/>
      <c r="W623" s="10"/>
      <c r="X623" s="7"/>
      <c r="Y623" s="34"/>
      <c r="Z623" s="7"/>
      <c r="AA623" s="34"/>
      <c r="AB623" s="7"/>
      <c r="AC623" s="34"/>
      <c r="AD623" s="10"/>
      <c r="AF623"/>
    </row>
    <row r="624" spans="1:32" x14ac:dyDescent="0.25">
      <c r="A624" s="7"/>
      <c r="C624" s="70"/>
      <c r="D624" s="70"/>
      <c r="E624" s="73"/>
      <c r="F624" s="9"/>
      <c r="H624" s="9"/>
      <c r="I624" s="10"/>
      <c r="J624" s="7"/>
      <c r="K624" s="24"/>
      <c r="L624" s="10"/>
      <c r="M624" s="10"/>
      <c r="N624" s="10"/>
      <c r="O624" s="10"/>
      <c r="P624" s="10"/>
      <c r="Q624" s="10"/>
      <c r="R624" s="10"/>
      <c r="S624" s="10"/>
      <c r="T624" s="14"/>
      <c r="U624" s="10"/>
      <c r="V624" s="10"/>
      <c r="W624" s="10"/>
      <c r="X624" s="7"/>
      <c r="Y624" s="7"/>
      <c r="Z624" s="7"/>
      <c r="AA624" s="34"/>
      <c r="AB624" s="7"/>
      <c r="AC624" s="34"/>
      <c r="AD624" s="10"/>
      <c r="AF624"/>
    </row>
    <row r="625" spans="1:32" x14ac:dyDescent="0.25">
      <c r="A625" s="7"/>
      <c r="C625" s="70"/>
      <c r="D625" s="70"/>
      <c r="E625" s="73"/>
      <c r="F625" s="9"/>
      <c r="H625" s="9"/>
      <c r="I625" s="10"/>
      <c r="J625" s="7"/>
      <c r="K625" s="7"/>
      <c r="L625" s="10"/>
      <c r="M625" s="10"/>
      <c r="N625" s="10"/>
      <c r="O625" s="10"/>
      <c r="P625" s="10"/>
      <c r="Q625" s="10"/>
      <c r="R625" s="10"/>
      <c r="S625" s="10"/>
      <c r="T625" s="14"/>
      <c r="U625" s="10"/>
      <c r="V625" s="10"/>
      <c r="W625" s="10"/>
      <c r="X625" s="7"/>
      <c r="Y625" s="7"/>
      <c r="Z625" s="7"/>
      <c r="AA625" s="34"/>
      <c r="AB625" s="7"/>
      <c r="AC625" s="34"/>
      <c r="AD625" s="10"/>
      <c r="AF625"/>
    </row>
    <row r="626" spans="1:32" x14ac:dyDescent="0.25">
      <c r="A626" s="7"/>
      <c r="C626" s="70"/>
      <c r="D626" s="70"/>
      <c r="E626" s="73"/>
      <c r="F626" s="9"/>
      <c r="H626" s="9"/>
      <c r="I626" s="10"/>
      <c r="J626" s="7"/>
      <c r="K626" s="7"/>
      <c r="L626" s="10"/>
      <c r="M626" s="10"/>
      <c r="N626" s="10"/>
      <c r="O626" s="10"/>
      <c r="P626" s="10"/>
      <c r="Q626" s="10"/>
      <c r="R626" s="10"/>
      <c r="S626" s="10"/>
      <c r="T626" s="14"/>
      <c r="U626" s="10"/>
      <c r="V626" s="10"/>
      <c r="W626" s="10"/>
      <c r="X626" s="7"/>
      <c r="Y626" s="7"/>
      <c r="Z626" s="7"/>
      <c r="AA626" s="34"/>
      <c r="AB626" s="7"/>
      <c r="AC626" s="34"/>
      <c r="AD626" s="10"/>
      <c r="AF626"/>
    </row>
    <row r="627" spans="1:32" x14ac:dyDescent="0.25">
      <c r="A627" s="7"/>
      <c r="C627" s="70"/>
      <c r="D627" s="70"/>
      <c r="E627" s="78"/>
      <c r="F627" s="48"/>
      <c r="H627" s="9"/>
      <c r="I627" s="10"/>
      <c r="J627" s="7"/>
      <c r="K627" s="7"/>
      <c r="L627" s="10"/>
      <c r="M627" s="10"/>
      <c r="N627" s="10"/>
      <c r="O627" s="10"/>
      <c r="P627" s="10"/>
      <c r="Q627" s="10"/>
      <c r="R627" s="10"/>
      <c r="S627" s="10"/>
      <c r="T627" s="14"/>
      <c r="U627" s="10"/>
      <c r="V627" s="10"/>
      <c r="W627" s="10"/>
      <c r="X627" s="7"/>
      <c r="Y627" s="34"/>
      <c r="Z627" s="7"/>
      <c r="AA627" s="34"/>
      <c r="AB627" s="7"/>
      <c r="AC627" s="34"/>
      <c r="AD627" s="10"/>
      <c r="AF627"/>
    </row>
    <row r="628" spans="1:32" x14ac:dyDescent="0.25">
      <c r="A628" s="7"/>
      <c r="C628" s="70"/>
      <c r="D628" s="70"/>
      <c r="E628" s="73"/>
      <c r="F628" s="9"/>
      <c r="G628" s="48"/>
      <c r="H628" s="9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4"/>
      <c r="U628" s="10"/>
      <c r="V628" s="10"/>
      <c r="W628" s="10"/>
      <c r="X628" s="7"/>
      <c r="Y628" s="7"/>
      <c r="Z628" s="7"/>
      <c r="AA628" s="34"/>
      <c r="AB628" s="7"/>
      <c r="AC628" s="34"/>
      <c r="AD628" s="10"/>
      <c r="AF628"/>
    </row>
    <row r="629" spans="1:32" x14ac:dyDescent="0.25">
      <c r="A629" s="7"/>
      <c r="C629" s="70"/>
      <c r="D629" s="70"/>
      <c r="E629" s="73"/>
      <c r="F629" s="9"/>
      <c r="H629" s="9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4"/>
      <c r="U629" s="10"/>
      <c r="V629" s="10"/>
      <c r="W629" s="10"/>
      <c r="X629" s="7"/>
      <c r="Y629" s="34"/>
      <c r="Z629" s="7"/>
      <c r="AA629" s="34"/>
      <c r="AB629" s="7"/>
      <c r="AC629" s="34"/>
      <c r="AD629" s="10"/>
      <c r="AF629"/>
    </row>
    <row r="630" spans="1:32" x14ac:dyDescent="0.25">
      <c r="A630" s="7"/>
      <c r="C630" s="70"/>
      <c r="D630" s="70"/>
      <c r="E630" s="73"/>
      <c r="F630" s="9"/>
      <c r="H630" s="9"/>
      <c r="I630" s="10"/>
      <c r="J630" s="10"/>
      <c r="K630" s="7"/>
      <c r="L630" s="10"/>
      <c r="M630" s="10"/>
      <c r="N630" s="10"/>
      <c r="O630" s="10"/>
      <c r="P630" s="10"/>
      <c r="Q630" s="10"/>
      <c r="R630" s="10"/>
      <c r="S630" s="10"/>
      <c r="T630" s="14"/>
      <c r="U630" s="10"/>
      <c r="V630" s="10"/>
      <c r="W630" s="10"/>
      <c r="X630" s="7"/>
      <c r="Y630" s="34"/>
      <c r="Z630" s="7"/>
      <c r="AA630" s="34"/>
      <c r="AB630" s="7"/>
      <c r="AC630" s="34"/>
      <c r="AD630" s="10"/>
      <c r="AF630"/>
    </row>
    <row r="631" spans="1:32" x14ac:dyDescent="0.25">
      <c r="A631" s="7"/>
      <c r="C631" s="70"/>
      <c r="D631" s="70"/>
      <c r="E631" s="73"/>
      <c r="F631" s="9"/>
      <c r="H631" s="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4"/>
      <c r="U631" s="10"/>
      <c r="V631" s="10"/>
      <c r="W631" s="10"/>
      <c r="X631" s="7"/>
      <c r="Y631" s="7"/>
      <c r="Z631" s="7"/>
      <c r="AA631" s="34"/>
      <c r="AB631" s="7"/>
      <c r="AC631" s="34"/>
      <c r="AD631" s="10"/>
      <c r="AF631"/>
    </row>
    <row r="632" spans="1:32" x14ac:dyDescent="0.25">
      <c r="A632" s="7"/>
      <c r="C632" s="70"/>
      <c r="D632" s="70"/>
      <c r="E632" s="73"/>
      <c r="F632" s="9"/>
      <c r="H632" s="9"/>
      <c r="I632" s="10"/>
      <c r="J632" s="7"/>
      <c r="K632" s="7"/>
      <c r="L632" s="10"/>
      <c r="M632" s="10"/>
      <c r="N632" s="10"/>
      <c r="O632" s="10"/>
      <c r="P632" s="10"/>
      <c r="Q632" s="10"/>
      <c r="R632" s="10"/>
      <c r="S632" s="10"/>
      <c r="T632" s="14"/>
      <c r="U632" s="10"/>
      <c r="V632" s="10"/>
      <c r="W632" s="10"/>
      <c r="X632" s="7"/>
      <c r="Y632" s="7"/>
      <c r="Z632" s="7"/>
      <c r="AA632" s="34"/>
      <c r="AB632" s="7"/>
      <c r="AC632" s="34"/>
      <c r="AD632" s="10"/>
      <c r="AF632"/>
    </row>
    <row r="633" spans="1:32" x14ac:dyDescent="0.25">
      <c r="A633" s="7"/>
      <c r="C633" s="70"/>
      <c r="D633" s="70"/>
      <c r="E633" s="73"/>
      <c r="F633" s="9"/>
      <c r="H633" s="9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4"/>
      <c r="U633" s="10"/>
      <c r="V633" s="10"/>
      <c r="W633" s="10"/>
      <c r="X633" s="7"/>
      <c r="Y633" s="7"/>
      <c r="Z633" s="34"/>
      <c r="AA633" s="34"/>
      <c r="AB633" s="7"/>
      <c r="AC633" s="34"/>
      <c r="AD633" s="10"/>
      <c r="AF633"/>
    </row>
    <row r="634" spans="1:32" x14ac:dyDescent="0.25">
      <c r="A634" s="7"/>
      <c r="C634" s="70"/>
      <c r="D634" s="70"/>
      <c r="E634" s="73"/>
      <c r="F634" s="9"/>
      <c r="H634" s="9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4"/>
      <c r="U634" s="10"/>
      <c r="V634" s="10"/>
      <c r="W634" s="10"/>
      <c r="X634" s="7"/>
      <c r="Y634" s="7"/>
      <c r="Z634" s="7"/>
      <c r="AA634" s="34"/>
      <c r="AB634" s="7"/>
      <c r="AC634" s="34"/>
      <c r="AD634" s="10"/>
      <c r="AF634"/>
    </row>
    <row r="635" spans="1:32" x14ac:dyDescent="0.25">
      <c r="A635" s="7"/>
      <c r="C635" s="70"/>
      <c r="D635" s="70"/>
      <c r="E635" s="73"/>
      <c r="F635" s="9"/>
      <c r="H635" s="9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4"/>
      <c r="U635" s="10"/>
      <c r="V635" s="10"/>
      <c r="W635" s="10"/>
      <c r="X635" s="7"/>
      <c r="Y635" s="7"/>
      <c r="Z635" s="7"/>
      <c r="AA635" s="34"/>
      <c r="AB635" s="7"/>
      <c r="AC635" s="34"/>
      <c r="AD635" s="10"/>
      <c r="AF635"/>
    </row>
    <row r="636" spans="1:32" x14ac:dyDescent="0.25">
      <c r="A636" s="43"/>
      <c r="C636" s="70"/>
      <c r="D636" s="70"/>
      <c r="E636" s="73"/>
      <c r="F636" s="9"/>
      <c r="H636" s="9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4"/>
      <c r="U636" s="10"/>
      <c r="V636" s="10"/>
      <c r="W636" s="10"/>
      <c r="X636" s="7"/>
      <c r="Y636" s="7"/>
      <c r="Z636" s="7"/>
      <c r="AA636" s="34"/>
      <c r="AB636" s="7"/>
      <c r="AC636" s="34"/>
      <c r="AD636" s="10"/>
      <c r="AF636"/>
    </row>
    <row r="637" spans="1:32" x14ac:dyDescent="0.25">
      <c r="A637" s="7"/>
      <c r="C637" s="70"/>
      <c r="D637" s="70"/>
      <c r="E637" s="73"/>
      <c r="F637" s="9"/>
      <c r="H637" s="9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4"/>
      <c r="U637" s="10"/>
      <c r="V637" s="10"/>
      <c r="W637" s="10"/>
      <c r="X637" s="7"/>
      <c r="Y637" s="7"/>
      <c r="Z637" s="7"/>
      <c r="AA637" s="34"/>
      <c r="AB637" s="7"/>
      <c r="AC637" s="34"/>
      <c r="AD637" s="10"/>
      <c r="AF637"/>
    </row>
    <row r="638" spans="1:32" x14ac:dyDescent="0.25">
      <c r="A638" s="7"/>
      <c r="C638" s="70"/>
      <c r="D638" s="70"/>
      <c r="E638" s="73"/>
      <c r="F638" s="9"/>
      <c r="H638" s="9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4"/>
      <c r="U638" s="10"/>
      <c r="V638" s="10"/>
      <c r="W638" s="10"/>
      <c r="X638" s="7"/>
      <c r="Y638" s="7"/>
      <c r="Z638" s="7"/>
      <c r="AA638" s="34"/>
      <c r="AB638" s="7"/>
      <c r="AC638" s="34"/>
      <c r="AD638" s="10"/>
      <c r="AF638"/>
    </row>
    <row r="639" spans="1:32" x14ac:dyDescent="0.25">
      <c r="A639" s="7"/>
      <c r="C639" s="70"/>
      <c r="D639" s="70"/>
      <c r="E639" s="73"/>
      <c r="F639" s="9"/>
      <c r="H639" s="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4"/>
      <c r="U639" s="10"/>
      <c r="V639" s="10"/>
      <c r="W639" s="10"/>
      <c r="X639" s="7"/>
      <c r="Y639" s="7"/>
      <c r="Z639" s="7"/>
      <c r="AA639" s="34"/>
      <c r="AB639" s="7"/>
      <c r="AC639" s="34"/>
      <c r="AD639" s="10"/>
      <c r="AF639"/>
    </row>
    <row r="640" spans="1:32" x14ac:dyDescent="0.25">
      <c r="A640" s="7"/>
      <c r="C640" s="70"/>
      <c r="D640" s="70"/>
      <c r="E640" s="73"/>
      <c r="F640" s="9"/>
      <c r="H640" s="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4"/>
      <c r="U640" s="10"/>
      <c r="V640" s="10"/>
      <c r="W640" s="10"/>
      <c r="X640" s="7"/>
      <c r="Y640" s="7"/>
      <c r="Z640" s="34"/>
      <c r="AA640" s="34"/>
      <c r="AB640" s="7"/>
      <c r="AC640" s="34"/>
      <c r="AD640" s="10"/>
      <c r="AF640"/>
    </row>
    <row r="641" spans="1:32" x14ac:dyDescent="0.25">
      <c r="A641" s="7"/>
      <c r="C641" s="70"/>
      <c r="D641" s="70"/>
      <c r="E641" s="73"/>
      <c r="F641" s="9"/>
      <c r="H641" s="9"/>
      <c r="I641" s="10"/>
      <c r="J641" s="7"/>
      <c r="K641" s="7"/>
      <c r="L641" s="10"/>
      <c r="M641" s="10"/>
      <c r="N641" s="10"/>
      <c r="O641" s="10"/>
      <c r="P641" s="10"/>
      <c r="Q641" s="10"/>
      <c r="R641" s="10"/>
      <c r="S641" s="10"/>
      <c r="T641" s="14"/>
      <c r="U641" s="10"/>
      <c r="V641" s="10"/>
      <c r="W641" s="10"/>
      <c r="X641" s="7"/>
      <c r="Y641" s="7"/>
      <c r="Z641" s="7"/>
      <c r="AA641" s="34"/>
      <c r="AB641" s="7"/>
      <c r="AC641" s="34"/>
      <c r="AD641" s="10"/>
      <c r="AF641"/>
    </row>
    <row r="642" spans="1:32" x14ac:dyDescent="0.25">
      <c r="A642" s="7"/>
      <c r="C642" s="70"/>
      <c r="D642" s="70"/>
      <c r="E642" s="73"/>
      <c r="F642" s="45"/>
      <c r="H642" s="9"/>
      <c r="I642" s="10"/>
      <c r="J642" s="10"/>
      <c r="K642" s="7"/>
      <c r="L642" s="10"/>
      <c r="M642" s="10"/>
      <c r="N642" s="10"/>
      <c r="O642" s="10"/>
      <c r="P642" s="10"/>
      <c r="Q642" s="10"/>
      <c r="R642" s="10"/>
      <c r="S642" s="10"/>
      <c r="T642" s="14"/>
      <c r="U642" s="10"/>
      <c r="V642" s="10"/>
      <c r="W642" s="10"/>
      <c r="X642" s="7"/>
      <c r="Y642" s="34"/>
      <c r="Z642" s="7"/>
      <c r="AA642" s="34"/>
      <c r="AB642" s="7"/>
      <c r="AC642" s="34"/>
      <c r="AD642" s="10"/>
      <c r="AF642"/>
    </row>
    <row r="643" spans="1:32" x14ac:dyDescent="0.25">
      <c r="A643" s="7"/>
      <c r="C643" s="70"/>
      <c r="D643" s="70"/>
      <c r="E643" s="73"/>
      <c r="F643" s="9"/>
      <c r="H643" s="9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4"/>
      <c r="U643" s="10"/>
      <c r="V643" s="10"/>
      <c r="W643" s="10"/>
      <c r="X643" s="7"/>
      <c r="Y643" s="7"/>
      <c r="Z643" s="34"/>
      <c r="AA643" s="34"/>
      <c r="AB643" s="7"/>
      <c r="AC643" s="34"/>
      <c r="AD643" s="10"/>
      <c r="AF643"/>
    </row>
    <row r="644" spans="1:32" x14ac:dyDescent="0.25">
      <c r="A644" s="7"/>
      <c r="C644" s="70"/>
      <c r="D644" s="70"/>
      <c r="E644" s="73"/>
      <c r="F644" s="9"/>
      <c r="H644" s="9"/>
      <c r="I644" s="10"/>
      <c r="J644" s="7"/>
      <c r="K644" s="7"/>
      <c r="L644" s="10"/>
      <c r="M644" s="10"/>
      <c r="N644" s="10"/>
      <c r="O644" s="10"/>
      <c r="P644" s="10"/>
      <c r="Q644" s="10"/>
      <c r="R644" s="10"/>
      <c r="S644" s="10"/>
      <c r="T644" s="14"/>
      <c r="U644" s="10"/>
      <c r="V644" s="10"/>
      <c r="W644" s="10"/>
      <c r="X644" s="7"/>
      <c r="Y644" s="7"/>
      <c r="Z644" s="7"/>
      <c r="AA644" s="34"/>
      <c r="AB644" s="7"/>
      <c r="AC644" s="34"/>
      <c r="AD644" s="10"/>
      <c r="AF644"/>
    </row>
    <row r="645" spans="1:32" x14ac:dyDescent="0.25">
      <c r="A645" s="7"/>
      <c r="C645" s="70"/>
      <c r="D645" s="70"/>
      <c r="E645" s="73"/>
      <c r="F645" s="9"/>
      <c r="H645" s="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4"/>
      <c r="U645" s="10"/>
      <c r="V645" s="10"/>
      <c r="W645" s="10"/>
      <c r="X645" s="7"/>
      <c r="Y645" s="7"/>
      <c r="Z645" s="7"/>
      <c r="AA645" s="34"/>
      <c r="AB645" s="7"/>
      <c r="AC645" s="34"/>
      <c r="AD645" s="10"/>
      <c r="AF645"/>
    </row>
    <row r="646" spans="1:32" x14ac:dyDescent="0.25">
      <c r="A646" s="7"/>
      <c r="C646" s="70"/>
      <c r="D646" s="70"/>
      <c r="E646" s="73"/>
      <c r="F646" s="9"/>
      <c r="H646" s="9"/>
      <c r="I646" s="10"/>
      <c r="J646" s="10"/>
      <c r="K646" s="10"/>
      <c r="L646" s="10"/>
      <c r="M646" s="10"/>
      <c r="N646" s="10"/>
      <c r="O646" s="34"/>
      <c r="P646" s="10"/>
      <c r="Q646" s="10"/>
      <c r="R646" s="10"/>
      <c r="S646" s="10"/>
      <c r="T646" s="14"/>
      <c r="U646" s="10"/>
      <c r="V646" s="10"/>
      <c r="W646" s="10"/>
      <c r="X646" s="7"/>
      <c r="Y646" s="7"/>
      <c r="Z646" s="7"/>
      <c r="AA646"/>
      <c r="AB646" s="7"/>
      <c r="AC646" s="34"/>
      <c r="AD646" s="10"/>
      <c r="AF646"/>
    </row>
    <row r="647" spans="1:32" x14ac:dyDescent="0.25">
      <c r="A647" s="7"/>
      <c r="C647" s="70"/>
      <c r="D647" s="70"/>
      <c r="E647" s="73"/>
      <c r="F647" s="9"/>
      <c r="H647" s="9"/>
      <c r="I647" s="10"/>
      <c r="J647" s="10"/>
      <c r="K647" s="10"/>
      <c r="L647" s="10"/>
      <c r="M647" s="10"/>
      <c r="N647" s="10"/>
      <c r="O647" s="34"/>
      <c r="P647" s="10"/>
      <c r="Q647" s="10"/>
      <c r="R647" s="10"/>
      <c r="S647" s="10"/>
      <c r="T647" s="14"/>
      <c r="U647" s="10"/>
      <c r="V647" s="10"/>
      <c r="W647" s="10"/>
      <c r="X647" s="7"/>
      <c r="Y647" s="7"/>
      <c r="Z647" s="7"/>
      <c r="AA647"/>
      <c r="AB647" s="7"/>
      <c r="AC647" s="34"/>
      <c r="AD647" s="10"/>
      <c r="AF647"/>
    </row>
    <row r="648" spans="1:32" x14ac:dyDescent="0.25">
      <c r="A648" s="7"/>
      <c r="C648" s="70"/>
      <c r="D648" s="70"/>
      <c r="E648" s="73"/>
      <c r="F648" s="9"/>
      <c r="H648" s="9"/>
      <c r="I648" s="10"/>
      <c r="J648" s="10"/>
      <c r="K648" s="7"/>
      <c r="L648" s="10"/>
      <c r="M648" s="10"/>
      <c r="N648" s="10"/>
      <c r="O648" s="34"/>
      <c r="P648" s="10"/>
      <c r="Q648" s="10"/>
      <c r="R648" s="10"/>
      <c r="S648" s="10"/>
      <c r="T648" s="14"/>
      <c r="U648" s="10"/>
      <c r="V648" s="10"/>
      <c r="W648" s="10"/>
      <c r="X648" s="7"/>
      <c r="Y648" s="7"/>
      <c r="Z648" s="7"/>
      <c r="AA648"/>
      <c r="AB648" s="7"/>
      <c r="AC648" s="34"/>
      <c r="AD648" s="10"/>
      <c r="AF648"/>
    </row>
    <row r="649" spans="1:32" x14ac:dyDescent="0.25">
      <c r="A649" s="7"/>
      <c r="C649" s="70"/>
      <c r="D649" s="70"/>
      <c r="E649" s="73"/>
      <c r="F649" s="9"/>
      <c r="H649" s="9"/>
      <c r="I649" s="10"/>
      <c r="J649" s="7"/>
      <c r="K649" s="7"/>
      <c r="L649" s="10"/>
      <c r="M649" s="10"/>
      <c r="N649" s="10"/>
      <c r="O649" s="34"/>
      <c r="P649" s="10"/>
      <c r="Q649" s="10"/>
      <c r="R649" s="10"/>
      <c r="S649" s="10"/>
      <c r="T649" s="14"/>
      <c r="U649" s="10"/>
      <c r="V649" s="10"/>
      <c r="W649" s="10"/>
      <c r="X649" s="7"/>
      <c r="Y649" s="7"/>
      <c r="Z649" s="7"/>
      <c r="AA649"/>
      <c r="AB649" s="7"/>
      <c r="AC649" s="34"/>
      <c r="AD649" s="10"/>
      <c r="AF649"/>
    </row>
    <row r="650" spans="1:32" x14ac:dyDescent="0.25">
      <c r="A650" s="7"/>
      <c r="C650" s="70"/>
      <c r="D650" s="70"/>
      <c r="E650" s="73"/>
      <c r="F650" s="9"/>
      <c r="H650" s="9"/>
      <c r="I650" s="10"/>
      <c r="J650" s="7"/>
      <c r="K650" s="24"/>
      <c r="L650" s="10"/>
      <c r="M650" s="10"/>
      <c r="N650" s="10"/>
      <c r="O650" s="34"/>
      <c r="P650" s="10"/>
      <c r="Q650" s="10"/>
      <c r="R650" s="10"/>
      <c r="S650" s="10"/>
      <c r="T650" s="14"/>
      <c r="U650" s="10"/>
      <c r="V650" s="10"/>
      <c r="W650" s="10"/>
      <c r="X650" s="7"/>
      <c r="Y650" s="7"/>
      <c r="Z650" s="7"/>
      <c r="AA650"/>
      <c r="AB650" s="7"/>
      <c r="AC650" s="34"/>
      <c r="AD650" s="10"/>
      <c r="AF650"/>
    </row>
    <row r="651" spans="1:32" x14ac:dyDescent="0.25">
      <c r="A651" s="7"/>
      <c r="C651" s="70"/>
      <c r="D651" s="70"/>
      <c r="E651" s="73"/>
      <c r="F651" s="9"/>
      <c r="H651" s="9"/>
      <c r="I651" s="10"/>
      <c r="J651" s="7"/>
      <c r="K651" s="7"/>
      <c r="L651" s="10"/>
      <c r="M651" s="10"/>
      <c r="N651" s="10"/>
      <c r="O651" s="34"/>
      <c r="P651" s="10"/>
      <c r="Q651" s="10"/>
      <c r="R651" s="10"/>
      <c r="S651" s="10"/>
      <c r="T651" s="14"/>
      <c r="U651" s="10"/>
      <c r="V651" s="10"/>
      <c r="W651" s="10"/>
      <c r="X651" s="7"/>
      <c r="Y651" s="7"/>
      <c r="Z651" s="34"/>
      <c r="AA651"/>
      <c r="AB651" s="7"/>
      <c r="AC651" s="34"/>
      <c r="AD651" s="10"/>
      <c r="AF651"/>
    </row>
    <row r="652" spans="1:32" x14ac:dyDescent="0.25">
      <c r="A652" s="7"/>
      <c r="C652" s="70"/>
      <c r="D652" s="70"/>
      <c r="E652" s="73"/>
      <c r="F652" s="9"/>
      <c r="H652" s="9"/>
      <c r="I652" s="10"/>
      <c r="J652" s="7"/>
      <c r="K652" s="7"/>
      <c r="L652" s="10"/>
      <c r="M652" s="10"/>
      <c r="N652" s="10"/>
      <c r="O652" s="34"/>
      <c r="P652" s="10"/>
      <c r="Q652" s="10"/>
      <c r="R652" s="10"/>
      <c r="S652" s="10"/>
      <c r="T652" s="14"/>
      <c r="U652" s="10"/>
      <c r="V652" s="10"/>
      <c r="W652" s="10"/>
      <c r="X652" s="7"/>
      <c r="Y652" s="7"/>
      <c r="Z652" s="7"/>
      <c r="AA652"/>
      <c r="AB652" s="7"/>
      <c r="AC652" s="34"/>
      <c r="AD652" s="10"/>
      <c r="AF652"/>
    </row>
    <row r="653" spans="1:32" x14ac:dyDescent="0.25">
      <c r="A653" s="7"/>
      <c r="C653" s="70"/>
      <c r="D653" s="70"/>
      <c r="E653" s="73"/>
      <c r="F653" s="9"/>
      <c r="H653" s="9"/>
      <c r="I653" s="10"/>
      <c r="J653" s="10"/>
      <c r="K653" s="10"/>
      <c r="L653" s="10"/>
      <c r="M653" s="10"/>
      <c r="N653" s="10"/>
      <c r="O653" s="34"/>
      <c r="P653" s="10"/>
      <c r="Q653" s="10"/>
      <c r="R653" s="10"/>
      <c r="S653" s="10"/>
      <c r="T653" s="14"/>
      <c r="U653" s="10"/>
      <c r="V653" s="10"/>
      <c r="W653" s="10"/>
      <c r="X653" s="7"/>
      <c r="Y653" s="7"/>
      <c r="Z653" s="7"/>
      <c r="AA653" s="34"/>
      <c r="AB653" s="7"/>
      <c r="AC653" s="34"/>
      <c r="AD653" s="10"/>
      <c r="AF653"/>
    </row>
    <row r="654" spans="1:32" x14ac:dyDescent="0.25">
      <c r="A654" s="7"/>
      <c r="C654" s="70"/>
      <c r="D654" s="70"/>
      <c r="E654" s="73"/>
      <c r="F654" s="45"/>
      <c r="H654" s="9"/>
      <c r="I654" s="10"/>
      <c r="J654" s="10"/>
      <c r="K654" s="10"/>
      <c r="L654" s="10"/>
      <c r="M654" s="10"/>
      <c r="N654" s="10"/>
      <c r="O654" s="34"/>
      <c r="P654" s="10"/>
      <c r="Q654" s="10"/>
      <c r="R654" s="10"/>
      <c r="S654" s="10"/>
      <c r="T654" s="14"/>
      <c r="U654" s="10"/>
      <c r="V654" s="10"/>
      <c r="W654" s="10"/>
      <c r="X654" s="7"/>
      <c r="Y654" s="34"/>
      <c r="Z654" s="34"/>
      <c r="AA654"/>
      <c r="AB654" s="7"/>
      <c r="AC654" s="34"/>
      <c r="AD654" s="10"/>
      <c r="AF654"/>
    </row>
    <row r="655" spans="1:32" x14ac:dyDescent="0.25">
      <c r="A655" s="7"/>
      <c r="C655" s="70"/>
      <c r="D655" s="70"/>
      <c r="E655" s="73"/>
      <c r="F655" s="9"/>
      <c r="H655" s="9"/>
      <c r="I655" s="10"/>
      <c r="J655" s="10"/>
      <c r="K655" s="10"/>
      <c r="L655" s="10"/>
      <c r="M655" s="10"/>
      <c r="N655" s="10"/>
      <c r="O655" s="34"/>
      <c r="P655" s="10"/>
      <c r="Q655" s="10"/>
      <c r="R655" s="10"/>
      <c r="S655" s="10"/>
      <c r="T655" s="14"/>
      <c r="U655" s="10"/>
      <c r="V655" s="10"/>
      <c r="W655" s="10"/>
      <c r="X655" s="7"/>
      <c r="Y655" s="7"/>
      <c r="Z655" s="7"/>
      <c r="AA655"/>
      <c r="AB655" s="7"/>
      <c r="AC655" s="34"/>
      <c r="AD655" s="10"/>
      <c r="AF655"/>
    </row>
    <row r="656" spans="1:32" x14ac:dyDescent="0.25">
      <c r="A656" s="7"/>
      <c r="C656" s="70"/>
      <c r="D656" s="70"/>
      <c r="E656" s="73"/>
      <c r="F656" s="9"/>
      <c r="H656" s="9"/>
      <c r="I656" s="10"/>
      <c r="J656" s="10"/>
      <c r="K656" s="7"/>
      <c r="L656" s="10"/>
      <c r="M656" s="10"/>
      <c r="N656" s="10"/>
      <c r="O656" s="34"/>
      <c r="P656" s="10"/>
      <c r="Q656" s="10"/>
      <c r="R656" s="10"/>
      <c r="S656" s="10"/>
      <c r="T656" s="14"/>
      <c r="U656" s="10"/>
      <c r="V656" s="10"/>
      <c r="W656" s="10"/>
      <c r="X656" s="7"/>
      <c r="Y656" s="7"/>
      <c r="Z656" s="7"/>
      <c r="AA656" s="34"/>
      <c r="AB656" s="7"/>
      <c r="AC656" s="34"/>
      <c r="AD656" s="10"/>
      <c r="AF656"/>
    </row>
    <row r="657" spans="1:32" x14ac:dyDescent="0.25">
      <c r="A657" s="7"/>
      <c r="C657" s="70"/>
      <c r="D657" s="70"/>
      <c r="E657" s="73"/>
      <c r="F657" s="9"/>
      <c r="H657" s="9"/>
      <c r="I657" s="10"/>
      <c r="J657" s="10"/>
      <c r="K657" s="10"/>
      <c r="L657" s="10"/>
      <c r="M657" s="10"/>
      <c r="N657" s="10"/>
      <c r="O657" s="34"/>
      <c r="P657" s="10"/>
      <c r="Q657" s="10"/>
      <c r="R657" s="10"/>
      <c r="S657" s="10"/>
      <c r="T657" s="14"/>
      <c r="U657" s="10"/>
      <c r="V657" s="10"/>
      <c r="W657" s="10"/>
      <c r="X657" s="7"/>
      <c r="Y657" s="7"/>
      <c r="Z657" s="7"/>
      <c r="AA657"/>
      <c r="AB657" s="7"/>
      <c r="AC657" s="34"/>
      <c r="AD657" s="10"/>
      <c r="AF657"/>
    </row>
    <row r="658" spans="1:32" x14ac:dyDescent="0.25">
      <c r="A658" s="7"/>
      <c r="C658" s="70"/>
      <c r="D658" s="70"/>
      <c r="E658" s="73"/>
      <c r="F658" s="9"/>
      <c r="H658" s="9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4"/>
      <c r="U658" s="10"/>
      <c r="V658" s="10"/>
      <c r="W658" s="10"/>
      <c r="X658" s="7"/>
      <c r="Y658" s="7"/>
      <c r="Z658" s="7"/>
      <c r="AA658" s="34"/>
      <c r="AB658" s="7"/>
      <c r="AC658" s="34"/>
      <c r="AD658" s="10"/>
      <c r="AF658"/>
    </row>
    <row r="659" spans="1:32" x14ac:dyDescent="0.25">
      <c r="A659" s="7"/>
      <c r="C659" s="70"/>
      <c r="D659" s="70"/>
      <c r="E659" s="73"/>
      <c r="F659" s="9"/>
      <c r="H659" s="9"/>
      <c r="I659" s="10"/>
      <c r="J659" s="7"/>
      <c r="K659" s="24"/>
      <c r="L659" s="10"/>
      <c r="M659" s="10"/>
      <c r="N659" s="10"/>
      <c r="O659" s="10"/>
      <c r="P659" s="10"/>
      <c r="Q659" s="10"/>
      <c r="R659" s="10"/>
      <c r="S659" s="10"/>
      <c r="T659" s="14"/>
      <c r="U659" s="10"/>
      <c r="V659" s="10"/>
      <c r="W659" s="10"/>
      <c r="X659" s="7"/>
      <c r="Y659" s="7"/>
      <c r="Z659" s="7"/>
      <c r="AA659" s="34"/>
      <c r="AB659" s="7"/>
      <c r="AC659" s="34"/>
      <c r="AD659" s="10"/>
      <c r="AF659"/>
    </row>
    <row r="660" spans="1:32" x14ac:dyDescent="0.25">
      <c r="A660" s="7"/>
      <c r="C660" s="70"/>
      <c r="D660" s="70"/>
      <c r="E660" s="73"/>
      <c r="F660" s="9"/>
      <c r="H660" s="9"/>
      <c r="I660" s="10"/>
      <c r="J660" s="7"/>
      <c r="K660" s="24"/>
      <c r="L660" s="10"/>
      <c r="M660" s="10"/>
      <c r="N660" s="10"/>
      <c r="O660" s="10"/>
      <c r="P660" s="10"/>
      <c r="Q660" s="10"/>
      <c r="R660" s="10"/>
      <c r="S660" s="10"/>
      <c r="T660" s="14"/>
      <c r="U660" s="10"/>
      <c r="V660" s="10"/>
      <c r="W660" s="10"/>
      <c r="X660" s="7"/>
      <c r="Y660" s="7"/>
      <c r="Z660" s="7"/>
      <c r="AA660" s="34"/>
      <c r="AB660" s="7"/>
      <c r="AC660" s="34"/>
      <c r="AD660" s="10"/>
      <c r="AF660"/>
    </row>
    <row r="661" spans="1:32" x14ac:dyDescent="0.25">
      <c r="A661" s="7"/>
      <c r="C661" s="70"/>
      <c r="D661" s="70"/>
      <c r="E661" s="73"/>
      <c r="F661" s="9"/>
      <c r="H661" s="9"/>
      <c r="I661" s="10"/>
      <c r="J661" s="7"/>
      <c r="K661" s="7"/>
      <c r="L661" s="10"/>
      <c r="M661" s="10"/>
      <c r="N661" s="10"/>
      <c r="O661" s="10"/>
      <c r="P661" s="10"/>
      <c r="Q661" s="10"/>
      <c r="R661" s="10"/>
      <c r="S661" s="10"/>
      <c r="T661" s="14"/>
      <c r="U661" s="10"/>
      <c r="V661" s="10"/>
      <c r="W661" s="10"/>
      <c r="X661" s="7"/>
      <c r="Y661" s="7"/>
      <c r="Z661" s="7"/>
      <c r="AA661" s="34"/>
      <c r="AB661" s="7"/>
      <c r="AC661" s="34"/>
      <c r="AD661" s="10"/>
      <c r="AF661"/>
    </row>
    <row r="662" spans="1:32" x14ac:dyDescent="0.25">
      <c r="A662" s="7"/>
      <c r="C662" s="70"/>
      <c r="D662" s="70"/>
      <c r="E662" s="73"/>
      <c r="F662" s="9"/>
      <c r="H662" s="9"/>
      <c r="I662" s="10"/>
      <c r="J662" s="7"/>
      <c r="K662" s="7"/>
      <c r="L662" s="10"/>
      <c r="M662" s="10"/>
      <c r="N662" s="10"/>
      <c r="O662" s="10"/>
      <c r="P662" s="10"/>
      <c r="Q662" s="10"/>
      <c r="R662" s="10"/>
      <c r="S662" s="10"/>
      <c r="T662" s="14"/>
      <c r="U662" s="10"/>
      <c r="V662" s="10"/>
      <c r="W662" s="10"/>
      <c r="X662" s="7"/>
      <c r="Y662" s="7"/>
      <c r="Z662" s="7"/>
      <c r="AA662" s="34"/>
      <c r="AB662" s="7"/>
      <c r="AC662" s="34"/>
      <c r="AD662" s="10"/>
      <c r="AF662"/>
    </row>
    <row r="663" spans="1:32" x14ac:dyDescent="0.25">
      <c r="A663" s="7"/>
      <c r="C663" s="70"/>
      <c r="D663" s="70"/>
      <c r="E663" s="73"/>
      <c r="F663" s="9"/>
      <c r="H663" s="9"/>
      <c r="I663" s="10"/>
      <c r="J663" s="7"/>
      <c r="K663" s="7"/>
      <c r="L663" s="10"/>
      <c r="M663" s="10"/>
      <c r="N663" s="10"/>
      <c r="O663" s="10"/>
      <c r="P663" s="10"/>
      <c r="Q663" s="10"/>
      <c r="R663" s="10"/>
      <c r="S663" s="10"/>
      <c r="T663" s="14"/>
      <c r="U663" s="10"/>
      <c r="V663" s="10"/>
      <c r="W663" s="10"/>
      <c r="X663" s="7"/>
      <c r="Y663" s="7"/>
      <c r="Z663" s="7"/>
      <c r="AA663" s="34"/>
      <c r="AB663" s="7"/>
      <c r="AC663" s="34"/>
      <c r="AD663" s="10"/>
      <c r="AF663"/>
    </row>
    <row r="664" spans="1:32" x14ac:dyDescent="0.25">
      <c r="A664" s="7"/>
      <c r="C664" s="70"/>
      <c r="D664" s="70"/>
      <c r="E664" s="73"/>
      <c r="F664" s="45"/>
      <c r="H664" s="9"/>
      <c r="I664" s="10"/>
      <c r="J664" s="7"/>
      <c r="K664" s="7"/>
      <c r="L664" s="10"/>
      <c r="M664" s="10"/>
      <c r="N664" s="10"/>
      <c r="O664" s="10"/>
      <c r="P664" s="10"/>
      <c r="Q664" s="10"/>
      <c r="R664" s="10"/>
      <c r="S664" s="10"/>
      <c r="T664" s="14"/>
      <c r="U664" s="10"/>
      <c r="V664" s="10"/>
      <c r="W664" s="10"/>
      <c r="X664" s="7"/>
      <c r="Y664" s="34"/>
      <c r="Z664" s="7"/>
      <c r="AA664" s="34"/>
      <c r="AB664" s="7"/>
      <c r="AC664" s="34"/>
      <c r="AD664" s="10"/>
      <c r="AF664"/>
    </row>
    <row r="665" spans="1:32" x14ac:dyDescent="0.25">
      <c r="A665" s="7"/>
      <c r="C665" s="70"/>
      <c r="D665" s="70"/>
      <c r="E665" s="73"/>
      <c r="F665" s="9"/>
      <c r="H665" s="9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4"/>
      <c r="U665" s="10"/>
      <c r="V665" s="10"/>
      <c r="W665" s="10"/>
      <c r="X665" s="7"/>
      <c r="Y665" s="7"/>
      <c r="Z665" s="7"/>
      <c r="AA665" s="34"/>
      <c r="AB665" s="7"/>
      <c r="AC665" s="34"/>
      <c r="AD665" s="10"/>
      <c r="AF665"/>
    </row>
    <row r="666" spans="1:32" x14ac:dyDescent="0.25">
      <c r="A666" s="7"/>
      <c r="C666" s="70"/>
      <c r="D666" s="70"/>
      <c r="E666" s="73"/>
      <c r="F666" s="9"/>
      <c r="H666" s="9"/>
      <c r="I666" s="10"/>
      <c r="J666" s="7"/>
      <c r="K666" s="7"/>
      <c r="L666" s="10"/>
      <c r="M666" s="10"/>
      <c r="N666" s="10"/>
      <c r="O666" s="10"/>
      <c r="P666" s="10"/>
      <c r="Q666" s="10"/>
      <c r="R666" s="10"/>
      <c r="S666" s="10"/>
      <c r="T666" s="14"/>
      <c r="U666" s="10"/>
      <c r="V666" s="10"/>
      <c r="W666" s="10"/>
      <c r="X666" s="7"/>
      <c r="Y666" s="7"/>
      <c r="Z666" s="7"/>
      <c r="AA666" s="34"/>
      <c r="AB666" s="7"/>
      <c r="AC666" s="34"/>
      <c r="AD666" s="10"/>
      <c r="AF666"/>
    </row>
    <row r="667" spans="1:32" x14ac:dyDescent="0.25">
      <c r="A667" s="7"/>
      <c r="C667" s="70"/>
      <c r="D667" s="70"/>
      <c r="E667" s="73"/>
      <c r="F667" s="9"/>
      <c r="H667" s="9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4"/>
      <c r="U667" s="10"/>
      <c r="V667" s="10"/>
      <c r="W667" s="10"/>
      <c r="X667" s="7"/>
      <c r="Y667" s="34"/>
      <c r="Z667" s="34"/>
      <c r="AA667" s="34"/>
      <c r="AB667" s="7"/>
      <c r="AC667" s="34"/>
      <c r="AD667" s="10"/>
      <c r="AF667"/>
    </row>
    <row r="668" spans="1:32" x14ac:dyDescent="0.25">
      <c r="A668" s="7"/>
      <c r="C668" s="70"/>
      <c r="D668" s="70"/>
      <c r="E668" s="73"/>
      <c r="F668" s="9"/>
      <c r="H668" s="9"/>
      <c r="I668" s="10"/>
      <c r="J668" s="7"/>
      <c r="K668" s="24"/>
      <c r="L668" s="10"/>
      <c r="M668" s="10"/>
      <c r="N668" s="10"/>
      <c r="O668" s="10"/>
      <c r="P668" s="10"/>
      <c r="Q668" s="10"/>
      <c r="R668" s="10"/>
      <c r="S668" s="10"/>
      <c r="T668" s="14"/>
      <c r="U668" s="10"/>
      <c r="V668" s="10"/>
      <c r="W668" s="10"/>
      <c r="X668" s="7"/>
      <c r="Y668" s="7"/>
      <c r="Z668" s="7"/>
      <c r="AA668" s="34"/>
      <c r="AB668" s="7"/>
      <c r="AC668" s="34"/>
      <c r="AD668" s="10"/>
      <c r="AF668"/>
    </row>
    <row r="669" spans="1:32" x14ac:dyDescent="0.25">
      <c r="A669" s="7"/>
      <c r="C669" s="70"/>
      <c r="D669" s="70"/>
      <c r="E669" s="73"/>
      <c r="F669" s="9"/>
      <c r="H669" s="9"/>
      <c r="I669" s="10"/>
      <c r="J669" s="10"/>
      <c r="K669" s="7"/>
      <c r="L669" s="10"/>
      <c r="M669" s="10"/>
      <c r="N669" s="10"/>
      <c r="O669" s="10"/>
      <c r="P669" s="10"/>
      <c r="Q669" s="10"/>
      <c r="R669" s="10"/>
      <c r="S669" s="10"/>
      <c r="T669" s="14"/>
      <c r="U669" s="10"/>
      <c r="V669" s="10"/>
      <c r="W669" s="10"/>
      <c r="X669" s="7"/>
      <c r="Y669" s="7"/>
      <c r="Z669" s="34"/>
      <c r="AA669" s="34"/>
      <c r="AB669" s="7"/>
      <c r="AC669" s="34"/>
      <c r="AD669" s="10"/>
      <c r="AF669"/>
    </row>
    <row r="670" spans="1:32" x14ac:dyDescent="0.25">
      <c r="A670" s="7"/>
      <c r="C670" s="70"/>
      <c r="D670" s="70"/>
      <c r="E670" s="73"/>
      <c r="F670" s="9"/>
      <c r="H670" s="9"/>
      <c r="I670" s="10"/>
      <c r="J670" s="7"/>
      <c r="K670" s="7"/>
      <c r="L670" s="10"/>
      <c r="M670" s="10"/>
      <c r="N670" s="10"/>
      <c r="O670" s="10"/>
      <c r="P670" s="10"/>
      <c r="Q670" s="10"/>
      <c r="R670" s="10"/>
      <c r="S670" s="10"/>
      <c r="T670" s="14"/>
      <c r="U670" s="10"/>
      <c r="V670" s="10"/>
      <c r="W670" s="10"/>
      <c r="X670" s="7"/>
      <c r="Y670" s="7"/>
      <c r="Z670" s="7"/>
      <c r="AA670" s="34"/>
      <c r="AB670" s="7"/>
      <c r="AC670" s="34"/>
      <c r="AD670" s="10"/>
      <c r="AF670"/>
    </row>
    <row r="671" spans="1:32" x14ac:dyDescent="0.25">
      <c r="A671" s="7"/>
      <c r="C671" s="70"/>
      <c r="D671" s="70"/>
      <c r="E671" s="73"/>
      <c r="F671" s="9"/>
      <c r="H671" s="9"/>
      <c r="I671" s="10"/>
      <c r="J671" s="7"/>
      <c r="K671" s="24"/>
      <c r="L671" s="10"/>
      <c r="M671" s="10"/>
      <c r="N671" s="10"/>
      <c r="O671" s="10"/>
      <c r="P671" s="10"/>
      <c r="Q671" s="10"/>
      <c r="R671" s="10"/>
      <c r="S671" s="10"/>
      <c r="T671" s="14"/>
      <c r="U671" s="10"/>
      <c r="V671" s="10"/>
      <c r="W671" s="10"/>
      <c r="X671" s="7"/>
      <c r="Y671" s="7"/>
      <c r="Z671" s="7"/>
      <c r="AA671" s="34"/>
      <c r="AB671" s="7"/>
      <c r="AC671" s="34"/>
      <c r="AD671" s="10"/>
      <c r="AF671"/>
    </row>
    <row r="672" spans="1:32" x14ac:dyDescent="0.25">
      <c r="A672" s="7"/>
      <c r="C672" s="70"/>
      <c r="D672" s="70"/>
      <c r="E672" s="73"/>
      <c r="F672" s="9"/>
      <c r="H672" s="9"/>
      <c r="I672" s="10"/>
      <c r="J672" s="10"/>
      <c r="K672" s="7"/>
      <c r="L672" s="10"/>
      <c r="M672" s="10"/>
      <c r="N672" s="10"/>
      <c r="O672" s="10"/>
      <c r="P672" s="10"/>
      <c r="Q672" s="10"/>
      <c r="R672" s="10"/>
      <c r="S672" s="10"/>
      <c r="T672" s="14"/>
      <c r="U672" s="10"/>
      <c r="V672" s="10"/>
      <c r="W672" s="10"/>
      <c r="X672" s="7"/>
      <c r="Y672" s="7"/>
      <c r="Z672" s="7"/>
      <c r="AA672" s="34"/>
      <c r="AB672" s="7"/>
      <c r="AC672" s="34"/>
      <c r="AD672" s="10"/>
      <c r="AF672"/>
    </row>
    <row r="673" spans="1:32" x14ac:dyDescent="0.25">
      <c r="A673" s="7"/>
      <c r="C673" s="70"/>
      <c r="D673" s="70"/>
      <c r="E673" s="73"/>
      <c r="F673" s="9"/>
      <c r="H673" s="9"/>
      <c r="I673" s="10"/>
      <c r="J673" s="10"/>
      <c r="K673" s="7"/>
      <c r="L673" s="10"/>
      <c r="M673" s="10"/>
      <c r="N673" s="10"/>
      <c r="O673" s="10"/>
      <c r="P673" s="10"/>
      <c r="Q673" s="10"/>
      <c r="R673" s="10"/>
      <c r="S673" s="10"/>
      <c r="T673" s="14"/>
      <c r="U673" s="10"/>
      <c r="V673" s="10"/>
      <c r="W673" s="10"/>
      <c r="X673" s="7"/>
      <c r="Y673" s="7"/>
      <c r="Z673" s="7"/>
      <c r="AA673" s="34"/>
      <c r="AB673" s="7"/>
      <c r="AC673" s="34"/>
      <c r="AD673" s="10"/>
      <c r="AF673"/>
    </row>
    <row r="674" spans="1:32" x14ac:dyDescent="0.25">
      <c r="A674" s="7"/>
      <c r="C674" s="70"/>
      <c r="D674" s="70"/>
      <c r="E674" s="73"/>
      <c r="F674" s="9"/>
      <c r="H674" s="9"/>
      <c r="I674" s="10"/>
      <c r="J674" s="7"/>
      <c r="K674" s="7"/>
      <c r="L674" s="10"/>
      <c r="M674" s="10"/>
      <c r="N674" s="10"/>
      <c r="O674" s="10"/>
      <c r="P674" s="10"/>
      <c r="Q674" s="10"/>
      <c r="R674" s="10"/>
      <c r="S674" s="10"/>
      <c r="T674" s="14"/>
      <c r="U674" s="10"/>
      <c r="V674" s="10"/>
      <c r="W674" s="10"/>
      <c r="X674" s="7"/>
      <c r="Y674" s="7"/>
      <c r="Z674" s="7"/>
      <c r="AA674" s="34"/>
      <c r="AB674" s="7"/>
      <c r="AC674" s="34"/>
      <c r="AD674" s="10"/>
      <c r="AF674"/>
    </row>
    <row r="675" spans="1:32" x14ac:dyDescent="0.25">
      <c r="A675" s="7"/>
      <c r="C675" s="70"/>
      <c r="D675" s="70"/>
      <c r="E675" s="73"/>
      <c r="F675" s="9"/>
      <c r="H675" s="9"/>
      <c r="I675" s="10"/>
      <c r="J675" s="7"/>
      <c r="K675" s="24"/>
      <c r="L675" s="10"/>
      <c r="M675" s="10"/>
      <c r="N675" s="10"/>
      <c r="O675" s="10"/>
      <c r="P675" s="10"/>
      <c r="Q675" s="10"/>
      <c r="R675" s="10"/>
      <c r="S675" s="10"/>
      <c r="T675" s="14"/>
      <c r="U675" s="10"/>
      <c r="V675" s="10"/>
      <c r="W675" s="10"/>
      <c r="X675" s="7"/>
      <c r="Y675" s="7"/>
      <c r="Z675" s="7"/>
      <c r="AA675" s="34"/>
      <c r="AB675" s="7"/>
      <c r="AC675" s="34"/>
      <c r="AD675" s="10"/>
      <c r="AF675"/>
    </row>
    <row r="676" spans="1:32" x14ac:dyDescent="0.25">
      <c r="A676" s="7"/>
      <c r="C676" s="70"/>
      <c r="D676" s="70"/>
      <c r="E676" s="73"/>
      <c r="F676" s="9"/>
      <c r="H676" s="9"/>
      <c r="I676" s="10"/>
      <c r="J676" s="7"/>
      <c r="K676" s="7"/>
      <c r="L676" s="10"/>
      <c r="M676" s="10"/>
      <c r="N676" s="10"/>
      <c r="O676" s="10"/>
      <c r="P676" s="10"/>
      <c r="Q676" s="10"/>
      <c r="R676" s="10"/>
      <c r="S676" s="10"/>
      <c r="T676" s="14"/>
      <c r="U676" s="10"/>
      <c r="V676" s="10"/>
      <c r="W676" s="10"/>
      <c r="X676" s="7"/>
      <c r="Y676" s="7"/>
      <c r="Z676" s="7"/>
      <c r="AA676" s="34"/>
      <c r="AB676" s="7"/>
      <c r="AC676" s="34"/>
      <c r="AD676" s="10"/>
      <c r="AF676"/>
    </row>
    <row r="677" spans="1:32" x14ac:dyDescent="0.25">
      <c r="A677" s="7"/>
      <c r="C677" s="70"/>
      <c r="D677" s="70"/>
      <c r="E677" s="73"/>
      <c r="F677" s="9"/>
      <c r="H677" s="9"/>
      <c r="I677" s="10"/>
      <c r="J677" s="7"/>
      <c r="K677" s="7"/>
      <c r="L677" s="10"/>
      <c r="M677" s="10"/>
      <c r="N677" s="10"/>
      <c r="O677" s="10"/>
      <c r="P677" s="10"/>
      <c r="Q677" s="10"/>
      <c r="R677" s="10"/>
      <c r="S677" s="10"/>
      <c r="T677" s="14"/>
      <c r="U677" s="10"/>
      <c r="V677" s="10"/>
      <c r="W677" s="10"/>
      <c r="X677" s="7"/>
      <c r="Y677" s="7"/>
      <c r="Z677" s="7"/>
      <c r="AA677" s="34"/>
      <c r="AB677" s="7"/>
      <c r="AC677" s="34"/>
      <c r="AD677" s="10"/>
      <c r="AF677"/>
    </row>
    <row r="678" spans="1:32" x14ac:dyDescent="0.25">
      <c r="A678" s="7"/>
      <c r="C678" s="70"/>
      <c r="D678" s="70"/>
      <c r="E678" s="73"/>
      <c r="F678" s="45"/>
      <c r="H678" s="9"/>
      <c r="I678" s="10"/>
      <c r="J678" s="7"/>
      <c r="K678" s="7"/>
      <c r="L678" s="10"/>
      <c r="M678" s="10"/>
      <c r="N678" s="10"/>
      <c r="O678" s="10"/>
      <c r="P678" s="10"/>
      <c r="Q678" s="10"/>
      <c r="R678" s="10"/>
      <c r="S678" s="10"/>
      <c r="T678" s="14"/>
      <c r="U678" s="10"/>
      <c r="V678" s="10"/>
      <c r="W678" s="10"/>
      <c r="X678" s="7"/>
      <c r="Y678" s="34"/>
      <c r="Z678" s="7"/>
      <c r="AA678" s="34"/>
      <c r="AB678" s="7"/>
      <c r="AC678" s="34"/>
      <c r="AD678" s="10"/>
      <c r="AF678"/>
    </row>
    <row r="679" spans="1:32" x14ac:dyDescent="0.25">
      <c r="A679" s="7"/>
      <c r="C679" s="70"/>
      <c r="D679" s="70"/>
      <c r="E679" s="73"/>
      <c r="F679" s="9"/>
      <c r="H679" s="9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4"/>
      <c r="U679" s="10"/>
      <c r="V679" s="10"/>
      <c r="W679" s="10"/>
      <c r="X679" s="34"/>
      <c r="Y679" s="7"/>
      <c r="Z679" s="7"/>
      <c r="AA679" s="34"/>
      <c r="AB679" s="7"/>
      <c r="AC679" s="34"/>
      <c r="AD679" s="10"/>
      <c r="AF679"/>
    </row>
    <row r="680" spans="1:32" x14ac:dyDescent="0.25">
      <c r="A680" s="7"/>
      <c r="C680" s="70"/>
      <c r="D680" s="70"/>
      <c r="E680" s="73"/>
      <c r="F680" s="9"/>
      <c r="H680" s="9"/>
      <c r="I680" s="10"/>
      <c r="J680" s="7"/>
      <c r="K680" s="24"/>
      <c r="L680" s="10"/>
      <c r="M680" s="10"/>
      <c r="N680" s="10"/>
      <c r="O680" s="10"/>
      <c r="P680" s="10"/>
      <c r="Q680" s="10"/>
      <c r="R680" s="10"/>
      <c r="S680" s="10"/>
      <c r="T680" s="14"/>
      <c r="U680" s="10"/>
      <c r="V680" s="10"/>
      <c r="W680" s="10"/>
      <c r="X680" s="7"/>
      <c r="Y680" s="7"/>
      <c r="Z680" s="7"/>
      <c r="AA680" s="34"/>
      <c r="AB680" s="7"/>
      <c r="AC680" s="34"/>
      <c r="AD680" s="10"/>
      <c r="AF680"/>
    </row>
    <row r="681" spans="1:32" x14ac:dyDescent="0.25">
      <c r="A681" s="7"/>
      <c r="C681" s="70"/>
      <c r="D681" s="70"/>
      <c r="E681" s="73"/>
      <c r="F681" s="9"/>
      <c r="H681" s="9"/>
      <c r="I681" s="10"/>
      <c r="J681" s="7"/>
      <c r="K681" s="7"/>
      <c r="L681" s="10"/>
      <c r="M681" s="10"/>
      <c r="N681" s="10"/>
      <c r="O681" s="10"/>
      <c r="P681" s="10"/>
      <c r="Q681" s="10"/>
      <c r="R681" s="10"/>
      <c r="S681" s="10"/>
      <c r="T681" s="14"/>
      <c r="U681" s="10"/>
      <c r="V681" s="10"/>
      <c r="W681" s="10"/>
      <c r="X681" s="7"/>
      <c r="Y681" s="7"/>
      <c r="Z681" s="7"/>
      <c r="AA681" s="34"/>
      <c r="AB681" s="7"/>
      <c r="AC681" s="34"/>
      <c r="AD681" s="10"/>
      <c r="AF681"/>
    </row>
    <row r="682" spans="1:32" x14ac:dyDescent="0.25">
      <c r="A682" s="7"/>
      <c r="C682" s="70"/>
      <c r="D682" s="70"/>
      <c r="E682" s="73"/>
      <c r="F682" s="9"/>
      <c r="H682" s="9"/>
      <c r="I682" s="10"/>
      <c r="J682" s="7"/>
      <c r="K682" s="7"/>
      <c r="L682" s="10"/>
      <c r="M682" s="10"/>
      <c r="N682" s="10"/>
      <c r="O682" s="10"/>
      <c r="P682" s="10"/>
      <c r="Q682" s="10"/>
      <c r="R682" s="10"/>
      <c r="S682" s="10"/>
      <c r="T682" s="14"/>
      <c r="U682" s="10"/>
      <c r="V682" s="10"/>
      <c r="W682" s="10"/>
      <c r="X682" s="34"/>
      <c r="Y682" s="7"/>
      <c r="Z682" s="7"/>
      <c r="AA682" s="34"/>
      <c r="AB682" s="7"/>
      <c r="AC682" s="34"/>
      <c r="AD682" s="10"/>
      <c r="AF682"/>
    </row>
    <row r="683" spans="1:32" x14ac:dyDescent="0.25">
      <c r="A683" s="7"/>
      <c r="C683" s="70"/>
      <c r="D683" s="70"/>
      <c r="E683" s="73"/>
      <c r="F683" s="9"/>
      <c r="H683" s="9"/>
      <c r="I683" s="10"/>
      <c r="J683" s="10"/>
      <c r="K683" s="7"/>
      <c r="L683" s="10"/>
      <c r="M683" s="10"/>
      <c r="N683" s="10"/>
      <c r="O683" s="10"/>
      <c r="P683" s="10"/>
      <c r="Q683" s="10"/>
      <c r="R683" s="10"/>
      <c r="S683" s="10"/>
      <c r="T683" s="14"/>
      <c r="U683" s="10"/>
      <c r="V683" s="10"/>
      <c r="W683" s="10"/>
      <c r="X683" s="7"/>
      <c r="Y683" s="7"/>
      <c r="Z683" s="7"/>
      <c r="AA683" s="34"/>
      <c r="AB683" s="7"/>
      <c r="AC683" s="34"/>
      <c r="AD683" s="10"/>
      <c r="AF683"/>
    </row>
    <row r="684" spans="1:32" x14ac:dyDescent="0.25">
      <c r="A684" s="7"/>
      <c r="C684" s="70"/>
      <c r="D684" s="70"/>
      <c r="E684" s="73"/>
      <c r="F684" s="9"/>
      <c r="H684" s="9"/>
      <c r="I684" s="10"/>
      <c r="J684" s="7"/>
      <c r="K684" s="24"/>
      <c r="L684" s="10"/>
      <c r="M684" s="10"/>
      <c r="N684" s="10"/>
      <c r="O684" s="10"/>
      <c r="P684" s="10"/>
      <c r="Q684" s="10"/>
      <c r="R684" s="10"/>
      <c r="S684" s="10"/>
      <c r="T684" s="14"/>
      <c r="U684" s="10"/>
      <c r="V684" s="10"/>
      <c r="W684" s="10"/>
      <c r="X684" s="7"/>
      <c r="Y684" s="7"/>
      <c r="Z684" s="7"/>
      <c r="AA684" s="34"/>
      <c r="AB684" s="7"/>
      <c r="AC684" s="34"/>
      <c r="AD684" s="10"/>
      <c r="AF684"/>
    </row>
    <row r="685" spans="1:32" x14ac:dyDescent="0.25">
      <c r="A685" s="7"/>
      <c r="C685" s="70"/>
      <c r="D685" s="70"/>
      <c r="E685" s="73"/>
      <c r="F685" s="48"/>
      <c r="H685" s="9"/>
      <c r="I685" s="10"/>
      <c r="J685" s="10"/>
      <c r="K685" s="7"/>
      <c r="L685" s="10"/>
      <c r="M685" s="10"/>
      <c r="N685" s="10"/>
      <c r="O685" s="10"/>
      <c r="P685" s="10"/>
      <c r="Q685" s="10"/>
      <c r="R685" s="10"/>
      <c r="S685" s="10"/>
      <c r="T685" s="14"/>
      <c r="U685" s="10"/>
      <c r="V685" s="10"/>
      <c r="W685" s="10"/>
      <c r="X685" s="7"/>
      <c r="Y685" s="7"/>
      <c r="Z685" s="7"/>
      <c r="AA685" s="34"/>
      <c r="AB685" s="7"/>
      <c r="AC685" s="34"/>
      <c r="AD685" s="10"/>
      <c r="AF685"/>
    </row>
    <row r="686" spans="1:32" x14ac:dyDescent="0.25">
      <c r="A686" s="7"/>
      <c r="C686" s="70"/>
      <c r="D686" s="70"/>
      <c r="E686" s="73"/>
      <c r="F686" s="45"/>
      <c r="H686" s="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4"/>
      <c r="U686" s="10"/>
      <c r="V686" s="10"/>
      <c r="W686" s="10"/>
      <c r="X686" s="7"/>
      <c r="Y686" s="7"/>
      <c r="Z686" s="7"/>
      <c r="AA686" s="34"/>
      <c r="AB686" s="7"/>
      <c r="AC686" s="34"/>
      <c r="AD686" s="10"/>
      <c r="AF686"/>
    </row>
    <row r="687" spans="1:32" x14ac:dyDescent="0.25">
      <c r="A687" s="7"/>
      <c r="C687" s="70"/>
      <c r="D687" s="70"/>
      <c r="E687" s="73"/>
      <c r="F687" s="45"/>
      <c r="H687" s="9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4"/>
      <c r="U687" s="10"/>
      <c r="V687" s="10"/>
      <c r="W687" s="10"/>
      <c r="X687" s="7"/>
      <c r="Y687" s="7"/>
      <c r="Z687" s="7"/>
      <c r="AA687" s="34"/>
      <c r="AB687" s="7"/>
      <c r="AC687" s="34"/>
      <c r="AD687" s="10"/>
      <c r="AF687"/>
    </row>
    <row r="688" spans="1:32" x14ac:dyDescent="0.25">
      <c r="A688" s="7"/>
      <c r="C688" s="70"/>
      <c r="D688" s="70"/>
      <c r="E688" s="73"/>
      <c r="F688" s="9"/>
      <c r="H688" s="9"/>
      <c r="I688" s="10"/>
      <c r="J688" s="7"/>
      <c r="K688" s="7"/>
      <c r="L688" s="10"/>
      <c r="M688" s="10"/>
      <c r="N688" s="10"/>
      <c r="O688" s="10"/>
      <c r="P688" s="10"/>
      <c r="Q688" s="10"/>
      <c r="R688" s="10"/>
      <c r="S688" s="10"/>
      <c r="T688" s="14"/>
      <c r="U688" s="10"/>
      <c r="V688" s="10"/>
      <c r="W688" s="10"/>
      <c r="X688" s="7"/>
      <c r="Y688" s="7"/>
      <c r="Z688" s="34"/>
      <c r="AA688" s="34"/>
      <c r="AB688" s="7"/>
      <c r="AC688" s="34"/>
      <c r="AD688" s="10"/>
      <c r="AF688"/>
    </row>
    <row r="689" spans="1:32" x14ac:dyDescent="0.25">
      <c r="A689" s="7"/>
      <c r="C689" s="70"/>
      <c r="D689" s="70"/>
      <c r="E689" s="73"/>
      <c r="F689" s="9"/>
      <c r="H689" s="9"/>
      <c r="I689" s="10"/>
      <c r="J689" s="7"/>
      <c r="K689" s="7"/>
      <c r="L689" s="10"/>
      <c r="M689" s="10"/>
      <c r="N689" s="10"/>
      <c r="O689" s="10"/>
      <c r="P689" s="10"/>
      <c r="Q689" s="10"/>
      <c r="R689" s="10"/>
      <c r="S689" s="10"/>
      <c r="T689" s="14"/>
      <c r="U689" s="10"/>
      <c r="V689" s="10"/>
      <c r="W689" s="10"/>
      <c r="X689" s="7"/>
      <c r="Y689" s="7"/>
      <c r="Z689" s="7"/>
      <c r="AA689" s="34"/>
      <c r="AB689" s="7"/>
      <c r="AC689" s="34"/>
      <c r="AD689" s="10"/>
      <c r="AF689"/>
    </row>
    <row r="690" spans="1:32" x14ac:dyDescent="0.25">
      <c r="A690" s="7"/>
      <c r="C690" s="70"/>
      <c r="D690" s="70"/>
      <c r="E690" s="73"/>
      <c r="F690" s="9"/>
      <c r="H690" s="9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4"/>
      <c r="U690" s="10"/>
      <c r="V690" s="10"/>
      <c r="W690" s="10"/>
      <c r="X690" s="7"/>
      <c r="Y690" s="7"/>
      <c r="Z690" s="7"/>
      <c r="AA690" s="34"/>
      <c r="AB690" s="7"/>
      <c r="AC690" s="34"/>
      <c r="AD690" s="10"/>
      <c r="AF690"/>
    </row>
    <row r="691" spans="1:32" x14ac:dyDescent="0.25">
      <c r="A691" s="7"/>
      <c r="C691" s="70"/>
      <c r="D691" s="70"/>
      <c r="E691" s="73"/>
      <c r="F691" s="9"/>
      <c r="H691" s="9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4"/>
      <c r="U691" s="10"/>
      <c r="V691" s="10"/>
      <c r="W691" s="10"/>
      <c r="X691" s="7"/>
      <c r="Y691" s="7"/>
      <c r="Z691" s="7"/>
      <c r="AA691" s="34"/>
      <c r="AB691" s="7"/>
      <c r="AC691" s="34"/>
      <c r="AD691" s="10"/>
      <c r="AF691"/>
    </row>
    <row r="692" spans="1:32" x14ac:dyDescent="0.25">
      <c r="A692" s="7"/>
      <c r="C692" s="70"/>
      <c r="D692" s="70"/>
      <c r="E692" s="73"/>
      <c r="F692" s="9"/>
      <c r="H692" s="9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4"/>
      <c r="U692" s="10"/>
      <c r="V692" s="10"/>
      <c r="W692" s="10"/>
      <c r="X692" s="34"/>
      <c r="Y692" s="7"/>
      <c r="Z692" s="7"/>
      <c r="AA692" s="34"/>
      <c r="AB692" s="7"/>
      <c r="AC692" s="34"/>
      <c r="AD692" s="10"/>
      <c r="AF692"/>
    </row>
    <row r="693" spans="1:32" x14ac:dyDescent="0.25">
      <c r="A693" s="7"/>
      <c r="C693" s="70"/>
      <c r="D693" s="70"/>
      <c r="E693" s="73"/>
      <c r="F693" s="9"/>
      <c r="H693" s="9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4"/>
      <c r="U693" s="10"/>
      <c r="V693" s="10"/>
      <c r="W693" s="10"/>
      <c r="X693" s="7"/>
      <c r="Y693" s="7"/>
      <c r="Z693" s="34"/>
      <c r="AA693" s="34"/>
      <c r="AB693" s="7"/>
      <c r="AC693" s="34"/>
      <c r="AD693" s="10"/>
      <c r="AF693"/>
    </row>
    <row r="694" spans="1:32" x14ac:dyDescent="0.25">
      <c r="A694" s="7"/>
      <c r="C694" s="70"/>
      <c r="D694" s="70"/>
      <c r="E694" s="73"/>
      <c r="F694" s="9"/>
      <c r="H694" s="9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4"/>
      <c r="U694" s="10"/>
      <c r="V694" s="10"/>
      <c r="W694" s="10"/>
      <c r="X694" s="7"/>
      <c r="Y694" s="7"/>
      <c r="Z694" s="7"/>
      <c r="AA694" s="34"/>
      <c r="AB694" s="7"/>
      <c r="AC694" s="34"/>
      <c r="AD694" s="10"/>
      <c r="AF694"/>
    </row>
    <row r="695" spans="1:32" x14ac:dyDescent="0.25">
      <c r="A695" s="7"/>
      <c r="C695" s="70"/>
      <c r="D695" s="70"/>
      <c r="E695" s="73"/>
      <c r="F695" s="9"/>
      <c r="H695" s="9"/>
      <c r="I695" s="10"/>
      <c r="J695" s="10"/>
      <c r="K695" s="7"/>
      <c r="L695" s="10"/>
      <c r="M695" s="10"/>
      <c r="N695" s="10"/>
      <c r="O695" s="10"/>
      <c r="P695" s="10"/>
      <c r="Q695" s="10"/>
      <c r="R695" s="10"/>
      <c r="S695" s="10"/>
      <c r="T695" s="14"/>
      <c r="U695" s="10"/>
      <c r="V695" s="10"/>
      <c r="W695" s="10"/>
      <c r="X695" s="7"/>
      <c r="Y695" s="7"/>
      <c r="Z695" s="7"/>
      <c r="AA695" s="34"/>
      <c r="AB695" s="7"/>
      <c r="AC695" s="34"/>
      <c r="AD695" s="10"/>
      <c r="AF695"/>
    </row>
    <row r="696" spans="1:32" x14ac:dyDescent="0.25">
      <c r="A696" s="7"/>
      <c r="C696" s="70"/>
      <c r="D696" s="70"/>
      <c r="E696" s="73"/>
      <c r="F696" s="9"/>
      <c r="H696" s="9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4"/>
      <c r="U696" s="10"/>
      <c r="V696" s="10"/>
      <c r="W696" s="10"/>
      <c r="X696" s="7"/>
      <c r="Y696" s="7"/>
      <c r="Z696" s="34"/>
      <c r="AA696" s="34"/>
      <c r="AB696" s="7"/>
      <c r="AC696" s="34"/>
      <c r="AD696" s="10"/>
      <c r="AF696"/>
    </row>
    <row r="697" spans="1:32" x14ac:dyDescent="0.25">
      <c r="A697" s="7"/>
      <c r="C697" s="70"/>
      <c r="D697" s="70"/>
      <c r="E697" s="73"/>
      <c r="F697" s="9"/>
      <c r="H697" s="9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4"/>
      <c r="U697" s="10"/>
      <c r="V697" s="10"/>
      <c r="W697" s="10"/>
      <c r="X697" s="7"/>
      <c r="Y697" s="7"/>
      <c r="Z697" s="34"/>
      <c r="AA697" s="34"/>
      <c r="AB697" s="7"/>
      <c r="AC697" s="34"/>
      <c r="AD697" s="10"/>
      <c r="AF697"/>
    </row>
    <row r="698" spans="1:32" x14ac:dyDescent="0.25">
      <c r="A698" s="7"/>
      <c r="C698" s="70"/>
      <c r="D698" s="70"/>
      <c r="E698" s="73"/>
      <c r="F698" s="9"/>
      <c r="H698" s="9"/>
      <c r="I698" s="10"/>
      <c r="J698" s="10"/>
      <c r="K698" s="24"/>
      <c r="L698" s="10"/>
      <c r="M698" s="10"/>
      <c r="N698" s="10"/>
      <c r="O698" s="10"/>
      <c r="P698" s="10"/>
      <c r="Q698" s="10"/>
      <c r="R698" s="10"/>
      <c r="S698" s="10"/>
      <c r="T698" s="14"/>
      <c r="U698" s="10"/>
      <c r="V698" s="10"/>
      <c r="W698" s="10"/>
      <c r="X698" s="7"/>
      <c r="Y698" s="7"/>
      <c r="Z698" s="7"/>
      <c r="AA698" s="34"/>
      <c r="AB698" s="7"/>
      <c r="AC698" s="34"/>
      <c r="AD698" s="10"/>
      <c r="AF698"/>
    </row>
    <row r="699" spans="1:32" x14ac:dyDescent="0.25">
      <c r="A699" s="7"/>
      <c r="C699" s="70"/>
      <c r="D699" s="70"/>
      <c r="E699" s="73"/>
      <c r="F699" s="9"/>
      <c r="H699" s="9"/>
      <c r="I699" s="10"/>
      <c r="J699" s="7"/>
      <c r="K699" s="7"/>
      <c r="L699" s="10"/>
      <c r="M699" s="10"/>
      <c r="N699" s="10"/>
      <c r="O699" s="10"/>
      <c r="P699" s="10"/>
      <c r="Q699" s="10"/>
      <c r="R699" s="10"/>
      <c r="S699" s="10"/>
      <c r="T699" s="14"/>
      <c r="U699" s="10"/>
      <c r="V699" s="10"/>
      <c r="W699" s="10"/>
      <c r="X699" s="7"/>
      <c r="Y699" s="7"/>
      <c r="Z699" s="34"/>
      <c r="AA699" s="34"/>
      <c r="AB699" s="7"/>
      <c r="AC699" s="34"/>
      <c r="AD699" s="10"/>
      <c r="AF699"/>
    </row>
    <row r="700" spans="1:32" x14ac:dyDescent="0.25">
      <c r="A700" s="7"/>
      <c r="C700" s="70"/>
      <c r="D700" s="70"/>
      <c r="E700" s="73"/>
      <c r="F700" s="9"/>
      <c r="H700" s="9"/>
      <c r="I700" s="10"/>
      <c r="J700" s="7"/>
      <c r="K700" s="7"/>
      <c r="L700" s="10"/>
      <c r="M700" s="10"/>
      <c r="N700" s="10"/>
      <c r="O700" s="10"/>
      <c r="P700" s="10"/>
      <c r="Q700" s="10"/>
      <c r="R700" s="10"/>
      <c r="S700" s="10"/>
      <c r="T700" s="14"/>
      <c r="U700" s="10"/>
      <c r="V700" s="10"/>
      <c r="W700" s="10"/>
      <c r="X700" s="7"/>
      <c r="Y700" s="7"/>
      <c r="Z700" s="7"/>
      <c r="AA700" s="34"/>
      <c r="AB700" s="7"/>
      <c r="AC700" s="34"/>
      <c r="AD700" s="10"/>
      <c r="AF700"/>
    </row>
    <row r="701" spans="1:32" x14ac:dyDescent="0.25">
      <c r="A701" s="7"/>
      <c r="C701" s="70"/>
      <c r="D701" s="70"/>
      <c r="E701" s="73"/>
      <c r="F701" s="9"/>
      <c r="H701" s="9"/>
      <c r="I701" s="10"/>
      <c r="J701" s="7"/>
      <c r="K701" s="7"/>
      <c r="L701" s="10"/>
      <c r="M701" s="10"/>
      <c r="N701" s="10"/>
      <c r="O701" s="10"/>
      <c r="P701" s="10"/>
      <c r="Q701" s="10"/>
      <c r="R701" s="10"/>
      <c r="S701" s="10"/>
      <c r="T701" s="14"/>
      <c r="U701" s="10"/>
      <c r="V701" s="10"/>
      <c r="W701" s="10"/>
      <c r="X701" s="7"/>
      <c r="Y701" s="7"/>
      <c r="Z701" s="7"/>
      <c r="AA701" s="34"/>
      <c r="AB701" s="7"/>
      <c r="AC701" s="34"/>
      <c r="AD701" s="10"/>
      <c r="AF701"/>
    </row>
    <row r="702" spans="1:32" x14ac:dyDescent="0.25">
      <c r="A702" s="7"/>
      <c r="C702" s="70"/>
      <c r="D702" s="70"/>
      <c r="E702" s="73"/>
      <c r="F702" s="9"/>
      <c r="H702" s="9"/>
      <c r="I702" s="10"/>
      <c r="J702" s="7"/>
      <c r="K702" s="7"/>
      <c r="L702" s="10"/>
      <c r="M702" s="10"/>
      <c r="N702" s="10"/>
      <c r="O702" s="10"/>
      <c r="P702" s="10"/>
      <c r="Q702" s="10"/>
      <c r="R702" s="10"/>
      <c r="S702" s="10"/>
      <c r="T702" s="14"/>
      <c r="U702" s="10"/>
      <c r="V702" s="10"/>
      <c r="W702" s="10"/>
      <c r="X702" s="7"/>
      <c r="Y702" s="7"/>
      <c r="Z702" s="7"/>
      <c r="AA702" s="34"/>
      <c r="AB702" s="7"/>
      <c r="AC702" s="34"/>
      <c r="AD702" s="10"/>
      <c r="AF702"/>
    </row>
    <row r="703" spans="1:32" x14ac:dyDescent="0.25">
      <c r="A703" s="7"/>
      <c r="C703" s="70"/>
      <c r="D703" s="70"/>
      <c r="E703" s="73"/>
      <c r="F703" s="9"/>
      <c r="H703" s="9"/>
      <c r="I703" s="10"/>
      <c r="J703" s="7"/>
      <c r="K703" s="7"/>
      <c r="L703" s="10"/>
      <c r="M703" s="10"/>
      <c r="N703" s="10"/>
      <c r="O703" s="10"/>
      <c r="P703" s="10"/>
      <c r="Q703" s="10"/>
      <c r="R703" s="10"/>
      <c r="S703" s="10"/>
      <c r="T703" s="14"/>
      <c r="U703" s="10"/>
      <c r="V703" s="10"/>
      <c r="W703" s="10"/>
      <c r="X703" s="7"/>
      <c r="Y703" s="7"/>
      <c r="Z703" s="7"/>
      <c r="AA703" s="34"/>
      <c r="AB703" s="7"/>
      <c r="AC703" s="34"/>
      <c r="AD703" s="10"/>
      <c r="AF703"/>
    </row>
    <row r="704" spans="1:32" x14ac:dyDescent="0.25">
      <c r="A704" s="43"/>
      <c r="C704" s="70"/>
      <c r="D704" s="70"/>
      <c r="E704" s="73"/>
      <c r="F704" s="9"/>
      <c r="H704" s="9"/>
      <c r="I704" s="10"/>
      <c r="J704" s="7"/>
      <c r="K704" s="7"/>
      <c r="L704" s="10"/>
      <c r="M704" s="10"/>
      <c r="N704" s="10"/>
      <c r="O704" s="10"/>
      <c r="P704" s="10"/>
      <c r="Q704" s="10"/>
      <c r="R704" s="10"/>
      <c r="S704" s="10"/>
      <c r="T704" s="14"/>
      <c r="U704" s="10"/>
      <c r="V704" s="10"/>
      <c r="W704" s="10"/>
      <c r="X704" s="7"/>
      <c r="Y704" s="7"/>
      <c r="Z704" s="7"/>
      <c r="AA704" s="34"/>
      <c r="AB704" s="7"/>
      <c r="AC704" s="34"/>
      <c r="AD704" s="10"/>
      <c r="AF704"/>
    </row>
    <row r="705" spans="1:32" x14ac:dyDescent="0.25">
      <c r="A705" s="7"/>
      <c r="C705" s="70"/>
      <c r="D705" s="70"/>
      <c r="E705" s="73"/>
      <c r="F705" s="9"/>
      <c r="H705" s="9"/>
      <c r="I705" s="10"/>
      <c r="J705" s="10"/>
      <c r="K705" s="7"/>
      <c r="L705" s="10"/>
      <c r="M705" s="10"/>
      <c r="N705" s="10"/>
      <c r="O705" s="10"/>
      <c r="P705" s="10"/>
      <c r="Q705" s="10"/>
      <c r="R705" s="10"/>
      <c r="S705" s="10"/>
      <c r="T705" s="14"/>
      <c r="U705" s="10"/>
      <c r="V705" s="10"/>
      <c r="W705" s="10"/>
      <c r="X705" s="7"/>
      <c r="Y705" s="7"/>
      <c r="Z705" s="7"/>
      <c r="AA705" s="34"/>
      <c r="AB705" s="7"/>
      <c r="AC705" s="34"/>
      <c r="AD705" s="10"/>
      <c r="AF705"/>
    </row>
    <row r="706" spans="1:32" x14ac:dyDescent="0.25">
      <c r="A706" s="7"/>
      <c r="C706" s="70"/>
      <c r="D706" s="70"/>
      <c r="E706" s="78"/>
      <c r="F706" s="48"/>
      <c r="H706" s="9"/>
      <c r="I706" s="10"/>
      <c r="J706" s="7"/>
      <c r="K706" s="7"/>
      <c r="L706" s="10"/>
      <c r="M706" s="10"/>
      <c r="N706" s="10"/>
      <c r="O706" s="10"/>
      <c r="P706" s="10"/>
      <c r="Q706" s="10"/>
      <c r="R706" s="10"/>
      <c r="S706" s="10"/>
      <c r="T706" s="14"/>
      <c r="U706" s="10"/>
      <c r="V706" s="10"/>
      <c r="W706" s="10"/>
      <c r="X706" s="7"/>
      <c r="Y706" s="7"/>
      <c r="Z706" s="7"/>
      <c r="AA706" s="34"/>
      <c r="AB706" s="7"/>
      <c r="AC706" s="34"/>
      <c r="AD706" s="10"/>
      <c r="AF706"/>
    </row>
    <row r="707" spans="1:32" x14ac:dyDescent="0.25">
      <c r="A707" s="7"/>
      <c r="C707" s="70"/>
      <c r="D707" s="70"/>
      <c r="E707" s="73"/>
      <c r="F707" s="9"/>
      <c r="H707" s="9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4"/>
      <c r="U707" s="10"/>
      <c r="V707" s="10"/>
      <c r="W707" s="10"/>
      <c r="X707" s="7"/>
      <c r="Y707" s="7"/>
      <c r="Z707" s="7"/>
      <c r="AA707" s="34"/>
      <c r="AB707" s="7"/>
      <c r="AC707" s="34"/>
      <c r="AD707" s="10"/>
      <c r="AF707"/>
    </row>
    <row r="708" spans="1:32" x14ac:dyDescent="0.25">
      <c r="A708" s="7"/>
      <c r="C708" s="70"/>
      <c r="D708" s="70"/>
      <c r="E708" s="73"/>
      <c r="F708" s="9"/>
      <c r="H708" s="9"/>
      <c r="I708" s="10"/>
      <c r="J708" s="7"/>
      <c r="K708" s="7"/>
      <c r="L708" s="10"/>
      <c r="M708" s="10"/>
      <c r="N708" s="10"/>
      <c r="O708" s="10"/>
      <c r="P708" s="10"/>
      <c r="Q708" s="10"/>
      <c r="R708" s="10"/>
      <c r="S708" s="10"/>
      <c r="T708" s="14"/>
      <c r="U708" s="10"/>
      <c r="V708" s="10"/>
      <c r="W708" s="10"/>
      <c r="X708" s="7"/>
      <c r="Y708" s="7"/>
      <c r="Z708" s="7"/>
      <c r="AA708" s="34"/>
      <c r="AB708" s="7"/>
      <c r="AC708" s="34"/>
      <c r="AD708" s="10"/>
      <c r="AF708"/>
    </row>
    <row r="709" spans="1:32" x14ac:dyDescent="0.25">
      <c r="A709" s="7"/>
      <c r="C709" s="70"/>
      <c r="D709" s="70"/>
      <c r="E709" s="73"/>
      <c r="F709" s="9"/>
      <c r="H709" s="9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4"/>
      <c r="U709" s="10"/>
      <c r="V709" s="10"/>
      <c r="W709" s="10"/>
      <c r="X709" s="7"/>
      <c r="Y709" s="7"/>
      <c r="Z709" s="7"/>
      <c r="AA709" s="34"/>
      <c r="AB709" s="7"/>
      <c r="AC709" s="34"/>
      <c r="AD709" s="10"/>
      <c r="AF709"/>
    </row>
    <row r="710" spans="1:32" x14ac:dyDescent="0.25">
      <c r="A710" s="7"/>
      <c r="C710" s="70"/>
      <c r="D710" s="70"/>
      <c r="E710" s="73"/>
      <c r="F710" s="45"/>
      <c r="H710" s="9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4"/>
      <c r="U710" s="10"/>
      <c r="V710" s="10"/>
      <c r="W710" s="10"/>
      <c r="X710" s="7"/>
      <c r="Y710" s="7"/>
      <c r="Z710" s="7"/>
      <c r="AA710" s="34"/>
      <c r="AB710" s="7"/>
      <c r="AC710" s="34"/>
      <c r="AD710" s="10"/>
      <c r="AF710"/>
    </row>
    <row r="711" spans="1:32" x14ac:dyDescent="0.25">
      <c r="A711" s="7"/>
      <c r="C711" s="70"/>
      <c r="D711" s="70"/>
      <c r="E711" s="73"/>
      <c r="F711" s="9"/>
      <c r="H711" s="9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4"/>
      <c r="U711" s="10"/>
      <c r="V711" s="10"/>
      <c r="W711" s="10"/>
      <c r="X711" s="7"/>
      <c r="Y711" s="34"/>
      <c r="Z711" s="7"/>
      <c r="AA711" s="34"/>
      <c r="AB711" s="7"/>
      <c r="AC711" s="34"/>
      <c r="AD711" s="10"/>
      <c r="AF711"/>
    </row>
    <row r="712" spans="1:32" x14ac:dyDescent="0.25">
      <c r="A712" s="7"/>
      <c r="C712" s="70"/>
      <c r="D712" s="70"/>
      <c r="E712" s="73"/>
      <c r="F712" s="9"/>
      <c r="H712" s="9"/>
      <c r="I712" s="10"/>
      <c r="J712" s="10"/>
      <c r="K712" s="7"/>
      <c r="L712" s="10"/>
      <c r="M712" s="10"/>
      <c r="N712" s="10"/>
      <c r="O712" s="10"/>
      <c r="P712" s="10"/>
      <c r="Q712" s="10"/>
      <c r="R712" s="10"/>
      <c r="S712" s="10"/>
      <c r="T712" s="14"/>
      <c r="U712" s="10"/>
      <c r="V712" s="10"/>
      <c r="W712" s="10"/>
      <c r="X712" s="7"/>
      <c r="Y712" s="7"/>
      <c r="Z712" s="7"/>
      <c r="AA712" s="34"/>
      <c r="AB712" s="7"/>
      <c r="AC712" s="34"/>
      <c r="AD712" s="10"/>
      <c r="AF712"/>
    </row>
    <row r="713" spans="1:32" x14ac:dyDescent="0.25">
      <c r="A713" s="7"/>
      <c r="C713" s="70"/>
      <c r="D713" s="70"/>
      <c r="E713" s="73"/>
      <c r="F713" s="9"/>
      <c r="H713" s="9"/>
      <c r="I713" s="10"/>
      <c r="J713" s="10"/>
      <c r="K713" s="24"/>
      <c r="L713" s="10"/>
      <c r="M713" s="10"/>
      <c r="N713" s="10"/>
      <c r="O713" s="10"/>
      <c r="P713" s="10"/>
      <c r="Q713" s="10"/>
      <c r="R713" s="10"/>
      <c r="S713" s="10"/>
      <c r="T713" s="14"/>
      <c r="U713" s="10"/>
      <c r="V713" s="10"/>
      <c r="W713" s="10"/>
      <c r="X713" s="7"/>
      <c r="Y713" s="7"/>
      <c r="Z713" s="7"/>
      <c r="AA713" s="34"/>
      <c r="AB713" s="7"/>
      <c r="AC713" s="34"/>
      <c r="AD713" s="10"/>
      <c r="AF713"/>
    </row>
    <row r="714" spans="1:32" x14ac:dyDescent="0.25">
      <c r="A714" s="7"/>
      <c r="C714" s="70"/>
      <c r="D714" s="70"/>
      <c r="E714" s="73"/>
      <c r="F714" s="45"/>
      <c r="H714" s="9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4"/>
      <c r="U714" s="10"/>
      <c r="V714" s="10"/>
      <c r="W714" s="10"/>
      <c r="X714" s="7"/>
      <c r="Y714" s="34"/>
      <c r="Z714" s="34"/>
      <c r="AA714" s="34"/>
      <c r="AB714" s="7"/>
      <c r="AC714" s="34"/>
      <c r="AD714" s="10"/>
      <c r="AF714"/>
    </row>
    <row r="715" spans="1:32" x14ac:dyDescent="0.25">
      <c r="A715" s="7"/>
      <c r="C715" s="70"/>
      <c r="D715" s="70"/>
      <c r="E715" s="73"/>
      <c r="F715" s="45"/>
      <c r="H715" s="9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4"/>
      <c r="U715" s="10"/>
      <c r="V715" s="10"/>
      <c r="W715" s="10"/>
      <c r="X715" s="7"/>
      <c r="Y715" s="34"/>
      <c r="Z715" s="7"/>
      <c r="AA715" s="34"/>
      <c r="AB715" s="7"/>
      <c r="AC715" s="34"/>
      <c r="AD715" s="10"/>
      <c r="AF715"/>
    </row>
    <row r="716" spans="1:32" x14ac:dyDescent="0.25">
      <c r="A716" s="7"/>
      <c r="C716" s="70"/>
      <c r="D716" s="70"/>
      <c r="E716" s="73"/>
      <c r="F716" s="45"/>
      <c r="H716" s="9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4"/>
      <c r="U716" s="10"/>
      <c r="V716" s="10"/>
      <c r="W716" s="10"/>
      <c r="X716" s="7"/>
      <c r="Y716" s="34"/>
      <c r="Z716" s="7"/>
      <c r="AA716" s="34"/>
      <c r="AB716" s="7"/>
      <c r="AC716" s="34"/>
      <c r="AD716" s="10"/>
      <c r="AF716"/>
    </row>
    <row r="717" spans="1:32" x14ac:dyDescent="0.25">
      <c r="A717" s="7"/>
      <c r="C717" s="70"/>
      <c r="D717" s="70"/>
      <c r="E717" s="73"/>
      <c r="F717" s="9"/>
      <c r="H717" s="9"/>
      <c r="I717" s="10"/>
      <c r="J717" s="7"/>
      <c r="K717" s="7"/>
      <c r="L717" s="10"/>
      <c r="M717" s="10"/>
      <c r="N717" s="10"/>
      <c r="O717" s="10"/>
      <c r="P717" s="10"/>
      <c r="Q717" s="10"/>
      <c r="R717" s="10"/>
      <c r="S717" s="10"/>
      <c r="T717" s="14"/>
      <c r="U717" s="10"/>
      <c r="V717" s="10"/>
      <c r="W717" s="10"/>
      <c r="X717" s="7"/>
      <c r="Y717" s="7"/>
      <c r="Z717" s="7"/>
      <c r="AA717" s="34"/>
      <c r="AB717" s="7"/>
      <c r="AC717" s="34"/>
      <c r="AD717" s="10"/>
      <c r="AF717"/>
    </row>
    <row r="718" spans="1:32" x14ac:dyDescent="0.25">
      <c r="A718" s="7"/>
      <c r="C718" s="70"/>
      <c r="D718" s="70"/>
      <c r="E718" s="73"/>
      <c r="F718" s="9"/>
      <c r="H718" s="9"/>
      <c r="I718" s="10"/>
      <c r="J718" s="7"/>
      <c r="K718" s="7"/>
      <c r="L718" s="10"/>
      <c r="M718" s="10"/>
      <c r="N718" s="10"/>
      <c r="O718" s="10"/>
      <c r="P718" s="10"/>
      <c r="Q718" s="10"/>
      <c r="R718" s="10"/>
      <c r="S718" s="10"/>
      <c r="T718" s="14"/>
      <c r="U718" s="10"/>
      <c r="V718" s="10"/>
      <c r="W718" s="10"/>
      <c r="X718" s="7"/>
      <c r="Y718" s="7"/>
      <c r="Z718" s="34"/>
      <c r="AA718" s="34"/>
      <c r="AB718" s="7"/>
      <c r="AC718" s="34"/>
      <c r="AD718" s="10"/>
      <c r="AF718"/>
    </row>
    <row r="719" spans="1:32" x14ac:dyDescent="0.25">
      <c r="A719" s="7"/>
      <c r="C719" s="70"/>
      <c r="D719" s="70"/>
      <c r="E719" s="73"/>
      <c r="F719" s="9"/>
      <c r="H719" s="9"/>
      <c r="I719" s="10"/>
      <c r="J719" s="7"/>
      <c r="K719" s="7"/>
      <c r="L719" s="10"/>
      <c r="M719" s="10"/>
      <c r="N719" s="10"/>
      <c r="O719" s="10"/>
      <c r="P719" s="10"/>
      <c r="Q719" s="10"/>
      <c r="R719" s="10"/>
      <c r="S719" s="10"/>
      <c r="T719" s="14"/>
      <c r="U719" s="10"/>
      <c r="V719" s="10"/>
      <c r="W719" s="10"/>
      <c r="X719" s="7"/>
      <c r="Y719" s="7"/>
      <c r="Z719" s="34"/>
      <c r="AA719" s="34"/>
      <c r="AB719" s="7"/>
      <c r="AC719" s="34"/>
      <c r="AD719" s="10"/>
      <c r="AF719"/>
    </row>
    <row r="720" spans="1:32" x14ac:dyDescent="0.25">
      <c r="A720" s="7"/>
      <c r="C720" s="70"/>
      <c r="D720" s="70"/>
      <c r="E720" s="73"/>
      <c r="F720" s="45"/>
      <c r="H720" s="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4"/>
      <c r="U720" s="10"/>
      <c r="V720" s="10"/>
      <c r="W720" s="10"/>
      <c r="X720" s="7"/>
      <c r="Y720" s="34"/>
      <c r="Z720" s="7"/>
      <c r="AA720" s="34"/>
      <c r="AB720" s="7"/>
      <c r="AC720" s="34"/>
      <c r="AD720" s="10"/>
      <c r="AF720"/>
    </row>
    <row r="721" spans="1:32" x14ac:dyDescent="0.25">
      <c r="A721" s="7"/>
      <c r="C721" s="70"/>
      <c r="D721" s="70"/>
      <c r="E721" s="73"/>
      <c r="F721" s="9"/>
      <c r="H721" s="9"/>
      <c r="I721" s="10"/>
      <c r="J721" s="10"/>
      <c r="K721" s="7"/>
      <c r="L721" s="10"/>
      <c r="M721" s="10"/>
      <c r="N721" s="10"/>
      <c r="O721" s="10"/>
      <c r="P721" s="10"/>
      <c r="Q721" s="10"/>
      <c r="R721" s="10"/>
      <c r="S721" s="10"/>
      <c r="T721" s="14"/>
      <c r="U721" s="10"/>
      <c r="V721" s="10"/>
      <c r="W721" s="10"/>
      <c r="X721" s="7"/>
      <c r="Y721" s="34"/>
      <c r="Z721" s="7"/>
      <c r="AA721" s="34"/>
      <c r="AB721" s="7"/>
      <c r="AC721" s="34"/>
      <c r="AD721" s="10"/>
      <c r="AF721"/>
    </row>
    <row r="722" spans="1:32" x14ac:dyDescent="0.25">
      <c r="A722" s="7"/>
      <c r="C722" s="70"/>
      <c r="D722" s="70"/>
      <c r="E722" s="73"/>
      <c r="F722" s="9"/>
      <c r="H722" s="9"/>
      <c r="I722" s="10"/>
      <c r="J722" s="7"/>
      <c r="K722" s="7"/>
      <c r="L722" s="10"/>
      <c r="M722" s="10"/>
      <c r="N722" s="10"/>
      <c r="O722" s="10"/>
      <c r="P722" s="10"/>
      <c r="Q722" s="10"/>
      <c r="R722" s="10"/>
      <c r="S722" s="10"/>
      <c r="T722" s="14"/>
      <c r="U722" s="10"/>
      <c r="V722" s="10"/>
      <c r="W722" s="10"/>
      <c r="X722" s="7"/>
      <c r="Y722" s="7"/>
      <c r="Z722" s="34"/>
      <c r="AA722" s="34"/>
      <c r="AB722" s="7"/>
      <c r="AC722" s="34"/>
      <c r="AD722" s="10"/>
      <c r="AF722"/>
    </row>
    <row r="723" spans="1:32" x14ac:dyDescent="0.25">
      <c r="A723" s="7"/>
      <c r="C723" s="70"/>
      <c r="D723" s="70"/>
      <c r="E723" s="73"/>
      <c r="F723" s="9"/>
      <c r="H723" s="9"/>
      <c r="I723" s="10"/>
      <c r="J723" s="7"/>
      <c r="K723" s="7"/>
      <c r="L723" s="10"/>
      <c r="M723" s="10"/>
      <c r="N723" s="10"/>
      <c r="O723" s="10"/>
      <c r="P723" s="10"/>
      <c r="Q723" s="10"/>
      <c r="R723" s="10"/>
      <c r="S723" s="10"/>
      <c r="T723" s="14"/>
      <c r="U723" s="10"/>
      <c r="V723" s="10"/>
      <c r="W723" s="10"/>
      <c r="X723" s="7"/>
      <c r="Y723" s="7"/>
      <c r="Z723" s="7"/>
      <c r="AA723" s="34"/>
      <c r="AB723" s="7"/>
      <c r="AC723" s="34"/>
      <c r="AD723" s="10"/>
      <c r="AF723"/>
    </row>
    <row r="724" spans="1:32" x14ac:dyDescent="0.25">
      <c r="A724" s="7"/>
      <c r="C724" s="70"/>
      <c r="D724" s="70"/>
      <c r="E724" s="73"/>
      <c r="F724" s="9"/>
      <c r="H724" s="9"/>
      <c r="I724" s="10"/>
      <c r="J724" s="7"/>
      <c r="K724" s="7"/>
      <c r="L724" s="10"/>
      <c r="M724" s="10"/>
      <c r="N724" s="10"/>
      <c r="O724" s="10"/>
      <c r="P724" s="10"/>
      <c r="Q724" s="10"/>
      <c r="R724" s="10"/>
      <c r="S724" s="10"/>
      <c r="T724" s="14"/>
      <c r="U724" s="10"/>
      <c r="V724" s="10"/>
      <c r="W724" s="10"/>
      <c r="X724" s="7"/>
      <c r="Y724" s="7"/>
      <c r="Z724" s="7"/>
      <c r="AA724" s="34"/>
      <c r="AB724" s="7"/>
      <c r="AC724" s="34"/>
      <c r="AD724" s="10"/>
      <c r="AF724"/>
    </row>
    <row r="725" spans="1:32" x14ac:dyDescent="0.25">
      <c r="A725" s="7"/>
      <c r="C725" s="70"/>
      <c r="D725" s="70"/>
      <c r="E725" s="73"/>
      <c r="F725" s="9"/>
      <c r="H725" s="9"/>
      <c r="I725" s="10"/>
      <c r="J725" s="7"/>
      <c r="K725" s="7"/>
      <c r="L725" s="10"/>
      <c r="M725" s="10"/>
      <c r="N725" s="10"/>
      <c r="O725" s="10"/>
      <c r="P725" s="10"/>
      <c r="Q725" s="10"/>
      <c r="R725" s="10"/>
      <c r="S725" s="10"/>
      <c r="T725" s="14"/>
      <c r="U725" s="10"/>
      <c r="V725" s="10"/>
      <c r="W725" s="10"/>
      <c r="X725" s="7"/>
      <c r="Y725" s="7"/>
      <c r="Z725" s="34"/>
      <c r="AA725" s="34"/>
      <c r="AB725" s="7"/>
      <c r="AC725" s="34"/>
      <c r="AD725" s="10"/>
      <c r="AF725"/>
    </row>
    <row r="726" spans="1:32" x14ac:dyDescent="0.25">
      <c r="A726" s="7"/>
      <c r="C726" s="70"/>
      <c r="D726" s="70"/>
      <c r="E726" s="73"/>
      <c r="F726" s="9"/>
      <c r="H726" s="9"/>
      <c r="I726" s="10"/>
      <c r="J726" s="7"/>
      <c r="K726" s="7"/>
      <c r="L726" s="10"/>
      <c r="M726" s="10"/>
      <c r="N726" s="10"/>
      <c r="O726" s="10"/>
      <c r="P726" s="10"/>
      <c r="Q726" s="10"/>
      <c r="R726" s="10"/>
      <c r="S726" s="10"/>
      <c r="T726" s="14"/>
      <c r="U726" s="10"/>
      <c r="V726" s="10"/>
      <c r="W726" s="10"/>
      <c r="X726" s="7"/>
      <c r="Y726" s="7"/>
      <c r="Z726" s="34"/>
      <c r="AA726" s="34"/>
      <c r="AB726" s="7"/>
      <c r="AC726" s="34"/>
      <c r="AD726" s="10"/>
      <c r="AF726"/>
    </row>
    <row r="727" spans="1:32" x14ac:dyDescent="0.25">
      <c r="A727" s="7"/>
      <c r="C727" s="70"/>
      <c r="D727" s="70"/>
      <c r="E727" s="73"/>
      <c r="F727" s="9"/>
      <c r="H727" s="9"/>
      <c r="I727" s="10"/>
      <c r="J727" s="61"/>
      <c r="K727" s="10"/>
      <c r="L727" s="10"/>
      <c r="M727" s="10"/>
      <c r="N727" s="10"/>
      <c r="O727" s="10"/>
      <c r="P727" s="10"/>
      <c r="Q727" s="10"/>
      <c r="R727" s="10"/>
      <c r="S727" s="10"/>
      <c r="T727" s="14"/>
      <c r="U727" s="10"/>
      <c r="V727" s="10"/>
      <c r="W727" s="10"/>
      <c r="X727" s="7"/>
      <c r="Y727" s="7"/>
      <c r="Z727" s="7"/>
      <c r="AA727" s="34"/>
      <c r="AB727" s="7"/>
      <c r="AC727" s="34"/>
      <c r="AD727" s="10"/>
      <c r="AF727"/>
    </row>
    <row r="728" spans="1:32" x14ac:dyDescent="0.25">
      <c r="A728" s="7"/>
      <c r="C728" s="70"/>
      <c r="D728" s="70"/>
      <c r="E728" s="73"/>
      <c r="F728" s="9"/>
      <c r="H728" s="9"/>
      <c r="I728" s="10"/>
      <c r="J728" s="7"/>
      <c r="K728" s="7"/>
      <c r="L728" s="10"/>
      <c r="M728" s="10"/>
      <c r="N728" s="10"/>
      <c r="O728" s="10"/>
      <c r="P728" s="10"/>
      <c r="Q728" s="10"/>
      <c r="R728" s="10"/>
      <c r="S728" s="10"/>
      <c r="T728" s="14"/>
      <c r="U728" s="10"/>
      <c r="V728" s="10"/>
      <c r="W728" s="10"/>
      <c r="X728" s="7"/>
      <c r="Y728" s="7"/>
      <c r="Z728" s="7"/>
      <c r="AA728" s="34"/>
      <c r="AB728" s="7"/>
      <c r="AC728" s="34"/>
      <c r="AD728" s="10"/>
      <c r="AF728"/>
    </row>
    <row r="729" spans="1:32" x14ac:dyDescent="0.25">
      <c r="A729" s="7"/>
      <c r="C729" s="70"/>
      <c r="D729" s="70"/>
      <c r="E729" s="73"/>
      <c r="F729" s="9"/>
      <c r="H729" s="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4"/>
      <c r="U729" s="10"/>
      <c r="V729" s="10"/>
      <c r="W729" s="10"/>
      <c r="X729" s="7"/>
      <c r="Y729" s="7"/>
      <c r="Z729" s="7"/>
      <c r="AA729" s="34"/>
      <c r="AB729" s="7"/>
      <c r="AC729" s="34"/>
      <c r="AD729" s="10"/>
      <c r="AF729"/>
    </row>
    <row r="730" spans="1:32" x14ac:dyDescent="0.25">
      <c r="A730" s="7"/>
      <c r="C730" s="70"/>
      <c r="D730" s="70"/>
      <c r="E730" s="73"/>
      <c r="F730" s="9"/>
      <c r="H730" s="9"/>
      <c r="I730" s="10"/>
      <c r="J730" s="7"/>
      <c r="K730" s="7"/>
      <c r="L730" s="10"/>
      <c r="M730" s="10"/>
      <c r="N730" s="10"/>
      <c r="O730" s="10"/>
      <c r="P730" s="10"/>
      <c r="Q730" s="10"/>
      <c r="R730" s="10"/>
      <c r="S730" s="10"/>
      <c r="T730" s="14"/>
      <c r="U730" s="10"/>
      <c r="V730" s="10"/>
      <c r="W730" s="10"/>
      <c r="X730" s="7"/>
      <c r="Y730" s="7"/>
      <c r="Z730" s="7"/>
      <c r="AA730" s="34"/>
      <c r="AB730" s="7"/>
      <c r="AC730" s="34"/>
      <c r="AD730" s="10"/>
      <c r="AF730"/>
    </row>
    <row r="731" spans="1:32" x14ac:dyDescent="0.25">
      <c r="A731" s="7"/>
      <c r="C731" s="70"/>
      <c r="D731" s="70"/>
      <c r="E731" s="73"/>
      <c r="F731" s="9"/>
      <c r="H731" s="9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4"/>
      <c r="U731" s="10"/>
      <c r="V731" s="10"/>
      <c r="W731" s="10"/>
      <c r="X731" s="7"/>
      <c r="Y731" s="7"/>
      <c r="Z731" s="7"/>
      <c r="AA731" s="34"/>
      <c r="AB731" s="7"/>
      <c r="AC731" s="34"/>
      <c r="AD731" s="10"/>
      <c r="AF731"/>
    </row>
    <row r="732" spans="1:32" x14ac:dyDescent="0.25">
      <c r="A732" s="7"/>
      <c r="C732" s="70"/>
      <c r="D732" s="70"/>
      <c r="E732" s="73"/>
      <c r="F732" s="48"/>
      <c r="H732" s="9"/>
      <c r="I732" s="10"/>
      <c r="J732" s="7"/>
      <c r="K732" s="7"/>
      <c r="L732" s="10"/>
      <c r="M732" s="10"/>
      <c r="N732" s="10"/>
      <c r="O732" s="10"/>
      <c r="P732" s="10"/>
      <c r="Q732" s="10"/>
      <c r="R732" s="10"/>
      <c r="S732" s="10"/>
      <c r="T732" s="14"/>
      <c r="U732" s="10"/>
      <c r="V732" s="10"/>
      <c r="W732" s="10"/>
      <c r="X732" s="7"/>
      <c r="Y732" s="7"/>
      <c r="Z732" s="7"/>
      <c r="AA732" s="34"/>
      <c r="AB732" s="7"/>
      <c r="AC732" s="34"/>
      <c r="AD732" s="10"/>
      <c r="AF732"/>
    </row>
    <row r="733" spans="1:32" x14ac:dyDescent="0.25">
      <c r="A733" s="7"/>
      <c r="C733" s="70"/>
      <c r="D733" s="70"/>
      <c r="E733" s="73"/>
      <c r="F733" s="9"/>
      <c r="H733" s="9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4"/>
      <c r="U733" s="10"/>
      <c r="V733" s="10"/>
      <c r="W733" s="10"/>
      <c r="X733" s="7"/>
      <c r="Y733" s="7"/>
      <c r="Z733" s="34"/>
      <c r="AA733" s="34"/>
      <c r="AB733" s="7"/>
      <c r="AC733" s="34"/>
      <c r="AD733" s="10"/>
      <c r="AF733"/>
    </row>
    <row r="734" spans="1:32" x14ac:dyDescent="0.25">
      <c r="A734" s="7"/>
      <c r="C734" s="70"/>
      <c r="D734" s="70"/>
      <c r="E734" s="73"/>
      <c r="F734" s="48"/>
      <c r="H734" s="9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4"/>
      <c r="U734" s="10"/>
      <c r="V734" s="10"/>
      <c r="W734" s="10"/>
      <c r="X734" s="7"/>
      <c r="Y734" s="34"/>
      <c r="Z734" s="7"/>
      <c r="AA734" s="34"/>
      <c r="AB734" s="7"/>
      <c r="AC734" s="34"/>
      <c r="AD734" s="10"/>
      <c r="AF734"/>
    </row>
    <row r="735" spans="1:32" x14ac:dyDescent="0.25">
      <c r="A735" s="7"/>
      <c r="C735" s="70"/>
      <c r="D735" s="70"/>
      <c r="E735" s="73"/>
      <c r="F735" s="9"/>
      <c r="H735" s="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4"/>
      <c r="U735" s="10"/>
      <c r="V735" s="10"/>
      <c r="W735" s="10"/>
      <c r="X735" s="7"/>
      <c r="Y735" s="7"/>
      <c r="Z735" s="7"/>
      <c r="AA735" s="34"/>
      <c r="AB735" s="7"/>
      <c r="AC735" s="34"/>
      <c r="AD735" s="10"/>
      <c r="AF735"/>
    </row>
    <row r="736" spans="1:32" x14ac:dyDescent="0.25">
      <c r="A736" s="7"/>
      <c r="C736" s="70"/>
      <c r="D736" s="70"/>
      <c r="E736" s="73"/>
      <c r="F736" s="9"/>
      <c r="H736" s="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4"/>
      <c r="U736" s="10"/>
      <c r="V736" s="10"/>
      <c r="W736" s="10"/>
      <c r="X736" s="7"/>
      <c r="Y736" s="7"/>
      <c r="Z736" s="7"/>
      <c r="AA736" s="34"/>
      <c r="AB736" s="7"/>
      <c r="AC736" s="34"/>
      <c r="AD736" s="10"/>
      <c r="AF736"/>
    </row>
    <row r="737" spans="1:32" x14ac:dyDescent="0.25">
      <c r="A737" s="7"/>
      <c r="C737" s="70"/>
      <c r="D737" s="70"/>
      <c r="E737" s="73"/>
      <c r="F737" s="9"/>
      <c r="H737" s="9"/>
      <c r="I737" s="10"/>
      <c r="J737" s="7"/>
      <c r="K737" s="7"/>
      <c r="L737" s="10"/>
      <c r="M737" s="10"/>
      <c r="N737" s="10"/>
      <c r="O737" s="10"/>
      <c r="P737" s="10"/>
      <c r="Q737" s="10"/>
      <c r="R737" s="10"/>
      <c r="S737" s="10"/>
      <c r="T737" s="14"/>
      <c r="U737" s="10"/>
      <c r="V737" s="10"/>
      <c r="W737" s="10"/>
      <c r="X737" s="7"/>
      <c r="Y737" s="7"/>
      <c r="Z737" s="7"/>
      <c r="AA737" s="34"/>
      <c r="AB737" s="7"/>
      <c r="AC737" s="34"/>
      <c r="AD737" s="10"/>
      <c r="AF737"/>
    </row>
    <row r="738" spans="1:32" x14ac:dyDescent="0.25">
      <c r="A738" s="7"/>
      <c r="C738" s="70"/>
      <c r="D738" s="70"/>
      <c r="E738" s="73"/>
      <c r="F738" s="9"/>
      <c r="H738" s="9"/>
      <c r="I738" s="10"/>
      <c r="J738" s="10"/>
      <c r="K738" s="24"/>
      <c r="L738" s="10"/>
      <c r="M738" s="10"/>
      <c r="N738" s="10"/>
      <c r="O738" s="10"/>
      <c r="P738" s="10"/>
      <c r="Q738" s="10"/>
      <c r="R738" s="10"/>
      <c r="S738" s="10"/>
      <c r="T738" s="14"/>
      <c r="U738" s="10"/>
      <c r="V738" s="10"/>
      <c r="W738" s="10"/>
      <c r="X738" s="7"/>
      <c r="Y738" s="7"/>
      <c r="Z738" s="7"/>
      <c r="AA738" s="34"/>
      <c r="AB738" s="7"/>
      <c r="AC738" s="34"/>
      <c r="AD738" s="10"/>
      <c r="AF738"/>
    </row>
    <row r="739" spans="1:32" x14ac:dyDescent="0.25">
      <c r="A739" s="7"/>
      <c r="C739" s="70"/>
      <c r="D739" s="70"/>
      <c r="E739" s="73"/>
      <c r="F739" s="9"/>
      <c r="H739" s="9"/>
      <c r="I739" s="10"/>
      <c r="J739" s="10"/>
      <c r="K739" s="7"/>
      <c r="L739" s="10"/>
      <c r="M739" s="10"/>
      <c r="N739" s="10"/>
      <c r="O739" s="10"/>
      <c r="P739" s="10"/>
      <c r="Q739" s="10"/>
      <c r="R739" s="10"/>
      <c r="S739" s="10"/>
      <c r="T739" s="14"/>
      <c r="U739" s="10"/>
      <c r="V739" s="10"/>
      <c r="W739" s="10"/>
      <c r="X739" s="7"/>
      <c r="Y739" s="7"/>
      <c r="Z739" s="7"/>
      <c r="AA739" s="34"/>
      <c r="AB739" s="7"/>
      <c r="AC739" s="34"/>
      <c r="AD739" s="10"/>
      <c r="AF739"/>
    </row>
    <row r="740" spans="1:32" x14ac:dyDescent="0.25">
      <c r="A740" s="7"/>
      <c r="C740" s="70"/>
      <c r="D740" s="70"/>
      <c r="E740" s="73"/>
      <c r="F740" s="9"/>
      <c r="H740" s="9"/>
      <c r="I740" s="10"/>
      <c r="J740" s="7"/>
      <c r="K740" s="7"/>
      <c r="L740" s="10"/>
      <c r="M740" s="10"/>
      <c r="N740" s="10"/>
      <c r="O740" s="10"/>
      <c r="P740" s="10"/>
      <c r="Q740" s="10"/>
      <c r="R740" s="10"/>
      <c r="S740" s="10"/>
      <c r="T740" s="14"/>
      <c r="U740" s="10"/>
      <c r="V740" s="10"/>
      <c r="W740" s="10"/>
      <c r="X740" s="7"/>
      <c r="Y740" s="7"/>
      <c r="Z740" s="7"/>
      <c r="AA740" s="34"/>
      <c r="AB740" s="7"/>
      <c r="AC740" s="34"/>
      <c r="AD740" s="10"/>
      <c r="AF740"/>
    </row>
    <row r="741" spans="1:32" x14ac:dyDescent="0.25">
      <c r="A741" s="7"/>
      <c r="C741" s="70"/>
      <c r="D741" s="70"/>
      <c r="E741" s="73"/>
      <c r="F741" s="9"/>
      <c r="H741" s="9"/>
      <c r="I741" s="10"/>
      <c r="J741" s="7"/>
      <c r="K741" s="7"/>
      <c r="L741" s="10"/>
      <c r="M741" s="10"/>
      <c r="N741" s="10"/>
      <c r="O741" s="10"/>
      <c r="P741" s="10"/>
      <c r="Q741" s="10"/>
      <c r="R741" s="10"/>
      <c r="S741" s="10"/>
      <c r="T741" s="14"/>
      <c r="U741" s="10"/>
      <c r="V741" s="10"/>
      <c r="W741" s="10"/>
      <c r="X741" s="7"/>
      <c r="Y741" s="7"/>
      <c r="Z741" s="7"/>
      <c r="AA741" s="34"/>
      <c r="AB741" s="7"/>
      <c r="AC741" s="34"/>
      <c r="AD741" s="10"/>
      <c r="AF741"/>
    </row>
    <row r="742" spans="1:32" x14ac:dyDescent="0.25">
      <c r="A742" s="7"/>
      <c r="C742" s="70"/>
      <c r="D742" s="70"/>
      <c r="E742" s="73"/>
      <c r="F742" s="9"/>
      <c r="H742" s="9"/>
      <c r="I742" s="10"/>
      <c r="J742" s="10"/>
      <c r="K742" s="7"/>
      <c r="L742" s="10"/>
      <c r="M742" s="10"/>
      <c r="N742" s="10"/>
      <c r="O742" s="10"/>
      <c r="P742" s="10"/>
      <c r="Q742" s="10"/>
      <c r="R742" s="10"/>
      <c r="S742" s="10"/>
      <c r="T742" s="14"/>
      <c r="U742" s="10"/>
      <c r="V742" s="10"/>
      <c r="W742" s="10"/>
      <c r="X742" s="7"/>
      <c r="Y742" s="7"/>
      <c r="Z742" s="7"/>
      <c r="AA742" s="34"/>
      <c r="AB742" s="7"/>
      <c r="AC742" s="34"/>
      <c r="AD742" s="10"/>
      <c r="AF742"/>
    </row>
    <row r="743" spans="1:32" x14ac:dyDescent="0.25">
      <c r="A743" s="7"/>
      <c r="C743" s="70"/>
      <c r="D743" s="70"/>
      <c r="E743" s="73"/>
      <c r="F743" s="9"/>
      <c r="H743" s="9"/>
      <c r="I743" s="10"/>
      <c r="J743" s="7"/>
      <c r="K743" s="7"/>
      <c r="L743" s="10"/>
      <c r="M743" s="10"/>
      <c r="N743" s="10"/>
      <c r="O743" s="10"/>
      <c r="P743" s="10"/>
      <c r="Q743" s="10"/>
      <c r="R743" s="10"/>
      <c r="S743" s="10"/>
      <c r="T743" s="14"/>
      <c r="U743" s="10"/>
      <c r="V743" s="10"/>
      <c r="W743" s="10"/>
      <c r="X743" s="7"/>
      <c r="Y743" s="7"/>
      <c r="Z743" s="34"/>
      <c r="AA743" s="34"/>
      <c r="AB743" s="7"/>
      <c r="AC743" s="34"/>
      <c r="AD743" s="10"/>
      <c r="AF743"/>
    </row>
    <row r="744" spans="1:32" x14ac:dyDescent="0.25">
      <c r="A744" s="7"/>
      <c r="C744" s="70"/>
      <c r="D744" s="70"/>
      <c r="E744" s="73"/>
      <c r="F744" s="48"/>
      <c r="H744" s="9"/>
      <c r="I744" s="10"/>
      <c r="J744" s="7"/>
      <c r="K744" s="24"/>
      <c r="L744" s="10"/>
      <c r="M744" s="10"/>
      <c r="N744" s="10"/>
      <c r="O744" s="10"/>
      <c r="P744" s="10"/>
      <c r="Q744" s="10"/>
      <c r="R744" s="10"/>
      <c r="S744" s="10"/>
      <c r="T744" s="14"/>
      <c r="U744" s="10"/>
      <c r="V744" s="10"/>
      <c r="W744" s="10"/>
      <c r="X744" s="7"/>
      <c r="Y744" s="34"/>
      <c r="Z744" s="7"/>
      <c r="AA744" s="34"/>
      <c r="AB744" s="7"/>
      <c r="AC744" s="34"/>
      <c r="AD744" s="10"/>
      <c r="AF744"/>
    </row>
    <row r="745" spans="1:32" x14ac:dyDescent="0.25">
      <c r="A745" s="7"/>
      <c r="C745" s="70"/>
      <c r="D745" s="70"/>
      <c r="E745" s="73"/>
      <c r="F745" s="9"/>
      <c r="H745" s="9"/>
      <c r="I745" s="10"/>
      <c r="J745" s="7"/>
      <c r="K745" s="24"/>
      <c r="L745" s="10"/>
      <c r="M745" s="10"/>
      <c r="N745" s="10"/>
      <c r="O745" s="10"/>
      <c r="P745" s="10"/>
      <c r="Q745" s="10"/>
      <c r="R745" s="10"/>
      <c r="S745" s="10"/>
      <c r="T745" s="14"/>
      <c r="U745" s="10"/>
      <c r="V745" s="10"/>
      <c r="W745" s="10"/>
      <c r="X745" s="7"/>
      <c r="Y745" s="7"/>
      <c r="Z745" s="7"/>
      <c r="AA745" s="34"/>
      <c r="AB745" s="7"/>
      <c r="AC745" s="34"/>
      <c r="AD745" s="10"/>
      <c r="AF745"/>
    </row>
    <row r="746" spans="1:32" x14ac:dyDescent="0.25">
      <c r="A746" s="7"/>
      <c r="C746" s="70"/>
      <c r="D746" s="70"/>
      <c r="E746" s="73"/>
      <c r="F746" s="9"/>
      <c r="H746" s="9"/>
      <c r="I746" s="10"/>
      <c r="J746" s="10"/>
      <c r="K746" s="7"/>
      <c r="L746" s="10"/>
      <c r="M746" s="10"/>
      <c r="N746" s="10"/>
      <c r="O746" s="10"/>
      <c r="P746" s="10"/>
      <c r="Q746" s="10"/>
      <c r="R746" s="10"/>
      <c r="S746" s="10"/>
      <c r="T746" s="14"/>
      <c r="U746" s="10"/>
      <c r="V746" s="10"/>
      <c r="W746" s="10"/>
      <c r="X746" s="7"/>
      <c r="Y746" s="7"/>
      <c r="Z746" s="34"/>
      <c r="AA746" s="34"/>
      <c r="AB746" s="7"/>
      <c r="AC746" s="34"/>
      <c r="AD746" s="10"/>
      <c r="AF746"/>
    </row>
    <row r="747" spans="1:32" x14ac:dyDescent="0.25">
      <c r="A747" s="7"/>
      <c r="C747" s="70"/>
      <c r="D747" s="70"/>
      <c r="E747" s="73"/>
      <c r="F747" s="9"/>
      <c r="H747" s="9"/>
      <c r="I747" s="10"/>
      <c r="J747" s="10"/>
      <c r="K747" s="7"/>
      <c r="L747" s="10"/>
      <c r="M747" s="10"/>
      <c r="N747" s="10"/>
      <c r="O747" s="10"/>
      <c r="P747" s="10"/>
      <c r="Q747" s="10"/>
      <c r="R747" s="10"/>
      <c r="S747" s="10"/>
      <c r="T747" s="14"/>
      <c r="U747" s="10"/>
      <c r="V747" s="10"/>
      <c r="W747" s="10"/>
      <c r="X747" s="7"/>
      <c r="Y747" s="7"/>
      <c r="Z747" s="7"/>
      <c r="AA747" s="34"/>
      <c r="AB747" s="7"/>
      <c r="AC747" s="34"/>
      <c r="AD747" s="10"/>
      <c r="AF747"/>
    </row>
    <row r="748" spans="1:32" x14ac:dyDescent="0.25">
      <c r="A748" s="7"/>
      <c r="C748" s="70"/>
      <c r="D748" s="70"/>
      <c r="E748" s="73"/>
      <c r="F748" s="45"/>
      <c r="H748" s="9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4"/>
      <c r="U748" s="10"/>
      <c r="V748" s="10"/>
      <c r="W748" s="10"/>
      <c r="X748" s="7"/>
      <c r="Y748" s="7"/>
      <c r="Z748" s="7"/>
      <c r="AA748" s="34"/>
      <c r="AB748" s="7"/>
      <c r="AC748" s="34"/>
      <c r="AD748" s="10"/>
      <c r="AF748"/>
    </row>
    <row r="749" spans="1:32" x14ac:dyDescent="0.25">
      <c r="A749" s="7"/>
      <c r="C749" s="70"/>
      <c r="D749" s="70"/>
      <c r="E749" s="73"/>
      <c r="F749" s="9"/>
      <c r="H749" s="9"/>
      <c r="I749" s="10"/>
      <c r="J749" s="61"/>
      <c r="K749" s="10"/>
      <c r="L749" s="10"/>
      <c r="M749" s="10"/>
      <c r="N749" s="10"/>
      <c r="O749" s="10"/>
      <c r="P749" s="10"/>
      <c r="Q749" s="10"/>
      <c r="R749" s="10"/>
      <c r="S749" s="10"/>
      <c r="T749" s="14"/>
      <c r="U749" s="10"/>
      <c r="V749" s="10"/>
      <c r="W749" s="10"/>
      <c r="X749" s="7"/>
      <c r="Y749" s="7"/>
      <c r="Z749" s="7"/>
      <c r="AA749" s="34"/>
      <c r="AB749" s="7"/>
      <c r="AC749" s="34"/>
      <c r="AD749" s="10"/>
      <c r="AF749"/>
    </row>
    <row r="750" spans="1:32" x14ac:dyDescent="0.25">
      <c r="A750" s="7"/>
      <c r="C750" s="70"/>
      <c r="D750" s="70"/>
      <c r="E750" s="73"/>
      <c r="F750" s="9"/>
      <c r="H750" s="9"/>
      <c r="I750" s="10"/>
      <c r="J750" s="61"/>
      <c r="K750" s="10"/>
      <c r="L750" s="10"/>
      <c r="M750" s="10"/>
      <c r="N750" s="10"/>
      <c r="O750" s="10"/>
      <c r="P750" s="10"/>
      <c r="Q750" s="10"/>
      <c r="R750" s="10"/>
      <c r="S750" s="10"/>
      <c r="T750" s="14"/>
      <c r="U750" s="10"/>
      <c r="V750" s="10"/>
      <c r="W750" s="10"/>
      <c r="X750" s="7"/>
      <c r="Y750" s="7"/>
      <c r="Z750" s="7"/>
      <c r="AA750" s="34"/>
      <c r="AB750" s="7"/>
      <c r="AC750" s="34"/>
      <c r="AD750" s="10"/>
      <c r="AF750"/>
    </row>
    <row r="751" spans="1:32" x14ac:dyDescent="0.25">
      <c r="A751" s="7"/>
      <c r="C751" s="70"/>
      <c r="D751" s="70"/>
      <c r="E751" s="73"/>
      <c r="F751" s="9"/>
      <c r="H751" s="9"/>
      <c r="I751" s="10"/>
      <c r="J751" s="7"/>
      <c r="K751" s="7"/>
      <c r="L751" s="10"/>
      <c r="M751" s="10"/>
      <c r="N751" s="10"/>
      <c r="O751" s="10"/>
      <c r="P751" s="10"/>
      <c r="Q751" s="10"/>
      <c r="R751" s="10"/>
      <c r="S751" s="10"/>
      <c r="T751" s="14"/>
      <c r="U751" s="10"/>
      <c r="V751" s="10"/>
      <c r="W751" s="10"/>
      <c r="X751" s="7"/>
      <c r="Y751" s="7"/>
      <c r="Z751" s="7"/>
      <c r="AA751" s="34"/>
      <c r="AB751" s="7"/>
      <c r="AC751" s="34"/>
      <c r="AD751" s="10"/>
      <c r="AF751"/>
    </row>
    <row r="752" spans="1:32" x14ac:dyDescent="0.25">
      <c r="A752" s="7"/>
      <c r="C752" s="70"/>
      <c r="D752" s="70"/>
      <c r="E752" s="73"/>
      <c r="F752" s="9"/>
      <c r="H752" s="9"/>
      <c r="I752" s="10"/>
      <c r="J752" s="10"/>
      <c r="K752" s="7"/>
      <c r="L752" s="10"/>
      <c r="M752" s="10"/>
      <c r="N752" s="10"/>
      <c r="O752" s="10"/>
      <c r="P752" s="10"/>
      <c r="Q752" s="10"/>
      <c r="R752" s="10"/>
      <c r="S752" s="10"/>
      <c r="T752" s="14"/>
      <c r="U752" s="10"/>
      <c r="V752" s="10"/>
      <c r="W752" s="10"/>
      <c r="X752" s="7"/>
      <c r="Y752" s="7"/>
      <c r="Z752" s="7"/>
      <c r="AA752" s="34"/>
      <c r="AB752" s="7"/>
      <c r="AC752" s="34"/>
      <c r="AD752" s="10"/>
      <c r="AF752"/>
    </row>
    <row r="753" spans="1:32" x14ac:dyDescent="0.25">
      <c r="A753" s="7"/>
      <c r="C753" s="70"/>
      <c r="D753" s="70"/>
      <c r="E753" s="73"/>
      <c r="F753" s="9"/>
      <c r="H753" s="9"/>
      <c r="I753" s="10"/>
      <c r="J753" s="10"/>
      <c r="K753" s="7"/>
      <c r="L753" s="10"/>
      <c r="M753" s="10"/>
      <c r="N753" s="10"/>
      <c r="O753" s="10"/>
      <c r="P753" s="10"/>
      <c r="Q753" s="10"/>
      <c r="R753" s="10"/>
      <c r="S753" s="10"/>
      <c r="T753" s="14"/>
      <c r="U753" s="10"/>
      <c r="V753" s="10"/>
      <c r="W753" s="10"/>
      <c r="X753" s="7"/>
      <c r="Y753" s="7"/>
      <c r="Z753" s="7"/>
      <c r="AA753" s="34"/>
      <c r="AB753" s="7"/>
      <c r="AC753" s="34"/>
      <c r="AD753" s="10"/>
      <c r="AF753"/>
    </row>
    <row r="754" spans="1:32" x14ac:dyDescent="0.25">
      <c r="A754" s="7"/>
      <c r="C754" s="70"/>
      <c r="D754" s="70"/>
      <c r="E754" s="73"/>
      <c r="F754" s="9"/>
      <c r="H754" s="9"/>
      <c r="I754" s="10"/>
      <c r="J754" s="7"/>
      <c r="K754" s="7"/>
      <c r="L754" s="10"/>
      <c r="M754" s="10"/>
      <c r="N754" s="10"/>
      <c r="O754" s="10"/>
      <c r="P754" s="10"/>
      <c r="Q754" s="10"/>
      <c r="R754" s="10"/>
      <c r="S754" s="10"/>
      <c r="T754" s="14"/>
      <c r="U754" s="10"/>
      <c r="V754" s="10"/>
      <c r="W754" s="10"/>
      <c r="X754" s="7"/>
      <c r="Y754" s="7"/>
      <c r="Z754" s="7"/>
      <c r="AA754" s="34"/>
      <c r="AB754" s="7"/>
      <c r="AC754" s="34"/>
      <c r="AD754" s="10"/>
      <c r="AF754"/>
    </row>
    <row r="755" spans="1:32" x14ac:dyDescent="0.25">
      <c r="A755" s="7"/>
      <c r="C755" s="70"/>
      <c r="D755" s="70"/>
      <c r="F755"/>
      <c r="H755" s="9"/>
      <c r="I755" s="10"/>
      <c r="J755" s="7"/>
      <c r="K755" s="10"/>
      <c r="L755" s="10"/>
      <c r="M755" s="10"/>
      <c r="N755" s="10"/>
      <c r="O755" s="10"/>
      <c r="P755" s="10"/>
      <c r="Q755" s="10"/>
      <c r="R755" s="10"/>
      <c r="S755" s="10"/>
      <c r="T755" s="14"/>
      <c r="U755" s="10"/>
      <c r="V755" s="10"/>
      <c r="W755" s="10"/>
      <c r="X755" s="7"/>
      <c r="Y755" s="7"/>
      <c r="Z755" s="7"/>
      <c r="AA755" s="34"/>
      <c r="AB755" s="7"/>
      <c r="AC755" s="34"/>
      <c r="AD755" s="10"/>
      <c r="AF755"/>
    </row>
    <row r="756" spans="1:32" x14ac:dyDescent="0.25">
      <c r="A756" s="7"/>
      <c r="C756" s="70"/>
      <c r="D756" s="70"/>
      <c r="E756" s="73"/>
      <c r="F756" s="9"/>
      <c r="H756" s="9"/>
      <c r="I756" s="10"/>
      <c r="J756" s="7"/>
      <c r="K756" s="7"/>
      <c r="L756" s="10"/>
      <c r="M756" s="10"/>
      <c r="N756" s="10"/>
      <c r="O756" s="10"/>
      <c r="P756" s="10"/>
      <c r="Q756" s="10"/>
      <c r="R756" s="10"/>
      <c r="S756" s="10"/>
      <c r="T756" s="14"/>
      <c r="U756" s="10"/>
      <c r="V756" s="10"/>
      <c r="W756" s="10"/>
      <c r="X756" s="7"/>
      <c r="Y756" s="7"/>
      <c r="Z756" s="7"/>
      <c r="AA756" s="34"/>
      <c r="AB756" s="7"/>
      <c r="AC756" s="34"/>
      <c r="AD756" s="10"/>
      <c r="AF756"/>
    </row>
    <row r="757" spans="1:32" x14ac:dyDescent="0.25">
      <c r="A757" s="7"/>
      <c r="C757" s="70"/>
      <c r="D757" s="70"/>
      <c r="E757" s="73"/>
      <c r="F757" s="9"/>
      <c r="H757" s="9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4"/>
      <c r="U757" s="10"/>
      <c r="V757" s="10"/>
      <c r="W757" s="10"/>
      <c r="X757" s="7"/>
      <c r="Y757" s="7"/>
      <c r="Z757" s="34"/>
      <c r="AA757" s="34"/>
      <c r="AB757" s="7"/>
      <c r="AC757" s="34"/>
      <c r="AD757" s="10"/>
      <c r="AF757"/>
    </row>
    <row r="758" spans="1:32" x14ac:dyDescent="0.25">
      <c r="A758" s="7"/>
      <c r="C758" s="70"/>
      <c r="D758" s="70"/>
      <c r="E758" s="73"/>
      <c r="F758" s="9"/>
      <c r="H758" s="9"/>
      <c r="I758" s="10"/>
      <c r="J758" s="7"/>
      <c r="K758" s="7"/>
      <c r="L758" s="10"/>
      <c r="M758" s="10"/>
      <c r="N758" s="10"/>
      <c r="O758" s="10"/>
      <c r="P758" s="10"/>
      <c r="Q758" s="10"/>
      <c r="R758" s="10"/>
      <c r="S758" s="10"/>
      <c r="T758" s="14"/>
      <c r="U758" s="10"/>
      <c r="V758" s="10"/>
      <c r="W758" s="10"/>
      <c r="X758" s="7"/>
      <c r="Y758" s="7"/>
      <c r="Z758" s="7"/>
      <c r="AA758" s="34"/>
      <c r="AB758" s="7"/>
      <c r="AC758" s="34"/>
      <c r="AD758" s="10"/>
      <c r="AF758"/>
    </row>
    <row r="759" spans="1:32" x14ac:dyDescent="0.25">
      <c r="A759" s="7"/>
      <c r="C759" s="70"/>
      <c r="D759" s="70"/>
      <c r="E759" s="73"/>
      <c r="F759" s="9"/>
      <c r="H759" s="9"/>
      <c r="I759" s="10"/>
      <c r="J759" s="7"/>
      <c r="K759" s="10"/>
      <c r="L759" s="10"/>
      <c r="M759" s="10"/>
      <c r="N759" s="10"/>
      <c r="O759" s="10"/>
      <c r="P759" s="10"/>
      <c r="Q759" s="10"/>
      <c r="R759" s="10"/>
      <c r="S759" s="10"/>
      <c r="T759" s="14"/>
      <c r="U759" s="10"/>
      <c r="V759" s="10"/>
      <c r="W759" s="10"/>
      <c r="X759" s="34"/>
      <c r="Y759" s="34"/>
      <c r="Z759" s="7"/>
      <c r="AA759" s="34"/>
      <c r="AB759" s="7"/>
      <c r="AC759" s="34"/>
      <c r="AD759" s="10"/>
      <c r="AF759"/>
    </row>
    <row r="760" spans="1:32" x14ac:dyDescent="0.25">
      <c r="A760" s="7"/>
      <c r="C760" s="70"/>
      <c r="D760" s="70"/>
      <c r="E760" s="73"/>
      <c r="F760" s="9"/>
      <c r="H760" s="9"/>
      <c r="I760" s="10"/>
      <c r="J760" s="7"/>
      <c r="K760" s="7"/>
      <c r="L760" s="10"/>
      <c r="M760" s="10"/>
      <c r="N760" s="10"/>
      <c r="O760" s="10"/>
      <c r="P760" s="10"/>
      <c r="Q760" s="10"/>
      <c r="R760" s="10"/>
      <c r="S760" s="10"/>
      <c r="T760" s="14"/>
      <c r="U760" s="10"/>
      <c r="V760" s="10"/>
      <c r="W760" s="10"/>
      <c r="X760" s="34"/>
      <c r="Y760" s="7"/>
      <c r="Z760" s="7"/>
      <c r="AA760" s="34"/>
      <c r="AB760" s="7"/>
      <c r="AC760" s="34"/>
      <c r="AD760" s="10"/>
      <c r="AF760"/>
    </row>
    <row r="761" spans="1:32" x14ac:dyDescent="0.25">
      <c r="A761" s="7"/>
      <c r="C761" s="70"/>
      <c r="D761" s="70"/>
      <c r="E761" s="73"/>
      <c r="F761" s="9"/>
      <c r="H761" s="9"/>
      <c r="I761" s="10"/>
      <c r="J761" s="7"/>
      <c r="K761" s="7"/>
      <c r="L761" s="10"/>
      <c r="M761" s="10"/>
      <c r="N761" s="10"/>
      <c r="O761" s="10"/>
      <c r="P761" s="10"/>
      <c r="Q761" s="10"/>
      <c r="R761" s="10"/>
      <c r="S761" s="10"/>
      <c r="T761" s="14"/>
      <c r="U761" s="10"/>
      <c r="V761" s="10"/>
      <c r="W761" s="10"/>
      <c r="X761" s="7"/>
      <c r="Y761" s="7"/>
      <c r="Z761" s="7"/>
      <c r="AA761" s="34"/>
      <c r="AB761" s="7"/>
      <c r="AC761" s="34"/>
      <c r="AD761" s="10"/>
      <c r="AF761"/>
    </row>
    <row r="762" spans="1:32" x14ac:dyDescent="0.25">
      <c r="A762" s="7"/>
      <c r="C762" s="70"/>
      <c r="D762" s="70"/>
      <c r="E762" s="73"/>
      <c r="F762" s="9"/>
      <c r="H762" s="9"/>
      <c r="I762" s="10"/>
      <c r="J762" s="7"/>
      <c r="K762" s="7"/>
      <c r="L762" s="10"/>
      <c r="M762" s="10"/>
      <c r="N762" s="10"/>
      <c r="O762" s="10"/>
      <c r="P762" s="10"/>
      <c r="Q762" s="10"/>
      <c r="R762" s="10"/>
      <c r="S762" s="10"/>
      <c r="T762" s="14"/>
      <c r="U762" s="10"/>
      <c r="V762" s="10"/>
      <c r="W762" s="10"/>
      <c r="X762" s="7"/>
      <c r="Y762" s="7"/>
      <c r="Z762" s="7"/>
      <c r="AA762" s="34"/>
      <c r="AB762" s="7"/>
      <c r="AC762" s="34"/>
      <c r="AD762" s="10"/>
      <c r="AF762"/>
    </row>
    <row r="763" spans="1:32" x14ac:dyDescent="0.25">
      <c r="A763" s="7"/>
      <c r="C763" s="70"/>
      <c r="D763" s="70"/>
      <c r="E763" s="73"/>
      <c r="F763" s="9"/>
      <c r="H763" s="9"/>
      <c r="I763" s="10"/>
      <c r="J763" s="7"/>
      <c r="K763" s="7"/>
      <c r="L763" s="10"/>
      <c r="M763" s="10"/>
      <c r="N763" s="10"/>
      <c r="O763" s="10"/>
      <c r="P763" s="10"/>
      <c r="Q763" s="10"/>
      <c r="R763" s="10"/>
      <c r="S763" s="10"/>
      <c r="T763" s="14"/>
      <c r="U763" s="10"/>
      <c r="V763" s="10"/>
      <c r="W763" s="10"/>
      <c r="X763" s="7"/>
      <c r="Y763" s="7"/>
      <c r="Z763" s="7"/>
      <c r="AA763" s="34"/>
      <c r="AB763" s="7"/>
      <c r="AC763" s="34"/>
      <c r="AD763" s="10"/>
      <c r="AF763"/>
    </row>
    <row r="764" spans="1:32" x14ac:dyDescent="0.25">
      <c r="A764" s="7"/>
      <c r="C764" s="70"/>
      <c r="D764" s="70"/>
      <c r="E764" s="73"/>
      <c r="F764" s="9"/>
      <c r="H764" s="9"/>
      <c r="I764" s="10"/>
      <c r="J764" s="10"/>
      <c r="K764" s="7"/>
      <c r="L764" s="10"/>
      <c r="M764" s="10"/>
      <c r="N764" s="10"/>
      <c r="O764" s="10"/>
      <c r="P764" s="10"/>
      <c r="Q764" s="10"/>
      <c r="R764" s="10"/>
      <c r="S764" s="10"/>
      <c r="T764" s="14"/>
      <c r="U764" s="10"/>
      <c r="V764" s="10"/>
      <c r="W764" s="10"/>
      <c r="X764" s="7"/>
      <c r="Y764" s="7"/>
      <c r="Z764" s="7"/>
      <c r="AA764" s="34"/>
      <c r="AB764" s="7"/>
      <c r="AC764" s="34"/>
      <c r="AD764" s="10"/>
      <c r="AF764"/>
    </row>
    <row r="765" spans="1:32" x14ac:dyDescent="0.25">
      <c r="A765" s="7"/>
      <c r="C765" s="70"/>
      <c r="D765" s="70"/>
      <c r="E765" s="73"/>
      <c r="F765" s="9"/>
      <c r="H765" s="9"/>
      <c r="I765" s="10"/>
      <c r="J765" s="10"/>
      <c r="K765" s="7"/>
      <c r="L765" s="10"/>
      <c r="M765" s="10"/>
      <c r="N765" s="10"/>
      <c r="O765" s="10"/>
      <c r="P765" s="10"/>
      <c r="Q765" s="10"/>
      <c r="R765" s="10"/>
      <c r="S765" s="10"/>
      <c r="T765" s="14"/>
      <c r="U765" s="10"/>
      <c r="V765" s="10"/>
      <c r="W765" s="10"/>
      <c r="X765" s="7"/>
      <c r="Y765" s="7"/>
      <c r="Z765" s="7"/>
      <c r="AA765" s="34"/>
      <c r="AB765" s="7"/>
      <c r="AC765" s="34"/>
      <c r="AD765" s="10"/>
      <c r="AF765"/>
    </row>
    <row r="766" spans="1:32" x14ac:dyDescent="0.25">
      <c r="A766" s="7"/>
      <c r="C766" s="70"/>
      <c r="D766" s="70"/>
      <c r="E766" s="73"/>
      <c r="F766" s="9"/>
      <c r="H766" s="9"/>
      <c r="I766" s="10"/>
      <c r="J766" s="7"/>
      <c r="K766" s="7"/>
      <c r="L766" s="10"/>
      <c r="M766" s="10"/>
      <c r="N766" s="10"/>
      <c r="O766" s="10"/>
      <c r="P766" s="10"/>
      <c r="Q766" s="10"/>
      <c r="R766" s="10"/>
      <c r="S766" s="10"/>
      <c r="T766" s="14"/>
      <c r="U766" s="10"/>
      <c r="V766" s="10"/>
      <c r="W766" s="10"/>
      <c r="X766" s="7"/>
      <c r="Y766" s="7"/>
      <c r="Z766" s="7"/>
      <c r="AA766" s="34"/>
      <c r="AB766" s="7"/>
      <c r="AC766" s="34"/>
      <c r="AD766" s="10"/>
      <c r="AF766"/>
    </row>
    <row r="767" spans="1:32" x14ac:dyDescent="0.25">
      <c r="A767" s="7"/>
      <c r="B767" s="28"/>
      <c r="C767" s="70"/>
      <c r="D767" s="73"/>
      <c r="E767" s="73"/>
      <c r="F767" s="9"/>
      <c r="H767" s="9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4"/>
      <c r="U767" s="10"/>
      <c r="V767" s="10"/>
      <c r="W767" s="10"/>
      <c r="X767" s="7"/>
      <c r="Y767" s="7"/>
      <c r="Z767" s="7"/>
      <c r="AA767" s="34"/>
      <c r="AB767" s="7"/>
      <c r="AC767" s="34"/>
      <c r="AD767" s="10"/>
      <c r="AF767"/>
    </row>
    <row r="768" spans="1:32" x14ac:dyDescent="0.25">
      <c r="A768" s="7"/>
      <c r="C768" s="70"/>
      <c r="D768" s="70"/>
      <c r="E768" s="73"/>
      <c r="F768" s="9"/>
      <c r="H768" s="9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4"/>
      <c r="U768" s="10"/>
      <c r="V768" s="10"/>
      <c r="W768" s="10"/>
      <c r="X768" s="7"/>
      <c r="Y768" s="7"/>
      <c r="Z768" s="7"/>
      <c r="AA768" s="34"/>
      <c r="AB768" s="7"/>
      <c r="AC768" s="34"/>
      <c r="AD768" s="10"/>
      <c r="AF768"/>
    </row>
    <row r="769" spans="1:32" x14ac:dyDescent="0.25">
      <c r="A769" s="7"/>
      <c r="C769" s="70"/>
      <c r="D769" s="70"/>
      <c r="E769" s="73"/>
      <c r="F769" s="9"/>
      <c r="H769" s="9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4"/>
      <c r="U769" s="10"/>
      <c r="V769" s="10"/>
      <c r="W769" s="10"/>
      <c r="X769" s="7"/>
      <c r="Y769" s="7"/>
      <c r="Z769" s="7"/>
      <c r="AA769" s="34"/>
      <c r="AB769" s="7"/>
      <c r="AC769" s="34"/>
      <c r="AD769" s="10"/>
      <c r="AF769"/>
    </row>
    <row r="770" spans="1:32" x14ac:dyDescent="0.25">
      <c r="A770" s="7"/>
      <c r="C770" s="70"/>
      <c r="D770" s="70"/>
      <c r="E770" s="73"/>
      <c r="F770" s="9"/>
      <c r="H770" s="9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4"/>
      <c r="U770" s="10"/>
      <c r="V770" s="10"/>
      <c r="W770" s="10"/>
      <c r="X770" s="7"/>
      <c r="Y770" s="7"/>
      <c r="Z770" s="34"/>
      <c r="AA770" s="34"/>
      <c r="AB770" s="7"/>
      <c r="AC770" s="34"/>
      <c r="AD770" s="10"/>
      <c r="AF770"/>
    </row>
    <row r="771" spans="1:32" x14ac:dyDescent="0.25">
      <c r="A771" s="7"/>
      <c r="C771" s="70"/>
      <c r="D771" s="70"/>
      <c r="E771" s="73"/>
      <c r="F771" s="9"/>
      <c r="H771" s="9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4"/>
      <c r="U771" s="10"/>
      <c r="V771" s="10"/>
      <c r="W771" s="10"/>
      <c r="X771" s="7"/>
      <c r="Y771" s="7"/>
      <c r="Z771" s="7"/>
      <c r="AA771" s="34"/>
      <c r="AB771" s="7"/>
      <c r="AC771" s="34"/>
      <c r="AD771" s="10"/>
      <c r="AF771"/>
    </row>
    <row r="772" spans="1:32" x14ac:dyDescent="0.25">
      <c r="A772" s="7"/>
      <c r="C772" s="70"/>
      <c r="D772" s="70"/>
      <c r="E772" s="73"/>
      <c r="F772" s="9"/>
      <c r="H772" s="9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4"/>
      <c r="U772" s="10"/>
      <c r="V772" s="10"/>
      <c r="W772" s="10"/>
      <c r="X772" s="7"/>
      <c r="Y772" s="7"/>
      <c r="Z772" s="7"/>
      <c r="AA772" s="34"/>
      <c r="AB772" s="7"/>
      <c r="AC772" s="34"/>
      <c r="AD772" s="10"/>
      <c r="AF772"/>
    </row>
    <row r="773" spans="1:32" x14ac:dyDescent="0.25">
      <c r="A773" s="7"/>
      <c r="C773" s="70"/>
      <c r="D773" s="70"/>
      <c r="E773" s="73"/>
      <c r="F773" s="9"/>
      <c r="H773" s="9"/>
      <c r="I773" s="10"/>
      <c r="J773" s="10"/>
      <c r="K773" s="7"/>
      <c r="L773" s="10"/>
      <c r="M773" s="10"/>
      <c r="N773" s="10"/>
      <c r="O773" s="10"/>
      <c r="P773" s="10"/>
      <c r="Q773" s="10"/>
      <c r="R773" s="10"/>
      <c r="S773" s="10"/>
      <c r="T773" s="14"/>
      <c r="U773" s="10"/>
      <c r="V773" s="10"/>
      <c r="W773" s="10"/>
      <c r="X773" s="7"/>
      <c r="Y773" s="7"/>
      <c r="Z773" s="7"/>
      <c r="AA773" s="34"/>
      <c r="AB773" s="7"/>
      <c r="AC773" s="34"/>
      <c r="AD773" s="10"/>
      <c r="AF773"/>
    </row>
    <row r="774" spans="1:32" x14ac:dyDescent="0.25">
      <c r="A774" s="7"/>
      <c r="C774" s="70"/>
      <c r="D774" s="70"/>
      <c r="E774" s="73"/>
      <c r="F774" s="9"/>
      <c r="H774" s="9"/>
      <c r="I774" s="10"/>
      <c r="J774" s="7"/>
      <c r="K774" s="24"/>
      <c r="L774" s="10"/>
      <c r="M774" s="10"/>
      <c r="N774" s="10"/>
      <c r="O774" s="10"/>
      <c r="P774" s="10"/>
      <c r="Q774" s="10"/>
      <c r="R774" s="10"/>
      <c r="S774" s="10"/>
      <c r="T774" s="14"/>
      <c r="U774" s="10"/>
      <c r="V774" s="10"/>
      <c r="W774" s="10"/>
      <c r="X774" s="7"/>
      <c r="Y774" s="7"/>
      <c r="Z774" s="7"/>
      <c r="AA774" s="34"/>
      <c r="AB774" s="7"/>
      <c r="AC774" s="34"/>
      <c r="AD774" s="10"/>
      <c r="AF774"/>
    </row>
    <row r="775" spans="1:32" x14ac:dyDescent="0.25">
      <c r="A775" s="7"/>
      <c r="C775" s="70"/>
      <c r="D775" s="70"/>
      <c r="E775" s="73"/>
      <c r="F775" s="9"/>
      <c r="H775" s="9"/>
      <c r="I775" s="10"/>
      <c r="J775" s="7"/>
      <c r="K775" s="7"/>
      <c r="L775" s="10"/>
      <c r="M775" s="10"/>
      <c r="N775" s="10"/>
      <c r="O775" s="10"/>
      <c r="P775" s="10"/>
      <c r="Q775" s="10"/>
      <c r="R775" s="10"/>
      <c r="S775" s="10"/>
      <c r="T775" s="14"/>
      <c r="U775" s="10"/>
      <c r="V775" s="10"/>
      <c r="W775" s="10"/>
      <c r="X775" s="7"/>
      <c r="Y775" s="7"/>
      <c r="Z775" s="7"/>
      <c r="AA775" s="34"/>
      <c r="AB775" s="7"/>
      <c r="AC775" s="34"/>
      <c r="AD775" s="10"/>
      <c r="AF775"/>
    </row>
    <row r="776" spans="1:32" x14ac:dyDescent="0.25">
      <c r="A776" s="7"/>
      <c r="C776" s="70"/>
      <c r="D776" s="70"/>
      <c r="E776" s="73"/>
      <c r="F776" s="45"/>
      <c r="H776" s="9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4"/>
      <c r="U776" s="10"/>
      <c r="V776" s="10"/>
      <c r="W776" s="10"/>
      <c r="X776" s="7"/>
      <c r="Y776" s="34"/>
      <c r="Z776" s="7"/>
      <c r="AA776" s="34"/>
      <c r="AB776" s="7"/>
      <c r="AC776" s="34"/>
      <c r="AD776" s="10"/>
      <c r="AF776"/>
    </row>
    <row r="777" spans="1:32" x14ac:dyDescent="0.25">
      <c r="A777" s="7"/>
      <c r="C777" s="70"/>
      <c r="D777" s="70"/>
      <c r="E777" s="73"/>
      <c r="F777" s="9"/>
      <c r="H777" s="9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4"/>
      <c r="U777" s="10"/>
      <c r="V777" s="10"/>
      <c r="W777" s="10"/>
      <c r="X777" s="7"/>
      <c r="Y777" s="7"/>
      <c r="Z777" s="34"/>
      <c r="AA777" s="34"/>
      <c r="AB777" s="7"/>
      <c r="AC777" s="34"/>
      <c r="AD777" s="10"/>
      <c r="AF777"/>
    </row>
    <row r="778" spans="1:32" x14ac:dyDescent="0.25">
      <c r="A778" s="7"/>
      <c r="C778" s="70"/>
      <c r="D778" s="70"/>
      <c r="E778" s="73"/>
      <c r="F778" s="9"/>
      <c r="H778" s="9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4"/>
      <c r="U778" s="10"/>
      <c r="V778" s="10"/>
      <c r="W778" s="10"/>
      <c r="X778" s="7"/>
      <c r="Y778" s="7"/>
      <c r="Z778" s="7"/>
      <c r="AA778" s="34"/>
      <c r="AB778" s="7"/>
      <c r="AC778" s="34"/>
      <c r="AD778" s="10"/>
      <c r="AF778"/>
    </row>
    <row r="779" spans="1:32" x14ac:dyDescent="0.25">
      <c r="A779" s="7"/>
      <c r="C779" s="70"/>
      <c r="D779" s="70"/>
      <c r="E779" s="73"/>
      <c r="F779" s="9"/>
      <c r="H779" s="9"/>
      <c r="I779" s="10"/>
      <c r="J779" s="10"/>
      <c r="K779" s="24"/>
      <c r="L779" s="10"/>
      <c r="M779" s="10"/>
      <c r="N779" s="10"/>
      <c r="O779" s="10"/>
      <c r="P779" s="10"/>
      <c r="Q779" s="10"/>
      <c r="R779" s="10"/>
      <c r="S779" s="10"/>
      <c r="T779" s="14"/>
      <c r="U779" s="10"/>
      <c r="V779" s="10"/>
      <c r="W779" s="10"/>
      <c r="X779" s="7"/>
      <c r="Y779" s="7"/>
      <c r="Z779" s="7"/>
      <c r="AA779" s="34"/>
      <c r="AB779" s="7"/>
      <c r="AC779" s="34"/>
      <c r="AD779" s="10"/>
      <c r="AF779"/>
    </row>
    <row r="780" spans="1:32" x14ac:dyDescent="0.25">
      <c r="A780" s="7"/>
      <c r="C780" s="70"/>
      <c r="D780" s="70"/>
      <c r="E780" s="73"/>
      <c r="F780" s="48"/>
      <c r="H780" s="9"/>
      <c r="I780" s="10"/>
      <c r="J780" s="10"/>
      <c r="K780" s="7"/>
      <c r="L780" s="10"/>
      <c r="M780" s="10"/>
      <c r="N780" s="10"/>
      <c r="O780" s="10"/>
      <c r="P780" s="10"/>
      <c r="Q780" s="10"/>
      <c r="R780" s="10"/>
      <c r="S780" s="10"/>
      <c r="T780" s="14"/>
      <c r="U780" s="10"/>
      <c r="V780" s="10"/>
      <c r="W780" s="10"/>
      <c r="X780" s="7"/>
      <c r="Y780" s="7"/>
      <c r="Z780" s="7"/>
      <c r="AA780" s="34"/>
      <c r="AB780" s="7"/>
      <c r="AC780" s="34"/>
      <c r="AD780" s="10"/>
      <c r="AF780"/>
    </row>
    <row r="781" spans="1:32" x14ac:dyDescent="0.25">
      <c r="A781" s="7"/>
      <c r="C781" s="70"/>
      <c r="D781" s="70"/>
      <c r="E781" s="73"/>
      <c r="F781" s="45"/>
      <c r="H781" s="9"/>
      <c r="I781" s="10"/>
      <c r="J781" s="7"/>
      <c r="K781" s="7"/>
      <c r="L781" s="10"/>
      <c r="M781" s="10"/>
      <c r="N781" s="10"/>
      <c r="O781" s="10"/>
      <c r="P781" s="10"/>
      <c r="Q781" s="10"/>
      <c r="R781" s="10"/>
      <c r="S781" s="10"/>
      <c r="T781" s="14"/>
      <c r="U781" s="10"/>
      <c r="V781" s="10"/>
      <c r="W781" s="10"/>
      <c r="X781" s="7"/>
      <c r="Y781" s="34"/>
      <c r="Z781" s="7"/>
      <c r="AA781" s="34"/>
      <c r="AB781" s="7"/>
      <c r="AC781" s="34"/>
      <c r="AD781" s="10"/>
      <c r="AF781"/>
    </row>
    <row r="782" spans="1:32" x14ac:dyDescent="0.25">
      <c r="A782" s="7"/>
      <c r="C782" s="70"/>
      <c r="D782" s="70"/>
      <c r="E782" s="73"/>
      <c r="F782" s="9"/>
      <c r="H782" s="9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4"/>
      <c r="U782" s="10"/>
      <c r="V782" s="10"/>
      <c r="W782" s="10"/>
      <c r="X782" s="7"/>
      <c r="Y782" s="7"/>
      <c r="Z782" s="7"/>
      <c r="AA782" s="34"/>
      <c r="AB782" s="7"/>
      <c r="AC782" s="34"/>
      <c r="AD782" s="10"/>
      <c r="AF782"/>
    </row>
    <row r="783" spans="1:32" x14ac:dyDescent="0.25">
      <c r="A783" s="7"/>
      <c r="C783" s="70"/>
      <c r="D783" s="70"/>
      <c r="E783" s="73"/>
      <c r="F783" s="9"/>
      <c r="H783" s="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4"/>
      <c r="U783" s="10"/>
      <c r="V783" s="10"/>
      <c r="W783" s="10"/>
      <c r="X783" s="7"/>
      <c r="Y783" s="7"/>
      <c r="Z783" s="7"/>
      <c r="AA783" s="34"/>
      <c r="AB783" s="7"/>
      <c r="AC783" s="34"/>
      <c r="AD783" s="10"/>
      <c r="AF783"/>
    </row>
    <row r="784" spans="1:32" x14ac:dyDescent="0.25">
      <c r="A784" s="7"/>
      <c r="C784" s="70"/>
      <c r="D784" s="70"/>
      <c r="E784" s="73"/>
      <c r="F784" s="9"/>
      <c r="H784" s="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4"/>
      <c r="U784" s="10"/>
      <c r="V784" s="10"/>
      <c r="W784" s="10"/>
      <c r="X784" s="7"/>
      <c r="Y784" s="7"/>
      <c r="Z784" s="34"/>
      <c r="AA784" s="34"/>
      <c r="AB784" s="7"/>
      <c r="AC784" s="34"/>
      <c r="AD784" s="10"/>
      <c r="AF784"/>
    </row>
    <row r="785" spans="1:32" x14ac:dyDescent="0.25">
      <c r="A785" s="7"/>
      <c r="C785" s="70"/>
      <c r="D785" s="70"/>
      <c r="E785" s="73"/>
      <c r="F785" s="9"/>
      <c r="H785" s="9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4"/>
      <c r="U785" s="10"/>
      <c r="V785" s="10"/>
      <c r="W785" s="10"/>
      <c r="X785" s="7"/>
      <c r="Y785" s="7"/>
      <c r="Z785" s="7"/>
      <c r="AA785" s="34"/>
      <c r="AB785" s="7"/>
      <c r="AC785" s="34"/>
      <c r="AD785" s="10"/>
      <c r="AF785"/>
    </row>
    <row r="786" spans="1:32" x14ac:dyDescent="0.25">
      <c r="A786" s="43"/>
      <c r="C786" s="70"/>
      <c r="D786" s="70"/>
      <c r="E786" s="73"/>
      <c r="F786" s="9"/>
      <c r="H786" s="9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4"/>
      <c r="U786" s="10"/>
      <c r="V786" s="10"/>
      <c r="W786" s="10"/>
      <c r="X786" s="7"/>
      <c r="Y786" s="7"/>
      <c r="Z786" s="7"/>
      <c r="AA786" s="34"/>
      <c r="AB786" s="7"/>
      <c r="AC786" s="34"/>
      <c r="AD786" s="10"/>
      <c r="AF786"/>
    </row>
    <row r="787" spans="1:32" x14ac:dyDescent="0.25">
      <c r="A787" s="7"/>
      <c r="C787" s="70"/>
      <c r="D787" s="70"/>
      <c r="E787" s="73"/>
      <c r="F787" s="9"/>
      <c r="H787" s="9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4"/>
      <c r="U787" s="10"/>
      <c r="V787" s="10"/>
      <c r="W787" s="10"/>
      <c r="X787" s="7"/>
      <c r="Y787" s="7"/>
      <c r="Z787" s="7"/>
      <c r="AA787" s="34"/>
      <c r="AB787" s="7"/>
      <c r="AC787" s="34"/>
      <c r="AD787" s="10"/>
      <c r="AF787"/>
    </row>
    <row r="788" spans="1:32" x14ac:dyDescent="0.25">
      <c r="A788" s="7"/>
      <c r="C788" s="70"/>
      <c r="D788" s="70"/>
      <c r="E788" s="73"/>
      <c r="F788" s="9"/>
      <c r="H788" s="9"/>
      <c r="I788" s="10"/>
      <c r="J788" s="7"/>
      <c r="K788" s="7"/>
      <c r="L788" s="10"/>
      <c r="M788" s="10"/>
      <c r="N788" s="10"/>
      <c r="O788" s="10"/>
      <c r="P788" s="10"/>
      <c r="Q788" s="10"/>
      <c r="R788" s="10"/>
      <c r="S788" s="10"/>
      <c r="T788" s="14"/>
      <c r="U788" s="10"/>
      <c r="V788" s="10"/>
      <c r="W788" s="10"/>
      <c r="X788" s="7"/>
      <c r="Y788" s="7"/>
      <c r="Z788" s="7"/>
      <c r="AA788" s="34"/>
      <c r="AB788" s="7"/>
      <c r="AC788" s="34"/>
      <c r="AD788" s="10"/>
      <c r="AF788"/>
    </row>
    <row r="789" spans="1:32" x14ac:dyDescent="0.25">
      <c r="A789" s="7"/>
      <c r="C789" s="70"/>
      <c r="D789" s="70"/>
      <c r="E789" s="73"/>
      <c r="F789" s="9"/>
      <c r="H789" s="9"/>
      <c r="I789" s="62"/>
      <c r="J789" s="7"/>
      <c r="K789" s="7"/>
      <c r="L789" s="10"/>
      <c r="M789" s="10"/>
      <c r="N789" s="10"/>
      <c r="O789" s="10"/>
      <c r="P789" s="10"/>
      <c r="Q789" s="10"/>
      <c r="R789" s="10"/>
      <c r="S789" s="10"/>
      <c r="T789" s="14"/>
      <c r="U789" s="10"/>
      <c r="V789" s="10"/>
      <c r="W789" s="10"/>
      <c r="X789" s="7"/>
      <c r="Y789" s="7"/>
      <c r="Z789" s="7"/>
      <c r="AA789" s="34"/>
      <c r="AB789" s="7"/>
      <c r="AC789" s="34"/>
      <c r="AD789" s="10"/>
      <c r="AF789"/>
    </row>
    <row r="790" spans="1:32" x14ac:dyDescent="0.25">
      <c r="A790" s="7"/>
      <c r="C790" s="70"/>
      <c r="D790" s="70"/>
      <c r="E790" s="73"/>
      <c r="F790" s="9"/>
      <c r="H790" s="9"/>
      <c r="I790" s="10"/>
      <c r="J790" s="7"/>
      <c r="K790" s="24"/>
      <c r="L790" s="10"/>
      <c r="M790" s="10"/>
      <c r="N790" s="10"/>
      <c r="O790" s="10"/>
      <c r="P790" s="10"/>
      <c r="Q790" s="10"/>
      <c r="R790" s="10"/>
      <c r="S790" s="10"/>
      <c r="T790" s="14"/>
      <c r="U790" s="10"/>
      <c r="V790" s="10"/>
      <c r="W790" s="10"/>
      <c r="X790" s="7"/>
      <c r="Y790" s="7"/>
      <c r="Z790" s="7"/>
      <c r="AA790" s="34"/>
      <c r="AB790" s="7"/>
      <c r="AC790" s="34"/>
      <c r="AD790" s="10"/>
      <c r="AF790"/>
    </row>
    <row r="791" spans="1:32" x14ac:dyDescent="0.25">
      <c r="A791" s="7"/>
      <c r="C791" s="70"/>
      <c r="D791" s="70"/>
      <c r="E791" s="73"/>
      <c r="F791" s="9"/>
      <c r="H791" s="9"/>
      <c r="I791" s="10"/>
      <c r="J791" s="10"/>
      <c r="K791" s="7"/>
      <c r="L791" s="10"/>
      <c r="M791" s="10"/>
      <c r="N791" s="10"/>
      <c r="O791" s="10"/>
      <c r="P791" s="10"/>
      <c r="Q791" s="10"/>
      <c r="R791" s="10"/>
      <c r="S791" s="10"/>
      <c r="T791" s="14"/>
      <c r="U791" s="10"/>
      <c r="V791" s="10"/>
      <c r="W791" s="10"/>
      <c r="X791" s="7"/>
      <c r="Y791" s="7"/>
      <c r="Z791" s="7"/>
      <c r="AA791" s="34"/>
      <c r="AB791" s="7"/>
      <c r="AC791" s="34"/>
      <c r="AD791" s="10"/>
      <c r="AF791"/>
    </row>
    <row r="792" spans="1:32" x14ac:dyDescent="0.25">
      <c r="A792" s="7"/>
      <c r="C792" s="70"/>
      <c r="D792" s="70"/>
      <c r="E792" s="73"/>
      <c r="F792" s="9"/>
      <c r="H792" s="9"/>
      <c r="I792" s="10"/>
      <c r="J792" s="7"/>
      <c r="K792" s="7"/>
      <c r="L792" s="10"/>
      <c r="M792" s="10"/>
      <c r="N792" s="10"/>
      <c r="O792" s="10"/>
      <c r="P792" s="10"/>
      <c r="Q792" s="10"/>
      <c r="R792" s="10"/>
      <c r="S792" s="10"/>
      <c r="T792" s="14"/>
      <c r="U792" s="10"/>
      <c r="V792" s="10"/>
      <c r="W792" s="10"/>
      <c r="X792" s="7"/>
      <c r="Y792" s="7"/>
      <c r="Z792" s="7"/>
      <c r="AA792" s="34"/>
      <c r="AB792" s="7"/>
      <c r="AC792" s="34"/>
      <c r="AD792" s="10"/>
      <c r="AF792"/>
    </row>
    <row r="793" spans="1:32" x14ac:dyDescent="0.25">
      <c r="A793" s="7"/>
      <c r="C793" s="70"/>
      <c r="D793" s="70"/>
      <c r="E793" s="73"/>
      <c r="F793" s="9"/>
      <c r="H793" s="9"/>
      <c r="I793" s="10"/>
      <c r="J793" s="7"/>
      <c r="K793" s="7"/>
      <c r="L793" s="10"/>
      <c r="M793" s="10"/>
      <c r="N793" s="10"/>
      <c r="O793" s="10"/>
      <c r="P793" s="10"/>
      <c r="Q793" s="10"/>
      <c r="R793" s="10"/>
      <c r="S793" s="10"/>
      <c r="T793" s="14"/>
      <c r="U793" s="10"/>
      <c r="V793" s="10"/>
      <c r="W793" s="10"/>
      <c r="X793" s="7"/>
      <c r="Y793" s="7"/>
      <c r="Z793" s="7"/>
      <c r="AA793" s="34"/>
      <c r="AB793" s="7"/>
      <c r="AC793" s="34"/>
      <c r="AD793" s="10"/>
      <c r="AF793"/>
    </row>
    <row r="794" spans="1:32" x14ac:dyDescent="0.25">
      <c r="A794" s="7"/>
      <c r="C794" s="70"/>
      <c r="D794" s="70"/>
      <c r="E794" s="73"/>
      <c r="F794" s="9"/>
      <c r="H794" s="9"/>
      <c r="I794" s="10"/>
      <c r="J794" s="7"/>
      <c r="K794" s="7"/>
      <c r="L794" s="10"/>
      <c r="M794" s="10"/>
      <c r="N794" s="10"/>
      <c r="O794" s="10"/>
      <c r="P794" s="10"/>
      <c r="Q794" s="10"/>
      <c r="R794" s="10"/>
      <c r="S794" s="10"/>
      <c r="T794" s="14"/>
      <c r="U794" s="10"/>
      <c r="V794" s="10"/>
      <c r="W794" s="10"/>
      <c r="X794" s="7"/>
      <c r="Y794" s="7"/>
      <c r="Z794" s="7"/>
      <c r="AA794" s="34"/>
      <c r="AB794" s="7"/>
      <c r="AC794" s="34"/>
      <c r="AD794" s="10"/>
      <c r="AF794"/>
    </row>
    <row r="795" spans="1:32" x14ac:dyDescent="0.25">
      <c r="A795" s="7"/>
      <c r="C795" s="70"/>
      <c r="D795" s="70"/>
      <c r="E795" s="73"/>
      <c r="F795" s="45"/>
      <c r="H795" s="9"/>
      <c r="I795" s="10"/>
      <c r="J795" s="7"/>
      <c r="K795" s="7"/>
      <c r="L795" s="10"/>
      <c r="M795" s="10"/>
      <c r="N795" s="10"/>
      <c r="O795" s="10"/>
      <c r="P795" s="10"/>
      <c r="Q795" s="10"/>
      <c r="R795" s="10"/>
      <c r="S795" s="10"/>
      <c r="T795" s="14"/>
      <c r="U795" s="10"/>
      <c r="V795" s="10"/>
      <c r="W795" s="10"/>
      <c r="X795" s="34"/>
      <c r="Y795" s="34"/>
      <c r="Z795" s="7"/>
      <c r="AA795" s="34"/>
      <c r="AB795" s="7"/>
      <c r="AC795" s="34"/>
      <c r="AD795" s="10"/>
      <c r="AF795"/>
    </row>
    <row r="796" spans="1:32" x14ac:dyDescent="0.25">
      <c r="A796" s="7"/>
      <c r="C796" s="70"/>
      <c r="D796" s="70"/>
      <c r="E796" s="73"/>
      <c r="F796" s="9"/>
      <c r="H796" s="9"/>
      <c r="I796" s="10"/>
      <c r="J796" s="61"/>
      <c r="K796" s="10"/>
      <c r="L796" s="10"/>
      <c r="M796" s="10"/>
      <c r="N796" s="10"/>
      <c r="O796" s="10"/>
      <c r="P796" s="10"/>
      <c r="Q796" s="10"/>
      <c r="R796" s="10"/>
      <c r="S796" s="10"/>
      <c r="T796" s="14"/>
      <c r="U796" s="10"/>
      <c r="V796" s="10"/>
      <c r="W796" s="10"/>
      <c r="X796" s="7"/>
      <c r="Y796" s="7"/>
      <c r="Z796" s="7"/>
      <c r="AA796" s="34"/>
      <c r="AB796" s="7"/>
      <c r="AC796" s="34"/>
      <c r="AD796" s="10"/>
      <c r="AF796"/>
    </row>
    <row r="797" spans="1:32" x14ac:dyDescent="0.25">
      <c r="A797" s="7"/>
      <c r="C797" s="70"/>
      <c r="D797" s="70"/>
      <c r="E797" s="73"/>
      <c r="F797" s="9"/>
      <c r="H797" s="9"/>
      <c r="I797" s="10"/>
      <c r="J797" s="7"/>
      <c r="K797" s="7"/>
      <c r="L797" s="10"/>
      <c r="M797" s="10"/>
      <c r="N797" s="10"/>
      <c r="O797" s="10"/>
      <c r="P797" s="10"/>
      <c r="Q797" s="10"/>
      <c r="R797" s="10"/>
      <c r="S797" s="10"/>
      <c r="T797" s="14"/>
      <c r="U797" s="10"/>
      <c r="V797" s="10"/>
      <c r="W797" s="10"/>
      <c r="X797" s="7"/>
      <c r="Y797" s="7"/>
      <c r="Z797" s="7"/>
      <c r="AA797" s="34"/>
      <c r="AB797" s="7"/>
      <c r="AC797" s="34"/>
      <c r="AD797" s="10"/>
      <c r="AF797"/>
    </row>
    <row r="798" spans="1:32" x14ac:dyDescent="0.25">
      <c r="A798" s="7"/>
      <c r="C798" s="70"/>
      <c r="D798" s="70"/>
      <c r="E798" s="73"/>
      <c r="F798" s="9"/>
      <c r="H798" s="9"/>
      <c r="I798" s="10"/>
      <c r="J798" s="7"/>
      <c r="K798" s="7"/>
      <c r="L798" s="10"/>
      <c r="M798" s="10"/>
      <c r="N798" s="10"/>
      <c r="O798" s="10"/>
      <c r="P798" s="10"/>
      <c r="Q798" s="10"/>
      <c r="R798" s="10"/>
      <c r="S798" s="10"/>
      <c r="T798" s="14"/>
      <c r="U798" s="10"/>
      <c r="V798" s="10"/>
      <c r="W798" s="10"/>
      <c r="X798" s="7"/>
      <c r="Y798" s="7"/>
      <c r="Z798" s="7"/>
      <c r="AA798" s="34"/>
      <c r="AB798" s="7"/>
      <c r="AC798" s="34"/>
      <c r="AD798" s="10"/>
      <c r="AF798"/>
    </row>
    <row r="799" spans="1:32" x14ac:dyDescent="0.25">
      <c r="A799" s="7"/>
      <c r="C799" s="70"/>
      <c r="D799" s="70"/>
      <c r="E799" s="73"/>
      <c r="F799" s="9"/>
      <c r="H799" s="9"/>
      <c r="I799" s="10"/>
      <c r="J799" s="10"/>
      <c r="K799" s="24"/>
      <c r="L799" s="10"/>
      <c r="M799" s="10"/>
      <c r="N799" s="10"/>
      <c r="O799" s="10"/>
      <c r="P799" s="10"/>
      <c r="Q799" s="10"/>
      <c r="R799" s="10"/>
      <c r="S799" s="10"/>
      <c r="T799" s="14"/>
      <c r="U799" s="10"/>
      <c r="V799" s="10"/>
      <c r="W799" s="10"/>
      <c r="X799" s="7"/>
      <c r="Y799" s="7"/>
      <c r="Z799" s="7"/>
      <c r="AA799" s="34"/>
      <c r="AB799" s="7"/>
      <c r="AC799" s="34"/>
      <c r="AD799" s="10"/>
      <c r="AF799"/>
    </row>
    <row r="800" spans="1:32" x14ac:dyDescent="0.25">
      <c r="A800" s="7"/>
      <c r="C800" s="70"/>
      <c r="D800" s="70"/>
      <c r="E800" s="73"/>
      <c r="F800" s="9"/>
      <c r="H800" s="9"/>
      <c r="I800" s="10"/>
      <c r="J800" s="10"/>
      <c r="K800" s="7"/>
      <c r="L800" s="10"/>
      <c r="M800" s="10"/>
      <c r="N800" s="10"/>
      <c r="O800" s="10"/>
      <c r="P800" s="10"/>
      <c r="Q800" s="10"/>
      <c r="R800" s="10"/>
      <c r="S800" s="10"/>
      <c r="T800" s="14"/>
      <c r="U800" s="10"/>
      <c r="V800" s="10"/>
      <c r="W800" s="10"/>
      <c r="X800" s="7"/>
      <c r="Y800" s="7"/>
      <c r="Z800" s="7"/>
      <c r="AA800" s="34"/>
      <c r="AB800" s="7"/>
      <c r="AC800" s="34"/>
      <c r="AD800" s="10"/>
      <c r="AF800"/>
    </row>
    <row r="801" spans="1:32" x14ac:dyDescent="0.25">
      <c r="A801" s="7"/>
      <c r="C801" s="70"/>
      <c r="D801" s="70"/>
      <c r="E801" s="73"/>
      <c r="F801" s="9"/>
      <c r="H801" s="9"/>
      <c r="I801" s="10"/>
      <c r="J801" s="10"/>
      <c r="K801" s="7"/>
      <c r="L801" s="10"/>
      <c r="M801" s="10"/>
      <c r="N801" s="10"/>
      <c r="O801" s="10"/>
      <c r="P801" s="10"/>
      <c r="Q801" s="10"/>
      <c r="R801" s="10"/>
      <c r="S801" s="10"/>
      <c r="T801" s="14"/>
      <c r="U801" s="10"/>
      <c r="V801" s="10"/>
      <c r="W801" s="10"/>
      <c r="X801" s="7"/>
      <c r="Y801" s="7"/>
      <c r="Z801" s="7"/>
      <c r="AA801" s="34"/>
      <c r="AB801" s="7"/>
      <c r="AC801" s="34"/>
      <c r="AD801" s="10"/>
      <c r="AF801"/>
    </row>
    <row r="802" spans="1:32" x14ac:dyDescent="0.25">
      <c r="A802" s="7"/>
      <c r="C802" s="70"/>
      <c r="D802" s="70"/>
      <c r="E802" s="73"/>
      <c r="F802" s="48"/>
      <c r="H802" s="9"/>
      <c r="I802" s="10"/>
      <c r="J802" s="7"/>
      <c r="K802" s="24"/>
      <c r="L802" s="10"/>
      <c r="M802" s="10"/>
      <c r="N802" s="10"/>
      <c r="O802" s="10"/>
      <c r="P802" s="10"/>
      <c r="Q802" s="10"/>
      <c r="R802" s="10"/>
      <c r="S802" s="10"/>
      <c r="T802" s="14"/>
      <c r="U802" s="10"/>
      <c r="V802" s="10"/>
      <c r="W802" s="10"/>
      <c r="X802" s="7"/>
      <c r="Y802" s="7"/>
      <c r="Z802" s="7"/>
      <c r="AA802" s="34"/>
      <c r="AB802" s="7"/>
      <c r="AC802" s="34"/>
      <c r="AD802" s="10"/>
      <c r="AF802"/>
    </row>
    <row r="803" spans="1:32" x14ac:dyDescent="0.25">
      <c r="A803" s="7"/>
      <c r="C803" s="70"/>
      <c r="D803" s="70"/>
      <c r="E803" s="73"/>
      <c r="F803" s="48"/>
      <c r="H803" s="9"/>
      <c r="I803" s="10"/>
      <c r="J803" s="7"/>
      <c r="K803" s="24"/>
      <c r="L803" s="10"/>
      <c r="M803" s="10"/>
      <c r="N803" s="10"/>
      <c r="O803" s="10"/>
      <c r="P803" s="10"/>
      <c r="Q803" s="10"/>
      <c r="R803" s="10"/>
      <c r="S803" s="10"/>
      <c r="T803" s="14"/>
      <c r="U803" s="10"/>
      <c r="V803" s="10"/>
      <c r="W803" s="10"/>
      <c r="X803" s="7"/>
      <c r="Y803" s="7"/>
      <c r="Z803" s="7"/>
      <c r="AA803" s="34"/>
      <c r="AB803" s="7"/>
      <c r="AC803" s="34"/>
      <c r="AD803" s="10"/>
      <c r="AF803"/>
    </row>
    <row r="804" spans="1:32" x14ac:dyDescent="0.25">
      <c r="A804" s="7"/>
      <c r="C804" s="70"/>
      <c r="D804" s="70"/>
      <c r="E804" s="73"/>
      <c r="F804" s="48"/>
      <c r="H804" s="9"/>
      <c r="I804" s="10"/>
      <c r="J804" s="7"/>
      <c r="K804" s="24"/>
      <c r="L804" s="10"/>
      <c r="M804" s="10"/>
      <c r="N804" s="10"/>
      <c r="O804" s="10"/>
      <c r="P804" s="10"/>
      <c r="Q804" s="10"/>
      <c r="R804" s="10"/>
      <c r="S804" s="10"/>
      <c r="T804" s="14"/>
      <c r="U804" s="10"/>
      <c r="V804" s="10"/>
      <c r="W804" s="10"/>
      <c r="X804" s="7"/>
      <c r="Y804" s="7"/>
      <c r="Z804" s="7"/>
      <c r="AA804" s="34"/>
      <c r="AB804" s="7"/>
      <c r="AC804" s="34"/>
      <c r="AD804" s="10"/>
      <c r="AF804"/>
    </row>
    <row r="805" spans="1:32" x14ac:dyDescent="0.25">
      <c r="A805" s="7"/>
      <c r="C805" s="70"/>
      <c r="D805" s="70"/>
      <c r="E805" s="73"/>
      <c r="F805" s="9"/>
      <c r="H805" s="9"/>
      <c r="I805" s="10"/>
      <c r="J805" s="61"/>
      <c r="K805" s="10"/>
      <c r="L805" s="10"/>
      <c r="M805" s="10"/>
      <c r="N805" s="10"/>
      <c r="O805" s="10"/>
      <c r="P805" s="10"/>
      <c r="Q805" s="10"/>
      <c r="R805" s="10"/>
      <c r="S805" s="10"/>
      <c r="T805" s="14"/>
      <c r="U805" s="10"/>
      <c r="V805" s="10"/>
      <c r="W805" s="10"/>
      <c r="X805" s="7"/>
      <c r="Y805" s="7"/>
      <c r="Z805" s="7"/>
      <c r="AA805" s="34"/>
      <c r="AB805" s="7"/>
      <c r="AC805" s="34"/>
      <c r="AD805" s="10"/>
      <c r="AF805"/>
    </row>
    <row r="806" spans="1:32" x14ac:dyDescent="0.25">
      <c r="A806" s="7"/>
      <c r="C806" s="70"/>
      <c r="D806" s="70"/>
      <c r="E806" s="73"/>
      <c r="F806" s="9"/>
      <c r="H806" s="9"/>
      <c r="I806" s="10"/>
      <c r="J806" s="7"/>
      <c r="K806" s="7"/>
      <c r="L806" s="10"/>
      <c r="M806" s="10"/>
      <c r="N806" s="10"/>
      <c r="O806" s="10"/>
      <c r="P806" s="10"/>
      <c r="Q806" s="10"/>
      <c r="R806" s="10"/>
      <c r="S806" s="10"/>
      <c r="T806" s="14"/>
      <c r="U806" s="10"/>
      <c r="V806" s="10"/>
      <c r="W806" s="10"/>
      <c r="X806" s="7"/>
      <c r="Y806" s="7"/>
      <c r="Z806" s="7"/>
      <c r="AA806" s="34"/>
      <c r="AB806" s="7"/>
      <c r="AC806" s="34"/>
      <c r="AD806" s="10"/>
      <c r="AF806"/>
    </row>
    <row r="807" spans="1:32" x14ac:dyDescent="0.25">
      <c r="A807" s="7"/>
      <c r="C807" s="70"/>
      <c r="D807" s="70"/>
      <c r="E807" s="73"/>
      <c r="F807" s="9"/>
      <c r="H807" s="9"/>
      <c r="I807" s="10"/>
      <c r="J807" s="7"/>
      <c r="K807" s="7"/>
      <c r="L807" s="10"/>
      <c r="M807" s="10"/>
      <c r="N807" s="10"/>
      <c r="O807" s="10"/>
      <c r="P807" s="10"/>
      <c r="Q807" s="10"/>
      <c r="R807" s="10"/>
      <c r="S807" s="10"/>
      <c r="T807" s="14"/>
      <c r="U807" s="10"/>
      <c r="V807" s="10"/>
      <c r="W807" s="10"/>
      <c r="X807" s="7"/>
      <c r="Y807" s="7"/>
      <c r="Z807" s="7"/>
      <c r="AA807" s="34"/>
      <c r="AB807" s="7"/>
      <c r="AC807" s="34"/>
      <c r="AD807" s="10"/>
      <c r="AF807"/>
    </row>
    <row r="808" spans="1:32" x14ac:dyDescent="0.25">
      <c r="A808" s="7"/>
      <c r="C808" s="70"/>
      <c r="D808" s="70"/>
      <c r="E808" s="73"/>
      <c r="F808" s="9"/>
      <c r="H808" s="9"/>
      <c r="I808" s="10"/>
      <c r="J808" s="7"/>
      <c r="K808" s="7"/>
      <c r="L808" s="10"/>
      <c r="M808" s="10"/>
      <c r="N808" s="10"/>
      <c r="O808" s="10"/>
      <c r="P808" s="10"/>
      <c r="Q808" s="10"/>
      <c r="R808" s="10"/>
      <c r="S808" s="10"/>
      <c r="T808" s="14"/>
      <c r="U808" s="10"/>
      <c r="V808" s="10"/>
      <c r="W808" s="10"/>
      <c r="X808" s="7"/>
      <c r="Y808" s="7"/>
      <c r="Z808" s="34"/>
      <c r="AA808" s="34"/>
      <c r="AB808" s="7"/>
      <c r="AC808" s="34"/>
      <c r="AD808" s="10"/>
      <c r="AF808"/>
    </row>
    <row r="809" spans="1:32" x14ac:dyDescent="0.25">
      <c r="A809" s="7"/>
      <c r="C809" s="70"/>
      <c r="D809" s="70"/>
      <c r="E809" s="79"/>
      <c r="F809" s="41"/>
      <c r="G809" s="41"/>
      <c r="H809" s="9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4"/>
      <c r="U809" s="10"/>
      <c r="V809" s="10"/>
      <c r="W809" s="10"/>
      <c r="X809" s="7"/>
      <c r="Y809" s="7"/>
      <c r="Z809" s="34"/>
      <c r="AA809" s="34"/>
      <c r="AB809" s="7"/>
      <c r="AC809" s="34"/>
      <c r="AD809" s="10"/>
      <c r="AF809"/>
    </row>
    <row r="810" spans="1:32" x14ac:dyDescent="0.25">
      <c r="A810" s="7"/>
      <c r="C810" s="70"/>
      <c r="D810" s="70"/>
      <c r="E810" s="73"/>
      <c r="F810" s="9"/>
      <c r="H810" s="9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4"/>
      <c r="U810" s="10"/>
      <c r="V810" s="10"/>
      <c r="W810" s="10"/>
      <c r="X810" s="7"/>
      <c r="Y810" s="7"/>
      <c r="Z810" s="7"/>
      <c r="AA810" s="34"/>
      <c r="AB810" s="7"/>
      <c r="AC810" s="34"/>
      <c r="AD810" s="10"/>
      <c r="AF810"/>
    </row>
    <row r="811" spans="1:32" x14ac:dyDescent="0.25">
      <c r="A811" s="7"/>
      <c r="C811" s="70"/>
      <c r="D811" s="70"/>
      <c r="E811" s="73"/>
      <c r="F811" s="48"/>
      <c r="H811" s="9"/>
      <c r="I811" s="10"/>
      <c r="J811" s="7"/>
      <c r="K811" s="7"/>
      <c r="L811" s="10"/>
      <c r="M811" s="10"/>
      <c r="N811" s="10"/>
      <c r="O811" s="10"/>
      <c r="P811" s="10"/>
      <c r="Q811" s="10"/>
      <c r="R811" s="10"/>
      <c r="S811" s="10"/>
      <c r="T811" s="14"/>
      <c r="U811" s="10"/>
      <c r="V811" s="10"/>
      <c r="W811" s="10"/>
      <c r="X811" s="7"/>
      <c r="Y811" s="7"/>
      <c r="Z811" s="7"/>
      <c r="AA811" s="34"/>
      <c r="AB811" s="7"/>
      <c r="AC811" s="34"/>
      <c r="AD811" s="10"/>
      <c r="AF811"/>
    </row>
    <row r="812" spans="1:32" x14ac:dyDescent="0.25">
      <c r="A812" s="7"/>
      <c r="C812" s="70"/>
      <c r="D812" s="70"/>
      <c r="E812" s="73"/>
      <c r="F812" s="9"/>
      <c r="H812" s="9"/>
      <c r="I812" s="10"/>
      <c r="J812" s="7"/>
      <c r="K812" s="7"/>
      <c r="L812" s="10"/>
      <c r="M812" s="10"/>
      <c r="N812" s="10"/>
      <c r="O812" s="10"/>
      <c r="P812" s="10"/>
      <c r="Q812" s="10"/>
      <c r="R812" s="10"/>
      <c r="S812" s="10"/>
      <c r="T812" s="14"/>
      <c r="U812" s="10"/>
      <c r="V812" s="10"/>
      <c r="W812" s="10"/>
      <c r="X812" s="7"/>
      <c r="Y812" s="7"/>
      <c r="Z812" s="7"/>
      <c r="AA812" s="34"/>
      <c r="AB812" s="7"/>
      <c r="AC812" s="34"/>
      <c r="AD812" s="10"/>
      <c r="AF812"/>
    </row>
    <row r="813" spans="1:32" x14ac:dyDescent="0.25">
      <c r="A813" s="7"/>
      <c r="C813" s="70"/>
      <c r="D813" s="70"/>
      <c r="E813" s="73"/>
      <c r="F813" s="9"/>
      <c r="H813" s="9"/>
      <c r="I813" s="10"/>
      <c r="J813" s="7"/>
      <c r="K813" s="7"/>
      <c r="L813" s="10"/>
      <c r="M813" s="10"/>
      <c r="N813" s="10"/>
      <c r="O813" s="10"/>
      <c r="P813" s="10"/>
      <c r="Q813" s="10"/>
      <c r="R813" s="10"/>
      <c r="S813" s="10"/>
      <c r="T813" s="14"/>
      <c r="U813" s="10"/>
      <c r="V813" s="10"/>
      <c r="W813" s="10"/>
      <c r="X813" s="7"/>
      <c r="Y813" s="7"/>
      <c r="Z813" s="7"/>
      <c r="AA813" s="34"/>
      <c r="AB813" s="7"/>
      <c r="AC813" s="34"/>
      <c r="AD813" s="10"/>
      <c r="AF813"/>
    </row>
    <row r="814" spans="1:32" x14ac:dyDescent="0.25">
      <c r="A814" s="7"/>
      <c r="C814" s="70"/>
      <c r="D814" s="70"/>
      <c r="E814" s="73"/>
      <c r="F814" s="9"/>
      <c r="H814" s="9"/>
      <c r="I814" s="10"/>
      <c r="J814" s="7"/>
      <c r="K814" s="7"/>
      <c r="L814" s="10"/>
      <c r="M814" s="10"/>
      <c r="N814" s="10"/>
      <c r="O814" s="10"/>
      <c r="P814" s="10"/>
      <c r="Q814" s="10"/>
      <c r="R814" s="10"/>
      <c r="S814" s="10"/>
      <c r="T814" s="14"/>
      <c r="U814" s="10"/>
      <c r="V814" s="10"/>
      <c r="W814" s="10"/>
      <c r="X814" s="7"/>
      <c r="Y814" s="7"/>
      <c r="Z814" s="7"/>
      <c r="AA814" s="34"/>
      <c r="AB814" s="7"/>
      <c r="AC814" s="34"/>
      <c r="AD814" s="10"/>
      <c r="AF814"/>
    </row>
    <row r="815" spans="1:32" x14ac:dyDescent="0.25">
      <c r="A815" s="7"/>
      <c r="C815" s="70"/>
      <c r="D815" s="70"/>
      <c r="E815" s="73"/>
      <c r="F815" s="9"/>
      <c r="H815" s="9"/>
      <c r="I815" s="10"/>
      <c r="J815" s="10"/>
      <c r="K815" s="7"/>
      <c r="L815" s="10"/>
      <c r="M815" s="10"/>
      <c r="N815" s="10"/>
      <c r="O815" s="10"/>
      <c r="P815" s="10"/>
      <c r="Q815" s="10"/>
      <c r="R815" s="10"/>
      <c r="S815" s="10"/>
      <c r="T815" s="14"/>
      <c r="U815" s="10"/>
      <c r="V815" s="10"/>
      <c r="W815" s="10"/>
      <c r="X815" s="7"/>
      <c r="Y815" s="7"/>
      <c r="Z815" s="7"/>
      <c r="AA815" s="34"/>
      <c r="AB815" s="7"/>
      <c r="AC815" s="34"/>
      <c r="AD815" s="10"/>
      <c r="AF815"/>
    </row>
    <row r="816" spans="1:32" x14ac:dyDescent="0.25">
      <c r="A816" s="7"/>
      <c r="C816" s="70"/>
      <c r="D816" s="70"/>
      <c r="E816" s="73"/>
      <c r="F816" s="9"/>
      <c r="H816" s="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4"/>
      <c r="U816" s="10"/>
      <c r="V816" s="10"/>
      <c r="W816" s="10"/>
      <c r="X816" s="7"/>
      <c r="Y816" s="7"/>
      <c r="Z816" s="7"/>
      <c r="AA816" s="34"/>
      <c r="AB816" s="7"/>
      <c r="AC816" s="34"/>
      <c r="AD816" s="10"/>
      <c r="AF816"/>
    </row>
    <row r="817" spans="1:32" x14ac:dyDescent="0.25">
      <c r="A817" s="7"/>
      <c r="C817" s="70"/>
      <c r="D817" s="70"/>
      <c r="E817" s="73"/>
      <c r="F817" s="9"/>
      <c r="H817" s="9"/>
      <c r="I817" s="10"/>
      <c r="J817" s="7"/>
      <c r="K817" s="7"/>
      <c r="L817" s="10"/>
      <c r="M817" s="10"/>
      <c r="N817" s="10"/>
      <c r="O817" s="10"/>
      <c r="P817" s="10"/>
      <c r="Q817" s="10"/>
      <c r="R817" s="10"/>
      <c r="S817" s="10"/>
      <c r="T817" s="14"/>
      <c r="U817" s="10"/>
      <c r="V817" s="10"/>
      <c r="W817" s="10"/>
      <c r="X817" s="7"/>
      <c r="Y817" s="7"/>
      <c r="Z817" s="7"/>
      <c r="AA817" s="34"/>
      <c r="AB817" s="7"/>
      <c r="AC817" s="34"/>
      <c r="AD817" s="10"/>
      <c r="AF817"/>
    </row>
    <row r="818" spans="1:32" x14ac:dyDescent="0.25">
      <c r="A818" s="7"/>
      <c r="C818" s="70"/>
      <c r="D818" s="70"/>
      <c r="E818" s="78"/>
      <c r="F818" s="48"/>
      <c r="G818" s="56"/>
      <c r="H818" s="9"/>
      <c r="I818" s="10"/>
      <c r="J818" s="7"/>
      <c r="K818" s="7"/>
      <c r="L818" s="10"/>
      <c r="M818" s="10"/>
      <c r="N818" s="10"/>
      <c r="O818" s="10"/>
      <c r="P818" s="10"/>
      <c r="Q818" s="10"/>
      <c r="R818" s="10"/>
      <c r="S818" s="10"/>
      <c r="T818" s="14"/>
      <c r="U818" s="10"/>
      <c r="V818" s="10"/>
      <c r="W818" s="10"/>
      <c r="X818" s="7"/>
      <c r="Y818" s="7"/>
      <c r="Z818" s="7"/>
      <c r="AA818" s="34"/>
      <c r="AB818" s="7"/>
      <c r="AC818" s="34"/>
      <c r="AD818" s="10"/>
      <c r="AF818"/>
    </row>
    <row r="819" spans="1:32" x14ac:dyDescent="0.25">
      <c r="A819" s="7"/>
      <c r="C819" s="70"/>
      <c r="D819" s="70"/>
      <c r="E819" s="78"/>
      <c r="F819" s="48"/>
      <c r="G819" s="56"/>
      <c r="H819" s="9"/>
      <c r="I819" s="10"/>
      <c r="J819" s="7"/>
      <c r="K819" s="7"/>
      <c r="L819" s="10"/>
      <c r="M819" s="10"/>
      <c r="N819" s="10"/>
      <c r="O819" s="10"/>
      <c r="P819" s="10"/>
      <c r="Q819" s="10"/>
      <c r="R819" s="10"/>
      <c r="S819" s="10"/>
      <c r="T819" s="14"/>
      <c r="U819" s="10"/>
      <c r="V819" s="10"/>
      <c r="W819" s="10"/>
      <c r="X819" s="7"/>
      <c r="Y819" s="7"/>
      <c r="Z819" s="7"/>
      <c r="AA819" s="34"/>
      <c r="AB819" s="7"/>
      <c r="AC819" s="34"/>
      <c r="AD819" s="10"/>
      <c r="AF819"/>
    </row>
    <row r="820" spans="1:32" x14ac:dyDescent="0.25">
      <c r="A820" s="7"/>
      <c r="C820" s="70"/>
      <c r="D820" s="70"/>
      <c r="E820" s="73"/>
      <c r="F820" s="9"/>
      <c r="H820" s="9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4"/>
      <c r="U820" s="10"/>
      <c r="V820" s="10"/>
      <c r="W820" s="10"/>
      <c r="X820" s="7"/>
      <c r="Y820" s="7"/>
      <c r="Z820" s="7"/>
      <c r="AA820" s="34"/>
      <c r="AB820" s="7"/>
      <c r="AC820" s="34"/>
      <c r="AD820" s="10"/>
      <c r="AF820"/>
    </row>
    <row r="821" spans="1:32" x14ac:dyDescent="0.25">
      <c r="A821" s="7"/>
      <c r="C821" s="70"/>
      <c r="D821" s="70"/>
      <c r="E821" s="73"/>
      <c r="F821" s="9"/>
      <c r="H821" s="9"/>
      <c r="I821" s="10"/>
      <c r="J821" s="10"/>
      <c r="K821" s="7"/>
      <c r="L821" s="10"/>
      <c r="M821" s="10"/>
      <c r="N821" s="10"/>
      <c r="O821" s="10"/>
      <c r="P821" s="10"/>
      <c r="Q821" s="10"/>
      <c r="R821" s="10"/>
      <c r="S821" s="10"/>
      <c r="T821" s="14"/>
      <c r="U821" s="10"/>
      <c r="V821" s="10"/>
      <c r="W821" s="10"/>
      <c r="X821" s="7"/>
      <c r="Y821" s="7"/>
      <c r="Z821" s="7"/>
      <c r="AA821" s="34"/>
      <c r="AB821" s="7"/>
      <c r="AC821" s="34"/>
      <c r="AD821" s="10"/>
      <c r="AF821"/>
    </row>
    <row r="822" spans="1:32" x14ac:dyDescent="0.25">
      <c r="A822" s="7"/>
      <c r="C822" s="70"/>
      <c r="D822" s="70"/>
      <c r="E822" s="73"/>
      <c r="F822" s="9"/>
      <c r="H822" s="9"/>
      <c r="I822" s="10"/>
      <c r="J822" s="10"/>
      <c r="K822" s="7"/>
      <c r="L822" s="10"/>
      <c r="M822" s="10"/>
      <c r="N822" s="10"/>
      <c r="O822" s="10"/>
      <c r="P822" s="10"/>
      <c r="Q822" s="10"/>
      <c r="R822" s="10"/>
      <c r="S822" s="10"/>
      <c r="T822" s="14"/>
      <c r="U822" s="10"/>
      <c r="V822" s="10"/>
      <c r="W822" s="10"/>
      <c r="X822" s="7"/>
      <c r="Y822" s="7"/>
      <c r="Z822" s="7"/>
      <c r="AA822" s="34"/>
      <c r="AB822" s="7"/>
      <c r="AC822" s="34"/>
      <c r="AD822" s="10"/>
      <c r="AF822"/>
    </row>
    <row r="823" spans="1:32" x14ac:dyDescent="0.25">
      <c r="A823" s="7"/>
      <c r="C823" s="70"/>
      <c r="D823" s="70"/>
      <c r="E823" s="73"/>
      <c r="F823" s="48"/>
      <c r="H823" s="9"/>
      <c r="I823" s="10"/>
      <c r="J823" s="10"/>
      <c r="K823" s="7"/>
      <c r="L823" s="10"/>
      <c r="M823" s="10"/>
      <c r="N823" s="10"/>
      <c r="O823" s="10"/>
      <c r="P823" s="10"/>
      <c r="Q823" s="10"/>
      <c r="R823" s="10"/>
      <c r="S823" s="10"/>
      <c r="T823" s="14"/>
      <c r="U823" s="10"/>
      <c r="V823" s="10"/>
      <c r="W823" s="10"/>
      <c r="X823" s="7"/>
      <c r="Y823" s="34"/>
      <c r="Z823" s="7"/>
      <c r="AA823" s="34"/>
      <c r="AB823" s="7"/>
      <c r="AC823" s="34"/>
      <c r="AD823" s="10"/>
      <c r="AF823"/>
    </row>
    <row r="824" spans="1:32" x14ac:dyDescent="0.25">
      <c r="A824" s="7"/>
      <c r="C824" s="70"/>
      <c r="D824" s="70"/>
      <c r="E824" s="73"/>
      <c r="F824" s="9"/>
      <c r="H824" s="9"/>
      <c r="I824" s="10"/>
      <c r="J824" s="7"/>
      <c r="K824" s="7"/>
      <c r="L824" s="10"/>
      <c r="M824" s="10"/>
      <c r="N824" s="10"/>
      <c r="O824" s="10"/>
      <c r="P824" s="10"/>
      <c r="Q824" s="10"/>
      <c r="R824" s="10"/>
      <c r="S824" s="10"/>
      <c r="T824" s="14"/>
      <c r="U824" s="10"/>
      <c r="V824" s="10"/>
      <c r="W824" s="10"/>
      <c r="X824" s="7"/>
      <c r="Y824" s="7"/>
      <c r="Z824" s="7"/>
      <c r="AA824" s="34"/>
      <c r="AB824" s="7"/>
      <c r="AC824" s="34"/>
      <c r="AD824" s="10"/>
      <c r="AF824"/>
    </row>
    <row r="825" spans="1:32" x14ac:dyDescent="0.25">
      <c r="A825" s="7"/>
      <c r="C825" s="70"/>
      <c r="D825" s="70"/>
      <c r="E825" s="73"/>
      <c r="F825" s="9"/>
      <c r="H825" s="9"/>
      <c r="I825" s="10"/>
      <c r="J825" s="7"/>
      <c r="K825" s="7"/>
      <c r="L825" s="34"/>
      <c r="M825" s="34"/>
      <c r="N825" s="10"/>
      <c r="O825" s="10"/>
      <c r="P825" s="10"/>
      <c r="Q825" s="10"/>
      <c r="R825" s="10"/>
      <c r="S825" s="10"/>
      <c r="T825" s="14"/>
      <c r="U825" s="10"/>
      <c r="V825" s="10"/>
      <c r="W825" s="10"/>
      <c r="X825" s="34"/>
      <c r="Y825" s="7"/>
      <c r="Z825" s="7"/>
      <c r="AA825" s="34"/>
      <c r="AB825" s="7"/>
      <c r="AC825" s="34"/>
      <c r="AD825" s="10"/>
      <c r="AF825"/>
    </row>
    <row r="826" spans="1:32" x14ac:dyDescent="0.25">
      <c r="A826" s="7"/>
      <c r="C826" s="70"/>
      <c r="D826" s="70"/>
      <c r="E826" s="73"/>
      <c r="F826" s="9"/>
      <c r="H826" s="9"/>
      <c r="I826" s="7"/>
      <c r="J826" s="7"/>
      <c r="K826" s="7"/>
      <c r="L826" s="14"/>
      <c r="M826" s="10"/>
      <c r="N826" s="10"/>
      <c r="O826" s="10"/>
      <c r="P826" s="10"/>
      <c r="Q826" s="10"/>
      <c r="R826" s="10"/>
      <c r="S826" s="10"/>
      <c r="T826" s="14"/>
      <c r="U826" s="10"/>
      <c r="V826" s="10"/>
      <c r="W826" s="10"/>
      <c r="X826" s="7"/>
      <c r="Y826" s="7"/>
      <c r="Z826" s="7"/>
      <c r="AA826" s="34"/>
      <c r="AB826" s="7"/>
      <c r="AC826" s="34"/>
      <c r="AD826" s="10"/>
      <c r="AF826"/>
    </row>
    <row r="827" spans="1:32" x14ac:dyDescent="0.25">
      <c r="A827" s="7"/>
      <c r="C827" s="70"/>
      <c r="D827" s="70"/>
      <c r="E827" s="73"/>
      <c r="F827" s="9"/>
      <c r="H827" s="9"/>
      <c r="I827" s="10"/>
      <c r="J827" s="7"/>
      <c r="K827" s="24"/>
      <c r="L827" s="10"/>
      <c r="M827" s="10"/>
      <c r="N827" s="10"/>
      <c r="O827" s="10"/>
      <c r="P827" s="10"/>
      <c r="Q827" s="10"/>
      <c r="R827" s="10"/>
      <c r="S827" s="10"/>
      <c r="T827" s="14"/>
      <c r="U827" s="10"/>
      <c r="V827" s="10"/>
      <c r="W827" s="10"/>
      <c r="X827" s="7"/>
      <c r="Y827" s="7"/>
      <c r="Z827" s="7"/>
      <c r="AA827" s="34"/>
      <c r="AB827" s="7"/>
      <c r="AC827" s="34"/>
      <c r="AD827" s="10"/>
      <c r="AF827"/>
    </row>
    <row r="828" spans="1:32" x14ac:dyDescent="0.25">
      <c r="A828" s="7"/>
      <c r="C828" s="70"/>
      <c r="D828" s="70"/>
      <c r="E828" s="73"/>
      <c r="F828" s="9"/>
      <c r="H828" s="9"/>
      <c r="I828" s="10"/>
      <c r="J828" s="7"/>
      <c r="K828" s="7"/>
      <c r="L828" s="10"/>
      <c r="M828" s="10"/>
      <c r="N828" s="10"/>
      <c r="O828" s="10"/>
      <c r="P828" s="10"/>
      <c r="Q828" s="10"/>
      <c r="R828" s="10"/>
      <c r="S828" s="10"/>
      <c r="T828" s="14"/>
      <c r="U828" s="10"/>
      <c r="V828" s="10"/>
      <c r="W828" s="10"/>
      <c r="X828" s="7"/>
      <c r="Y828" s="7"/>
      <c r="Z828" s="7"/>
      <c r="AA828" s="34"/>
      <c r="AB828" s="7"/>
      <c r="AC828" s="34"/>
      <c r="AD828" s="10"/>
      <c r="AF828"/>
    </row>
    <row r="829" spans="1:32" x14ac:dyDescent="0.25">
      <c r="A829" s="7"/>
      <c r="C829" s="70"/>
      <c r="D829" s="70"/>
      <c r="E829" s="73"/>
      <c r="F829" s="9"/>
      <c r="H829" s="9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4"/>
      <c r="U829" s="10"/>
      <c r="V829" s="10"/>
      <c r="W829" s="10"/>
      <c r="X829" s="7"/>
      <c r="Y829" s="7"/>
      <c r="Z829" s="34"/>
      <c r="AA829" s="34"/>
      <c r="AB829" s="7"/>
      <c r="AC829" s="34"/>
      <c r="AD829" s="10"/>
      <c r="AF829"/>
    </row>
    <row r="830" spans="1:32" x14ac:dyDescent="0.25">
      <c r="A830" s="7"/>
      <c r="C830" s="70"/>
      <c r="D830" s="70"/>
      <c r="E830" s="73"/>
      <c r="F830" s="9"/>
      <c r="H830" s="9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4"/>
      <c r="U830" s="10"/>
      <c r="V830" s="10"/>
      <c r="W830" s="10"/>
      <c r="X830" s="7"/>
      <c r="Y830" s="7"/>
      <c r="Z830" s="7"/>
      <c r="AA830" s="34"/>
      <c r="AB830" s="7"/>
      <c r="AC830" s="34"/>
      <c r="AD830" s="10"/>
      <c r="AF830"/>
    </row>
    <row r="831" spans="1:32" x14ac:dyDescent="0.25">
      <c r="A831" s="7"/>
      <c r="C831" s="70"/>
      <c r="D831" s="70"/>
      <c r="E831" s="73"/>
      <c r="F831" s="9"/>
      <c r="H831" s="9"/>
      <c r="I831" s="10"/>
      <c r="J831" s="7"/>
      <c r="K831" s="10"/>
      <c r="L831" s="10"/>
      <c r="M831" s="10"/>
      <c r="N831" s="10"/>
      <c r="O831" s="10"/>
      <c r="P831" s="10"/>
      <c r="Q831" s="10"/>
      <c r="R831" s="10"/>
      <c r="S831" s="10"/>
      <c r="T831" s="14"/>
      <c r="U831" s="10"/>
      <c r="V831" s="10"/>
      <c r="W831" s="10"/>
      <c r="X831" s="7"/>
      <c r="Y831" s="7"/>
      <c r="Z831" s="7"/>
      <c r="AA831" s="34"/>
      <c r="AB831" s="7"/>
      <c r="AC831" s="34"/>
      <c r="AD831" s="10"/>
      <c r="AF831"/>
    </row>
    <row r="832" spans="1:32" x14ac:dyDescent="0.25">
      <c r="A832" s="7"/>
      <c r="C832" s="70"/>
      <c r="D832" s="70"/>
      <c r="E832" s="73"/>
      <c r="F832" s="9"/>
      <c r="H832" s="9"/>
      <c r="I832" s="10"/>
      <c r="J832" s="7"/>
      <c r="K832" s="7"/>
      <c r="L832" s="10"/>
      <c r="M832" s="10"/>
      <c r="N832" s="10"/>
      <c r="O832" s="10"/>
      <c r="P832" s="10"/>
      <c r="Q832" s="10"/>
      <c r="R832" s="10"/>
      <c r="S832" s="10"/>
      <c r="T832" s="14"/>
      <c r="U832" s="10"/>
      <c r="V832" s="10"/>
      <c r="W832" s="10"/>
      <c r="X832" s="7"/>
      <c r="Y832" s="7"/>
      <c r="Z832" s="7"/>
      <c r="AA832" s="34"/>
      <c r="AB832" s="7"/>
      <c r="AC832" s="34"/>
      <c r="AD832" s="10"/>
      <c r="AF832"/>
    </row>
    <row r="833" spans="1:32" x14ac:dyDescent="0.25">
      <c r="A833" s="7"/>
      <c r="C833" s="70"/>
      <c r="D833" s="70"/>
      <c r="E833" s="73"/>
      <c r="F833" s="9"/>
      <c r="H833" s="9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4"/>
      <c r="U833" s="10"/>
      <c r="V833" s="10"/>
      <c r="W833" s="10"/>
      <c r="X833" s="7"/>
      <c r="Y833" s="7"/>
      <c r="Z833" s="7"/>
      <c r="AA833" s="34"/>
      <c r="AB833" s="7"/>
      <c r="AC833" s="34"/>
      <c r="AD833" s="10"/>
      <c r="AF833"/>
    </row>
    <row r="834" spans="1:32" x14ac:dyDescent="0.25">
      <c r="A834" s="7"/>
      <c r="C834" s="70"/>
      <c r="D834" s="70"/>
      <c r="E834" s="73"/>
      <c r="F834" s="9"/>
      <c r="H834" s="9"/>
      <c r="I834" s="10"/>
      <c r="J834" s="7"/>
      <c r="K834" s="7"/>
      <c r="L834" s="10"/>
      <c r="M834" s="10"/>
      <c r="N834" s="10"/>
      <c r="O834" s="10"/>
      <c r="P834" s="10"/>
      <c r="Q834" s="10"/>
      <c r="R834" s="10"/>
      <c r="S834" s="10"/>
      <c r="T834" s="14"/>
      <c r="U834" s="10"/>
      <c r="V834" s="10"/>
      <c r="W834" s="10"/>
      <c r="X834" s="7"/>
      <c r="Y834" s="7"/>
      <c r="Z834" s="34"/>
      <c r="AA834" s="34"/>
      <c r="AB834" s="7"/>
      <c r="AC834" s="34"/>
      <c r="AD834" s="10"/>
      <c r="AF834"/>
    </row>
    <row r="835" spans="1:32" x14ac:dyDescent="0.25">
      <c r="A835" s="7"/>
      <c r="C835" s="70"/>
      <c r="D835" s="70"/>
      <c r="E835" s="73"/>
      <c r="F835" s="9"/>
      <c r="H835" s="9"/>
      <c r="I835" s="10"/>
      <c r="J835" s="10"/>
      <c r="K835" s="24"/>
      <c r="L835" s="10"/>
      <c r="M835" s="10"/>
      <c r="N835" s="10"/>
      <c r="O835" s="10"/>
      <c r="P835" s="10"/>
      <c r="Q835" s="10"/>
      <c r="R835" s="10"/>
      <c r="S835" s="10"/>
      <c r="T835" s="14"/>
      <c r="U835" s="10"/>
      <c r="V835" s="10"/>
      <c r="W835" s="10"/>
      <c r="X835" s="7"/>
      <c r="Y835" s="7"/>
      <c r="Z835" s="7"/>
      <c r="AA835" s="34"/>
      <c r="AB835" s="7"/>
      <c r="AC835" s="34"/>
      <c r="AD835" s="10"/>
      <c r="AF835"/>
    </row>
    <row r="836" spans="1:32" x14ac:dyDescent="0.25">
      <c r="A836" s="7"/>
      <c r="C836" s="70"/>
      <c r="D836" s="70"/>
      <c r="E836" s="73"/>
      <c r="F836" s="9"/>
      <c r="H836" s="9"/>
      <c r="I836" s="10"/>
      <c r="J836" s="10"/>
      <c r="K836" s="7"/>
      <c r="L836" s="10"/>
      <c r="M836" s="10"/>
      <c r="N836" s="10"/>
      <c r="O836" s="10"/>
      <c r="P836" s="10"/>
      <c r="Q836" s="10"/>
      <c r="R836" s="10"/>
      <c r="S836" s="10"/>
      <c r="T836" s="14"/>
      <c r="U836" s="10"/>
      <c r="V836" s="10"/>
      <c r="W836" s="10"/>
      <c r="X836" s="7"/>
      <c r="Y836" s="7"/>
      <c r="Z836" s="7"/>
      <c r="AA836" s="34"/>
      <c r="AB836" s="7"/>
      <c r="AC836" s="34"/>
      <c r="AD836" s="10"/>
      <c r="AF836"/>
    </row>
    <row r="837" spans="1:32" x14ac:dyDescent="0.25">
      <c r="A837" s="7"/>
      <c r="C837" s="70"/>
      <c r="D837" s="70"/>
      <c r="E837" s="73"/>
      <c r="F837" s="9"/>
      <c r="H837" s="9"/>
      <c r="I837" s="10"/>
      <c r="J837" s="7"/>
      <c r="K837" s="7"/>
      <c r="L837" s="10"/>
      <c r="M837" s="10"/>
      <c r="N837" s="10"/>
      <c r="O837" s="10"/>
      <c r="P837" s="10"/>
      <c r="Q837" s="10"/>
      <c r="R837" s="10"/>
      <c r="S837" s="10"/>
      <c r="T837" s="14"/>
      <c r="U837" s="10"/>
      <c r="V837" s="10"/>
      <c r="W837" s="10"/>
      <c r="X837" s="7"/>
      <c r="Y837" s="7"/>
      <c r="Z837" s="7"/>
      <c r="AA837" s="34"/>
      <c r="AB837" s="7"/>
      <c r="AC837" s="34"/>
      <c r="AD837" s="10"/>
      <c r="AF837"/>
    </row>
    <row r="838" spans="1:32" x14ac:dyDescent="0.25">
      <c r="A838" s="7"/>
      <c r="C838" s="70"/>
      <c r="D838" s="70"/>
      <c r="E838" s="73"/>
      <c r="F838" s="9"/>
      <c r="H838" s="9"/>
      <c r="I838" s="10"/>
      <c r="J838" s="7"/>
      <c r="K838" s="7"/>
      <c r="L838" s="10"/>
      <c r="M838" s="10"/>
      <c r="N838" s="10"/>
      <c r="O838" s="10"/>
      <c r="P838" s="10"/>
      <c r="Q838" s="10"/>
      <c r="R838" s="10"/>
      <c r="S838" s="10"/>
      <c r="T838" s="14"/>
      <c r="U838" s="10"/>
      <c r="V838" s="10"/>
      <c r="W838" s="10"/>
      <c r="X838" s="7"/>
      <c r="Y838" s="7"/>
      <c r="Z838" s="7"/>
      <c r="AA838" s="34"/>
      <c r="AB838" s="7"/>
      <c r="AC838" s="34"/>
      <c r="AD838" s="10"/>
      <c r="AF838"/>
    </row>
    <row r="839" spans="1:32" x14ac:dyDescent="0.25">
      <c r="A839" s="7"/>
      <c r="C839" s="70"/>
      <c r="D839" s="70"/>
      <c r="E839" s="73"/>
      <c r="F839" s="9"/>
      <c r="H839" s="9"/>
      <c r="I839" s="10"/>
      <c r="J839" s="7"/>
      <c r="K839" s="7"/>
      <c r="L839" s="10"/>
      <c r="M839" s="10"/>
      <c r="N839" s="10"/>
      <c r="O839" s="10"/>
      <c r="P839" s="10"/>
      <c r="Q839" s="10"/>
      <c r="R839" s="10"/>
      <c r="S839" s="10"/>
      <c r="T839" s="14"/>
      <c r="U839" s="10"/>
      <c r="V839" s="10"/>
      <c r="W839" s="10"/>
      <c r="X839" s="7"/>
      <c r="Y839" s="34"/>
      <c r="Z839" s="7"/>
      <c r="AA839" s="34"/>
      <c r="AB839" s="7"/>
      <c r="AC839" s="34"/>
      <c r="AD839" s="10"/>
      <c r="AF839"/>
    </row>
    <row r="840" spans="1:32" x14ac:dyDescent="0.25">
      <c r="A840" s="7"/>
      <c r="C840" s="70"/>
      <c r="D840" s="70"/>
      <c r="E840" s="73"/>
      <c r="F840" s="9"/>
      <c r="H840" s="9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4"/>
      <c r="U840" s="10"/>
      <c r="V840" s="10"/>
      <c r="W840" s="10"/>
      <c r="X840" s="7"/>
      <c r="Y840" s="7"/>
      <c r="Z840" s="34"/>
      <c r="AA840" s="34"/>
      <c r="AB840" s="7"/>
      <c r="AC840" s="34"/>
      <c r="AD840" s="10"/>
      <c r="AF840"/>
    </row>
    <row r="841" spans="1:32" x14ac:dyDescent="0.25">
      <c r="A841" s="7"/>
      <c r="C841" s="70"/>
      <c r="D841" s="70"/>
      <c r="E841" s="73"/>
      <c r="F841" s="9"/>
      <c r="H841" s="9"/>
      <c r="I841" s="10"/>
      <c r="J841" s="10"/>
      <c r="K841" s="7"/>
      <c r="L841" s="10"/>
      <c r="M841" s="10"/>
      <c r="N841" s="10"/>
      <c r="O841" s="10"/>
      <c r="P841" s="10"/>
      <c r="Q841" s="10"/>
      <c r="R841" s="10"/>
      <c r="S841" s="10"/>
      <c r="T841" s="14"/>
      <c r="U841" s="10"/>
      <c r="V841" s="10"/>
      <c r="W841" s="10"/>
      <c r="X841" s="7"/>
      <c r="Y841" s="7"/>
      <c r="Z841" s="7"/>
      <c r="AA841" s="34"/>
      <c r="AB841" s="7"/>
      <c r="AC841" s="34"/>
      <c r="AD841" s="10"/>
      <c r="AF841"/>
    </row>
    <row r="842" spans="1:32" x14ac:dyDescent="0.25">
      <c r="A842" s="7"/>
      <c r="C842" s="70"/>
      <c r="D842" s="70"/>
      <c r="E842" s="73"/>
      <c r="F842" s="9"/>
      <c r="H842" s="9"/>
      <c r="I842" s="10"/>
      <c r="J842" s="7"/>
      <c r="K842" s="7"/>
      <c r="L842" s="10"/>
      <c r="M842" s="10"/>
      <c r="N842" s="10"/>
      <c r="O842" s="10"/>
      <c r="P842" s="10"/>
      <c r="Q842" s="10"/>
      <c r="R842" s="10"/>
      <c r="S842" s="10"/>
      <c r="T842" s="14"/>
      <c r="U842" s="10"/>
      <c r="V842" s="10"/>
      <c r="W842" s="10"/>
      <c r="X842" s="7"/>
      <c r="Y842" s="7"/>
      <c r="Z842" s="34"/>
      <c r="AA842" s="34"/>
      <c r="AB842" s="7"/>
      <c r="AC842" s="34"/>
      <c r="AD842" s="10"/>
      <c r="AF842"/>
    </row>
    <row r="843" spans="1:32" x14ac:dyDescent="0.25">
      <c r="A843" s="7"/>
      <c r="C843" s="70"/>
      <c r="D843" s="70"/>
      <c r="E843" s="73"/>
      <c r="F843" s="9"/>
      <c r="H843" s="9"/>
      <c r="I843" s="10"/>
      <c r="J843" s="10"/>
      <c r="K843" s="7"/>
      <c r="L843" s="10"/>
      <c r="M843" s="10"/>
      <c r="N843" s="10"/>
      <c r="O843" s="10"/>
      <c r="P843" s="10"/>
      <c r="Q843" s="10"/>
      <c r="R843" s="10"/>
      <c r="S843" s="10"/>
      <c r="T843" s="14"/>
      <c r="U843" s="10"/>
      <c r="V843" s="10"/>
      <c r="W843" s="10"/>
      <c r="X843" s="7"/>
      <c r="Y843" s="7"/>
      <c r="Z843" s="34"/>
      <c r="AA843" s="34"/>
      <c r="AB843" s="7"/>
      <c r="AC843" s="34"/>
      <c r="AD843" s="10"/>
      <c r="AF843"/>
    </row>
    <row r="844" spans="1:32" x14ac:dyDescent="0.25">
      <c r="A844" s="7"/>
      <c r="C844" s="70"/>
      <c r="D844" s="70"/>
      <c r="E844" s="73"/>
      <c r="F844" s="45"/>
      <c r="H844" s="9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4"/>
      <c r="U844" s="10"/>
      <c r="V844" s="10"/>
      <c r="W844" s="10"/>
      <c r="X844" s="7"/>
      <c r="Y844" s="7"/>
      <c r="Z844" s="34"/>
      <c r="AA844" s="34"/>
      <c r="AB844" s="7"/>
      <c r="AC844" s="34"/>
      <c r="AD844" s="10"/>
      <c r="AF844"/>
    </row>
    <row r="845" spans="1:32" x14ac:dyDescent="0.25">
      <c r="A845" s="7"/>
      <c r="C845" s="70"/>
      <c r="D845" s="70"/>
      <c r="E845" s="73"/>
      <c r="F845" s="9"/>
      <c r="H845" s="9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4"/>
      <c r="U845" s="10"/>
      <c r="V845" s="10"/>
      <c r="W845" s="10"/>
      <c r="X845" s="7"/>
      <c r="Y845" s="7"/>
      <c r="Z845" s="7"/>
      <c r="AA845" s="34"/>
      <c r="AB845" s="7"/>
      <c r="AC845" s="34"/>
      <c r="AD845" s="10"/>
      <c r="AF845"/>
    </row>
    <row r="846" spans="1:32" x14ac:dyDescent="0.25">
      <c r="A846" s="7"/>
      <c r="C846" s="70"/>
      <c r="D846" s="70"/>
      <c r="E846" s="73"/>
      <c r="F846" s="9"/>
      <c r="H846" s="9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4"/>
      <c r="U846" s="10"/>
      <c r="V846" s="10"/>
      <c r="W846" s="10"/>
      <c r="X846" s="7"/>
      <c r="Y846" s="7"/>
      <c r="Z846" s="7"/>
      <c r="AA846" s="34"/>
      <c r="AB846" s="7"/>
      <c r="AC846" s="34"/>
      <c r="AD846" s="10"/>
      <c r="AF846"/>
    </row>
    <row r="847" spans="1:32" x14ac:dyDescent="0.25">
      <c r="A847" s="7"/>
      <c r="C847" s="70"/>
      <c r="D847" s="70"/>
      <c r="E847" s="73"/>
      <c r="F847" s="9"/>
      <c r="H847" s="9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4"/>
      <c r="U847" s="10"/>
      <c r="V847" s="10"/>
      <c r="W847" s="10"/>
      <c r="X847" s="7"/>
      <c r="Y847" s="7"/>
      <c r="Z847" s="7"/>
      <c r="AA847" s="34"/>
      <c r="AB847" s="7"/>
      <c r="AC847" s="34"/>
      <c r="AD847" s="10"/>
      <c r="AF847"/>
    </row>
    <row r="848" spans="1:32" x14ac:dyDescent="0.25">
      <c r="A848" s="7"/>
      <c r="C848" s="70"/>
      <c r="D848" s="70"/>
      <c r="E848" s="73"/>
      <c r="F848" s="9"/>
      <c r="H848" s="9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4"/>
      <c r="U848" s="10"/>
      <c r="V848" s="10"/>
      <c r="W848" s="10"/>
      <c r="X848" s="7"/>
      <c r="Y848" s="7"/>
      <c r="Z848" s="7"/>
      <c r="AA848" s="34"/>
      <c r="AB848" s="7"/>
      <c r="AC848" s="34"/>
      <c r="AD848" s="10"/>
      <c r="AF848"/>
    </row>
    <row r="849" spans="1:32" x14ac:dyDescent="0.25">
      <c r="A849" s="7"/>
      <c r="C849" s="70"/>
      <c r="D849" s="70"/>
      <c r="E849" s="73"/>
      <c r="F849" s="9"/>
      <c r="H849" s="9"/>
      <c r="I849" s="10"/>
      <c r="J849" s="10"/>
      <c r="K849" s="7"/>
      <c r="L849" s="10"/>
      <c r="M849" s="10"/>
      <c r="N849" s="10"/>
      <c r="O849" s="10"/>
      <c r="P849" s="10"/>
      <c r="Q849" s="10"/>
      <c r="R849" s="10"/>
      <c r="S849" s="10"/>
      <c r="T849" s="14"/>
      <c r="U849" s="10"/>
      <c r="V849" s="10"/>
      <c r="W849" s="10"/>
      <c r="X849" s="7"/>
      <c r="Y849" s="7"/>
      <c r="Z849" s="7"/>
      <c r="AA849" s="34"/>
      <c r="AB849" s="7"/>
      <c r="AC849" s="34"/>
      <c r="AD849" s="10"/>
      <c r="AF849"/>
    </row>
    <row r="850" spans="1:32" x14ac:dyDescent="0.25">
      <c r="A850" s="7"/>
      <c r="C850" s="70"/>
      <c r="D850" s="70"/>
      <c r="E850" s="73"/>
      <c r="F850" s="9"/>
      <c r="H850" s="9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4"/>
      <c r="U850" s="10"/>
      <c r="V850" s="10"/>
      <c r="W850" s="10"/>
      <c r="X850" s="7"/>
      <c r="Y850" s="7"/>
      <c r="Z850" s="7"/>
      <c r="AA850" s="34"/>
      <c r="AB850" s="7"/>
      <c r="AC850" s="34"/>
      <c r="AD850" s="10"/>
      <c r="AF850"/>
    </row>
    <row r="851" spans="1:32" x14ac:dyDescent="0.25">
      <c r="A851" s="7"/>
      <c r="C851" s="70"/>
      <c r="D851" s="70"/>
      <c r="E851" s="73"/>
      <c r="F851" s="9"/>
      <c r="H851" s="9"/>
      <c r="I851" s="10"/>
      <c r="J851" s="10"/>
      <c r="K851" s="7"/>
      <c r="L851" s="10"/>
      <c r="M851" s="10"/>
      <c r="N851" s="10"/>
      <c r="O851" s="10"/>
      <c r="P851" s="10"/>
      <c r="Q851" s="10"/>
      <c r="R851" s="10"/>
      <c r="S851" s="10"/>
      <c r="T851" s="14"/>
      <c r="U851" s="10"/>
      <c r="V851" s="10"/>
      <c r="W851" s="10"/>
      <c r="X851" s="7"/>
      <c r="Y851" s="7"/>
      <c r="Z851" s="34"/>
      <c r="AA851" s="34"/>
      <c r="AB851" s="7"/>
      <c r="AC851" s="34"/>
      <c r="AD851" s="10"/>
      <c r="AF851"/>
    </row>
    <row r="852" spans="1:32" x14ac:dyDescent="0.25">
      <c r="A852" s="7"/>
      <c r="C852" s="70"/>
      <c r="D852" s="70"/>
      <c r="E852" s="73"/>
      <c r="F852" s="9"/>
      <c r="H852" s="9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4"/>
      <c r="U852" s="10"/>
      <c r="V852" s="10"/>
      <c r="W852" s="10"/>
      <c r="X852" s="7"/>
      <c r="Y852" s="7"/>
      <c r="Z852" s="34"/>
      <c r="AA852" s="34"/>
      <c r="AB852" s="7"/>
      <c r="AC852" s="34"/>
      <c r="AD852" s="10"/>
      <c r="AF852"/>
    </row>
    <row r="853" spans="1:32" x14ac:dyDescent="0.25">
      <c r="A853" s="7"/>
      <c r="C853" s="70"/>
      <c r="D853" s="70"/>
      <c r="E853" s="73"/>
      <c r="F853" s="9"/>
      <c r="H853" s="9"/>
      <c r="I853" s="10"/>
      <c r="J853" s="7"/>
      <c r="K853" s="24"/>
      <c r="L853" s="10"/>
      <c r="M853" s="10"/>
      <c r="N853" s="10"/>
      <c r="O853" s="10"/>
      <c r="P853" s="10"/>
      <c r="Q853" s="10"/>
      <c r="R853" s="10"/>
      <c r="S853" s="10"/>
      <c r="T853" s="14"/>
      <c r="U853" s="10"/>
      <c r="V853" s="10"/>
      <c r="W853" s="10"/>
      <c r="X853" s="7"/>
      <c r="Y853" s="7"/>
      <c r="Z853" s="7"/>
      <c r="AA853" s="34"/>
      <c r="AB853" s="7"/>
      <c r="AC853" s="34"/>
      <c r="AD853" s="10"/>
      <c r="AF853"/>
    </row>
    <row r="854" spans="1:32" x14ac:dyDescent="0.25">
      <c r="A854" s="7"/>
      <c r="C854" s="70"/>
      <c r="D854" s="70"/>
      <c r="E854" s="73"/>
      <c r="F854" s="9"/>
      <c r="H854" s="9"/>
      <c r="I854" s="10"/>
      <c r="J854" s="7"/>
      <c r="K854" s="7"/>
      <c r="L854" s="10"/>
      <c r="M854" s="10"/>
      <c r="N854" s="10"/>
      <c r="O854" s="10"/>
      <c r="P854" s="10"/>
      <c r="Q854" s="10"/>
      <c r="R854" s="10"/>
      <c r="S854" s="10"/>
      <c r="T854" s="14"/>
      <c r="U854" s="10"/>
      <c r="V854" s="10"/>
      <c r="W854" s="10"/>
      <c r="X854" s="7"/>
      <c r="Y854" s="7"/>
      <c r="Z854" s="7"/>
      <c r="AA854" s="34"/>
      <c r="AB854" s="7"/>
      <c r="AC854" s="34"/>
      <c r="AD854" s="10"/>
      <c r="AF854"/>
    </row>
    <row r="855" spans="1:32" x14ac:dyDescent="0.25">
      <c r="A855" s="7"/>
      <c r="C855" s="70"/>
      <c r="D855" s="70"/>
      <c r="E855" s="73"/>
      <c r="F855" s="9"/>
      <c r="H855" s="9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4"/>
      <c r="U855" s="10"/>
      <c r="V855" s="10"/>
      <c r="W855" s="10"/>
      <c r="X855" s="7"/>
      <c r="Y855" s="7"/>
      <c r="Z855" s="7"/>
      <c r="AA855" s="34"/>
      <c r="AB855" s="7"/>
      <c r="AC855" s="34"/>
      <c r="AD855" s="10"/>
      <c r="AF855"/>
    </row>
    <row r="856" spans="1:32" x14ac:dyDescent="0.25">
      <c r="A856" s="7"/>
      <c r="C856" s="70"/>
      <c r="D856" s="70"/>
      <c r="E856" s="73"/>
      <c r="F856" s="9"/>
      <c r="H856" s="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4"/>
      <c r="U856" s="10"/>
      <c r="V856" s="10"/>
      <c r="W856" s="10"/>
      <c r="X856" s="7"/>
      <c r="Y856" s="7"/>
      <c r="Z856" s="7"/>
      <c r="AA856" s="34"/>
      <c r="AB856" s="7"/>
      <c r="AC856" s="34"/>
      <c r="AD856" s="10"/>
      <c r="AF856"/>
    </row>
    <row r="857" spans="1:32" x14ac:dyDescent="0.25">
      <c r="A857" s="7"/>
      <c r="C857" s="70"/>
      <c r="D857" s="70"/>
      <c r="E857" s="73"/>
      <c r="F857" s="9"/>
      <c r="H857" s="9"/>
      <c r="I857" s="10"/>
      <c r="J857" s="7"/>
      <c r="K857" s="24"/>
      <c r="L857" s="10"/>
      <c r="M857" s="10"/>
      <c r="N857" s="10"/>
      <c r="O857" s="10"/>
      <c r="P857" s="10"/>
      <c r="Q857" s="10"/>
      <c r="R857" s="10"/>
      <c r="S857" s="10"/>
      <c r="T857" s="14"/>
      <c r="U857" s="10"/>
      <c r="V857" s="10"/>
      <c r="W857" s="10"/>
      <c r="X857" s="7"/>
      <c r="Y857" s="7"/>
      <c r="Z857" s="7"/>
      <c r="AA857" s="34"/>
      <c r="AB857" s="7"/>
      <c r="AC857" s="34"/>
      <c r="AD857" s="10"/>
      <c r="AF857"/>
    </row>
    <row r="858" spans="1:32" x14ac:dyDescent="0.25">
      <c r="A858" s="7"/>
      <c r="C858" s="70"/>
      <c r="D858" s="70"/>
      <c r="E858" s="73"/>
      <c r="F858" s="9"/>
      <c r="H858" s="9"/>
      <c r="I858" s="10"/>
      <c r="J858" s="7"/>
      <c r="K858" s="24"/>
      <c r="L858" s="10"/>
      <c r="M858" s="10"/>
      <c r="N858" s="10"/>
      <c r="O858" s="10"/>
      <c r="P858" s="10"/>
      <c r="Q858" s="10"/>
      <c r="R858" s="10"/>
      <c r="S858" s="10"/>
      <c r="T858" s="14"/>
      <c r="U858" s="10"/>
      <c r="V858" s="10"/>
      <c r="W858" s="10"/>
      <c r="X858" s="7"/>
      <c r="Y858" s="7"/>
      <c r="Z858" s="7"/>
      <c r="AA858" s="34"/>
      <c r="AB858" s="7"/>
      <c r="AC858" s="34"/>
      <c r="AD858" s="10"/>
      <c r="AF858"/>
    </row>
    <row r="859" spans="1:32" x14ac:dyDescent="0.25">
      <c r="A859" s="7"/>
      <c r="C859" s="70"/>
      <c r="D859" s="70"/>
      <c r="E859" s="73"/>
      <c r="F859" s="9"/>
      <c r="H859" s="9"/>
      <c r="I859" s="10"/>
      <c r="J859" s="10"/>
      <c r="K859" s="7"/>
      <c r="L859" s="10"/>
      <c r="M859" s="10"/>
      <c r="N859" s="10"/>
      <c r="O859" s="10"/>
      <c r="P859" s="10"/>
      <c r="Q859" s="10"/>
      <c r="R859" s="10"/>
      <c r="S859" s="10"/>
      <c r="T859" s="14"/>
      <c r="U859" s="10"/>
      <c r="V859" s="10"/>
      <c r="W859" s="10"/>
      <c r="X859" s="7"/>
      <c r="Y859" s="7"/>
      <c r="Z859" s="34"/>
      <c r="AA859" s="34"/>
      <c r="AB859" s="7"/>
      <c r="AC859" s="34"/>
      <c r="AD859" s="10"/>
      <c r="AF859"/>
    </row>
    <row r="860" spans="1:32" x14ac:dyDescent="0.25">
      <c r="A860" s="7"/>
      <c r="C860" s="70"/>
      <c r="D860" s="70"/>
      <c r="E860" s="73"/>
      <c r="F860" s="9"/>
      <c r="H860" s="9"/>
      <c r="I860" s="10"/>
      <c r="J860" s="7"/>
      <c r="K860" s="7"/>
      <c r="L860" s="10"/>
      <c r="M860" s="10"/>
      <c r="N860" s="10"/>
      <c r="O860" s="10"/>
      <c r="P860" s="10"/>
      <c r="Q860" s="10"/>
      <c r="R860" s="10"/>
      <c r="S860" s="10"/>
      <c r="T860" s="14"/>
      <c r="U860" s="10"/>
      <c r="V860" s="10"/>
      <c r="W860" s="10"/>
      <c r="X860" s="7"/>
      <c r="Y860" s="7"/>
      <c r="Z860" s="34"/>
      <c r="AA860" s="34"/>
      <c r="AB860" s="7"/>
      <c r="AC860" s="34"/>
      <c r="AD860" s="10"/>
      <c r="AF860"/>
    </row>
    <row r="861" spans="1:32" x14ac:dyDescent="0.25">
      <c r="A861" s="7"/>
      <c r="C861" s="70"/>
      <c r="D861" s="70"/>
      <c r="E861" s="73"/>
      <c r="F861" s="9"/>
      <c r="H861" s="9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4"/>
      <c r="U861" s="10"/>
      <c r="V861" s="10"/>
      <c r="W861" s="10"/>
      <c r="X861" s="7"/>
      <c r="Y861" s="7"/>
      <c r="Z861" s="7"/>
      <c r="AA861" s="34"/>
      <c r="AB861" s="7"/>
      <c r="AC861" s="34"/>
      <c r="AD861" s="10"/>
      <c r="AF861"/>
    </row>
    <row r="862" spans="1:32" x14ac:dyDescent="0.25">
      <c r="A862" s="7"/>
      <c r="C862" s="70"/>
      <c r="D862" s="70"/>
      <c r="E862" s="73"/>
      <c r="F862" s="9"/>
      <c r="I862" s="10"/>
      <c r="J862" s="10"/>
      <c r="K862" s="10"/>
      <c r="L862" s="34"/>
      <c r="M862" s="34"/>
      <c r="N862" s="10"/>
      <c r="O862" s="10"/>
      <c r="P862" s="10"/>
      <c r="Q862" s="10"/>
      <c r="R862" s="10"/>
      <c r="S862" s="10"/>
      <c r="T862" s="14"/>
      <c r="U862" s="10"/>
      <c r="V862" s="10"/>
      <c r="W862" s="10"/>
      <c r="X862" s="7"/>
      <c r="Y862" s="7"/>
      <c r="Z862" s="7"/>
      <c r="AA862" s="34"/>
      <c r="AB862" s="7"/>
      <c r="AC862" s="34"/>
      <c r="AD862" s="10"/>
      <c r="AF862"/>
    </row>
    <row r="863" spans="1:32" x14ac:dyDescent="0.25">
      <c r="A863" s="7"/>
      <c r="C863" s="70"/>
      <c r="D863" s="70"/>
      <c r="E863" s="73"/>
      <c r="F863" s="9"/>
      <c r="H863" s="9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4"/>
      <c r="U863" s="10"/>
      <c r="V863" s="10"/>
      <c r="W863" s="10"/>
      <c r="X863" s="7"/>
      <c r="Y863" s="7"/>
      <c r="Z863" s="7"/>
      <c r="AA863" s="34"/>
      <c r="AB863" s="7"/>
      <c r="AC863" s="34"/>
      <c r="AD863" s="10"/>
      <c r="AF863"/>
    </row>
    <row r="864" spans="1:32" x14ac:dyDescent="0.25">
      <c r="A864" s="7"/>
      <c r="C864" s="70"/>
      <c r="D864" s="70"/>
      <c r="E864" s="73"/>
      <c r="F864" s="9"/>
      <c r="H864" s="9"/>
      <c r="I864" s="10"/>
      <c r="J864" s="10"/>
      <c r="K864" s="7"/>
      <c r="L864" s="10"/>
      <c r="M864" s="10"/>
      <c r="N864" s="10"/>
      <c r="O864" s="10"/>
      <c r="P864" s="10"/>
      <c r="Q864" s="10"/>
      <c r="R864" s="10"/>
      <c r="S864" s="10"/>
      <c r="T864" s="14"/>
      <c r="U864" s="10"/>
      <c r="V864" s="10"/>
      <c r="W864" s="10"/>
      <c r="X864" s="7"/>
      <c r="Y864" s="7"/>
      <c r="Z864" s="7"/>
      <c r="AA864" s="34"/>
      <c r="AB864" s="7"/>
      <c r="AC864" s="34"/>
      <c r="AD864" s="10"/>
      <c r="AF864"/>
    </row>
    <row r="865" spans="1:32" x14ac:dyDescent="0.25">
      <c r="A865" s="7"/>
      <c r="C865" s="70"/>
      <c r="D865" s="70"/>
      <c r="E865" s="73"/>
      <c r="F865" s="9"/>
      <c r="H865" s="9"/>
      <c r="I865" s="10"/>
      <c r="J865" s="10"/>
      <c r="K865" s="7"/>
      <c r="L865" s="10"/>
      <c r="M865" s="10"/>
      <c r="N865" s="10"/>
      <c r="O865" s="10"/>
      <c r="P865" s="10"/>
      <c r="Q865" s="10"/>
      <c r="R865" s="10"/>
      <c r="S865" s="10"/>
      <c r="T865" s="14"/>
      <c r="U865" s="10"/>
      <c r="V865" s="10"/>
      <c r="W865" s="10"/>
      <c r="X865" s="7"/>
      <c r="Y865" s="34"/>
      <c r="Z865" s="7"/>
      <c r="AA865" s="34"/>
      <c r="AB865" s="7"/>
      <c r="AC865" s="34"/>
      <c r="AD865" s="10"/>
      <c r="AF865"/>
    </row>
    <row r="866" spans="1:32" x14ac:dyDescent="0.25">
      <c r="A866" s="7"/>
      <c r="C866" s="70"/>
      <c r="D866" s="70"/>
      <c r="E866" s="73"/>
      <c r="F866" s="9"/>
      <c r="H866" s="9"/>
      <c r="I866" s="10"/>
      <c r="J866" s="10"/>
      <c r="K866" s="7"/>
      <c r="L866" s="10"/>
      <c r="M866" s="10"/>
      <c r="N866" s="10"/>
      <c r="O866" s="10"/>
      <c r="P866" s="10"/>
      <c r="Q866" s="10"/>
      <c r="R866" s="10"/>
      <c r="S866" s="10"/>
      <c r="T866" s="14"/>
      <c r="U866" s="10"/>
      <c r="V866" s="10"/>
      <c r="W866" s="10"/>
      <c r="X866" s="7"/>
      <c r="Y866" s="34"/>
      <c r="Z866" s="7"/>
      <c r="AA866" s="34"/>
      <c r="AB866" s="7"/>
      <c r="AC866" s="34"/>
      <c r="AD866" s="10"/>
      <c r="AF866"/>
    </row>
    <row r="867" spans="1:32" x14ac:dyDescent="0.25">
      <c r="A867" s="43"/>
      <c r="C867" s="70"/>
      <c r="D867" s="70"/>
      <c r="E867" s="73"/>
      <c r="F867" s="9"/>
      <c r="H867" s="9"/>
      <c r="I867" s="10"/>
      <c r="J867" s="10"/>
      <c r="K867" s="7"/>
      <c r="L867" s="10"/>
      <c r="M867" s="10"/>
      <c r="N867" s="10"/>
      <c r="O867" s="10"/>
      <c r="P867" s="10"/>
      <c r="Q867" s="10"/>
      <c r="R867" s="10"/>
      <c r="S867" s="10"/>
      <c r="T867" s="14"/>
      <c r="U867" s="10"/>
      <c r="V867" s="10"/>
      <c r="W867" s="10"/>
      <c r="X867" s="7"/>
      <c r="Y867" s="34"/>
      <c r="Z867" s="7"/>
      <c r="AA867" s="34"/>
      <c r="AB867" s="7"/>
      <c r="AC867" s="34"/>
      <c r="AD867" s="10"/>
      <c r="AF867"/>
    </row>
    <row r="868" spans="1:32" x14ac:dyDescent="0.25">
      <c r="A868" s="7"/>
      <c r="B868" s="47"/>
      <c r="C868" s="70"/>
      <c r="D868" s="70"/>
      <c r="E868" s="73"/>
      <c r="F868" s="9"/>
      <c r="H868" s="9"/>
      <c r="I868" s="10"/>
      <c r="J868" s="10"/>
      <c r="K868" s="7"/>
      <c r="L868" s="10"/>
      <c r="M868" s="10"/>
      <c r="N868" s="10"/>
      <c r="O868" s="10"/>
      <c r="P868" s="10"/>
      <c r="Q868" s="10"/>
      <c r="R868" s="10"/>
      <c r="S868" s="10"/>
      <c r="T868" s="14"/>
      <c r="U868" s="10"/>
      <c r="V868" s="10"/>
      <c r="W868" s="10"/>
      <c r="X868" s="7"/>
      <c r="Y868" s="7"/>
      <c r="Z868" s="7"/>
      <c r="AA868" s="34"/>
      <c r="AB868" s="7"/>
      <c r="AC868" s="34"/>
      <c r="AD868" s="10"/>
      <c r="AF868"/>
    </row>
    <row r="869" spans="1:32" x14ac:dyDescent="0.25">
      <c r="A869" s="7"/>
      <c r="B869" s="47"/>
      <c r="C869" s="70"/>
      <c r="D869" s="70"/>
      <c r="E869" s="73"/>
      <c r="F869" s="9"/>
      <c r="H869" s="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4"/>
      <c r="U869" s="10"/>
      <c r="V869" s="10"/>
      <c r="W869" s="10"/>
      <c r="X869" s="7"/>
      <c r="Y869" s="7"/>
      <c r="Z869" s="34"/>
      <c r="AA869" s="34"/>
      <c r="AB869" s="7"/>
      <c r="AC869" s="34"/>
      <c r="AD869" s="10"/>
      <c r="AF869"/>
    </row>
    <row r="870" spans="1:32" x14ac:dyDescent="0.25">
      <c r="A870" s="7"/>
      <c r="C870" s="70"/>
      <c r="D870" s="70"/>
      <c r="E870" s="73"/>
      <c r="F870" s="9"/>
      <c r="H870" s="9"/>
      <c r="I870" s="10"/>
      <c r="J870" s="10"/>
      <c r="K870" s="7"/>
      <c r="L870" s="10"/>
      <c r="M870" s="10"/>
      <c r="N870" s="10"/>
      <c r="O870" s="10"/>
      <c r="P870" s="10"/>
      <c r="Q870" s="10"/>
      <c r="R870" s="10"/>
      <c r="S870" s="10"/>
      <c r="T870" s="14"/>
      <c r="U870" s="10"/>
      <c r="V870" s="10"/>
      <c r="W870" s="10"/>
      <c r="X870" s="7"/>
      <c r="Y870" s="7"/>
      <c r="Z870" s="7"/>
      <c r="AA870" s="34"/>
      <c r="AB870" s="7"/>
      <c r="AC870" s="34"/>
      <c r="AD870" s="10"/>
      <c r="AF870"/>
    </row>
    <row r="871" spans="1:32" x14ac:dyDescent="0.25">
      <c r="A871" s="7"/>
      <c r="C871" s="70"/>
      <c r="D871" s="70"/>
      <c r="E871" s="73"/>
      <c r="F871" s="9"/>
      <c r="H871" s="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4"/>
      <c r="U871" s="10"/>
      <c r="V871" s="10"/>
      <c r="W871" s="10"/>
      <c r="X871" s="7"/>
      <c r="Y871" s="7"/>
      <c r="Z871" s="34"/>
      <c r="AA871" s="34"/>
      <c r="AB871" s="7"/>
      <c r="AC871" s="34"/>
      <c r="AD871" s="10"/>
      <c r="AF871"/>
    </row>
    <row r="872" spans="1:32" x14ac:dyDescent="0.25">
      <c r="A872" s="7"/>
      <c r="C872" s="70"/>
      <c r="D872" s="70"/>
      <c r="E872" s="73"/>
      <c r="F872" s="9"/>
      <c r="H872" s="9"/>
      <c r="I872" s="10"/>
      <c r="J872" s="7"/>
      <c r="K872" s="7"/>
      <c r="L872" s="10"/>
      <c r="M872" s="10"/>
      <c r="N872" s="10"/>
      <c r="O872" s="10"/>
      <c r="P872" s="10"/>
      <c r="Q872" s="10"/>
      <c r="R872" s="10"/>
      <c r="S872" s="10"/>
      <c r="T872" s="14"/>
      <c r="U872" s="10"/>
      <c r="V872" s="10"/>
      <c r="W872" s="10"/>
      <c r="X872" s="7"/>
      <c r="Y872" s="7"/>
      <c r="Z872" s="7"/>
      <c r="AA872" s="34"/>
      <c r="AB872" s="7"/>
      <c r="AC872" s="34"/>
      <c r="AD872" s="10"/>
      <c r="AF872"/>
    </row>
    <row r="873" spans="1:32" x14ac:dyDescent="0.25">
      <c r="A873" s="7"/>
      <c r="C873" s="70"/>
      <c r="D873" s="70"/>
      <c r="E873" s="73"/>
      <c r="F873" s="9"/>
      <c r="H873" s="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4"/>
      <c r="U873" s="10"/>
      <c r="V873" s="10"/>
      <c r="W873" s="10"/>
      <c r="X873" s="7"/>
      <c r="Y873" s="7"/>
      <c r="Z873" s="7"/>
      <c r="AA873" s="34"/>
      <c r="AB873" s="7"/>
      <c r="AC873" s="34"/>
      <c r="AD873" s="10"/>
      <c r="AF873"/>
    </row>
    <row r="874" spans="1:32" x14ac:dyDescent="0.25">
      <c r="A874" s="7"/>
      <c r="C874" s="70"/>
      <c r="D874" s="70"/>
      <c r="E874" s="73"/>
      <c r="F874" s="9"/>
      <c r="H874" s="9"/>
      <c r="I874" s="10"/>
      <c r="J874" s="7"/>
      <c r="K874" s="24"/>
      <c r="L874" s="10"/>
      <c r="M874" s="10"/>
      <c r="N874" s="10"/>
      <c r="O874" s="10"/>
      <c r="P874" s="10"/>
      <c r="Q874" s="10"/>
      <c r="R874" s="10"/>
      <c r="S874" s="10"/>
      <c r="T874" s="14"/>
      <c r="U874" s="10"/>
      <c r="V874" s="10"/>
      <c r="W874" s="10"/>
      <c r="X874" s="7"/>
      <c r="Y874" s="7"/>
      <c r="Z874" s="7"/>
      <c r="AA874" s="34"/>
      <c r="AB874" s="7"/>
      <c r="AC874" s="34"/>
      <c r="AD874" s="10"/>
      <c r="AF874"/>
    </row>
    <row r="875" spans="1:32" x14ac:dyDescent="0.25">
      <c r="A875" s="7"/>
      <c r="C875" s="70"/>
      <c r="D875" s="70"/>
      <c r="E875" s="73"/>
      <c r="F875" s="9"/>
      <c r="H875" s="9"/>
      <c r="I875" s="10"/>
      <c r="J875" s="7"/>
      <c r="K875" s="24"/>
      <c r="L875" s="10"/>
      <c r="M875" s="10"/>
      <c r="N875" s="10"/>
      <c r="O875" s="10"/>
      <c r="P875" s="10"/>
      <c r="Q875" s="10"/>
      <c r="R875" s="10"/>
      <c r="S875" s="10"/>
      <c r="T875" s="14"/>
      <c r="U875" s="10"/>
      <c r="V875" s="10"/>
      <c r="W875" s="10"/>
      <c r="X875" s="7"/>
      <c r="Y875" s="7"/>
      <c r="Z875" s="7"/>
      <c r="AA875" s="34"/>
      <c r="AB875" s="7"/>
      <c r="AC875" s="34"/>
      <c r="AD875" s="10"/>
      <c r="AF875"/>
    </row>
    <row r="876" spans="1:32" x14ac:dyDescent="0.25">
      <c r="A876" s="7"/>
      <c r="C876" s="70"/>
      <c r="D876" s="70"/>
      <c r="E876" s="73"/>
      <c r="F876" s="9"/>
      <c r="H876" s="9"/>
      <c r="I876" s="10"/>
      <c r="J876" s="7"/>
      <c r="K876" s="7"/>
      <c r="L876" s="10"/>
      <c r="M876" s="10"/>
      <c r="N876" s="10"/>
      <c r="O876" s="10"/>
      <c r="P876" s="10"/>
      <c r="Q876" s="10"/>
      <c r="R876" s="10"/>
      <c r="S876" s="10"/>
      <c r="T876" s="14"/>
      <c r="U876" s="10"/>
      <c r="V876" s="10"/>
      <c r="W876" s="10"/>
      <c r="X876" s="7"/>
      <c r="Y876" s="7"/>
      <c r="Z876" s="7"/>
      <c r="AA876" s="34"/>
      <c r="AB876" s="7"/>
      <c r="AC876" s="34"/>
      <c r="AD876" s="10"/>
      <c r="AF876"/>
    </row>
    <row r="877" spans="1:32" x14ac:dyDescent="0.25">
      <c r="A877" s="7"/>
      <c r="C877" s="70"/>
      <c r="D877" s="70"/>
      <c r="E877" s="73"/>
      <c r="F877" s="9"/>
      <c r="H877" s="9"/>
      <c r="I877" s="10"/>
      <c r="J877" s="10"/>
      <c r="K877" s="24"/>
      <c r="L877" s="10"/>
      <c r="M877" s="10"/>
      <c r="N877" s="10"/>
      <c r="O877" s="10"/>
      <c r="P877" s="10"/>
      <c r="Q877" s="10"/>
      <c r="R877" s="10"/>
      <c r="S877" s="10"/>
      <c r="T877" s="14"/>
      <c r="U877" s="10"/>
      <c r="V877" s="10"/>
      <c r="W877" s="10"/>
      <c r="X877" s="7"/>
      <c r="Y877" s="7"/>
      <c r="Z877" s="34"/>
      <c r="AA877" s="34"/>
      <c r="AB877" s="7"/>
      <c r="AC877" s="34"/>
      <c r="AD877" s="10"/>
      <c r="AF877"/>
    </row>
    <row r="878" spans="1:32" x14ac:dyDescent="0.25">
      <c r="A878" s="7"/>
      <c r="C878" s="70"/>
      <c r="D878" s="70"/>
      <c r="E878" s="73"/>
      <c r="F878" s="7"/>
      <c r="G878" s="7"/>
      <c r="H878" s="9"/>
      <c r="I878" s="10"/>
      <c r="J878" s="7"/>
      <c r="K878" s="7"/>
      <c r="L878" s="7"/>
      <c r="M878" s="7"/>
      <c r="N878" s="10"/>
      <c r="O878" s="10"/>
      <c r="P878" s="10"/>
      <c r="Q878" s="10"/>
      <c r="R878" s="10"/>
      <c r="S878" s="10"/>
      <c r="T878" s="14"/>
      <c r="U878" s="10"/>
      <c r="V878" s="10"/>
      <c r="W878" s="10"/>
      <c r="X878" s="7"/>
      <c r="Y878" s="7"/>
      <c r="Z878" s="34"/>
      <c r="AA878" s="34"/>
      <c r="AB878" s="7"/>
      <c r="AC878" s="34"/>
      <c r="AD878" s="10"/>
      <c r="AF878"/>
    </row>
    <row r="879" spans="1:32" x14ac:dyDescent="0.25">
      <c r="A879" s="7"/>
      <c r="C879" s="70"/>
      <c r="D879" s="70"/>
      <c r="E879" s="73"/>
      <c r="F879" s="9"/>
      <c r="H879" s="9"/>
      <c r="I879" s="10"/>
      <c r="J879" s="7"/>
      <c r="K879" s="7"/>
      <c r="L879" s="10"/>
      <c r="M879" s="10"/>
      <c r="N879" s="10"/>
      <c r="O879" s="10"/>
      <c r="P879" s="10"/>
      <c r="Q879" s="10"/>
      <c r="R879" s="10"/>
      <c r="S879" s="10"/>
      <c r="T879" s="14"/>
      <c r="U879" s="10"/>
      <c r="V879" s="10"/>
      <c r="W879" s="10"/>
      <c r="X879" s="7"/>
      <c r="Y879" s="7"/>
      <c r="Z879" s="7"/>
      <c r="AA879" s="34"/>
      <c r="AB879" s="7"/>
      <c r="AC879" s="34"/>
      <c r="AD879" s="10"/>
      <c r="AF879"/>
    </row>
    <row r="880" spans="1:32" x14ac:dyDescent="0.25">
      <c r="A880" s="7"/>
      <c r="C880" s="70"/>
      <c r="D880" s="70"/>
      <c r="E880" s="73"/>
      <c r="F880" s="9"/>
      <c r="H880" s="9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4"/>
      <c r="U880" s="10"/>
      <c r="V880" s="10"/>
      <c r="W880" s="10"/>
      <c r="X880" s="7"/>
      <c r="Y880" s="7"/>
      <c r="Z880" s="7"/>
      <c r="AA880" s="34"/>
      <c r="AB880" s="7"/>
      <c r="AC880" s="34"/>
      <c r="AD880" s="10"/>
      <c r="AF880"/>
    </row>
    <row r="881" spans="1:32" x14ac:dyDescent="0.25">
      <c r="A881" s="7"/>
      <c r="C881" s="70"/>
      <c r="D881" s="70"/>
      <c r="E881" s="73"/>
      <c r="F881" s="9"/>
      <c r="H881" s="9"/>
      <c r="I881" s="10"/>
      <c r="J881" s="7"/>
      <c r="K881" s="7"/>
      <c r="L881" s="10"/>
      <c r="M881" s="10"/>
      <c r="N881" s="10"/>
      <c r="O881" s="10"/>
      <c r="P881" s="10"/>
      <c r="Q881" s="10"/>
      <c r="R881" s="10"/>
      <c r="S881" s="10"/>
      <c r="T881" s="14"/>
      <c r="U881" s="10"/>
      <c r="V881" s="10"/>
      <c r="W881" s="10"/>
      <c r="X881" s="7"/>
      <c r="Y881" s="7"/>
      <c r="Z881" s="7"/>
      <c r="AA881" s="34"/>
      <c r="AB881" s="7"/>
      <c r="AC881" s="34"/>
      <c r="AD881" s="10"/>
      <c r="AF881"/>
    </row>
    <row r="882" spans="1:32" x14ac:dyDescent="0.25">
      <c r="A882" s="7"/>
      <c r="C882" s="70"/>
      <c r="D882" s="70"/>
      <c r="E882" s="73"/>
      <c r="F882" s="9"/>
      <c r="H882" s="9"/>
      <c r="I882" s="10"/>
      <c r="J882" s="7"/>
      <c r="K882" s="7"/>
      <c r="L882" s="10"/>
      <c r="M882" s="10"/>
      <c r="N882" s="10"/>
      <c r="O882" s="10"/>
      <c r="P882" s="10"/>
      <c r="Q882" s="10"/>
      <c r="R882" s="10"/>
      <c r="S882" s="10"/>
      <c r="T882" s="14"/>
      <c r="U882" s="10"/>
      <c r="V882" s="10"/>
      <c r="W882" s="10"/>
      <c r="X882" s="7"/>
      <c r="Y882" s="7"/>
      <c r="Z882" s="7"/>
      <c r="AA882" s="34"/>
      <c r="AB882" s="7"/>
      <c r="AC882" s="34"/>
      <c r="AD882" s="10"/>
      <c r="AF882"/>
    </row>
    <row r="883" spans="1:32" x14ac:dyDescent="0.25">
      <c r="A883" s="7"/>
      <c r="C883" s="70"/>
      <c r="D883" s="70"/>
      <c r="E883" s="73"/>
      <c r="F883" s="9"/>
      <c r="H883" s="9"/>
      <c r="I883" s="10"/>
      <c r="J883" s="7"/>
      <c r="K883" s="7"/>
      <c r="L883" s="10"/>
      <c r="M883" s="10"/>
      <c r="N883" s="10"/>
      <c r="O883" s="10"/>
      <c r="P883" s="10"/>
      <c r="Q883" s="10"/>
      <c r="R883" s="10"/>
      <c r="S883" s="10"/>
      <c r="T883" s="14"/>
      <c r="U883" s="10"/>
      <c r="V883" s="10"/>
      <c r="W883" s="10"/>
      <c r="X883" s="7"/>
      <c r="Y883" s="7"/>
      <c r="Z883" s="7"/>
      <c r="AA883" s="34"/>
      <c r="AB883" s="7"/>
      <c r="AC883" s="34"/>
      <c r="AD883" s="10"/>
      <c r="AF883"/>
    </row>
    <row r="884" spans="1:32" x14ac:dyDescent="0.25">
      <c r="A884" s="7"/>
      <c r="C884" s="70"/>
      <c r="D884" s="70"/>
      <c r="E884" s="73"/>
      <c r="F884" s="9"/>
      <c r="H884" s="9"/>
      <c r="I884" s="10"/>
      <c r="J884" s="10"/>
      <c r="K884" s="7"/>
      <c r="L884" s="10"/>
      <c r="M884" s="10"/>
      <c r="N884" s="10"/>
      <c r="O884" s="10"/>
      <c r="P884" s="10"/>
      <c r="Q884" s="10"/>
      <c r="R884" s="10"/>
      <c r="S884" s="10"/>
      <c r="T884" s="14"/>
      <c r="U884" s="10"/>
      <c r="V884" s="10"/>
      <c r="W884" s="10"/>
      <c r="X884" s="7"/>
      <c r="Y884" s="7"/>
      <c r="Z884" s="7"/>
      <c r="AA884" s="34"/>
      <c r="AB884" s="7"/>
      <c r="AC884" s="34"/>
      <c r="AD884" s="10"/>
      <c r="AF884"/>
    </row>
    <row r="885" spans="1:32" x14ac:dyDescent="0.25">
      <c r="A885" s="7"/>
      <c r="C885" s="70"/>
      <c r="D885" s="70"/>
      <c r="E885" s="73"/>
      <c r="F885" s="9"/>
      <c r="H885" s="9"/>
      <c r="I885" s="10"/>
      <c r="J885" s="10"/>
      <c r="K885" s="7"/>
      <c r="L885" s="10"/>
      <c r="M885" s="10"/>
      <c r="N885" s="10"/>
      <c r="O885" s="10"/>
      <c r="P885" s="10"/>
      <c r="Q885" s="10"/>
      <c r="R885" s="10"/>
      <c r="S885" s="10"/>
      <c r="T885" s="14"/>
      <c r="U885" s="10"/>
      <c r="V885" s="10"/>
      <c r="W885" s="10"/>
      <c r="X885" s="7"/>
      <c r="Y885" s="7"/>
      <c r="Z885" s="7"/>
      <c r="AA885" s="34"/>
      <c r="AB885" s="7"/>
      <c r="AC885" s="34"/>
      <c r="AD885" s="10"/>
      <c r="AF885"/>
    </row>
    <row r="886" spans="1:32" x14ac:dyDescent="0.25">
      <c r="A886" s="7"/>
      <c r="C886" s="70"/>
      <c r="D886" s="70"/>
      <c r="E886" s="73"/>
      <c r="F886" s="9"/>
      <c r="H886" s="9"/>
      <c r="I886" s="10"/>
      <c r="J886" s="10"/>
      <c r="K886" s="7"/>
      <c r="L886" s="10"/>
      <c r="M886" s="10"/>
      <c r="N886" s="10"/>
      <c r="O886" s="10"/>
      <c r="P886" s="10"/>
      <c r="Q886" s="10"/>
      <c r="R886" s="10"/>
      <c r="S886" s="10"/>
      <c r="T886" s="14"/>
      <c r="U886" s="10"/>
      <c r="V886" s="10"/>
      <c r="W886" s="10"/>
      <c r="X886" s="7"/>
      <c r="Y886" s="7"/>
      <c r="Z886" s="7"/>
      <c r="AA886" s="34"/>
      <c r="AB886" s="7"/>
      <c r="AC886" s="34"/>
      <c r="AD886" s="10"/>
      <c r="AF886"/>
    </row>
    <row r="887" spans="1:32" x14ac:dyDescent="0.25">
      <c r="A887" s="7"/>
      <c r="C887" s="70"/>
      <c r="D887" s="70"/>
      <c r="E887" s="73"/>
      <c r="F887" s="9"/>
      <c r="H887" s="9"/>
      <c r="I887" s="10"/>
      <c r="J887" s="10"/>
      <c r="K887" s="7"/>
      <c r="L887" s="10"/>
      <c r="M887" s="10"/>
      <c r="N887" s="10"/>
      <c r="O887" s="10"/>
      <c r="P887" s="10"/>
      <c r="Q887" s="10"/>
      <c r="R887" s="10"/>
      <c r="S887" s="10"/>
      <c r="T887" s="14"/>
      <c r="U887" s="10"/>
      <c r="V887" s="10"/>
      <c r="W887" s="10"/>
      <c r="X887" s="7"/>
      <c r="Y887" s="7"/>
      <c r="Z887" s="7"/>
      <c r="AA887" s="34"/>
      <c r="AB887" s="7"/>
      <c r="AC887" s="34"/>
      <c r="AD887" s="10"/>
      <c r="AF887"/>
    </row>
    <row r="888" spans="1:32" x14ac:dyDescent="0.25">
      <c r="A888" s="7"/>
      <c r="C888" s="70"/>
      <c r="D888" s="70"/>
      <c r="E888" s="73"/>
      <c r="F888" s="9"/>
      <c r="H888" s="9"/>
      <c r="I888" s="10"/>
      <c r="J888" s="7"/>
      <c r="K888" s="7"/>
      <c r="L888" s="10"/>
      <c r="M888" s="10"/>
      <c r="N888" s="10"/>
      <c r="O888" s="10"/>
      <c r="P888" s="10"/>
      <c r="Q888" s="10"/>
      <c r="R888" s="10"/>
      <c r="S888" s="10"/>
      <c r="T888" s="14"/>
      <c r="U888" s="10"/>
      <c r="V888" s="10"/>
      <c r="W888" s="10"/>
      <c r="X888" s="7"/>
      <c r="Y888" s="7"/>
      <c r="Z888" s="7"/>
      <c r="AA888" s="34"/>
      <c r="AB888" s="7"/>
      <c r="AC888" s="34"/>
      <c r="AD888" s="10"/>
      <c r="AF888"/>
    </row>
    <row r="889" spans="1:32" x14ac:dyDescent="0.25">
      <c r="A889" s="7"/>
      <c r="C889" s="70"/>
      <c r="D889" s="70"/>
      <c r="E889" s="73"/>
      <c r="F889" s="9"/>
      <c r="H889" s="9"/>
      <c r="I889" s="10"/>
      <c r="J889" s="7"/>
      <c r="K889" s="10"/>
      <c r="L889" s="10"/>
      <c r="M889" s="10"/>
      <c r="N889" s="10"/>
      <c r="O889" s="10"/>
      <c r="P889" s="10"/>
      <c r="Q889" s="10"/>
      <c r="R889" s="10"/>
      <c r="S889" s="10"/>
      <c r="T889" s="14"/>
      <c r="U889" s="10"/>
      <c r="V889" s="10"/>
      <c r="W889" s="10"/>
      <c r="X889" s="7"/>
      <c r="Y889" s="7"/>
      <c r="Z889" s="34"/>
      <c r="AA889" s="34"/>
      <c r="AB889" s="7"/>
      <c r="AC889" s="34"/>
      <c r="AD889" s="10"/>
      <c r="AF889"/>
    </row>
    <row r="890" spans="1:32" x14ac:dyDescent="0.25">
      <c r="A890" s="7"/>
      <c r="C890" s="70"/>
      <c r="D890" s="70"/>
      <c r="E890" s="73"/>
      <c r="F890" s="9"/>
      <c r="H890" s="9"/>
      <c r="I890" s="10"/>
      <c r="J890" s="7"/>
      <c r="K890" s="10"/>
      <c r="L890" s="10"/>
      <c r="M890" s="10"/>
      <c r="N890" s="10"/>
      <c r="O890" s="10"/>
      <c r="P890" s="10"/>
      <c r="Q890" s="10"/>
      <c r="R890" s="10"/>
      <c r="S890" s="10"/>
      <c r="T890" s="14"/>
      <c r="U890" s="10"/>
      <c r="V890" s="10"/>
      <c r="W890" s="10"/>
      <c r="X890" s="7"/>
      <c r="Y890" s="7"/>
      <c r="Z890" s="34"/>
      <c r="AA890" s="34"/>
      <c r="AB890" s="7"/>
      <c r="AC890" s="34"/>
      <c r="AD890" s="10"/>
      <c r="AF890"/>
    </row>
    <row r="891" spans="1:32" x14ac:dyDescent="0.25">
      <c r="A891" s="7"/>
      <c r="C891" s="70"/>
      <c r="D891" s="70"/>
      <c r="E891" s="73"/>
      <c r="F891" s="9"/>
      <c r="H891" s="9"/>
      <c r="I891" s="10"/>
      <c r="J891" s="7"/>
      <c r="K891" s="7"/>
      <c r="L891" s="10"/>
      <c r="M891" s="10"/>
      <c r="N891" s="10"/>
      <c r="O891" s="10"/>
      <c r="P891" s="10"/>
      <c r="Q891" s="10"/>
      <c r="R891" s="10"/>
      <c r="S891" s="10"/>
      <c r="T891" s="14"/>
      <c r="U891" s="10"/>
      <c r="V891" s="10"/>
      <c r="W891" s="10"/>
      <c r="X891" s="7"/>
      <c r="Y891" s="7"/>
      <c r="Z891" s="7"/>
      <c r="AA891" s="34"/>
      <c r="AB891" s="7"/>
      <c r="AC891" s="34"/>
      <c r="AD891" s="10"/>
      <c r="AF891"/>
    </row>
    <row r="892" spans="1:32" x14ac:dyDescent="0.25">
      <c r="A892" s="7"/>
      <c r="C892" s="70"/>
      <c r="D892" s="70"/>
      <c r="E892" s="73"/>
      <c r="F892" s="9"/>
      <c r="H892" s="9"/>
      <c r="I892" s="10"/>
      <c r="J892" s="61"/>
      <c r="K892" s="10"/>
      <c r="L892" s="10"/>
      <c r="M892" s="10"/>
      <c r="N892" s="10"/>
      <c r="O892" s="10"/>
      <c r="P892" s="10"/>
      <c r="Q892" s="10"/>
      <c r="R892" s="10"/>
      <c r="S892" s="10"/>
      <c r="T892" s="14"/>
      <c r="U892" s="10"/>
      <c r="V892" s="10"/>
      <c r="W892" s="10"/>
      <c r="X892" s="7"/>
      <c r="Y892" s="7"/>
      <c r="Z892" s="7"/>
      <c r="AA892" s="34"/>
      <c r="AB892" s="7"/>
      <c r="AC892" s="34"/>
      <c r="AD892" s="10"/>
      <c r="AF892"/>
    </row>
    <row r="893" spans="1:32" x14ac:dyDescent="0.25">
      <c r="A893" s="7"/>
      <c r="C893" s="70"/>
      <c r="D893" s="70"/>
      <c r="E893" s="73"/>
      <c r="F893" s="9"/>
      <c r="H893" s="9"/>
      <c r="I893" s="10"/>
      <c r="J893" s="7"/>
      <c r="K893" s="7"/>
      <c r="L893" s="10"/>
      <c r="M893" s="10"/>
      <c r="N893" s="10"/>
      <c r="O893" s="10"/>
      <c r="P893" s="10"/>
      <c r="Q893" s="10"/>
      <c r="R893" s="10"/>
      <c r="S893" s="10"/>
      <c r="T893" s="14"/>
      <c r="U893" s="10"/>
      <c r="V893" s="10"/>
      <c r="W893" s="10"/>
      <c r="X893" s="34"/>
      <c r="Y893" s="7"/>
      <c r="Z893" s="7"/>
      <c r="AA893" s="34"/>
      <c r="AB893" s="7"/>
      <c r="AC893" s="34"/>
      <c r="AD893" s="10"/>
      <c r="AF893"/>
    </row>
    <row r="894" spans="1:32" x14ac:dyDescent="0.25">
      <c r="A894" s="7"/>
      <c r="C894" s="70"/>
      <c r="D894" s="70"/>
      <c r="E894" s="73"/>
      <c r="F894" s="45"/>
      <c r="H894" s="9"/>
      <c r="I894" s="10"/>
      <c r="J894" s="7"/>
      <c r="K894" s="7"/>
      <c r="L894" s="10"/>
      <c r="M894" s="10"/>
      <c r="N894" s="10"/>
      <c r="O894" s="10"/>
      <c r="P894" s="10"/>
      <c r="Q894" s="10"/>
      <c r="R894" s="10"/>
      <c r="S894" s="10"/>
      <c r="T894" s="14"/>
      <c r="U894" s="10"/>
      <c r="V894" s="10"/>
      <c r="W894" s="10"/>
      <c r="X894" s="7"/>
      <c r="Y894" s="7"/>
      <c r="Z894" s="7"/>
      <c r="AA894" s="34"/>
      <c r="AB894" s="7"/>
      <c r="AC894" s="34"/>
      <c r="AD894" s="10"/>
      <c r="AF894"/>
    </row>
    <row r="895" spans="1:32" x14ac:dyDescent="0.25">
      <c r="A895" s="7"/>
      <c r="C895" s="70"/>
      <c r="D895" s="70"/>
      <c r="E895" s="73"/>
      <c r="F895" s="9"/>
      <c r="H895" s="9"/>
      <c r="I895" s="10"/>
      <c r="J895" s="7"/>
      <c r="K895" s="7"/>
      <c r="L895" s="10"/>
      <c r="M895" s="10"/>
      <c r="N895" s="10"/>
      <c r="O895" s="10"/>
      <c r="P895" s="10"/>
      <c r="Q895" s="10"/>
      <c r="R895" s="10"/>
      <c r="S895" s="10"/>
      <c r="T895" s="14"/>
      <c r="U895" s="10"/>
      <c r="V895" s="10"/>
      <c r="W895" s="10"/>
      <c r="X895" s="7"/>
      <c r="Y895" s="7"/>
      <c r="Z895" s="34"/>
      <c r="AA895" s="34"/>
      <c r="AB895" s="7"/>
      <c r="AC895" s="34"/>
      <c r="AD895" s="10"/>
      <c r="AF895"/>
    </row>
    <row r="896" spans="1:32" x14ac:dyDescent="0.25">
      <c r="A896" s="7"/>
      <c r="C896" s="70"/>
      <c r="D896" s="70"/>
      <c r="E896" s="73"/>
      <c r="F896" s="9"/>
      <c r="H896" s="9"/>
      <c r="I896" s="10"/>
      <c r="J896" s="7"/>
      <c r="K896" s="7"/>
      <c r="L896" s="10"/>
      <c r="M896" s="10"/>
      <c r="N896" s="10"/>
      <c r="O896" s="10"/>
      <c r="P896" s="10"/>
      <c r="Q896" s="10"/>
      <c r="R896" s="10"/>
      <c r="S896" s="10"/>
      <c r="T896" s="14"/>
      <c r="U896" s="10"/>
      <c r="V896" s="10"/>
      <c r="W896" s="10"/>
      <c r="X896" s="7"/>
      <c r="Y896" s="7"/>
      <c r="Z896" s="7"/>
      <c r="AA896" s="34"/>
      <c r="AB896" s="7"/>
      <c r="AC896" s="34"/>
      <c r="AD896" s="10"/>
      <c r="AF896"/>
    </row>
    <row r="897" spans="1:32" x14ac:dyDescent="0.25">
      <c r="A897" s="7"/>
      <c r="C897" s="70"/>
      <c r="D897" s="70"/>
      <c r="E897" s="73"/>
      <c r="F897" s="48"/>
      <c r="H897" s="9"/>
      <c r="I897" s="10"/>
      <c r="J897" s="7"/>
      <c r="K897" s="7"/>
      <c r="L897" s="10"/>
      <c r="M897" s="10"/>
      <c r="N897" s="10"/>
      <c r="O897" s="10"/>
      <c r="P897" s="10"/>
      <c r="Q897" s="10"/>
      <c r="R897" s="10"/>
      <c r="S897" s="10"/>
      <c r="T897" s="14"/>
      <c r="U897" s="10"/>
      <c r="V897" s="10"/>
      <c r="W897" s="10"/>
      <c r="X897" s="7"/>
      <c r="Y897" s="34"/>
      <c r="Z897" s="7"/>
      <c r="AA897" s="34"/>
      <c r="AB897" s="7"/>
      <c r="AC897" s="34"/>
      <c r="AD897" s="10"/>
      <c r="AF897"/>
    </row>
    <row r="898" spans="1:32" x14ac:dyDescent="0.25">
      <c r="A898" s="7"/>
      <c r="C898" s="70"/>
      <c r="D898" s="70"/>
      <c r="E898" s="73"/>
      <c r="F898" s="9"/>
      <c r="H898" s="9"/>
      <c r="I898" s="10"/>
      <c r="J898" s="7"/>
      <c r="K898" s="7"/>
      <c r="L898" s="10"/>
      <c r="M898" s="10"/>
      <c r="N898" s="10"/>
      <c r="O898" s="10"/>
      <c r="P898" s="10"/>
      <c r="Q898" s="10"/>
      <c r="R898" s="10"/>
      <c r="S898" s="10"/>
      <c r="T898" s="14"/>
      <c r="U898" s="10"/>
      <c r="V898" s="10"/>
      <c r="W898" s="10"/>
      <c r="X898" s="7"/>
      <c r="Y898" s="7"/>
      <c r="Z898" s="7"/>
      <c r="AA898" s="34"/>
      <c r="AB898" s="7"/>
      <c r="AC898" s="34"/>
      <c r="AD898" s="10"/>
      <c r="AF898"/>
    </row>
    <row r="899" spans="1:32" x14ac:dyDescent="0.25">
      <c r="A899" s="7"/>
      <c r="C899" s="70"/>
      <c r="D899" s="70"/>
      <c r="E899" s="73"/>
      <c r="F899" s="9"/>
      <c r="H899" s="9"/>
      <c r="I899" s="10"/>
      <c r="J899" s="10"/>
      <c r="K899" s="7"/>
      <c r="L899" s="10"/>
      <c r="M899" s="10"/>
      <c r="N899" s="10"/>
      <c r="O899" s="10"/>
      <c r="P899" s="10"/>
      <c r="Q899" s="10"/>
      <c r="R899" s="10"/>
      <c r="S899" s="10"/>
      <c r="T899" s="14"/>
      <c r="U899" s="10"/>
      <c r="V899" s="10"/>
      <c r="W899" s="10"/>
      <c r="X899" s="7"/>
      <c r="Y899" s="7"/>
      <c r="Z899" s="7"/>
      <c r="AA899" s="34"/>
      <c r="AB899" s="7"/>
      <c r="AC899" s="34"/>
      <c r="AD899" s="10"/>
      <c r="AF899"/>
    </row>
    <row r="900" spans="1:32" x14ac:dyDescent="0.25">
      <c r="A900" s="7"/>
      <c r="C900" s="70"/>
      <c r="D900" s="70"/>
      <c r="E900" s="73"/>
      <c r="F900" s="9"/>
      <c r="H900" s="9"/>
      <c r="I900" s="10"/>
      <c r="J900" s="10"/>
      <c r="K900" s="7"/>
      <c r="L900" s="10"/>
      <c r="M900" s="10"/>
      <c r="N900" s="10"/>
      <c r="O900" s="10"/>
      <c r="P900" s="10"/>
      <c r="Q900" s="10"/>
      <c r="R900" s="10"/>
      <c r="S900" s="10"/>
      <c r="T900" s="14"/>
      <c r="U900" s="10"/>
      <c r="V900" s="10"/>
      <c r="W900" s="10"/>
      <c r="X900" s="7"/>
      <c r="Y900" s="7"/>
      <c r="Z900" s="7"/>
      <c r="AA900" s="34"/>
      <c r="AB900" s="7"/>
      <c r="AC900" s="34"/>
      <c r="AD900" s="10"/>
      <c r="AF900"/>
    </row>
    <row r="901" spans="1:32" x14ac:dyDescent="0.25">
      <c r="A901" s="7"/>
      <c r="C901" s="70"/>
      <c r="D901" s="70"/>
      <c r="E901" s="73"/>
      <c r="F901" s="9"/>
      <c r="H901" s="9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4"/>
      <c r="U901" s="10"/>
      <c r="V901" s="10"/>
      <c r="W901" s="10"/>
      <c r="X901" s="7"/>
      <c r="Y901" s="7"/>
      <c r="Z901" s="7"/>
      <c r="AA901" s="34"/>
      <c r="AB901" s="7"/>
      <c r="AC901" s="34"/>
      <c r="AD901" s="10"/>
      <c r="AF901"/>
    </row>
    <row r="902" spans="1:32" x14ac:dyDescent="0.25">
      <c r="A902" s="7"/>
      <c r="C902" s="70"/>
      <c r="D902" s="70"/>
      <c r="E902" s="73"/>
      <c r="F902" s="9"/>
      <c r="H902" s="9"/>
      <c r="I902" s="10"/>
      <c r="J902" s="7"/>
      <c r="K902" s="7"/>
      <c r="L902" s="10"/>
      <c r="M902" s="10"/>
      <c r="N902" s="10"/>
      <c r="O902" s="10"/>
      <c r="P902" s="10"/>
      <c r="Q902" s="10"/>
      <c r="R902" s="10"/>
      <c r="S902" s="10"/>
      <c r="T902" s="14"/>
      <c r="U902" s="10"/>
      <c r="V902" s="10"/>
      <c r="W902" s="10"/>
      <c r="X902" s="34"/>
      <c r="Y902" s="7"/>
      <c r="Z902" s="7"/>
      <c r="AA902" s="34"/>
      <c r="AB902" s="7"/>
      <c r="AC902" s="34"/>
      <c r="AD902" s="10"/>
      <c r="AF902"/>
    </row>
    <row r="903" spans="1:32" x14ac:dyDescent="0.25">
      <c r="A903" s="7"/>
      <c r="C903" s="70"/>
      <c r="D903" s="70"/>
      <c r="E903" s="73"/>
      <c r="F903" s="9"/>
      <c r="H903" s="9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4"/>
      <c r="U903" s="10"/>
      <c r="V903" s="10"/>
      <c r="W903" s="10"/>
      <c r="X903" s="7"/>
      <c r="Y903" s="7"/>
      <c r="Z903" s="7"/>
      <c r="AA903" s="34"/>
      <c r="AB903" s="7"/>
      <c r="AC903" s="34"/>
      <c r="AD903" s="10"/>
      <c r="AF903"/>
    </row>
    <row r="904" spans="1:32" x14ac:dyDescent="0.25">
      <c r="A904" s="7"/>
      <c r="C904" s="70"/>
      <c r="D904" s="70"/>
      <c r="E904" s="73"/>
      <c r="F904" s="9"/>
      <c r="H904" s="9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4"/>
      <c r="U904" s="10"/>
      <c r="V904" s="10"/>
      <c r="W904" s="10"/>
      <c r="X904" s="34"/>
      <c r="Y904" s="7"/>
      <c r="Z904" s="7"/>
      <c r="AA904" s="34"/>
      <c r="AB904" s="7"/>
      <c r="AC904" s="34"/>
      <c r="AD904" s="10"/>
      <c r="AF904"/>
    </row>
    <row r="905" spans="1:32" x14ac:dyDescent="0.25">
      <c r="A905" s="7"/>
      <c r="C905" s="70"/>
      <c r="D905" s="70"/>
      <c r="E905" s="73"/>
      <c r="F905" s="9"/>
      <c r="H905" s="9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4"/>
      <c r="U905" s="10"/>
      <c r="V905" s="10"/>
      <c r="W905" s="10"/>
      <c r="X905" s="7"/>
      <c r="Y905" s="7"/>
      <c r="Z905" s="7"/>
      <c r="AA905" s="34"/>
      <c r="AB905" s="7"/>
      <c r="AC905" s="34"/>
      <c r="AD905" s="10"/>
      <c r="AF905"/>
    </row>
    <row r="906" spans="1:32" x14ac:dyDescent="0.25">
      <c r="A906" s="7"/>
      <c r="C906" s="70"/>
      <c r="D906" s="70"/>
      <c r="E906" s="73"/>
      <c r="F906" s="9"/>
      <c r="H906" s="9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4"/>
      <c r="U906" s="10"/>
      <c r="V906" s="10"/>
      <c r="W906" s="10"/>
      <c r="X906" s="7"/>
      <c r="Y906" s="7"/>
      <c r="Z906" s="7"/>
      <c r="AA906" s="34"/>
      <c r="AB906" s="7"/>
      <c r="AC906" s="34"/>
      <c r="AD906" s="10"/>
      <c r="AF906"/>
    </row>
    <row r="907" spans="1:32" x14ac:dyDescent="0.25">
      <c r="A907" s="7"/>
      <c r="C907" s="70"/>
      <c r="D907" s="70"/>
      <c r="E907" s="73"/>
      <c r="F907" s="48"/>
      <c r="H907" s="9"/>
      <c r="I907" s="10"/>
      <c r="J907" s="7"/>
      <c r="K907" s="24"/>
      <c r="L907" s="10"/>
      <c r="M907" s="10"/>
      <c r="N907" s="10"/>
      <c r="O907" s="10"/>
      <c r="P907" s="10"/>
      <c r="Q907" s="10"/>
      <c r="R907" s="10"/>
      <c r="S907" s="10"/>
      <c r="T907" s="14"/>
      <c r="U907" s="10"/>
      <c r="V907" s="10"/>
      <c r="W907" s="10"/>
      <c r="X907" s="7"/>
      <c r="Y907" s="7"/>
      <c r="Z907" s="7"/>
      <c r="AA907" s="34"/>
      <c r="AB907" s="7"/>
      <c r="AC907" s="34"/>
      <c r="AD907" s="10"/>
      <c r="AF907"/>
    </row>
    <row r="908" spans="1:32" x14ac:dyDescent="0.25">
      <c r="A908" s="7"/>
      <c r="C908" s="70"/>
      <c r="D908" s="70"/>
      <c r="E908" s="73"/>
      <c r="F908" s="9"/>
      <c r="H908" s="9"/>
      <c r="I908" s="10"/>
      <c r="J908" s="7"/>
      <c r="K908" s="7"/>
      <c r="L908" s="10"/>
      <c r="M908" s="10"/>
      <c r="N908" s="10"/>
      <c r="O908" s="10"/>
      <c r="P908" s="10"/>
      <c r="Q908" s="10"/>
      <c r="R908" s="10"/>
      <c r="S908" s="10"/>
      <c r="T908" s="14"/>
      <c r="U908" s="10"/>
      <c r="V908" s="10"/>
      <c r="W908" s="10"/>
      <c r="X908" s="7"/>
      <c r="Y908" s="7"/>
      <c r="Z908" s="7"/>
      <c r="AA908" s="34"/>
      <c r="AB908" s="7"/>
      <c r="AC908" s="34"/>
      <c r="AD908" s="10"/>
      <c r="AF908"/>
    </row>
    <row r="909" spans="1:32" x14ac:dyDescent="0.25">
      <c r="A909" s="7"/>
      <c r="C909" s="70"/>
      <c r="D909" s="70"/>
      <c r="E909" s="73"/>
      <c r="F909" s="9"/>
      <c r="H909" s="9"/>
      <c r="I909" s="10"/>
      <c r="J909" s="10"/>
      <c r="K909" s="7"/>
      <c r="L909" s="10"/>
      <c r="M909" s="10"/>
      <c r="N909" s="10"/>
      <c r="O909" s="10"/>
      <c r="P909" s="10"/>
      <c r="Q909" s="10"/>
      <c r="R909" s="10"/>
      <c r="S909" s="10"/>
      <c r="T909" s="14"/>
      <c r="U909" s="10"/>
      <c r="V909" s="10"/>
      <c r="W909" s="10"/>
      <c r="X909" s="7"/>
      <c r="Y909" s="7"/>
      <c r="Z909" s="7"/>
      <c r="AA909" s="34"/>
      <c r="AB909" s="7"/>
      <c r="AC909" s="34"/>
      <c r="AD909" s="10"/>
      <c r="AF909"/>
    </row>
    <row r="910" spans="1:32" x14ac:dyDescent="0.25">
      <c r="A910" s="7"/>
      <c r="C910" s="70"/>
      <c r="D910" s="70"/>
      <c r="E910" s="73"/>
      <c r="F910" s="9"/>
      <c r="H910" s="9"/>
      <c r="I910" s="10"/>
      <c r="J910" s="10"/>
      <c r="K910" s="7"/>
      <c r="L910" s="10"/>
      <c r="M910" s="10"/>
      <c r="N910" s="10"/>
      <c r="O910" s="10"/>
      <c r="P910" s="10"/>
      <c r="Q910" s="10"/>
      <c r="R910" s="10"/>
      <c r="S910" s="10"/>
      <c r="T910" s="14"/>
      <c r="U910" s="10"/>
      <c r="V910" s="10"/>
      <c r="W910" s="10"/>
      <c r="X910" s="7"/>
      <c r="Y910" s="7"/>
      <c r="Z910" s="7"/>
      <c r="AA910" s="34"/>
      <c r="AB910" s="7"/>
      <c r="AC910" s="34"/>
      <c r="AD910" s="10"/>
      <c r="AF910"/>
    </row>
    <row r="911" spans="1:32" x14ac:dyDescent="0.25">
      <c r="A911" s="7"/>
      <c r="C911" s="70"/>
      <c r="D911" s="70"/>
      <c r="E911" s="73"/>
      <c r="F911" s="9"/>
      <c r="H911" s="9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4"/>
      <c r="U911" s="10"/>
      <c r="V911" s="10"/>
      <c r="W911" s="10"/>
      <c r="X911" s="7"/>
      <c r="Y911" s="7"/>
      <c r="Z911" s="34"/>
      <c r="AA911" s="34"/>
      <c r="AB911" s="7"/>
      <c r="AC911" s="34"/>
      <c r="AD911" s="10"/>
      <c r="AF911"/>
    </row>
    <row r="912" spans="1:32" x14ac:dyDescent="0.25">
      <c r="A912" s="7"/>
      <c r="C912" s="70"/>
      <c r="D912" s="70"/>
      <c r="E912" s="73"/>
      <c r="F912" s="9"/>
      <c r="H912" s="9"/>
      <c r="I912" s="10"/>
      <c r="J912" s="7"/>
      <c r="K912" s="24"/>
      <c r="L912" s="10"/>
      <c r="M912" s="10"/>
      <c r="N912" s="10"/>
      <c r="O912" s="10"/>
      <c r="P912" s="10"/>
      <c r="Q912" s="10"/>
      <c r="R912" s="10"/>
      <c r="S912" s="10"/>
      <c r="T912" s="14"/>
      <c r="U912" s="10"/>
      <c r="V912" s="10"/>
      <c r="W912" s="10"/>
      <c r="X912" s="7"/>
      <c r="Y912" s="7"/>
      <c r="Z912" s="7"/>
      <c r="AA912" s="34"/>
      <c r="AB912" s="7"/>
      <c r="AC912" s="34"/>
      <c r="AD912" s="10"/>
      <c r="AF912"/>
    </row>
    <row r="913" spans="1:32" x14ac:dyDescent="0.25">
      <c r="A913" s="7"/>
      <c r="C913" s="70"/>
      <c r="D913" s="70"/>
      <c r="E913" s="73"/>
      <c r="F913" s="9"/>
      <c r="H913" s="9"/>
      <c r="I913" s="52"/>
      <c r="J913" s="10"/>
      <c r="K913" s="7"/>
      <c r="L913" s="10"/>
      <c r="M913" s="10"/>
      <c r="N913" s="10"/>
      <c r="O913" s="10"/>
      <c r="P913" s="10"/>
      <c r="Q913" s="10"/>
      <c r="R913" s="10"/>
      <c r="S913" s="10"/>
      <c r="T913" s="14"/>
      <c r="U913" s="10"/>
      <c r="V913" s="10"/>
      <c r="W913" s="10"/>
      <c r="X913" s="7"/>
      <c r="Y913" s="7"/>
      <c r="Z913" s="7"/>
      <c r="AA913" s="34"/>
      <c r="AB913" s="7"/>
      <c r="AC913" s="34"/>
      <c r="AD913" s="10"/>
      <c r="AF913"/>
    </row>
    <row r="914" spans="1:32" x14ac:dyDescent="0.25">
      <c r="A914" s="7"/>
      <c r="C914" s="70"/>
      <c r="D914" s="70"/>
      <c r="E914" s="73"/>
      <c r="F914" s="9"/>
      <c r="H914" s="9"/>
      <c r="I914" s="52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4"/>
      <c r="U914" s="10"/>
      <c r="V914" s="10"/>
      <c r="W914" s="10"/>
      <c r="X914" s="7"/>
      <c r="Y914" s="7"/>
      <c r="Z914" s="7"/>
      <c r="AA914" s="34"/>
      <c r="AB914" s="7"/>
      <c r="AC914" s="34"/>
      <c r="AD914" s="10"/>
      <c r="AF914"/>
    </row>
    <row r="915" spans="1:32" x14ac:dyDescent="0.25">
      <c r="A915" s="7"/>
      <c r="C915" s="70"/>
      <c r="D915" s="70"/>
      <c r="E915" s="73"/>
      <c r="F915" s="48"/>
      <c r="H915" s="9"/>
      <c r="I915" s="52"/>
      <c r="J915" s="10"/>
      <c r="K915" s="7"/>
      <c r="L915" s="10"/>
      <c r="M915" s="10"/>
      <c r="N915" s="10"/>
      <c r="O915" s="10"/>
      <c r="P915" s="10"/>
      <c r="Q915" s="10"/>
      <c r="R915" s="10"/>
      <c r="S915" s="10"/>
      <c r="T915" s="14"/>
      <c r="U915" s="10"/>
      <c r="V915" s="10"/>
      <c r="W915" s="10"/>
      <c r="X915" s="7"/>
      <c r="Y915" s="7"/>
      <c r="Z915" s="7"/>
      <c r="AA915" s="34"/>
      <c r="AB915" s="7"/>
      <c r="AC915" s="34"/>
      <c r="AD915" s="10"/>
      <c r="AF915"/>
    </row>
    <row r="916" spans="1:32" x14ac:dyDescent="0.25">
      <c r="A916" s="7"/>
      <c r="C916" s="70"/>
      <c r="D916" s="70"/>
      <c r="E916" s="73"/>
      <c r="F916" s="9"/>
      <c r="H916" s="9"/>
      <c r="I916" s="10"/>
      <c r="J916" s="10"/>
      <c r="K916" s="7"/>
      <c r="L916" s="10"/>
      <c r="M916" s="10"/>
      <c r="N916" s="10"/>
      <c r="O916" s="10"/>
      <c r="P916" s="10"/>
      <c r="Q916" s="10"/>
      <c r="R916" s="10"/>
      <c r="S916" s="10"/>
      <c r="T916" s="14"/>
      <c r="U916" s="10"/>
      <c r="V916" s="10"/>
      <c r="W916" s="10"/>
      <c r="X916" s="7"/>
      <c r="Y916" s="7"/>
      <c r="Z916" s="7"/>
      <c r="AA916" s="34"/>
      <c r="AB916" s="7"/>
      <c r="AC916" s="34"/>
      <c r="AD916" s="10"/>
      <c r="AF916"/>
    </row>
    <row r="917" spans="1:32" x14ac:dyDescent="0.25">
      <c r="A917" s="7"/>
      <c r="C917" s="70"/>
      <c r="D917" s="70"/>
      <c r="E917" s="73"/>
      <c r="F917" s="9"/>
      <c r="H917" s="9"/>
      <c r="I917" s="10"/>
      <c r="J917" s="7"/>
      <c r="K917" s="7"/>
      <c r="L917" s="10"/>
      <c r="M917" s="10"/>
      <c r="N917" s="10"/>
      <c r="O917" s="10"/>
      <c r="P917" s="10"/>
      <c r="Q917" s="10"/>
      <c r="R917" s="10"/>
      <c r="S917" s="10"/>
      <c r="T917" s="14"/>
      <c r="U917" s="10"/>
      <c r="V917" s="10"/>
      <c r="W917" s="10"/>
      <c r="X917" s="7"/>
      <c r="Y917" s="7"/>
      <c r="Z917" s="7"/>
      <c r="AA917" s="34"/>
      <c r="AB917" s="7"/>
      <c r="AC917" s="34"/>
      <c r="AD917" s="10"/>
      <c r="AF917"/>
    </row>
    <row r="918" spans="1:32" x14ac:dyDescent="0.25">
      <c r="A918" s="7"/>
      <c r="C918" s="70"/>
      <c r="D918" s="70"/>
      <c r="E918" s="73"/>
      <c r="F918" s="9"/>
      <c r="H918" s="9"/>
      <c r="I918" s="10"/>
      <c r="J918" s="10"/>
      <c r="K918" s="7"/>
      <c r="L918" s="10"/>
      <c r="M918" s="10"/>
      <c r="N918" s="10"/>
      <c r="O918" s="10"/>
      <c r="P918" s="10"/>
      <c r="Q918" s="10"/>
      <c r="R918" s="10"/>
      <c r="S918" s="10"/>
      <c r="T918" s="14"/>
      <c r="U918" s="10"/>
      <c r="V918" s="10"/>
      <c r="W918" s="10"/>
      <c r="X918" s="7"/>
      <c r="Y918" s="7"/>
      <c r="Z918" s="34"/>
      <c r="AA918" s="34"/>
      <c r="AB918" s="7"/>
      <c r="AC918" s="34"/>
      <c r="AD918" s="10"/>
      <c r="AF918"/>
    </row>
    <row r="919" spans="1:32" x14ac:dyDescent="0.25">
      <c r="A919" s="7"/>
      <c r="C919" s="70"/>
      <c r="D919" s="70"/>
      <c r="E919" s="73"/>
      <c r="F919" s="45"/>
      <c r="H919" s="9"/>
      <c r="I919" s="10"/>
      <c r="J919" s="10"/>
      <c r="K919" s="24"/>
      <c r="L919" s="10"/>
      <c r="M919" s="10"/>
      <c r="N919" s="10"/>
      <c r="O919" s="10"/>
      <c r="P919" s="10"/>
      <c r="Q919" s="10"/>
      <c r="R919" s="10"/>
      <c r="S919" s="10"/>
      <c r="T919" s="14"/>
      <c r="U919" s="10"/>
      <c r="V919" s="10"/>
      <c r="W919" s="10"/>
      <c r="X919" s="7"/>
      <c r="Y919" s="34"/>
      <c r="Z919" s="7"/>
      <c r="AA919" s="34"/>
      <c r="AB919" s="7"/>
      <c r="AC919" s="34"/>
      <c r="AD919" s="10"/>
      <c r="AF919"/>
    </row>
    <row r="920" spans="1:32" x14ac:dyDescent="0.25">
      <c r="A920" s="7"/>
      <c r="C920" s="70"/>
      <c r="D920" s="70"/>
      <c r="E920" s="73"/>
      <c r="F920" s="9"/>
      <c r="H920" s="9"/>
      <c r="I920" s="10"/>
      <c r="J920" s="60"/>
      <c r="K920" s="42"/>
      <c r="L920" s="10"/>
      <c r="M920" s="10"/>
      <c r="N920" s="10"/>
      <c r="O920" s="10"/>
      <c r="P920" s="10"/>
      <c r="Q920" s="10"/>
      <c r="R920" s="10"/>
      <c r="S920" s="10"/>
      <c r="T920" s="14"/>
      <c r="U920" s="10"/>
      <c r="V920" s="10"/>
      <c r="W920" s="10"/>
      <c r="X920" s="7"/>
      <c r="Y920" s="7"/>
      <c r="Z920" s="7"/>
      <c r="AA920" s="34"/>
      <c r="AB920" s="7"/>
      <c r="AC920" s="34"/>
      <c r="AD920" s="10"/>
      <c r="AF920"/>
    </row>
    <row r="921" spans="1:32" x14ac:dyDescent="0.25">
      <c r="A921" s="7"/>
      <c r="C921" s="70"/>
      <c r="D921" s="70"/>
      <c r="E921" s="73"/>
      <c r="F921" s="9"/>
      <c r="H921" s="45"/>
      <c r="I921" s="10"/>
      <c r="J921" s="7"/>
      <c r="K921" s="24"/>
      <c r="L921" s="10"/>
      <c r="M921" s="10"/>
      <c r="N921" s="10"/>
      <c r="O921" s="10"/>
      <c r="P921" s="10"/>
      <c r="Q921" s="10"/>
      <c r="R921" s="10"/>
      <c r="S921" s="10"/>
      <c r="T921" s="14"/>
      <c r="U921" s="10"/>
      <c r="V921" s="10"/>
      <c r="W921" s="10"/>
      <c r="X921" s="7"/>
      <c r="Y921" s="7"/>
      <c r="Z921" s="7"/>
      <c r="AA921" s="34"/>
      <c r="AB921" s="7"/>
      <c r="AC921" s="34"/>
      <c r="AD921" s="10"/>
      <c r="AF921"/>
    </row>
    <row r="922" spans="1:32" x14ac:dyDescent="0.25">
      <c r="A922" s="7"/>
      <c r="C922" s="70"/>
      <c r="D922" s="70"/>
      <c r="E922" s="73"/>
      <c r="F922" s="9"/>
      <c r="H922" s="9"/>
      <c r="I922" s="10"/>
      <c r="J922" s="10"/>
      <c r="K922" s="24"/>
      <c r="L922" s="10"/>
      <c r="M922" s="10"/>
      <c r="N922" s="10"/>
      <c r="O922" s="10"/>
      <c r="P922" s="10"/>
      <c r="Q922" s="10"/>
      <c r="R922" s="10"/>
      <c r="S922" s="10"/>
      <c r="T922" s="14"/>
      <c r="U922" s="10"/>
      <c r="V922" s="10"/>
      <c r="W922" s="10"/>
      <c r="X922" s="7"/>
      <c r="Y922" s="7"/>
      <c r="Z922" s="7"/>
      <c r="AA922" s="34"/>
      <c r="AB922" s="7"/>
      <c r="AC922" s="34"/>
      <c r="AD922" s="10"/>
      <c r="AF922"/>
    </row>
    <row r="923" spans="1:32" x14ac:dyDescent="0.25">
      <c r="A923" s="7"/>
      <c r="C923" s="70"/>
      <c r="D923" s="70"/>
      <c r="E923" s="73"/>
      <c r="F923" s="9"/>
      <c r="H923" s="9"/>
      <c r="I923" s="10"/>
      <c r="J923" s="10"/>
      <c r="K923" s="7"/>
      <c r="L923" s="10"/>
      <c r="M923" s="10"/>
      <c r="N923" s="10"/>
      <c r="O923" s="10"/>
      <c r="P923" s="10"/>
      <c r="Q923" s="10"/>
      <c r="R923" s="10"/>
      <c r="S923" s="10"/>
      <c r="T923" s="14"/>
      <c r="U923" s="10"/>
      <c r="V923" s="10"/>
      <c r="W923" s="10"/>
      <c r="X923" s="7"/>
      <c r="Y923" s="7"/>
      <c r="Z923" s="7"/>
      <c r="AA923" s="34"/>
      <c r="AB923" s="7"/>
      <c r="AC923" s="34"/>
      <c r="AD923" s="10"/>
      <c r="AF923"/>
    </row>
    <row r="924" spans="1:32" x14ac:dyDescent="0.25">
      <c r="A924" s="7"/>
      <c r="C924" s="70"/>
      <c r="D924" s="70"/>
      <c r="E924" s="73"/>
      <c r="F924" s="9"/>
      <c r="H924" s="9"/>
      <c r="I924" s="10"/>
      <c r="J924" s="10"/>
      <c r="K924" s="7"/>
      <c r="L924" s="10"/>
      <c r="M924" s="10"/>
      <c r="N924" s="10"/>
      <c r="O924" s="10"/>
      <c r="P924" s="10"/>
      <c r="Q924" s="10"/>
      <c r="R924" s="10"/>
      <c r="S924" s="10"/>
      <c r="T924" s="14"/>
      <c r="U924" s="10"/>
      <c r="V924" s="10"/>
      <c r="W924" s="10"/>
      <c r="X924" s="7"/>
      <c r="Y924" s="7"/>
      <c r="Z924" s="7"/>
      <c r="AA924" s="34"/>
      <c r="AB924" s="7"/>
      <c r="AC924" s="34"/>
      <c r="AD924" s="10"/>
      <c r="AF924"/>
    </row>
    <row r="925" spans="1:32" x14ac:dyDescent="0.25">
      <c r="A925" s="7"/>
      <c r="C925" s="70"/>
      <c r="D925" s="70"/>
      <c r="E925" s="73"/>
      <c r="F925" s="9"/>
      <c r="H925" s="9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4"/>
      <c r="U925" s="10"/>
      <c r="V925" s="10"/>
      <c r="W925" s="10"/>
      <c r="X925" s="7"/>
      <c r="Y925" s="7"/>
      <c r="Z925" s="34"/>
      <c r="AA925" s="34"/>
      <c r="AB925" s="7"/>
      <c r="AC925" s="34"/>
      <c r="AD925" s="10"/>
      <c r="AF925"/>
    </row>
    <row r="926" spans="1:32" x14ac:dyDescent="0.25">
      <c r="A926" s="7"/>
      <c r="C926" s="70"/>
      <c r="D926" s="70"/>
      <c r="E926" s="73"/>
      <c r="F926" s="9"/>
      <c r="H926" s="9"/>
      <c r="I926" s="10"/>
      <c r="J926" s="7"/>
      <c r="K926" s="7"/>
      <c r="L926" s="10"/>
      <c r="M926" s="10"/>
      <c r="N926" s="10"/>
      <c r="O926" s="10"/>
      <c r="P926" s="10"/>
      <c r="Q926" s="10"/>
      <c r="R926" s="10"/>
      <c r="S926" s="10"/>
      <c r="T926" s="14"/>
      <c r="U926" s="10"/>
      <c r="V926" s="10"/>
      <c r="W926" s="10"/>
      <c r="X926" s="7"/>
      <c r="Y926" s="7"/>
      <c r="Z926" s="7"/>
      <c r="AA926" s="34"/>
      <c r="AB926" s="7"/>
      <c r="AC926" s="34"/>
      <c r="AD926" s="10"/>
      <c r="AF926"/>
    </row>
    <row r="927" spans="1:32" x14ac:dyDescent="0.25">
      <c r="A927" s="7"/>
      <c r="C927" s="70"/>
      <c r="D927" s="70"/>
      <c r="E927" s="73"/>
      <c r="F927" s="9"/>
      <c r="H927" s="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4"/>
      <c r="U927" s="10"/>
      <c r="V927" s="10"/>
      <c r="W927" s="10"/>
      <c r="X927" s="7"/>
      <c r="Y927" s="7"/>
      <c r="Z927" s="7"/>
      <c r="AA927" s="34"/>
      <c r="AB927" s="7"/>
      <c r="AC927" s="34"/>
      <c r="AD927" s="10"/>
      <c r="AF927"/>
    </row>
    <row r="928" spans="1:32" x14ac:dyDescent="0.25">
      <c r="A928" s="7"/>
      <c r="C928" s="70"/>
      <c r="D928" s="70"/>
      <c r="E928" s="73"/>
      <c r="F928" s="9"/>
      <c r="H928" s="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4"/>
      <c r="U928" s="10"/>
      <c r="V928" s="10"/>
      <c r="W928" s="10"/>
      <c r="X928" s="7"/>
      <c r="Y928" s="7"/>
      <c r="Z928" s="7"/>
      <c r="AA928" s="34"/>
      <c r="AB928" s="7"/>
      <c r="AC928" s="34"/>
      <c r="AD928" s="10"/>
      <c r="AF928"/>
    </row>
    <row r="929" spans="1:32" x14ac:dyDescent="0.25">
      <c r="A929" s="7"/>
      <c r="C929" s="70"/>
      <c r="D929" s="70"/>
      <c r="E929" s="73"/>
      <c r="F929" s="9"/>
      <c r="H929" s="9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4"/>
      <c r="U929" s="10"/>
      <c r="V929" s="10"/>
      <c r="W929" s="10"/>
      <c r="X929" s="7"/>
      <c r="Y929" s="7"/>
      <c r="Z929" s="7"/>
      <c r="AA929" s="34"/>
      <c r="AB929" s="7"/>
      <c r="AC929" s="34"/>
      <c r="AD929" s="10"/>
      <c r="AF929"/>
    </row>
    <row r="930" spans="1:32" x14ac:dyDescent="0.25">
      <c r="A930" s="7"/>
      <c r="C930" s="70"/>
      <c r="D930" s="70"/>
      <c r="E930" s="73"/>
      <c r="F930" s="9"/>
      <c r="H930" s="9"/>
      <c r="I930" s="10"/>
      <c r="J930" s="7"/>
      <c r="K930" s="7"/>
      <c r="L930" s="10"/>
      <c r="M930" s="10"/>
      <c r="N930" s="10"/>
      <c r="O930" s="10"/>
      <c r="P930" s="10"/>
      <c r="Q930" s="10"/>
      <c r="R930" s="10"/>
      <c r="S930" s="10"/>
      <c r="T930" s="14"/>
      <c r="U930" s="10"/>
      <c r="V930" s="10"/>
      <c r="W930" s="10"/>
      <c r="X930" s="7"/>
      <c r="Y930" s="7"/>
      <c r="Z930" s="34"/>
      <c r="AA930" s="34"/>
      <c r="AB930" s="7"/>
      <c r="AC930" s="34"/>
      <c r="AD930" s="10"/>
      <c r="AF930"/>
    </row>
    <row r="931" spans="1:32" x14ac:dyDescent="0.25">
      <c r="A931" s="7"/>
      <c r="C931" s="70"/>
      <c r="D931" s="70"/>
      <c r="E931" s="73"/>
      <c r="F931" s="9"/>
      <c r="H931" s="9"/>
      <c r="I931" s="10"/>
      <c r="J931" s="7"/>
      <c r="K931" s="7"/>
      <c r="L931" s="10"/>
      <c r="M931" s="10"/>
      <c r="N931" s="10"/>
      <c r="O931" s="10"/>
      <c r="P931" s="10"/>
      <c r="Q931" s="10"/>
      <c r="R931" s="10"/>
      <c r="S931" s="10"/>
      <c r="T931" s="14"/>
      <c r="U931" s="10"/>
      <c r="V931" s="10"/>
      <c r="W931" s="10"/>
      <c r="X931" s="7"/>
      <c r="Y931" s="7"/>
      <c r="Z931" s="34"/>
      <c r="AA931" s="34"/>
      <c r="AB931" s="7"/>
      <c r="AC931" s="34"/>
      <c r="AD931" s="10"/>
      <c r="AF931"/>
    </row>
    <row r="932" spans="1:32" x14ac:dyDescent="0.25">
      <c r="A932" s="7"/>
      <c r="C932" s="70"/>
      <c r="D932" s="70"/>
      <c r="E932" s="73"/>
      <c r="F932" s="9"/>
      <c r="H932" s="9"/>
      <c r="I932" s="10"/>
      <c r="J932" s="7"/>
      <c r="K932" s="7"/>
      <c r="L932" s="10"/>
      <c r="M932" s="10"/>
      <c r="N932" s="10"/>
      <c r="O932" s="10"/>
      <c r="P932" s="10"/>
      <c r="Q932" s="10"/>
      <c r="R932" s="10"/>
      <c r="S932" s="10"/>
      <c r="T932" s="14"/>
      <c r="U932" s="10"/>
      <c r="V932" s="10"/>
      <c r="W932" s="10"/>
      <c r="X932" s="7"/>
      <c r="Y932" s="7"/>
      <c r="Z932" s="34"/>
      <c r="AA932" s="34"/>
      <c r="AB932" s="7"/>
      <c r="AC932" s="34"/>
      <c r="AD932" s="10"/>
      <c r="AF932"/>
    </row>
    <row r="933" spans="1:32" x14ac:dyDescent="0.25">
      <c r="A933" s="7"/>
      <c r="C933" s="70"/>
      <c r="D933" s="70"/>
      <c r="E933" s="73"/>
      <c r="F933" s="9"/>
      <c r="H933" s="9"/>
      <c r="I933" s="10"/>
      <c r="J933" s="7"/>
      <c r="K933" s="7"/>
      <c r="L933" s="10"/>
      <c r="M933" s="10"/>
      <c r="N933" s="10"/>
      <c r="O933" s="10"/>
      <c r="P933" s="10"/>
      <c r="Q933" s="10"/>
      <c r="R933" s="10"/>
      <c r="S933" s="10"/>
      <c r="T933" s="14"/>
      <c r="U933" s="10"/>
      <c r="V933" s="10"/>
      <c r="W933" s="10"/>
      <c r="X933" s="7"/>
      <c r="Y933" s="7"/>
      <c r="Z933" s="7"/>
      <c r="AA933" s="34"/>
      <c r="AB933" s="7"/>
      <c r="AC933" s="34"/>
      <c r="AD933" s="10"/>
      <c r="AF933"/>
    </row>
    <row r="934" spans="1:32" x14ac:dyDescent="0.25">
      <c r="A934" s="7"/>
      <c r="C934" s="70"/>
      <c r="D934" s="70"/>
      <c r="E934" s="73"/>
      <c r="F934" s="9"/>
      <c r="H934" s="9"/>
      <c r="I934" s="10"/>
      <c r="J934" s="60"/>
      <c r="K934" s="42"/>
      <c r="L934" s="10"/>
      <c r="M934" s="10"/>
      <c r="N934" s="10"/>
      <c r="O934" s="10"/>
      <c r="P934" s="10"/>
      <c r="Q934" s="10"/>
      <c r="R934" s="10"/>
      <c r="S934" s="10"/>
      <c r="T934" s="14"/>
      <c r="U934" s="10"/>
      <c r="V934" s="10"/>
      <c r="W934" s="10"/>
      <c r="X934" s="7"/>
      <c r="Y934" s="7"/>
      <c r="Z934" s="7"/>
      <c r="AA934" s="34"/>
      <c r="AB934" s="7"/>
      <c r="AC934" s="34"/>
      <c r="AD934" s="10"/>
      <c r="AF934"/>
    </row>
    <row r="935" spans="1:32" x14ac:dyDescent="0.25">
      <c r="A935" s="7"/>
      <c r="C935" s="70"/>
      <c r="D935" s="70"/>
      <c r="E935" s="73"/>
      <c r="F935" s="48"/>
      <c r="H935" s="9"/>
      <c r="I935" s="10"/>
      <c r="J935" s="10"/>
      <c r="K935" s="7"/>
      <c r="L935" s="10"/>
      <c r="M935" s="10"/>
      <c r="N935" s="10"/>
      <c r="O935" s="10"/>
      <c r="P935" s="10"/>
      <c r="Q935" s="10"/>
      <c r="R935" s="10"/>
      <c r="S935" s="10"/>
      <c r="T935" s="14"/>
      <c r="U935" s="10"/>
      <c r="V935" s="10"/>
      <c r="W935" s="10"/>
      <c r="X935" s="7"/>
      <c r="Y935" s="34"/>
      <c r="Z935" s="7"/>
      <c r="AA935" s="34"/>
      <c r="AB935" s="7"/>
      <c r="AC935" s="34"/>
      <c r="AD935" s="10"/>
      <c r="AF935"/>
    </row>
    <row r="936" spans="1:32" x14ac:dyDescent="0.25">
      <c r="A936" s="7"/>
      <c r="C936" s="70"/>
      <c r="D936" s="70"/>
      <c r="E936" s="73"/>
      <c r="F936" s="9"/>
      <c r="H936" s="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4"/>
      <c r="U936" s="10"/>
      <c r="V936" s="10"/>
      <c r="W936" s="10"/>
      <c r="X936" s="7"/>
      <c r="Y936" s="7"/>
      <c r="Z936" s="7"/>
      <c r="AA936" s="34"/>
      <c r="AB936" s="7"/>
      <c r="AC936" s="34"/>
      <c r="AD936" s="10"/>
      <c r="AF936"/>
    </row>
    <row r="937" spans="1:32" x14ac:dyDescent="0.25">
      <c r="A937" s="7"/>
      <c r="C937" s="70"/>
      <c r="D937" s="70"/>
      <c r="E937" s="73"/>
      <c r="F937" s="9"/>
      <c r="H937" s="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4"/>
      <c r="U937" s="10"/>
      <c r="V937" s="10"/>
      <c r="W937" s="10"/>
      <c r="X937" s="7"/>
      <c r="Y937" s="7"/>
      <c r="Z937" s="7"/>
      <c r="AA937" s="34"/>
      <c r="AB937" s="7"/>
      <c r="AC937" s="34"/>
      <c r="AD937" s="10"/>
      <c r="AF937"/>
    </row>
    <row r="938" spans="1:32" x14ac:dyDescent="0.25">
      <c r="A938" s="7"/>
      <c r="C938" s="70"/>
      <c r="D938" s="70"/>
      <c r="E938" s="73"/>
      <c r="F938" s="9"/>
      <c r="H938" s="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4"/>
      <c r="U938" s="10"/>
      <c r="V938" s="10"/>
      <c r="W938" s="10"/>
      <c r="X938" s="7"/>
      <c r="Y938" s="7"/>
      <c r="Z938" s="7"/>
      <c r="AA938" s="34"/>
      <c r="AB938" s="7"/>
      <c r="AC938" s="34"/>
      <c r="AD938" s="10"/>
      <c r="AF938"/>
    </row>
    <row r="939" spans="1:32" x14ac:dyDescent="0.25">
      <c r="A939" s="7"/>
      <c r="C939" s="70"/>
      <c r="D939" s="70"/>
      <c r="E939" s="73"/>
      <c r="F939" s="9"/>
      <c r="H939" s="9"/>
      <c r="I939" s="10"/>
      <c r="J939" s="7"/>
      <c r="K939" s="7"/>
      <c r="L939" s="10"/>
      <c r="M939" s="10"/>
      <c r="N939" s="10"/>
      <c r="O939" s="10"/>
      <c r="P939" s="10"/>
      <c r="Q939" s="10"/>
      <c r="R939" s="10"/>
      <c r="S939" s="10"/>
      <c r="T939" s="14"/>
      <c r="U939" s="10"/>
      <c r="V939" s="10"/>
      <c r="W939" s="10"/>
      <c r="X939" s="7"/>
      <c r="Y939" s="7"/>
      <c r="Z939" s="34"/>
      <c r="AA939" s="34"/>
      <c r="AB939" s="7"/>
      <c r="AC939" s="34"/>
      <c r="AD939" s="10"/>
      <c r="AF939"/>
    </row>
    <row r="940" spans="1:32" x14ac:dyDescent="0.25">
      <c r="A940" s="7"/>
      <c r="C940" s="70"/>
      <c r="D940" s="70"/>
      <c r="E940" s="73"/>
      <c r="F940" s="9"/>
      <c r="H940" s="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4"/>
      <c r="U940" s="10"/>
      <c r="V940" s="10"/>
      <c r="W940" s="10"/>
      <c r="X940" s="7"/>
      <c r="Y940" s="7"/>
      <c r="Z940" s="34"/>
      <c r="AA940" s="34"/>
      <c r="AB940" s="7"/>
      <c r="AC940" s="34"/>
      <c r="AD940" s="10"/>
      <c r="AF940"/>
    </row>
    <row r="941" spans="1:32" x14ac:dyDescent="0.25">
      <c r="A941" s="7"/>
      <c r="C941" s="70"/>
      <c r="D941" s="70"/>
      <c r="E941" s="79"/>
      <c r="F941" s="55"/>
      <c r="G941" s="55"/>
      <c r="H941" s="55"/>
      <c r="I941" s="10"/>
      <c r="J941" s="10"/>
      <c r="K941" s="24"/>
      <c r="L941" s="10"/>
      <c r="M941" s="10"/>
      <c r="N941" s="10"/>
      <c r="O941" s="10"/>
      <c r="P941" s="10"/>
      <c r="Q941" s="10"/>
      <c r="R941" s="10"/>
      <c r="S941" s="10"/>
      <c r="T941" s="14"/>
      <c r="U941" s="10"/>
      <c r="V941" s="10"/>
      <c r="W941" s="10"/>
      <c r="X941" s="7"/>
      <c r="Y941" s="7"/>
      <c r="Z941" s="7"/>
      <c r="AA941" s="34"/>
      <c r="AB941" s="7"/>
      <c r="AC941" s="34"/>
      <c r="AD941" s="10"/>
      <c r="AF941"/>
    </row>
    <row r="942" spans="1:32" x14ac:dyDescent="0.25">
      <c r="A942" s="7"/>
      <c r="C942" s="70"/>
      <c r="D942" s="70"/>
      <c r="E942" s="73"/>
      <c r="F942" s="9"/>
      <c r="H942" s="9"/>
      <c r="I942" s="10"/>
      <c r="J942" s="7"/>
      <c r="K942" s="7"/>
      <c r="L942" s="10"/>
      <c r="M942" s="10"/>
      <c r="N942" s="10"/>
      <c r="O942" s="10"/>
      <c r="P942" s="10"/>
      <c r="Q942" s="10"/>
      <c r="R942" s="10"/>
      <c r="S942" s="10"/>
      <c r="T942" s="14"/>
      <c r="U942" s="10"/>
      <c r="V942" s="10"/>
      <c r="W942" s="10"/>
      <c r="X942" s="7"/>
      <c r="Y942" s="7"/>
      <c r="Z942" s="7"/>
      <c r="AA942" s="34"/>
      <c r="AB942" s="7"/>
      <c r="AC942" s="34"/>
      <c r="AD942" s="10"/>
      <c r="AF942"/>
    </row>
    <row r="943" spans="1:32" x14ac:dyDescent="0.25">
      <c r="A943" s="7"/>
      <c r="C943" s="70"/>
      <c r="D943" s="70"/>
      <c r="E943" s="73"/>
      <c r="F943" s="9"/>
      <c r="H943" s="9"/>
      <c r="I943" s="10"/>
      <c r="J943" s="7"/>
      <c r="K943" s="7"/>
      <c r="L943" s="10"/>
      <c r="M943" s="10"/>
      <c r="N943" s="10"/>
      <c r="O943" s="10"/>
      <c r="P943" s="10"/>
      <c r="Q943" s="10"/>
      <c r="R943" s="10"/>
      <c r="S943" s="10"/>
      <c r="T943" s="14"/>
      <c r="U943" s="10"/>
      <c r="V943" s="10"/>
      <c r="W943" s="10"/>
      <c r="X943" s="7"/>
      <c r="Y943" s="7"/>
      <c r="Z943" s="7"/>
      <c r="AA943" s="34"/>
      <c r="AB943" s="7"/>
      <c r="AC943" s="34"/>
      <c r="AD943" s="10"/>
      <c r="AF943"/>
    </row>
    <row r="944" spans="1:32" x14ac:dyDescent="0.25">
      <c r="A944" s="7"/>
      <c r="C944" s="70"/>
      <c r="D944" s="70"/>
      <c r="E944" s="73"/>
      <c r="F944" s="9"/>
      <c r="H944" s="9"/>
      <c r="I944" s="10"/>
      <c r="J944" s="7"/>
      <c r="K944" s="7"/>
      <c r="L944" s="10"/>
      <c r="M944" s="34"/>
      <c r="N944" s="10"/>
      <c r="O944" s="10"/>
      <c r="P944" s="10"/>
      <c r="Q944" s="10"/>
      <c r="R944" s="10"/>
      <c r="S944" s="10"/>
      <c r="T944" s="14"/>
      <c r="U944" s="10"/>
      <c r="V944" s="10"/>
      <c r="W944" s="10"/>
      <c r="X944" s="7"/>
      <c r="Y944" s="7"/>
      <c r="Z944" s="7"/>
      <c r="AA944" s="34"/>
      <c r="AB944" s="7"/>
      <c r="AC944" s="34"/>
      <c r="AD944" s="10"/>
      <c r="AF944"/>
    </row>
    <row r="945" spans="1:32" x14ac:dyDescent="0.25">
      <c r="A945" s="7"/>
      <c r="C945" s="70"/>
      <c r="D945" s="70"/>
      <c r="E945" s="73"/>
      <c r="F945" s="9"/>
      <c r="H945" s="9"/>
      <c r="I945" s="10"/>
      <c r="J945" s="10"/>
      <c r="K945" s="7"/>
      <c r="L945" s="10"/>
      <c r="M945" s="10"/>
      <c r="N945" s="10"/>
      <c r="O945" s="10"/>
      <c r="P945" s="10"/>
      <c r="Q945" s="10"/>
      <c r="R945" s="10"/>
      <c r="S945" s="10"/>
      <c r="T945" s="14"/>
      <c r="U945" s="10"/>
      <c r="V945" s="10"/>
      <c r="W945" s="10"/>
      <c r="X945" s="7"/>
      <c r="Y945" s="7"/>
      <c r="Z945" s="7"/>
      <c r="AA945" s="34"/>
      <c r="AB945" s="7"/>
      <c r="AC945" s="34"/>
      <c r="AD945" s="10"/>
      <c r="AF945"/>
    </row>
    <row r="946" spans="1:32" x14ac:dyDescent="0.25">
      <c r="A946" s="7"/>
      <c r="C946" s="70"/>
      <c r="D946" s="70"/>
      <c r="E946" s="73"/>
      <c r="F946" s="9"/>
      <c r="H946" s="9"/>
      <c r="I946" s="10"/>
      <c r="J946" s="10"/>
      <c r="K946" s="7"/>
      <c r="L946" s="10"/>
      <c r="M946" s="10"/>
      <c r="N946" s="10"/>
      <c r="O946" s="10"/>
      <c r="P946" s="10"/>
      <c r="Q946" s="10"/>
      <c r="R946" s="10"/>
      <c r="S946" s="10"/>
      <c r="T946" s="14"/>
      <c r="U946" s="10"/>
      <c r="V946" s="10"/>
      <c r="W946" s="10"/>
      <c r="X946" s="7"/>
      <c r="Y946" s="7"/>
      <c r="Z946" s="7"/>
      <c r="AA946" s="34"/>
      <c r="AB946" s="7"/>
      <c r="AC946" s="34"/>
      <c r="AD946" s="10"/>
      <c r="AF946"/>
    </row>
    <row r="947" spans="1:32" x14ac:dyDescent="0.25">
      <c r="A947" s="7"/>
      <c r="C947" s="70"/>
      <c r="D947" s="70"/>
      <c r="E947" s="73"/>
      <c r="F947" s="9"/>
      <c r="H947" s="9"/>
      <c r="I947" s="10"/>
      <c r="J947" s="10"/>
      <c r="K947" s="7"/>
      <c r="L947" s="10"/>
      <c r="M947" s="10"/>
      <c r="N947" s="10"/>
      <c r="O947" s="10"/>
      <c r="P947" s="10"/>
      <c r="Q947" s="10"/>
      <c r="R947" s="10"/>
      <c r="S947" s="10"/>
      <c r="T947" s="14"/>
      <c r="U947" s="10"/>
      <c r="V947" s="10"/>
      <c r="W947" s="10"/>
      <c r="X947" s="7"/>
      <c r="Y947" s="7"/>
      <c r="Z947" s="7"/>
      <c r="AA947" s="34"/>
      <c r="AB947" s="7"/>
      <c r="AC947" s="34"/>
      <c r="AD947" s="10"/>
      <c r="AF947"/>
    </row>
    <row r="948" spans="1:32" x14ac:dyDescent="0.25">
      <c r="A948" s="7"/>
      <c r="C948" s="70"/>
      <c r="D948" s="70"/>
      <c r="E948" s="73"/>
      <c r="F948" s="9"/>
      <c r="H948" s="9"/>
      <c r="I948" s="10"/>
      <c r="J948" s="7"/>
      <c r="K948" s="7"/>
      <c r="L948" s="10"/>
      <c r="M948" s="10"/>
      <c r="N948" s="10"/>
      <c r="O948" s="10"/>
      <c r="P948" s="10"/>
      <c r="Q948" s="10"/>
      <c r="R948" s="10"/>
      <c r="S948" s="10"/>
      <c r="T948" s="14"/>
      <c r="U948" s="10"/>
      <c r="V948" s="10"/>
      <c r="W948" s="10"/>
      <c r="X948" s="7"/>
      <c r="Y948" s="7"/>
      <c r="Z948" s="7"/>
      <c r="AA948" s="34"/>
      <c r="AB948" s="7"/>
      <c r="AC948" s="34"/>
      <c r="AD948" s="10"/>
      <c r="AF948"/>
    </row>
    <row r="949" spans="1:32" x14ac:dyDescent="0.25">
      <c r="A949" s="7"/>
      <c r="C949" s="70"/>
      <c r="D949" s="70"/>
      <c r="E949" s="73"/>
      <c r="F949" s="9"/>
      <c r="H949" s="9"/>
      <c r="I949" s="10"/>
      <c r="J949" s="7"/>
      <c r="K949" s="24"/>
      <c r="L949" s="10"/>
      <c r="M949" s="10"/>
      <c r="N949" s="10"/>
      <c r="O949" s="10"/>
      <c r="P949" s="10"/>
      <c r="Q949" s="10"/>
      <c r="R949" s="10"/>
      <c r="S949" s="10"/>
      <c r="T949" s="14"/>
      <c r="U949" s="10"/>
      <c r="V949" s="10"/>
      <c r="W949" s="10"/>
      <c r="X949" s="7"/>
      <c r="Y949" s="7"/>
      <c r="Z949" s="7"/>
      <c r="AA949" s="34"/>
      <c r="AB949" s="7"/>
      <c r="AC949" s="34"/>
      <c r="AD949" s="10"/>
      <c r="AF949"/>
    </row>
    <row r="950" spans="1:32" x14ac:dyDescent="0.25">
      <c r="A950" s="7"/>
      <c r="C950" s="70"/>
      <c r="D950" s="70"/>
      <c r="E950" s="73"/>
      <c r="F950" s="9"/>
      <c r="H950" s="9"/>
      <c r="I950" s="10"/>
      <c r="J950" s="7"/>
      <c r="K950" s="7"/>
      <c r="L950" s="10"/>
      <c r="M950" s="10"/>
      <c r="N950" s="10"/>
      <c r="O950" s="10"/>
      <c r="P950" s="10"/>
      <c r="Q950" s="10"/>
      <c r="R950" s="10"/>
      <c r="S950" s="10"/>
      <c r="T950" s="14"/>
      <c r="U950" s="10"/>
      <c r="V950" s="10"/>
      <c r="W950" s="10"/>
      <c r="X950" s="7"/>
      <c r="Y950" s="7"/>
      <c r="Z950" s="7"/>
      <c r="AA950" s="34"/>
      <c r="AB950" s="7"/>
      <c r="AC950" s="34"/>
      <c r="AD950" s="10"/>
      <c r="AF950"/>
    </row>
    <row r="951" spans="1:32" x14ac:dyDescent="0.25">
      <c r="A951" s="7"/>
      <c r="C951" s="70"/>
      <c r="D951" s="70"/>
      <c r="E951" s="73"/>
      <c r="F951" s="9"/>
      <c r="H951" s="9"/>
      <c r="I951" s="10"/>
      <c r="J951" s="7"/>
      <c r="K951" s="7"/>
      <c r="L951" s="10"/>
      <c r="M951" s="10"/>
      <c r="N951" s="10"/>
      <c r="O951" s="10"/>
      <c r="P951" s="10"/>
      <c r="Q951" s="10"/>
      <c r="R951" s="10"/>
      <c r="S951" s="10"/>
      <c r="T951" s="14"/>
      <c r="U951" s="10"/>
      <c r="V951" s="10"/>
      <c r="W951" s="10"/>
      <c r="X951" s="7"/>
      <c r="Y951" s="34"/>
      <c r="Z951" s="34"/>
      <c r="AA951" s="34"/>
      <c r="AB951" s="7"/>
      <c r="AC951" s="34"/>
      <c r="AD951" s="10"/>
      <c r="AF951"/>
    </row>
    <row r="952" spans="1:32" x14ac:dyDescent="0.25">
      <c r="A952" s="7"/>
      <c r="C952" s="70"/>
      <c r="D952" s="70"/>
      <c r="E952" s="73"/>
      <c r="F952" s="9"/>
      <c r="H952" s="9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4"/>
      <c r="U952" s="10"/>
      <c r="V952" s="10"/>
      <c r="W952" s="10"/>
      <c r="X952" s="7"/>
      <c r="Y952" s="34"/>
      <c r="Z952" s="7"/>
      <c r="AA952" s="34"/>
      <c r="AB952" s="7"/>
      <c r="AC952" s="34"/>
      <c r="AD952" s="10"/>
      <c r="AF952"/>
    </row>
    <row r="953" spans="1:32" x14ac:dyDescent="0.25">
      <c r="A953" s="7"/>
      <c r="C953" s="70"/>
      <c r="D953" s="70"/>
      <c r="E953" s="73"/>
      <c r="F953" s="9"/>
      <c r="H953" s="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4"/>
      <c r="U953" s="10"/>
      <c r="V953" s="10"/>
      <c r="W953" s="10"/>
      <c r="X953" s="7"/>
      <c r="Y953" s="7"/>
      <c r="Z953" s="7"/>
      <c r="AA953" s="34"/>
      <c r="AB953" s="7"/>
      <c r="AC953" s="34"/>
      <c r="AD953" s="10"/>
      <c r="AF953"/>
    </row>
    <row r="954" spans="1:32" x14ac:dyDescent="0.25">
      <c r="A954" s="43"/>
      <c r="C954" s="70"/>
      <c r="D954" s="70"/>
      <c r="E954" s="73"/>
      <c r="F954" s="9"/>
      <c r="H954" s="9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4"/>
      <c r="U954" s="10"/>
      <c r="V954" s="10"/>
      <c r="W954" s="10"/>
      <c r="X954" s="7"/>
      <c r="Y954" s="7"/>
      <c r="Z954" s="7"/>
      <c r="AA954" s="34"/>
      <c r="AB954" s="7"/>
      <c r="AC954" s="34"/>
      <c r="AD954" s="10"/>
      <c r="AF954"/>
    </row>
    <row r="955" spans="1:32" x14ac:dyDescent="0.25">
      <c r="A955" s="7"/>
      <c r="C955" s="70"/>
      <c r="D955" s="70"/>
      <c r="E955" s="73"/>
      <c r="F955" s="9"/>
      <c r="H955" s="9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4"/>
      <c r="U955" s="10"/>
      <c r="V955" s="10"/>
      <c r="W955" s="10"/>
      <c r="X955" s="7"/>
      <c r="Y955" s="7"/>
      <c r="Z955" s="34"/>
      <c r="AA955" s="34"/>
      <c r="AB955" s="7"/>
      <c r="AC955" s="34"/>
      <c r="AD955" s="10"/>
      <c r="AF955"/>
    </row>
    <row r="956" spans="1:32" x14ac:dyDescent="0.25">
      <c r="A956" s="7"/>
      <c r="C956" s="70"/>
      <c r="D956" s="70"/>
      <c r="E956" s="73"/>
      <c r="F956" s="45"/>
      <c r="H956" s="9"/>
      <c r="I956" s="10"/>
      <c r="J956" s="7"/>
      <c r="K956" s="7"/>
      <c r="L956" s="10"/>
      <c r="M956" s="10"/>
      <c r="N956" s="10"/>
      <c r="O956" s="10"/>
      <c r="P956" s="10"/>
      <c r="Q956" s="10"/>
      <c r="R956" s="10"/>
      <c r="S956" s="10"/>
      <c r="T956" s="14"/>
      <c r="U956" s="10"/>
      <c r="V956" s="10"/>
      <c r="W956" s="10"/>
      <c r="X956" s="7"/>
      <c r="Y956" s="34"/>
      <c r="Z956" s="7"/>
      <c r="AA956" s="34"/>
      <c r="AB956" s="7"/>
      <c r="AC956" s="34"/>
      <c r="AD956" s="10"/>
      <c r="AF956"/>
    </row>
    <row r="957" spans="1:32" x14ac:dyDescent="0.25">
      <c r="A957" s="7"/>
      <c r="C957" s="70"/>
      <c r="D957" s="70"/>
      <c r="E957" s="73"/>
      <c r="F957" s="9"/>
      <c r="H957" s="9"/>
      <c r="I957" s="10"/>
      <c r="J957" s="7"/>
      <c r="K957" s="7"/>
      <c r="L957" s="10"/>
      <c r="M957" s="10"/>
      <c r="N957" s="10"/>
      <c r="O957" s="10"/>
      <c r="P957" s="10"/>
      <c r="Q957" s="10"/>
      <c r="R957" s="10"/>
      <c r="S957" s="10"/>
      <c r="T957" s="14"/>
      <c r="U957" s="10"/>
      <c r="V957" s="10"/>
      <c r="W957" s="10"/>
      <c r="X957" s="7"/>
      <c r="Y957" s="7"/>
      <c r="Z957" s="7"/>
      <c r="AA957" s="34"/>
      <c r="AB957" s="7"/>
      <c r="AC957" s="34"/>
      <c r="AD957" s="10"/>
      <c r="AF957"/>
    </row>
    <row r="958" spans="1:32" x14ac:dyDescent="0.25">
      <c r="A958" s="7"/>
      <c r="C958" s="70"/>
      <c r="D958" s="70"/>
      <c r="E958" s="73"/>
      <c r="F958" s="9"/>
      <c r="H958" s="9"/>
      <c r="I958" s="10"/>
      <c r="J958" s="10"/>
      <c r="K958" s="7"/>
      <c r="L958" s="10"/>
      <c r="M958" s="10"/>
      <c r="N958" s="10"/>
      <c r="O958" s="10"/>
      <c r="P958" s="10"/>
      <c r="Q958" s="10"/>
      <c r="R958" s="10"/>
      <c r="S958" s="10"/>
      <c r="T958" s="14"/>
      <c r="U958" s="10"/>
      <c r="V958" s="10"/>
      <c r="W958" s="10"/>
      <c r="X958" s="7"/>
      <c r="Y958" s="7"/>
      <c r="Z958" s="7"/>
      <c r="AA958" s="34"/>
      <c r="AB958" s="7"/>
      <c r="AC958" s="34"/>
      <c r="AD958" s="10"/>
      <c r="AF958"/>
    </row>
    <row r="959" spans="1:32" x14ac:dyDescent="0.25">
      <c r="A959" s="7"/>
      <c r="C959" s="70"/>
      <c r="D959" s="70"/>
      <c r="E959" s="73"/>
      <c r="F959" s="9"/>
      <c r="H959" s="9"/>
      <c r="I959" s="10"/>
      <c r="J959" s="10"/>
      <c r="K959" s="7"/>
      <c r="L959" s="10"/>
      <c r="M959" s="10"/>
      <c r="N959" s="10"/>
      <c r="O959" s="10"/>
      <c r="P959" s="10"/>
      <c r="Q959" s="10"/>
      <c r="R959" s="10"/>
      <c r="S959" s="10"/>
      <c r="T959" s="14"/>
      <c r="U959" s="10"/>
      <c r="V959" s="10"/>
      <c r="W959" s="10"/>
      <c r="X959" s="7"/>
      <c r="Y959" s="7"/>
      <c r="Z959" s="7"/>
      <c r="AA959" s="34"/>
      <c r="AB959" s="7"/>
      <c r="AC959" s="34"/>
      <c r="AD959" s="10"/>
      <c r="AF959"/>
    </row>
    <row r="960" spans="1:32" x14ac:dyDescent="0.25">
      <c r="A960" s="7"/>
      <c r="C960" s="70"/>
      <c r="D960" s="70"/>
      <c r="E960" s="73"/>
      <c r="F960" s="9"/>
      <c r="H960" s="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4"/>
      <c r="U960" s="10"/>
      <c r="V960" s="10"/>
      <c r="W960" s="10"/>
      <c r="X960" s="7"/>
      <c r="Y960" s="7"/>
      <c r="Z960" s="7"/>
      <c r="AA960" s="34"/>
      <c r="AB960" s="7"/>
      <c r="AC960" s="34"/>
      <c r="AD960" s="10"/>
      <c r="AF960"/>
    </row>
    <row r="961" spans="1:32" x14ac:dyDescent="0.25">
      <c r="A961" s="7"/>
      <c r="C961" s="70"/>
      <c r="D961" s="70"/>
      <c r="E961" s="73"/>
      <c r="F961" s="9"/>
      <c r="H961" s="9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4"/>
      <c r="U961" s="10"/>
      <c r="V961" s="10"/>
      <c r="W961" s="10"/>
      <c r="X961" s="7"/>
      <c r="Y961" s="7"/>
      <c r="Z961" s="7"/>
      <c r="AA961" s="34"/>
      <c r="AB961" s="7"/>
      <c r="AC961" s="34"/>
      <c r="AD961" s="10"/>
      <c r="AF961"/>
    </row>
    <row r="962" spans="1:32" x14ac:dyDescent="0.25">
      <c r="A962" s="7"/>
      <c r="C962" s="70"/>
      <c r="D962" s="70"/>
      <c r="E962" s="73"/>
      <c r="F962" s="9"/>
      <c r="H962" s="9"/>
      <c r="I962" s="10"/>
      <c r="J962" s="7"/>
      <c r="K962" s="7"/>
      <c r="L962" s="10"/>
      <c r="M962" s="10"/>
      <c r="N962" s="10"/>
      <c r="O962" s="10"/>
      <c r="P962" s="10"/>
      <c r="Q962" s="10"/>
      <c r="R962" s="10"/>
      <c r="S962" s="10"/>
      <c r="T962" s="14"/>
      <c r="U962" s="10"/>
      <c r="V962" s="10"/>
      <c r="W962" s="10"/>
      <c r="X962" s="7"/>
      <c r="Y962" s="7"/>
      <c r="Z962" s="7"/>
      <c r="AA962" s="34"/>
      <c r="AB962" s="7"/>
      <c r="AC962" s="34"/>
      <c r="AD962" s="10"/>
      <c r="AF962"/>
    </row>
    <row r="963" spans="1:32" x14ac:dyDescent="0.25">
      <c r="A963" s="7"/>
      <c r="C963" s="70"/>
      <c r="D963" s="70"/>
      <c r="E963" s="73"/>
      <c r="F963" s="9"/>
      <c r="H963" s="9"/>
      <c r="I963" s="10"/>
      <c r="J963" s="7"/>
      <c r="K963" s="24"/>
      <c r="L963" s="10"/>
      <c r="M963" s="10"/>
      <c r="N963" s="10"/>
      <c r="O963" s="10"/>
      <c r="P963" s="10"/>
      <c r="Q963" s="10"/>
      <c r="R963" s="10"/>
      <c r="S963" s="10"/>
      <c r="T963" s="14"/>
      <c r="U963" s="10"/>
      <c r="V963" s="10"/>
      <c r="W963" s="10"/>
      <c r="X963" s="7"/>
      <c r="Y963" s="7"/>
      <c r="Z963" s="7"/>
      <c r="AA963" s="34"/>
      <c r="AB963" s="7"/>
      <c r="AC963" s="34"/>
      <c r="AD963" s="10"/>
      <c r="AF963"/>
    </row>
    <row r="964" spans="1:32" x14ac:dyDescent="0.25">
      <c r="A964" s="7"/>
      <c r="C964" s="70"/>
      <c r="D964" s="70"/>
      <c r="E964" s="73"/>
      <c r="F964" s="9"/>
      <c r="H964" s="9"/>
      <c r="I964" s="10"/>
      <c r="J964" s="7"/>
      <c r="K964" s="24"/>
      <c r="L964" s="10"/>
      <c r="M964" s="10"/>
      <c r="N964" s="10"/>
      <c r="O964" s="10"/>
      <c r="P964" s="10"/>
      <c r="Q964" s="10"/>
      <c r="R964" s="10"/>
      <c r="S964" s="10"/>
      <c r="T964" s="14"/>
      <c r="U964" s="10"/>
      <c r="V964" s="10"/>
      <c r="W964" s="10"/>
      <c r="X964" s="7"/>
      <c r="Y964" s="7"/>
      <c r="Z964" s="7"/>
      <c r="AA964" s="34"/>
      <c r="AB964" s="7"/>
      <c r="AC964" s="34"/>
      <c r="AD964" s="10"/>
      <c r="AF964"/>
    </row>
    <row r="965" spans="1:32" x14ac:dyDescent="0.25">
      <c r="A965" s="7"/>
      <c r="C965" s="70"/>
      <c r="D965" s="70"/>
      <c r="E965" s="73"/>
      <c r="F965" s="9"/>
      <c r="H965" s="9"/>
      <c r="I965" s="10"/>
      <c r="J965" s="7"/>
      <c r="K965" s="7"/>
      <c r="L965" s="10"/>
      <c r="M965" s="10"/>
      <c r="N965" s="10"/>
      <c r="O965" s="10"/>
      <c r="P965" s="10"/>
      <c r="Q965" s="10"/>
      <c r="R965" s="10"/>
      <c r="S965" s="10"/>
      <c r="T965" s="14"/>
      <c r="U965" s="10"/>
      <c r="V965" s="10"/>
      <c r="W965" s="10"/>
      <c r="X965" s="7"/>
      <c r="Y965" s="7"/>
      <c r="Z965" s="7"/>
      <c r="AA965" s="34"/>
      <c r="AB965" s="7"/>
      <c r="AC965" s="34"/>
      <c r="AD965" s="10"/>
      <c r="AF965"/>
    </row>
    <row r="966" spans="1:32" x14ac:dyDescent="0.25">
      <c r="A966" s="7"/>
      <c r="C966" s="70"/>
      <c r="D966" s="70"/>
      <c r="E966" s="73"/>
      <c r="F966" s="48"/>
      <c r="H966" s="9"/>
      <c r="I966" s="10"/>
      <c r="J966" s="7"/>
      <c r="K966" s="7"/>
      <c r="L966" s="10"/>
      <c r="M966" s="10"/>
      <c r="N966" s="10"/>
      <c r="O966" s="10"/>
      <c r="P966" s="10"/>
      <c r="Q966" s="10"/>
      <c r="R966" s="10"/>
      <c r="S966" s="10"/>
      <c r="T966" s="14"/>
      <c r="U966" s="10"/>
      <c r="V966" s="10"/>
      <c r="W966" s="10"/>
      <c r="X966" s="7"/>
      <c r="Y966" s="34"/>
      <c r="Z966" s="7"/>
      <c r="AA966" s="34"/>
      <c r="AB966" s="7"/>
      <c r="AC966" s="34"/>
      <c r="AD966" s="10"/>
      <c r="AF966"/>
    </row>
    <row r="967" spans="1:32" x14ac:dyDescent="0.25">
      <c r="A967" s="7"/>
      <c r="C967" s="70"/>
      <c r="D967" s="70"/>
      <c r="E967" s="73"/>
      <c r="F967" s="9"/>
      <c r="H967" s="9"/>
      <c r="I967" s="10"/>
      <c r="J967" s="7"/>
      <c r="K967" s="7"/>
      <c r="L967" s="10"/>
      <c r="M967" s="10"/>
      <c r="N967" s="10"/>
      <c r="O967" s="10"/>
      <c r="P967" s="10"/>
      <c r="Q967" s="10"/>
      <c r="R967" s="10"/>
      <c r="S967" s="10"/>
      <c r="T967" s="14"/>
      <c r="U967" s="10"/>
      <c r="V967" s="10"/>
      <c r="W967" s="10"/>
      <c r="X967" s="7"/>
      <c r="Y967" s="7"/>
      <c r="Z967" s="7"/>
      <c r="AA967" s="34"/>
      <c r="AB967" s="7"/>
      <c r="AC967" s="34"/>
      <c r="AD967" s="10"/>
      <c r="AF967"/>
    </row>
    <row r="968" spans="1:32" x14ac:dyDescent="0.25">
      <c r="A968" s="7"/>
      <c r="C968" s="70"/>
      <c r="D968" s="70"/>
      <c r="E968" s="73"/>
      <c r="F968" s="9"/>
      <c r="H968" s="9"/>
      <c r="I968" s="10"/>
      <c r="J968" s="7"/>
      <c r="K968" s="7"/>
      <c r="L968" s="10"/>
      <c r="M968" s="10"/>
      <c r="N968" s="10"/>
      <c r="O968" s="10"/>
      <c r="P968" s="10"/>
      <c r="Q968" s="10"/>
      <c r="R968" s="10"/>
      <c r="S968" s="10"/>
      <c r="T968" s="14"/>
      <c r="U968" s="10"/>
      <c r="V968" s="10"/>
      <c r="W968" s="10"/>
      <c r="X968" s="7"/>
      <c r="Y968" s="7"/>
      <c r="Z968" s="7"/>
      <c r="AA968" s="34"/>
      <c r="AB968" s="7"/>
      <c r="AC968" s="34"/>
      <c r="AD968" s="10"/>
      <c r="AF968"/>
    </row>
    <row r="969" spans="1:32" x14ac:dyDescent="0.25">
      <c r="A969" s="7"/>
      <c r="C969" s="70"/>
      <c r="D969" s="70"/>
      <c r="E969" s="73"/>
      <c r="F969" s="9"/>
      <c r="H969" s="9"/>
      <c r="I969" s="10"/>
      <c r="J969" s="10"/>
      <c r="K969" s="7"/>
      <c r="L969" s="10"/>
      <c r="M969" s="10"/>
      <c r="N969" s="10"/>
      <c r="O969" s="10"/>
      <c r="P969" s="10"/>
      <c r="Q969" s="10"/>
      <c r="R969" s="10"/>
      <c r="S969" s="10"/>
      <c r="T969" s="14"/>
      <c r="U969" s="10"/>
      <c r="V969" s="10"/>
      <c r="W969" s="10"/>
      <c r="X969" s="7"/>
      <c r="Y969" s="7"/>
      <c r="Z969" s="7"/>
      <c r="AA969" s="34"/>
      <c r="AB969" s="7"/>
      <c r="AC969" s="34"/>
      <c r="AD969" s="10"/>
      <c r="AF969"/>
    </row>
    <row r="970" spans="1:32" x14ac:dyDescent="0.25">
      <c r="A970" s="7"/>
      <c r="C970" s="70"/>
      <c r="D970" s="70"/>
      <c r="E970" s="73"/>
      <c r="F970" s="9"/>
      <c r="H970" s="9"/>
      <c r="I970" s="10"/>
      <c r="J970" s="7"/>
      <c r="K970" s="7"/>
      <c r="L970" s="10"/>
      <c r="M970" s="10"/>
      <c r="N970" s="10"/>
      <c r="O970" s="10"/>
      <c r="P970" s="10"/>
      <c r="Q970" s="10"/>
      <c r="R970" s="10"/>
      <c r="S970" s="10"/>
      <c r="T970" s="14"/>
      <c r="U970" s="10"/>
      <c r="V970" s="10"/>
      <c r="W970" s="10"/>
      <c r="X970" s="7"/>
      <c r="Y970" s="7"/>
      <c r="Z970" s="7"/>
      <c r="AA970" s="34"/>
      <c r="AB970" s="7"/>
      <c r="AC970" s="34"/>
      <c r="AD970" s="10"/>
      <c r="AF970"/>
    </row>
    <row r="971" spans="1:32" x14ac:dyDescent="0.25">
      <c r="A971" s="7"/>
      <c r="C971" s="70"/>
      <c r="D971" s="70"/>
      <c r="E971" s="73"/>
      <c r="F971" s="9"/>
      <c r="H971" s="9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4"/>
      <c r="U971" s="10"/>
      <c r="V971" s="10"/>
      <c r="W971" s="10"/>
      <c r="X971" s="7"/>
      <c r="Y971" s="7"/>
      <c r="Z971" s="7"/>
      <c r="AA971" s="34"/>
      <c r="AB971" s="7"/>
      <c r="AC971" s="34"/>
      <c r="AD971" s="10"/>
      <c r="AF971"/>
    </row>
    <row r="972" spans="1:32" x14ac:dyDescent="0.25">
      <c r="A972" s="7"/>
      <c r="C972" s="70"/>
      <c r="D972" s="70"/>
      <c r="E972" s="73"/>
      <c r="F972" s="9"/>
      <c r="H972" s="9"/>
      <c r="I972" s="10"/>
      <c r="J972" s="7"/>
      <c r="K972" s="7"/>
      <c r="L972" s="10"/>
      <c r="M972" s="10"/>
      <c r="N972" s="10"/>
      <c r="O972" s="10"/>
      <c r="P972" s="10"/>
      <c r="Q972" s="10"/>
      <c r="R972" s="10"/>
      <c r="S972" s="10"/>
      <c r="T972" s="14"/>
      <c r="U972" s="10"/>
      <c r="V972" s="10"/>
      <c r="W972" s="10"/>
      <c r="X972" s="7"/>
      <c r="Y972" s="7"/>
      <c r="Z972" s="7"/>
      <c r="AA972" s="34"/>
      <c r="AB972" s="7"/>
      <c r="AC972" s="34"/>
      <c r="AD972" s="10"/>
      <c r="AF972"/>
    </row>
    <row r="973" spans="1:32" x14ac:dyDescent="0.25">
      <c r="A973" s="7"/>
      <c r="C973" s="70"/>
      <c r="D973" s="70"/>
      <c r="E973" s="73"/>
      <c r="F973" s="9"/>
      <c r="H973" s="9"/>
      <c r="I973" s="10"/>
      <c r="J973" s="7"/>
      <c r="K973" s="10"/>
      <c r="L973" s="10"/>
      <c r="M973" s="10"/>
      <c r="N973" s="10"/>
      <c r="O973" s="10"/>
      <c r="P973" s="10"/>
      <c r="Q973" s="10"/>
      <c r="R973" s="10"/>
      <c r="S973" s="10"/>
      <c r="T973" s="14"/>
      <c r="U973" s="10"/>
      <c r="V973" s="10"/>
      <c r="W973" s="10"/>
      <c r="X973" s="7"/>
      <c r="Y973" s="7"/>
      <c r="Z973" s="34"/>
      <c r="AA973" s="34"/>
      <c r="AB973" s="7"/>
      <c r="AC973" s="34"/>
      <c r="AD973" s="10"/>
      <c r="AF973"/>
    </row>
    <row r="974" spans="1:32" x14ac:dyDescent="0.25">
      <c r="A974" s="7"/>
      <c r="C974" s="70"/>
      <c r="D974" s="70"/>
      <c r="E974" s="73"/>
      <c r="F974" s="9"/>
      <c r="H974" s="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4"/>
      <c r="U974" s="10"/>
      <c r="V974" s="10"/>
      <c r="W974" s="10"/>
      <c r="X974" s="7"/>
      <c r="Y974" s="7"/>
      <c r="Z974" s="34"/>
      <c r="AA974" s="34"/>
      <c r="AB974" s="7"/>
      <c r="AC974" s="34"/>
      <c r="AD974" s="10"/>
      <c r="AF974"/>
    </row>
    <row r="975" spans="1:32" x14ac:dyDescent="0.25">
      <c r="A975" s="7"/>
      <c r="C975" s="70"/>
      <c r="D975" s="70"/>
      <c r="E975" s="73"/>
      <c r="F975" s="45"/>
      <c r="H975" s="9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4"/>
      <c r="U975" s="10"/>
      <c r="V975" s="10"/>
      <c r="W975" s="10"/>
      <c r="X975" s="7"/>
      <c r="Y975" s="34"/>
      <c r="Z975" s="7"/>
      <c r="AA975" s="34"/>
      <c r="AB975" s="7"/>
      <c r="AC975" s="34"/>
      <c r="AD975" s="10"/>
      <c r="AF975"/>
    </row>
    <row r="976" spans="1:32" x14ac:dyDescent="0.25">
      <c r="A976" s="7"/>
      <c r="C976" s="70"/>
      <c r="D976" s="70"/>
      <c r="E976" s="73"/>
      <c r="F976" s="45"/>
      <c r="H976" s="9"/>
      <c r="I976" s="10"/>
      <c r="J976" s="7"/>
      <c r="K976" s="7"/>
      <c r="L976" s="10"/>
      <c r="M976" s="10"/>
      <c r="N976" s="10"/>
      <c r="O976" s="10"/>
      <c r="P976" s="10"/>
      <c r="Q976" s="10"/>
      <c r="R976" s="10"/>
      <c r="S976" s="10"/>
      <c r="T976" s="14"/>
      <c r="U976" s="10"/>
      <c r="V976" s="10"/>
      <c r="W976" s="10"/>
      <c r="X976" s="7"/>
      <c r="Y976" s="34"/>
      <c r="Z976" s="34"/>
      <c r="AA976" s="34"/>
      <c r="AB976" s="7"/>
      <c r="AC976" s="34"/>
      <c r="AD976" s="10"/>
      <c r="AF976"/>
    </row>
    <row r="977" spans="1:32" x14ac:dyDescent="0.25">
      <c r="A977" s="7"/>
      <c r="C977" s="70"/>
      <c r="D977" s="70"/>
      <c r="E977" s="73"/>
      <c r="F977" s="9"/>
      <c r="H977" s="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4"/>
      <c r="U977" s="10"/>
      <c r="V977" s="10"/>
      <c r="W977" s="10"/>
      <c r="X977" s="7"/>
      <c r="Y977" s="7"/>
      <c r="Z977" s="34"/>
      <c r="AA977" s="34"/>
      <c r="AB977" s="7"/>
      <c r="AC977" s="34"/>
      <c r="AD977" s="10"/>
      <c r="AF977"/>
    </row>
    <row r="978" spans="1:32" x14ac:dyDescent="0.25">
      <c r="A978" s="7"/>
      <c r="C978" s="70"/>
      <c r="D978" s="70"/>
      <c r="E978" s="73"/>
      <c r="F978" s="45"/>
      <c r="H978" s="9"/>
      <c r="I978" s="10"/>
      <c r="J978" s="10"/>
      <c r="K978" s="7"/>
      <c r="L978" s="10"/>
      <c r="M978" s="10"/>
      <c r="N978" s="10"/>
      <c r="O978" s="10"/>
      <c r="P978" s="10"/>
      <c r="Q978" s="10"/>
      <c r="R978" s="10"/>
      <c r="S978" s="10"/>
      <c r="T978" s="14"/>
      <c r="U978" s="10"/>
      <c r="V978" s="10"/>
      <c r="W978" s="10"/>
      <c r="X978" s="7"/>
      <c r="Y978" s="34"/>
      <c r="Z978" s="7"/>
      <c r="AA978" s="34"/>
      <c r="AB978" s="7"/>
      <c r="AC978" s="34"/>
      <c r="AD978" s="10"/>
      <c r="AF978"/>
    </row>
    <row r="979" spans="1:32" x14ac:dyDescent="0.25">
      <c r="A979" s="7"/>
      <c r="C979" s="70"/>
      <c r="D979" s="70"/>
      <c r="E979" s="73"/>
      <c r="F979" s="9"/>
      <c r="H979" s="9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4"/>
      <c r="U979" s="10"/>
      <c r="V979" s="10"/>
      <c r="W979" s="10"/>
      <c r="X979" s="7"/>
      <c r="Y979" s="34"/>
      <c r="Z979" s="34"/>
      <c r="AA979" s="34"/>
      <c r="AB979" s="7"/>
      <c r="AC979" s="34"/>
      <c r="AD979" s="10"/>
      <c r="AF979"/>
    </row>
    <row r="980" spans="1:32" x14ac:dyDescent="0.25">
      <c r="A980" s="7"/>
      <c r="C980" s="70"/>
      <c r="D980" s="70"/>
      <c r="E980" s="73"/>
      <c r="F980" s="9"/>
      <c r="H980" s="9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4"/>
      <c r="U980" s="10"/>
      <c r="V980" s="10"/>
      <c r="W980" s="10"/>
      <c r="X980" s="7"/>
      <c r="Y980" s="7"/>
      <c r="Z980" s="34"/>
      <c r="AA980" s="34"/>
      <c r="AB980" s="7"/>
      <c r="AC980" s="34"/>
      <c r="AD980" s="10"/>
      <c r="AF980"/>
    </row>
    <row r="981" spans="1:32" x14ac:dyDescent="0.25">
      <c r="A981" s="7"/>
      <c r="C981" s="70"/>
      <c r="D981" s="70"/>
      <c r="E981" s="73"/>
      <c r="F981" s="9"/>
      <c r="H981" s="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4"/>
      <c r="U981" s="10"/>
      <c r="V981" s="10"/>
      <c r="W981" s="10"/>
      <c r="X981" s="7"/>
      <c r="Y981" s="7"/>
      <c r="Z981" s="7"/>
      <c r="AA981" s="34"/>
      <c r="AB981" s="7"/>
      <c r="AC981" s="34"/>
      <c r="AD981" s="10"/>
      <c r="AF981"/>
    </row>
    <row r="982" spans="1:32" x14ac:dyDescent="0.25">
      <c r="A982" s="7"/>
      <c r="C982" s="70"/>
      <c r="D982" s="70"/>
      <c r="E982" s="73"/>
      <c r="F982" s="9"/>
      <c r="H982" s="9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4"/>
      <c r="U982" s="10"/>
      <c r="V982" s="10"/>
      <c r="W982" s="10"/>
      <c r="X982" s="7"/>
      <c r="Y982" s="7"/>
      <c r="Z982" s="34"/>
      <c r="AA982" s="34"/>
      <c r="AB982" s="7"/>
      <c r="AC982" s="34"/>
      <c r="AD982" s="10"/>
      <c r="AF982"/>
    </row>
    <row r="983" spans="1:32" x14ac:dyDescent="0.25">
      <c r="A983" s="7"/>
      <c r="C983" s="70"/>
      <c r="D983" s="70"/>
      <c r="E983" s="73"/>
      <c r="F983" s="9"/>
      <c r="H983" s="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4"/>
      <c r="U983" s="10"/>
      <c r="V983" s="10"/>
      <c r="W983" s="10"/>
      <c r="X983" s="7"/>
      <c r="Y983" s="7"/>
      <c r="Z983" s="34"/>
      <c r="AA983" s="34"/>
      <c r="AB983" s="7"/>
      <c r="AC983" s="34"/>
      <c r="AD983" s="10"/>
      <c r="AF983"/>
    </row>
    <row r="984" spans="1:32" x14ac:dyDescent="0.25">
      <c r="A984" s="7"/>
      <c r="C984" s="70"/>
      <c r="D984" s="70"/>
      <c r="E984" s="73"/>
      <c r="F984" s="9"/>
      <c r="H984" s="9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4"/>
      <c r="U984" s="10"/>
      <c r="V984" s="10"/>
      <c r="W984" s="10"/>
      <c r="X984" s="7"/>
      <c r="Y984" s="7"/>
      <c r="Z984" s="7"/>
      <c r="AA984" s="34"/>
      <c r="AB984" s="7"/>
      <c r="AC984" s="34"/>
      <c r="AD984" s="10"/>
      <c r="AF984"/>
    </row>
    <row r="985" spans="1:32" x14ac:dyDescent="0.25">
      <c r="A985" s="7"/>
      <c r="C985" s="70"/>
      <c r="D985" s="70"/>
      <c r="E985" s="73"/>
      <c r="F985" s="9"/>
      <c r="H985" s="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4"/>
      <c r="U985" s="10"/>
      <c r="V985" s="10"/>
      <c r="W985" s="10"/>
      <c r="X985" s="7"/>
      <c r="Y985" s="7"/>
      <c r="Z985" s="34"/>
      <c r="AA985" s="34"/>
      <c r="AB985" s="7"/>
      <c r="AC985" s="34"/>
      <c r="AD985" s="10"/>
      <c r="AF985"/>
    </row>
    <row r="986" spans="1:32" x14ac:dyDescent="0.25">
      <c r="A986" s="7"/>
      <c r="C986" s="70"/>
      <c r="D986" s="70"/>
      <c r="E986" s="73"/>
      <c r="F986" s="45"/>
      <c r="H986" s="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4"/>
      <c r="U986" s="10"/>
      <c r="V986" s="10"/>
      <c r="W986" s="10"/>
      <c r="X986" s="7"/>
      <c r="Y986" s="7"/>
      <c r="Z986" s="7"/>
      <c r="AA986" s="34"/>
      <c r="AB986" s="7"/>
      <c r="AC986" s="34"/>
      <c r="AD986" s="10"/>
      <c r="AF986"/>
    </row>
    <row r="987" spans="1:32" x14ac:dyDescent="0.25">
      <c r="A987" s="7"/>
      <c r="C987" s="70"/>
      <c r="D987" s="70"/>
      <c r="E987" s="73"/>
      <c r="F987" s="9"/>
      <c r="H987" s="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4"/>
      <c r="U987" s="10"/>
      <c r="V987" s="10"/>
      <c r="W987" s="10"/>
      <c r="X987" s="7"/>
      <c r="Y987" s="7"/>
      <c r="Z987" s="7"/>
      <c r="AA987" s="34"/>
      <c r="AB987" s="7"/>
      <c r="AC987" s="34"/>
      <c r="AD987" s="10"/>
      <c r="AF987"/>
    </row>
    <row r="988" spans="1:32" x14ac:dyDescent="0.25">
      <c r="A988" s="7"/>
      <c r="C988" s="70"/>
      <c r="D988" s="70"/>
      <c r="E988" s="73"/>
      <c r="F988" s="9"/>
      <c r="H988" s="9"/>
      <c r="I988" s="10"/>
      <c r="J988" s="7"/>
      <c r="K988" s="24"/>
      <c r="L988" s="10"/>
      <c r="M988" s="10"/>
      <c r="N988" s="10"/>
      <c r="O988" s="10"/>
      <c r="P988" s="10"/>
      <c r="Q988" s="10"/>
      <c r="R988" s="10"/>
      <c r="S988" s="10"/>
      <c r="T988" s="14"/>
      <c r="U988" s="10"/>
      <c r="V988" s="10"/>
      <c r="W988" s="10"/>
      <c r="X988" s="7"/>
      <c r="Y988" s="7"/>
      <c r="Z988" s="7"/>
      <c r="AA988" s="34"/>
      <c r="AB988" s="7"/>
      <c r="AC988" s="34"/>
      <c r="AD988" s="10"/>
      <c r="AF988"/>
    </row>
    <row r="989" spans="1:32" x14ac:dyDescent="0.25">
      <c r="A989" s="7"/>
      <c r="C989" s="70"/>
      <c r="D989" s="70"/>
      <c r="E989" s="73"/>
      <c r="F989" s="9"/>
      <c r="H989" s="9"/>
      <c r="I989" s="10"/>
      <c r="J989" s="7"/>
      <c r="K989" s="24"/>
      <c r="L989" s="10"/>
      <c r="M989" s="10"/>
      <c r="N989" s="10"/>
      <c r="O989" s="10"/>
      <c r="P989" s="10"/>
      <c r="Q989" s="10"/>
      <c r="R989" s="10"/>
      <c r="S989" s="10"/>
      <c r="T989" s="14"/>
      <c r="U989" s="10"/>
      <c r="V989" s="10"/>
      <c r="W989" s="10"/>
      <c r="X989" s="7"/>
      <c r="Y989" s="7"/>
      <c r="Z989" s="34"/>
      <c r="AA989" s="34"/>
      <c r="AB989" s="7"/>
      <c r="AC989" s="34"/>
      <c r="AD989" s="10"/>
      <c r="AF989"/>
    </row>
    <row r="990" spans="1:32" x14ac:dyDescent="0.25">
      <c r="A990" s="7"/>
      <c r="C990" s="70"/>
      <c r="D990" s="70"/>
      <c r="E990" s="73"/>
      <c r="F990" s="9"/>
      <c r="H990" s="9"/>
      <c r="I990" s="10"/>
      <c r="J990" s="7"/>
      <c r="K990" s="7"/>
      <c r="L990" s="10"/>
      <c r="M990" s="10"/>
      <c r="N990" s="10"/>
      <c r="O990" s="10"/>
      <c r="P990" s="10"/>
      <c r="Q990" s="10"/>
      <c r="R990" s="10"/>
      <c r="S990" s="10"/>
      <c r="T990" s="14"/>
      <c r="U990" s="10"/>
      <c r="V990" s="10"/>
      <c r="W990" s="10"/>
      <c r="X990" s="7"/>
      <c r="Y990" s="7"/>
      <c r="Z990" s="7"/>
      <c r="AA990" s="34"/>
      <c r="AB990" s="7"/>
      <c r="AC990" s="34"/>
      <c r="AD990" s="10"/>
      <c r="AF990"/>
    </row>
    <row r="991" spans="1:32" x14ac:dyDescent="0.25">
      <c r="A991" s="7"/>
      <c r="C991" s="70"/>
      <c r="D991" s="70"/>
      <c r="E991" s="73"/>
      <c r="F991" s="9"/>
      <c r="H991" s="9"/>
      <c r="I991" s="10"/>
      <c r="J991" s="7"/>
      <c r="K991" s="7"/>
      <c r="L991" s="10"/>
      <c r="M991" s="10"/>
      <c r="N991" s="10"/>
      <c r="O991" s="10"/>
      <c r="P991" s="10"/>
      <c r="Q991" s="10"/>
      <c r="R991" s="10"/>
      <c r="S991" s="10"/>
      <c r="T991" s="14"/>
      <c r="U991" s="10"/>
      <c r="V991" s="10"/>
      <c r="W991" s="10"/>
      <c r="X991" s="7"/>
      <c r="Y991" s="7"/>
      <c r="Z991" s="7"/>
      <c r="AA991" s="34"/>
      <c r="AB991" s="7"/>
      <c r="AC991" s="34"/>
      <c r="AD991" s="10"/>
      <c r="AF991"/>
    </row>
    <row r="992" spans="1:32" x14ac:dyDescent="0.25">
      <c r="A992" s="7"/>
      <c r="C992" s="70"/>
      <c r="D992" s="70"/>
      <c r="E992" s="73"/>
      <c r="F992" s="9"/>
      <c r="H992" s="9"/>
      <c r="I992" s="10"/>
      <c r="J992" s="7"/>
      <c r="K992" s="7"/>
      <c r="L992" s="10"/>
      <c r="M992" s="10"/>
      <c r="N992" s="10"/>
      <c r="O992" s="10"/>
      <c r="P992" s="10"/>
      <c r="Q992" s="10"/>
      <c r="R992" s="10"/>
      <c r="S992" s="10"/>
      <c r="T992" s="14"/>
      <c r="U992" s="10"/>
      <c r="V992" s="10"/>
      <c r="W992" s="10"/>
      <c r="X992" s="7"/>
      <c r="Y992" s="7"/>
      <c r="Z992" s="34"/>
      <c r="AA992" s="34"/>
      <c r="AB992" s="7"/>
      <c r="AC992" s="34"/>
      <c r="AD992" s="10"/>
      <c r="AF992"/>
    </row>
    <row r="993" spans="1:32" x14ac:dyDescent="0.25">
      <c r="A993" s="7"/>
      <c r="C993" s="70"/>
      <c r="D993" s="70"/>
      <c r="E993" s="79"/>
      <c r="F993" s="45"/>
      <c r="G993" s="45"/>
      <c r="H993" s="9"/>
      <c r="I993" s="10"/>
      <c r="J993" s="7"/>
      <c r="K993" s="7"/>
      <c r="L993" s="14"/>
      <c r="M993" s="10"/>
      <c r="N993" s="10"/>
      <c r="O993" s="10"/>
      <c r="P993" s="10"/>
      <c r="Q993" s="10"/>
      <c r="R993" s="10"/>
      <c r="S993" s="10"/>
      <c r="T993" s="14"/>
      <c r="U993" s="10"/>
      <c r="V993" s="10"/>
      <c r="W993" s="10"/>
      <c r="X993" s="7"/>
      <c r="Y993" s="7"/>
      <c r="Z993" s="34"/>
      <c r="AA993" s="34"/>
      <c r="AB993" s="7"/>
      <c r="AC993" s="34"/>
      <c r="AD993" s="10"/>
      <c r="AF993"/>
    </row>
    <row r="994" spans="1:32" x14ac:dyDescent="0.25">
      <c r="A994" s="7"/>
      <c r="C994" s="70"/>
      <c r="D994" s="70"/>
      <c r="E994" s="73"/>
      <c r="F994" s="9"/>
      <c r="H994" s="9"/>
      <c r="I994" s="10"/>
      <c r="J994" s="7"/>
      <c r="K994" s="7"/>
      <c r="L994" s="10"/>
      <c r="M994" s="10"/>
      <c r="N994" s="10"/>
      <c r="O994" s="10"/>
      <c r="P994" s="10"/>
      <c r="Q994" s="10"/>
      <c r="R994" s="10"/>
      <c r="S994" s="10"/>
      <c r="T994" s="14"/>
      <c r="U994" s="10"/>
      <c r="V994" s="10"/>
      <c r="W994" s="10"/>
      <c r="X994" s="7"/>
      <c r="Y994" s="7"/>
      <c r="Z994" s="34"/>
      <c r="AA994" s="34"/>
      <c r="AB994" s="7"/>
      <c r="AC994" s="34"/>
      <c r="AD994" s="10"/>
      <c r="AF994"/>
    </row>
    <row r="995" spans="1:32" x14ac:dyDescent="0.25">
      <c r="A995" s="7"/>
      <c r="C995" s="70"/>
      <c r="D995" s="70"/>
      <c r="E995" s="73"/>
      <c r="F995" s="9"/>
      <c r="H995" s="9"/>
      <c r="I995" s="10"/>
      <c r="J995" s="7"/>
      <c r="K995" s="7"/>
      <c r="L995" s="10"/>
      <c r="M995" s="10"/>
      <c r="N995" s="10"/>
      <c r="O995" s="10"/>
      <c r="P995" s="10"/>
      <c r="Q995" s="10"/>
      <c r="R995" s="10"/>
      <c r="S995" s="10"/>
      <c r="T995" s="14"/>
      <c r="U995" s="10"/>
      <c r="V995" s="10"/>
      <c r="W995" s="10"/>
      <c r="X995" s="7"/>
      <c r="Y995" s="7"/>
      <c r="Z995" s="34"/>
      <c r="AA995" s="34"/>
      <c r="AB995" s="7"/>
      <c r="AC995" s="34"/>
      <c r="AD995" s="10"/>
      <c r="AF995"/>
    </row>
    <row r="996" spans="1:32" x14ac:dyDescent="0.25">
      <c r="A996" s="7"/>
      <c r="C996" s="70"/>
      <c r="D996" s="70"/>
      <c r="E996" s="73"/>
      <c r="F996" s="9"/>
      <c r="H996" s="9"/>
      <c r="I996" s="10"/>
      <c r="J996" s="7"/>
      <c r="K996" s="7"/>
      <c r="L996" s="10"/>
      <c r="M996" s="10"/>
      <c r="N996" s="10"/>
      <c r="O996" s="10"/>
      <c r="P996" s="10"/>
      <c r="Q996" s="10"/>
      <c r="R996" s="10"/>
      <c r="S996" s="10"/>
      <c r="T996" s="14"/>
      <c r="U996" s="10"/>
      <c r="V996" s="10"/>
      <c r="W996" s="10"/>
      <c r="X996" s="7"/>
      <c r="Y996" s="7"/>
      <c r="Z996" s="34"/>
      <c r="AA996" s="34"/>
      <c r="AB996" s="7"/>
      <c r="AC996" s="34"/>
      <c r="AD996" s="10"/>
      <c r="AF996"/>
    </row>
    <row r="997" spans="1:32" x14ac:dyDescent="0.25">
      <c r="A997" s="7"/>
      <c r="C997" s="70"/>
      <c r="D997" s="70"/>
      <c r="E997" s="73"/>
      <c r="F997" s="9"/>
      <c r="H997" s="9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4"/>
      <c r="U997" s="10"/>
      <c r="V997" s="10"/>
      <c r="W997" s="10"/>
      <c r="X997" s="7"/>
      <c r="Y997" s="7"/>
      <c r="Z997" s="7"/>
      <c r="AA997" s="34"/>
      <c r="AB997" s="7"/>
      <c r="AC997" s="34"/>
      <c r="AD997" s="10"/>
      <c r="AF997"/>
    </row>
    <row r="998" spans="1:32" x14ac:dyDescent="0.25">
      <c r="A998" s="7"/>
      <c r="C998" s="70"/>
      <c r="D998" s="70"/>
      <c r="E998" s="73"/>
      <c r="F998" s="9"/>
      <c r="H998" s="9"/>
      <c r="I998" s="10"/>
      <c r="J998" s="7"/>
      <c r="K998" s="24"/>
      <c r="L998" s="10"/>
      <c r="M998" s="10"/>
      <c r="N998" s="10"/>
      <c r="O998" s="10"/>
      <c r="P998" s="10"/>
      <c r="Q998" s="10"/>
      <c r="R998" s="10"/>
      <c r="S998" s="10"/>
      <c r="T998" s="14"/>
      <c r="U998" s="10"/>
      <c r="V998" s="10"/>
      <c r="W998" s="10"/>
      <c r="X998" s="7"/>
      <c r="Y998" s="7"/>
      <c r="Z998" s="7"/>
      <c r="AA998" s="34"/>
      <c r="AB998" s="7"/>
      <c r="AC998" s="34"/>
      <c r="AD998" s="10"/>
      <c r="AF998"/>
    </row>
    <row r="999" spans="1:32" x14ac:dyDescent="0.25">
      <c r="A999" s="7"/>
      <c r="C999" s="70"/>
      <c r="D999" s="70"/>
      <c r="E999" s="73"/>
      <c r="F999" s="9"/>
      <c r="H999" s="9"/>
      <c r="I999" s="10"/>
      <c r="J999" s="7"/>
      <c r="K999" s="7"/>
      <c r="L999" s="10"/>
      <c r="M999" s="10"/>
      <c r="N999" s="10"/>
      <c r="O999" s="10"/>
      <c r="P999" s="10"/>
      <c r="Q999" s="10"/>
      <c r="R999" s="10"/>
      <c r="S999" s="10"/>
      <c r="T999" s="14"/>
      <c r="U999" s="10"/>
      <c r="V999" s="10"/>
      <c r="W999" s="10"/>
      <c r="X999" s="7"/>
      <c r="Y999" s="7"/>
      <c r="Z999" s="34"/>
      <c r="AA999" s="34"/>
      <c r="AB999" s="7"/>
      <c r="AC999" s="34"/>
      <c r="AD999" s="10"/>
      <c r="AF999"/>
    </row>
    <row r="1000" spans="1:32" x14ac:dyDescent="0.25">
      <c r="A1000" s="7"/>
      <c r="C1000" s="70"/>
      <c r="D1000" s="70"/>
      <c r="E1000" s="73"/>
      <c r="F1000" s="9"/>
      <c r="H1000" s="9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4"/>
      <c r="U1000" s="10"/>
      <c r="V1000" s="10"/>
      <c r="W1000" s="10"/>
      <c r="X1000" s="7"/>
      <c r="Y1000" s="7"/>
      <c r="Z1000" s="7"/>
      <c r="AA1000" s="34"/>
      <c r="AB1000" s="7"/>
      <c r="AC1000" s="34"/>
      <c r="AD1000" s="10"/>
      <c r="AF1000"/>
    </row>
    <row r="1001" spans="1:32" x14ac:dyDescent="0.25">
      <c r="A1001" s="7"/>
      <c r="C1001" s="70"/>
      <c r="D1001" s="70"/>
      <c r="E1001" s="73"/>
      <c r="F1001" s="45"/>
      <c r="H1001" s="9"/>
      <c r="I1001" s="10"/>
      <c r="J1001" s="7"/>
      <c r="K1001" s="7"/>
      <c r="L1001" s="10"/>
      <c r="M1001" s="10"/>
      <c r="N1001" s="10"/>
      <c r="O1001" s="10"/>
      <c r="P1001" s="10"/>
      <c r="Q1001" s="10"/>
      <c r="R1001" s="10"/>
      <c r="S1001" s="10"/>
      <c r="T1001" s="14"/>
      <c r="U1001" s="10"/>
      <c r="V1001" s="10"/>
      <c r="W1001" s="10"/>
      <c r="X1001" s="7"/>
      <c r="Y1001" s="34"/>
      <c r="Z1001" s="7"/>
      <c r="AA1001" s="34"/>
      <c r="AB1001" s="7"/>
      <c r="AC1001" s="34"/>
      <c r="AD1001" s="10"/>
      <c r="AF1001"/>
    </row>
    <row r="1002" spans="1:32" x14ac:dyDescent="0.25">
      <c r="A1002" s="7"/>
      <c r="C1002" s="70"/>
      <c r="D1002" s="70"/>
      <c r="E1002" s="73"/>
      <c r="F1002" s="9"/>
      <c r="H1002" s="9"/>
      <c r="I1002" s="10"/>
      <c r="J1002" s="7"/>
      <c r="K1002" s="10"/>
      <c r="L1002" s="10"/>
      <c r="M1002" s="10"/>
      <c r="N1002" s="10"/>
      <c r="O1002" s="10"/>
      <c r="P1002" s="10"/>
      <c r="Q1002" s="10"/>
      <c r="R1002" s="10"/>
      <c r="S1002" s="10"/>
      <c r="T1002" s="14"/>
      <c r="U1002" s="10"/>
      <c r="V1002" s="10"/>
      <c r="W1002" s="10"/>
      <c r="X1002" s="7"/>
      <c r="Y1002" s="7"/>
      <c r="Z1002" s="7"/>
      <c r="AA1002" s="34"/>
      <c r="AB1002" s="7"/>
      <c r="AC1002" s="34"/>
      <c r="AD1002" s="10"/>
      <c r="AF1002"/>
    </row>
    <row r="1003" spans="1:32" x14ac:dyDescent="0.25">
      <c r="A1003" s="7"/>
      <c r="C1003" s="70"/>
      <c r="D1003" s="70"/>
      <c r="E1003" s="73"/>
      <c r="F1003" s="9"/>
      <c r="H1003" s="9"/>
      <c r="I1003" s="10"/>
      <c r="J1003" s="7"/>
      <c r="K1003" s="7"/>
      <c r="L1003" s="10"/>
      <c r="M1003" s="10"/>
      <c r="N1003" s="10"/>
      <c r="O1003" s="10"/>
      <c r="P1003" s="10"/>
      <c r="Q1003" s="10"/>
      <c r="R1003" s="10"/>
      <c r="S1003" s="10"/>
      <c r="T1003" s="14"/>
      <c r="U1003" s="10"/>
      <c r="V1003" s="10"/>
      <c r="W1003" s="10"/>
      <c r="X1003" s="7"/>
      <c r="Y1003" s="7"/>
      <c r="Z1003" s="7"/>
      <c r="AA1003" s="34"/>
      <c r="AB1003" s="7"/>
      <c r="AC1003" s="34"/>
      <c r="AD1003" s="10"/>
      <c r="AF1003"/>
    </row>
    <row r="1004" spans="1:32" x14ac:dyDescent="0.25">
      <c r="A1004" s="7"/>
      <c r="C1004" s="70"/>
      <c r="D1004" s="70"/>
      <c r="E1004" s="73"/>
      <c r="F1004" s="9"/>
      <c r="H1004" s="9"/>
      <c r="I1004" s="10"/>
      <c r="J1004" s="10"/>
      <c r="K1004" s="7"/>
      <c r="L1004" s="10"/>
      <c r="M1004" s="10"/>
      <c r="N1004" s="10"/>
      <c r="O1004" s="10"/>
      <c r="P1004" s="10"/>
      <c r="Q1004" s="10"/>
      <c r="R1004" s="10"/>
      <c r="S1004" s="10"/>
      <c r="T1004" s="14"/>
      <c r="U1004" s="10"/>
      <c r="V1004" s="10"/>
      <c r="W1004" s="10"/>
      <c r="X1004" s="7"/>
      <c r="Y1004" s="7"/>
      <c r="Z1004" s="34"/>
      <c r="AA1004" s="34"/>
      <c r="AB1004" s="7"/>
      <c r="AC1004" s="34"/>
      <c r="AD1004" s="10"/>
      <c r="AF1004"/>
    </row>
    <row r="1005" spans="1:32" x14ac:dyDescent="0.25">
      <c r="A1005" s="7"/>
      <c r="C1005" s="70"/>
      <c r="D1005" s="70"/>
      <c r="E1005" s="73"/>
      <c r="F1005" s="47"/>
      <c r="H1005" s="9"/>
      <c r="I1005" s="10"/>
      <c r="J1005" s="10"/>
      <c r="K1005" s="7"/>
      <c r="L1005" s="10"/>
      <c r="M1005" s="10"/>
      <c r="N1005" s="10"/>
      <c r="O1005" s="10"/>
      <c r="P1005" s="10"/>
      <c r="Q1005" s="10"/>
      <c r="R1005" s="10"/>
      <c r="S1005" s="10"/>
      <c r="T1005" s="14"/>
      <c r="U1005" s="10"/>
      <c r="V1005" s="10"/>
      <c r="W1005" s="10"/>
      <c r="X1005" s="7"/>
      <c r="Y1005" s="7"/>
      <c r="Z1005" s="7"/>
      <c r="AA1005" s="34"/>
      <c r="AB1005" s="7"/>
      <c r="AC1005" s="34"/>
      <c r="AD1005" s="10"/>
      <c r="AF1005"/>
    </row>
    <row r="1006" spans="1:32" x14ac:dyDescent="0.25">
      <c r="A1006" s="7"/>
      <c r="C1006" s="70"/>
      <c r="D1006" s="70"/>
      <c r="E1006" s="73"/>
      <c r="F1006" s="9"/>
      <c r="G1006" s="42"/>
      <c r="H1006" s="9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4"/>
      <c r="U1006" s="10"/>
      <c r="V1006" s="10"/>
      <c r="W1006" s="10"/>
      <c r="X1006" s="7"/>
      <c r="Y1006" s="7"/>
      <c r="Z1006" s="7"/>
      <c r="AA1006" s="34"/>
      <c r="AB1006" s="7"/>
      <c r="AC1006" s="34"/>
      <c r="AD1006" s="10"/>
      <c r="AF1006"/>
    </row>
    <row r="1007" spans="1:32" x14ac:dyDescent="0.25">
      <c r="A1007" s="7"/>
      <c r="C1007" s="70"/>
      <c r="D1007" s="70"/>
      <c r="E1007" s="73"/>
      <c r="F1007" s="9"/>
      <c r="H1007" s="9"/>
      <c r="I1007" s="10"/>
      <c r="J1007" s="7"/>
      <c r="K1007" s="7"/>
      <c r="L1007" s="10"/>
      <c r="M1007" s="10"/>
      <c r="N1007" s="10"/>
      <c r="O1007" s="10"/>
      <c r="P1007" s="10"/>
      <c r="Q1007" s="10"/>
      <c r="R1007" s="10"/>
      <c r="S1007" s="10"/>
      <c r="T1007" s="14"/>
      <c r="U1007" s="10"/>
      <c r="V1007" s="10"/>
      <c r="W1007" s="10"/>
      <c r="X1007" s="7"/>
      <c r="Y1007" s="7"/>
      <c r="Z1007" s="7"/>
      <c r="AA1007" s="34"/>
      <c r="AB1007" s="7"/>
      <c r="AC1007" s="34"/>
      <c r="AD1007" s="10"/>
      <c r="AF1007"/>
    </row>
    <row r="1008" spans="1:32" x14ac:dyDescent="0.25">
      <c r="A1008" s="7"/>
      <c r="C1008" s="70"/>
      <c r="D1008" s="70"/>
      <c r="E1008" s="73"/>
      <c r="F1008" s="9"/>
      <c r="H1008" s="9"/>
      <c r="I1008" s="10"/>
      <c r="J1008" s="10"/>
      <c r="K1008" s="24"/>
      <c r="L1008" s="10"/>
      <c r="M1008" s="10"/>
      <c r="N1008" s="10"/>
      <c r="O1008" s="10"/>
      <c r="P1008" s="10"/>
      <c r="Q1008" s="10"/>
      <c r="R1008" s="10"/>
      <c r="S1008" s="10"/>
      <c r="T1008" s="14"/>
      <c r="U1008" s="10"/>
      <c r="V1008" s="10"/>
      <c r="W1008" s="10"/>
      <c r="X1008" s="7"/>
      <c r="Y1008" s="7"/>
      <c r="Z1008" s="7"/>
      <c r="AA1008" s="34"/>
      <c r="AB1008" s="7"/>
      <c r="AC1008" s="34"/>
      <c r="AD1008" s="10"/>
      <c r="AF1008"/>
    </row>
    <row r="1009" spans="1:32" x14ac:dyDescent="0.25">
      <c r="A1009" s="7"/>
      <c r="C1009" s="70"/>
      <c r="D1009" s="70"/>
      <c r="E1009" s="73"/>
      <c r="F1009" s="9"/>
      <c r="H1009" s="9"/>
      <c r="I1009" s="10"/>
      <c r="J1009" s="10"/>
      <c r="K1009" s="24"/>
      <c r="L1009" s="10"/>
      <c r="M1009" s="10"/>
      <c r="N1009" s="10"/>
      <c r="O1009" s="10"/>
      <c r="P1009" s="10"/>
      <c r="Q1009" s="10"/>
      <c r="R1009" s="10"/>
      <c r="S1009" s="10"/>
      <c r="T1009" s="14"/>
      <c r="U1009" s="10"/>
      <c r="V1009" s="10"/>
      <c r="W1009" s="10"/>
      <c r="X1009" s="7"/>
      <c r="Y1009" s="7"/>
      <c r="Z1009" s="7"/>
      <c r="AA1009" s="34"/>
      <c r="AB1009" s="7"/>
      <c r="AC1009" s="34"/>
      <c r="AD1009" s="10"/>
      <c r="AF1009"/>
    </row>
    <row r="1010" spans="1:32" x14ac:dyDescent="0.25">
      <c r="A1010" s="7"/>
      <c r="C1010" s="70"/>
      <c r="D1010" s="70"/>
      <c r="E1010" s="73"/>
      <c r="F1010" s="9"/>
      <c r="H1010" s="9"/>
      <c r="I1010" s="10"/>
      <c r="J1010" s="10"/>
      <c r="K1010" s="7"/>
      <c r="L1010" s="10"/>
      <c r="M1010" s="10"/>
      <c r="N1010" s="10"/>
      <c r="O1010" s="10"/>
      <c r="P1010" s="10"/>
      <c r="Q1010" s="10"/>
      <c r="R1010" s="10"/>
      <c r="S1010" s="10"/>
      <c r="T1010" s="14"/>
      <c r="U1010" s="10"/>
      <c r="V1010" s="10"/>
      <c r="W1010" s="10"/>
      <c r="X1010" s="7"/>
      <c r="Y1010" s="7"/>
      <c r="Z1010" s="34"/>
      <c r="AA1010" s="34"/>
      <c r="AB1010" s="7"/>
      <c r="AC1010" s="34"/>
      <c r="AD1010" s="10"/>
      <c r="AF1010"/>
    </row>
    <row r="1011" spans="1:32" x14ac:dyDescent="0.25">
      <c r="A1011" s="7"/>
      <c r="C1011" s="70"/>
      <c r="D1011" s="70"/>
      <c r="E1011" s="73"/>
      <c r="F1011" s="9"/>
      <c r="H1011" s="9"/>
      <c r="I1011" s="10"/>
      <c r="J1011" s="7"/>
      <c r="K1011" s="7"/>
      <c r="L1011" s="10"/>
      <c r="M1011" s="10"/>
      <c r="N1011" s="10"/>
      <c r="O1011" s="10"/>
      <c r="P1011" s="10"/>
      <c r="Q1011" s="10"/>
      <c r="R1011" s="10"/>
      <c r="S1011" s="10"/>
      <c r="T1011" s="14"/>
      <c r="U1011" s="10"/>
      <c r="V1011" s="10"/>
      <c r="W1011" s="10"/>
      <c r="X1011" s="7"/>
      <c r="Y1011" s="7"/>
      <c r="Z1011" s="7"/>
      <c r="AA1011" s="34"/>
      <c r="AB1011" s="7"/>
      <c r="AC1011" s="34"/>
      <c r="AD1011" s="10"/>
      <c r="AF1011"/>
    </row>
    <row r="1012" spans="1:32" x14ac:dyDescent="0.25">
      <c r="A1012" s="7"/>
      <c r="C1012" s="70"/>
      <c r="D1012" s="70"/>
      <c r="E1012" s="73"/>
      <c r="F1012" s="9"/>
      <c r="H1012" s="9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4"/>
      <c r="U1012" s="10"/>
      <c r="V1012" s="10"/>
      <c r="W1012" s="10"/>
      <c r="X1012" s="7"/>
      <c r="Y1012" s="7"/>
      <c r="Z1012" s="7"/>
      <c r="AA1012" s="34"/>
      <c r="AB1012" s="7"/>
      <c r="AC1012" s="34"/>
      <c r="AD1012" s="10"/>
      <c r="AF1012"/>
    </row>
    <row r="1013" spans="1:32" x14ac:dyDescent="0.25">
      <c r="A1013" s="7"/>
      <c r="C1013" s="70"/>
      <c r="D1013" s="70"/>
      <c r="E1013" s="73"/>
      <c r="F1013" s="9"/>
      <c r="H1013" s="9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4"/>
      <c r="U1013" s="10"/>
      <c r="V1013" s="10"/>
      <c r="W1013" s="10"/>
      <c r="X1013" s="7"/>
      <c r="Y1013" s="7"/>
      <c r="Z1013" s="34"/>
      <c r="AA1013" s="34"/>
      <c r="AB1013" s="7"/>
      <c r="AC1013" s="34"/>
      <c r="AD1013" s="10"/>
      <c r="AF1013"/>
    </row>
    <row r="1014" spans="1:32" x14ac:dyDescent="0.25">
      <c r="A1014" s="7"/>
      <c r="C1014" s="70"/>
      <c r="D1014" s="70"/>
      <c r="E1014" s="73"/>
      <c r="F1014" s="9"/>
      <c r="H1014" s="9"/>
      <c r="I1014" s="10"/>
      <c r="J1014" s="7"/>
      <c r="K1014" s="7"/>
      <c r="L1014" s="10"/>
      <c r="M1014" s="10"/>
      <c r="N1014" s="10"/>
      <c r="O1014" s="10"/>
      <c r="P1014" s="10"/>
      <c r="Q1014" s="10"/>
      <c r="R1014" s="10"/>
      <c r="S1014" s="10"/>
      <c r="T1014" s="14"/>
      <c r="U1014" s="10"/>
      <c r="V1014" s="10"/>
      <c r="W1014" s="10"/>
      <c r="X1014" s="7"/>
      <c r="Y1014" s="7"/>
      <c r="Z1014" s="34"/>
      <c r="AA1014" s="34"/>
      <c r="AB1014" s="7"/>
      <c r="AC1014" s="34"/>
      <c r="AD1014" s="10"/>
      <c r="AF1014"/>
    </row>
    <row r="1015" spans="1:32" x14ac:dyDescent="0.25">
      <c r="A1015" s="7"/>
      <c r="C1015" s="70"/>
      <c r="D1015" s="70"/>
      <c r="E1015" s="73"/>
      <c r="F1015" s="9"/>
      <c r="H1015" s="9"/>
      <c r="I1015" s="10"/>
      <c r="J1015" s="7"/>
      <c r="K1015" s="7"/>
      <c r="L1015" s="10"/>
      <c r="M1015" s="10"/>
      <c r="N1015" s="10"/>
      <c r="O1015" s="10"/>
      <c r="P1015" s="10"/>
      <c r="Q1015" s="10"/>
      <c r="R1015" s="10"/>
      <c r="S1015" s="10"/>
      <c r="T1015" s="14"/>
      <c r="U1015" s="10"/>
      <c r="V1015" s="10"/>
      <c r="W1015" s="10"/>
      <c r="X1015" s="7"/>
      <c r="Y1015" s="7"/>
      <c r="Z1015" s="7"/>
      <c r="AA1015" s="34"/>
      <c r="AB1015" s="7"/>
      <c r="AC1015" s="10"/>
      <c r="AD1015" s="10"/>
      <c r="AF1015"/>
    </row>
    <row r="1016" spans="1:32" x14ac:dyDescent="0.25">
      <c r="A1016" s="7"/>
      <c r="C1016" s="70"/>
      <c r="D1016" s="70"/>
      <c r="E1016" s="73"/>
      <c r="F1016" s="9"/>
      <c r="H1016" s="9"/>
      <c r="I1016" s="10"/>
      <c r="J1016" s="10"/>
      <c r="K1016" s="24"/>
      <c r="L1016" s="10"/>
      <c r="M1016" s="10"/>
      <c r="N1016" s="10"/>
      <c r="O1016" s="10"/>
      <c r="P1016" s="10"/>
      <c r="Q1016" s="10"/>
      <c r="R1016" s="10"/>
      <c r="S1016" s="10"/>
      <c r="T1016" s="14"/>
      <c r="U1016" s="10"/>
      <c r="V1016" s="10"/>
      <c r="W1016" s="10"/>
      <c r="X1016" s="7"/>
      <c r="Y1016" s="7"/>
      <c r="Z1016" s="7"/>
      <c r="AA1016" s="34"/>
      <c r="AB1016" s="7"/>
      <c r="AC1016" s="34"/>
      <c r="AD1016" s="10"/>
      <c r="AF1016"/>
    </row>
    <row r="1017" spans="1:32" x14ac:dyDescent="0.25">
      <c r="A1017" s="7"/>
      <c r="C1017" s="70"/>
      <c r="D1017" s="70"/>
      <c r="E1017" s="78"/>
      <c r="F1017" s="48"/>
      <c r="G1017" s="45"/>
      <c r="H1017" s="9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4"/>
      <c r="U1017" s="10"/>
      <c r="V1017" s="10"/>
      <c r="W1017" s="10"/>
      <c r="X1017" s="7"/>
      <c r="Y1017" s="7"/>
      <c r="Z1017" s="34"/>
      <c r="AA1017" s="34"/>
      <c r="AB1017" s="7"/>
      <c r="AC1017" s="34"/>
      <c r="AD1017" s="10"/>
      <c r="AF1017"/>
    </row>
    <row r="1018" spans="1:32" x14ac:dyDescent="0.25">
      <c r="A1018" s="7"/>
      <c r="C1018" s="70"/>
      <c r="D1018" s="70"/>
      <c r="E1018" s="73"/>
      <c r="F1018" s="9"/>
      <c r="H1018" s="9"/>
      <c r="I1018" s="10"/>
      <c r="J1018" s="7"/>
      <c r="K1018" s="7"/>
      <c r="L1018" s="10"/>
      <c r="M1018" s="10"/>
      <c r="N1018" s="10"/>
      <c r="O1018" s="10"/>
      <c r="P1018" s="10"/>
      <c r="Q1018" s="10"/>
      <c r="R1018" s="10"/>
      <c r="S1018" s="10"/>
      <c r="T1018" s="14"/>
      <c r="U1018" s="10"/>
      <c r="V1018" s="10"/>
      <c r="W1018" s="10"/>
      <c r="X1018" s="7"/>
      <c r="Y1018" s="7"/>
      <c r="Z1018" s="7"/>
      <c r="AA1018" s="34"/>
      <c r="AB1018" s="7"/>
      <c r="AC1018" s="34"/>
      <c r="AD1018" s="10"/>
      <c r="AF1018"/>
    </row>
    <row r="1019" spans="1:32" x14ac:dyDescent="0.25">
      <c r="A1019" s="7"/>
      <c r="C1019" s="70"/>
      <c r="D1019" s="70"/>
      <c r="E1019" s="79"/>
      <c r="F1019" s="45"/>
      <c r="H1019" s="9"/>
      <c r="I1019" s="10"/>
      <c r="J1019" s="7"/>
      <c r="K1019" s="7"/>
      <c r="L1019" s="10"/>
      <c r="M1019" s="10"/>
      <c r="N1019" s="10"/>
      <c r="O1019" s="10"/>
      <c r="P1019" s="10"/>
      <c r="Q1019" s="10"/>
      <c r="R1019" s="10"/>
      <c r="S1019" s="10"/>
      <c r="T1019" s="14"/>
      <c r="U1019" s="10"/>
      <c r="V1019" s="10"/>
      <c r="W1019" s="10"/>
      <c r="X1019" s="7"/>
      <c r="Y1019" s="7"/>
      <c r="Z1019" s="34"/>
      <c r="AA1019" s="34"/>
      <c r="AB1019" s="7"/>
      <c r="AC1019" s="34"/>
      <c r="AD1019" s="10"/>
      <c r="AF1019"/>
    </row>
    <row r="1020" spans="1:32" x14ac:dyDescent="0.25">
      <c r="A1020" s="7"/>
      <c r="C1020" s="70"/>
      <c r="D1020" s="70"/>
      <c r="E1020" s="73"/>
      <c r="F1020" s="9"/>
      <c r="H1020" s="9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4"/>
      <c r="U1020" s="10"/>
      <c r="V1020" s="10"/>
      <c r="W1020" s="10"/>
      <c r="X1020" s="7"/>
      <c r="Y1020" s="7"/>
      <c r="Z1020" s="7"/>
      <c r="AA1020" s="34"/>
      <c r="AB1020" s="7"/>
      <c r="AC1020" s="34"/>
      <c r="AD1020" s="10"/>
      <c r="AF1020"/>
    </row>
    <row r="1021" spans="1:32" x14ac:dyDescent="0.25">
      <c r="A1021" s="7"/>
      <c r="C1021" s="70"/>
      <c r="D1021" s="70"/>
      <c r="E1021" s="73"/>
      <c r="F1021" s="9"/>
      <c r="H1021" s="9"/>
      <c r="I1021" s="10"/>
      <c r="J1021" s="10"/>
      <c r="K1021" s="7"/>
      <c r="L1021" s="10"/>
      <c r="M1021" s="10"/>
      <c r="N1021" s="10"/>
      <c r="O1021" s="10"/>
      <c r="P1021" s="10"/>
      <c r="Q1021" s="10"/>
      <c r="R1021" s="10"/>
      <c r="S1021" s="10"/>
      <c r="T1021" s="14"/>
      <c r="U1021" s="10"/>
      <c r="V1021" s="10"/>
      <c r="W1021" s="10"/>
      <c r="X1021" s="7"/>
      <c r="Y1021" s="7"/>
      <c r="Z1021" s="7"/>
      <c r="AA1021" s="34"/>
      <c r="AB1021" s="7"/>
      <c r="AC1021" s="34"/>
      <c r="AD1021" s="10"/>
      <c r="AF1021"/>
    </row>
    <row r="1022" spans="1:32" x14ac:dyDescent="0.25">
      <c r="A1022" s="7"/>
      <c r="C1022" s="70"/>
      <c r="D1022" s="70"/>
      <c r="E1022" s="73"/>
      <c r="F1022" s="9"/>
      <c r="H1022" s="9"/>
      <c r="I1022" s="10"/>
      <c r="J1022" s="7"/>
      <c r="K1022" s="7"/>
      <c r="L1022" s="10"/>
      <c r="M1022" s="10"/>
      <c r="N1022" s="10"/>
      <c r="O1022" s="10"/>
      <c r="P1022" s="10"/>
      <c r="Q1022" s="10"/>
      <c r="R1022" s="10"/>
      <c r="S1022" s="10"/>
      <c r="T1022" s="14"/>
      <c r="U1022" s="10"/>
      <c r="V1022" s="10"/>
      <c r="W1022" s="10"/>
      <c r="X1022" s="7"/>
      <c r="Y1022" s="7"/>
      <c r="Z1022" s="7"/>
      <c r="AA1022" s="34"/>
      <c r="AB1022" s="7"/>
      <c r="AC1022" s="34"/>
      <c r="AD1022" s="10"/>
      <c r="AF1022"/>
    </row>
    <row r="1023" spans="1:32" x14ac:dyDescent="0.25">
      <c r="A1023" s="7"/>
      <c r="C1023" s="70"/>
      <c r="D1023" s="70"/>
      <c r="E1023" s="73"/>
      <c r="F1023" s="45"/>
      <c r="H1023" s="9"/>
      <c r="I1023" s="10"/>
      <c r="J1023" s="10"/>
      <c r="K1023" s="7"/>
      <c r="L1023" s="10"/>
      <c r="M1023" s="10"/>
      <c r="N1023" s="10"/>
      <c r="O1023" s="10"/>
      <c r="P1023" s="10"/>
      <c r="Q1023" s="10"/>
      <c r="R1023" s="10"/>
      <c r="S1023" s="10"/>
      <c r="T1023" s="14"/>
      <c r="U1023" s="10"/>
      <c r="V1023" s="10"/>
      <c r="W1023" s="10"/>
      <c r="X1023" s="7"/>
      <c r="Y1023" s="34"/>
      <c r="Z1023" s="7"/>
      <c r="AA1023" s="34"/>
      <c r="AB1023" s="7"/>
      <c r="AC1023" s="34"/>
      <c r="AD1023" s="10"/>
      <c r="AF1023"/>
    </row>
    <row r="1024" spans="1:32" x14ac:dyDescent="0.25">
      <c r="A1024" s="7"/>
      <c r="C1024" s="70"/>
      <c r="D1024" s="70"/>
      <c r="E1024" s="73"/>
      <c r="F1024" s="48"/>
      <c r="G1024" s="49"/>
      <c r="H1024" s="9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4"/>
      <c r="U1024" s="10"/>
      <c r="V1024" s="10"/>
      <c r="W1024" s="10"/>
      <c r="X1024" s="7"/>
      <c r="Y1024" s="7"/>
      <c r="Z1024" s="34"/>
      <c r="AA1024" s="34"/>
      <c r="AB1024" s="7"/>
      <c r="AC1024" s="34"/>
      <c r="AD1024" s="10"/>
      <c r="AF1024"/>
    </row>
    <row r="1025" spans="1:32" x14ac:dyDescent="0.25">
      <c r="A1025" s="7"/>
      <c r="C1025" s="70"/>
      <c r="D1025" s="70"/>
      <c r="E1025" s="73"/>
      <c r="F1025" s="9"/>
      <c r="H1025" s="9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4"/>
      <c r="U1025" s="10"/>
      <c r="V1025" s="10"/>
      <c r="W1025" s="10"/>
      <c r="X1025" s="7"/>
      <c r="Y1025" s="34"/>
      <c r="Z1025" s="7"/>
      <c r="AA1025" s="34"/>
      <c r="AB1025" s="7"/>
      <c r="AC1025" s="34"/>
      <c r="AD1025" s="10"/>
      <c r="AF1025"/>
    </row>
    <row r="1026" spans="1:32" x14ac:dyDescent="0.25">
      <c r="A1026" s="7"/>
      <c r="C1026" s="70"/>
      <c r="D1026" s="70"/>
      <c r="E1026" s="73"/>
      <c r="F1026" s="9"/>
      <c r="H1026" s="9"/>
      <c r="I1026" s="10"/>
      <c r="J1026" s="10"/>
      <c r="K1026" s="7"/>
      <c r="L1026" s="10"/>
      <c r="M1026" s="10"/>
      <c r="N1026" s="10"/>
      <c r="O1026" s="10"/>
      <c r="P1026" s="10"/>
      <c r="Q1026" s="10"/>
      <c r="R1026" s="10"/>
      <c r="S1026" s="10"/>
      <c r="T1026" s="14"/>
      <c r="U1026" s="10"/>
      <c r="V1026" s="10"/>
      <c r="W1026" s="10"/>
      <c r="X1026" s="7"/>
      <c r="Y1026" s="7"/>
      <c r="Z1026" s="7"/>
      <c r="AA1026" s="34"/>
      <c r="AB1026" s="7"/>
      <c r="AC1026" s="34"/>
      <c r="AD1026" s="10"/>
      <c r="AF1026"/>
    </row>
    <row r="1027" spans="1:32" x14ac:dyDescent="0.25">
      <c r="A1027" s="7"/>
      <c r="C1027" s="70"/>
      <c r="D1027" s="70"/>
      <c r="E1027" s="73"/>
      <c r="F1027" s="9"/>
      <c r="H1027" s="9"/>
      <c r="I1027" s="10"/>
      <c r="J1027" s="10"/>
      <c r="K1027" s="10"/>
      <c r="L1027" s="34"/>
      <c r="M1027" s="10"/>
      <c r="N1027" s="10"/>
      <c r="O1027" s="10"/>
      <c r="P1027" s="10"/>
      <c r="Q1027" s="10"/>
      <c r="R1027" s="10"/>
      <c r="S1027" s="10"/>
      <c r="T1027" s="14"/>
      <c r="U1027" s="10"/>
      <c r="V1027" s="10"/>
      <c r="W1027" s="10"/>
      <c r="X1027" s="34"/>
      <c r="Y1027" s="7"/>
      <c r="Z1027" s="7"/>
      <c r="AA1027" s="34"/>
      <c r="AB1027" s="7"/>
      <c r="AC1027" s="34"/>
      <c r="AD1027" s="10"/>
      <c r="AF1027"/>
    </row>
    <row r="1028" spans="1:32" x14ac:dyDescent="0.25">
      <c r="A1028" s="7"/>
      <c r="C1028" s="70"/>
      <c r="D1028" s="70"/>
      <c r="E1028" s="73"/>
      <c r="F1028" s="9"/>
      <c r="H1028" s="9"/>
      <c r="I1028" s="10"/>
      <c r="J1028" s="7"/>
      <c r="K1028" s="7"/>
      <c r="L1028" s="10"/>
      <c r="M1028" s="10"/>
      <c r="N1028" s="10"/>
      <c r="O1028" s="10"/>
      <c r="P1028" s="10"/>
      <c r="Q1028" s="10"/>
      <c r="R1028" s="10"/>
      <c r="S1028" s="10"/>
      <c r="T1028" s="14"/>
      <c r="U1028" s="10"/>
      <c r="V1028" s="10"/>
      <c r="W1028" s="10"/>
      <c r="X1028" s="7"/>
      <c r="Y1028" s="7"/>
      <c r="Z1028" s="34"/>
      <c r="AA1028" s="34"/>
      <c r="AB1028" s="7"/>
      <c r="AC1028" s="34"/>
      <c r="AD1028" s="10"/>
      <c r="AF1028"/>
    </row>
    <row r="1029" spans="1:32" ht="19.5" thickBot="1" x14ac:dyDescent="0.35">
      <c r="A1029" s="64" t="s">
        <v>8</v>
      </c>
      <c r="B1029" s="67"/>
      <c r="C1029" s="74"/>
      <c r="D1029" s="74"/>
      <c r="E1029" s="80"/>
      <c r="F1029" s="66"/>
      <c r="G1029" s="66"/>
      <c r="H1029" s="66"/>
      <c r="I1029" s="63"/>
      <c r="J1029" s="63"/>
      <c r="K1029" s="63"/>
      <c r="L1029" s="63" t="e">
        <f t="shared" ref="L1029:AA1029" si="7">SUM(L525:L1028)</f>
        <v>#REF!</v>
      </c>
      <c r="M1029" s="63" t="e">
        <f t="shared" si="7"/>
        <v>#REF!</v>
      </c>
      <c r="N1029" s="63" t="e">
        <f t="shared" si="7"/>
        <v>#REF!</v>
      </c>
      <c r="O1029" s="63" t="e">
        <f t="shared" si="7"/>
        <v>#REF!</v>
      </c>
      <c r="P1029" s="63" t="e">
        <f t="shared" si="7"/>
        <v>#REF!</v>
      </c>
      <c r="Q1029" s="63" t="e">
        <f t="shared" si="7"/>
        <v>#REF!</v>
      </c>
      <c r="R1029" s="63" t="e">
        <f t="shared" si="7"/>
        <v>#REF!</v>
      </c>
      <c r="S1029" s="63" t="e">
        <f t="shared" si="7"/>
        <v>#REF!</v>
      </c>
      <c r="T1029" s="63" t="e">
        <f t="shared" si="7"/>
        <v>#REF!</v>
      </c>
      <c r="U1029" s="63" t="e">
        <f t="shared" si="7"/>
        <v>#REF!</v>
      </c>
      <c r="V1029" s="63" t="e">
        <f t="shared" si="7"/>
        <v>#REF!</v>
      </c>
      <c r="W1029" s="63" t="e">
        <f t="shared" si="7"/>
        <v>#REF!</v>
      </c>
      <c r="X1029" s="63" t="e">
        <f t="shared" si="7"/>
        <v>#REF!</v>
      </c>
      <c r="Y1029" s="63" t="e">
        <f t="shared" si="7"/>
        <v>#REF!</v>
      </c>
      <c r="Z1029" s="63" t="e">
        <f t="shared" si="7"/>
        <v>#REF!</v>
      </c>
      <c r="AA1029" s="63" t="e">
        <f t="shared" si="7"/>
        <v>#REF!</v>
      </c>
      <c r="AB1029" s="63"/>
      <c r="AC1029" s="63" t="e">
        <f>SUM(AC525:AC1028)</f>
        <v>#REF!</v>
      </c>
      <c r="AD1029" s="10" t="e">
        <f>SUM(AB1029:AC1029)-SUM(L1029:AA1029)</f>
        <v>#REF!</v>
      </c>
      <c r="AF1029"/>
    </row>
    <row r="1030" spans="1:32" ht="15.75" thickTop="1" x14ac:dyDescent="0.25">
      <c r="A1030" s="7"/>
      <c r="C1030" s="70"/>
      <c r="D1030" s="70"/>
      <c r="E1030" s="73"/>
      <c r="F1030" s="9"/>
      <c r="H1030" s="9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4"/>
      <c r="U1030" s="10"/>
      <c r="V1030" s="10"/>
      <c r="W1030" s="10"/>
      <c r="X1030" s="7"/>
      <c r="Y1030" s="7"/>
      <c r="Z1030" s="7"/>
      <c r="AA1030" s="34"/>
      <c r="AB1030" s="7"/>
      <c r="AC1030" s="34"/>
      <c r="AD1030" s="10"/>
      <c r="AF1030"/>
    </row>
    <row r="1031" spans="1:32" x14ac:dyDescent="0.25">
      <c r="A1031" s="7"/>
      <c r="C1031" s="70"/>
      <c r="D1031" s="70"/>
      <c r="E1031" s="73"/>
      <c r="F1031" s="9"/>
      <c r="H1031" s="9"/>
      <c r="I1031" s="10"/>
      <c r="J1031" s="7"/>
      <c r="K1031" s="7"/>
      <c r="L1031" s="10"/>
      <c r="M1031" s="10"/>
      <c r="N1031" s="10"/>
      <c r="O1031" s="10"/>
      <c r="P1031" s="10"/>
      <c r="Q1031" s="10"/>
      <c r="R1031" s="10"/>
      <c r="S1031" s="10"/>
      <c r="T1031" s="14"/>
      <c r="U1031" s="10"/>
      <c r="V1031" s="10"/>
      <c r="W1031" s="10"/>
      <c r="X1031" s="7"/>
      <c r="Y1031" s="7"/>
      <c r="Z1031" s="7"/>
      <c r="AA1031" s="34"/>
      <c r="AB1031" s="7"/>
      <c r="AC1031" s="34"/>
      <c r="AD1031" s="10"/>
      <c r="AF1031"/>
    </row>
    <row r="1032" spans="1:32" x14ac:dyDescent="0.25">
      <c r="A1032" s="16"/>
      <c r="C1032" s="70"/>
      <c r="D1032" s="70"/>
      <c r="E1032" s="73"/>
      <c r="F1032" s="9"/>
      <c r="H1032" s="9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4"/>
      <c r="U1032" s="10"/>
      <c r="V1032" s="10"/>
      <c r="W1032" s="10"/>
      <c r="X1032" s="7"/>
      <c r="Y1032" s="7"/>
      <c r="Z1032" s="7"/>
      <c r="AA1032" s="34"/>
      <c r="AB1032" s="7"/>
      <c r="AC1032" s="34"/>
      <c r="AD1032" s="10"/>
      <c r="AE1032"/>
      <c r="AF1032"/>
    </row>
    <row r="1033" spans="1:32" x14ac:dyDescent="0.25">
      <c r="A1033" s="16"/>
      <c r="C1033" s="70"/>
      <c r="D1033" s="70"/>
      <c r="E1033" s="73"/>
      <c r="F1033" s="9"/>
      <c r="H1033" s="9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4"/>
      <c r="U1033" s="10"/>
      <c r="V1033" s="10"/>
      <c r="W1033" s="10"/>
      <c r="X1033" s="7"/>
      <c r="Y1033" s="7"/>
      <c r="Z1033" s="7"/>
      <c r="AA1033" s="34"/>
      <c r="AB1033" s="7"/>
      <c r="AC1033" s="34"/>
      <c r="AD1033" s="10"/>
      <c r="AE1033"/>
      <c r="AF1033"/>
    </row>
    <row r="1034" spans="1:32" x14ac:dyDescent="0.25">
      <c r="A1034" s="16"/>
      <c r="C1034" s="70"/>
      <c r="D1034" s="70"/>
      <c r="E1034" s="73"/>
      <c r="F1034" s="9"/>
      <c r="H1034" s="9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4"/>
      <c r="U1034" s="10"/>
      <c r="V1034" s="10"/>
      <c r="W1034" s="10"/>
      <c r="X1034" s="7"/>
      <c r="Y1034" s="7"/>
      <c r="Z1034" s="7"/>
      <c r="AA1034" s="34"/>
      <c r="AB1034" s="7"/>
      <c r="AC1034" s="34"/>
      <c r="AD1034" s="10"/>
      <c r="AE1034"/>
      <c r="AF1034"/>
    </row>
    <row r="1035" spans="1:32" x14ac:dyDescent="0.25">
      <c r="A1035" s="16"/>
      <c r="C1035" s="70"/>
      <c r="D1035" s="70"/>
      <c r="E1035" s="73"/>
      <c r="F1035" s="9"/>
      <c r="H1035" s="9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4"/>
      <c r="U1035" s="10"/>
      <c r="V1035" s="10"/>
      <c r="W1035" s="10"/>
      <c r="X1035" s="7"/>
      <c r="Y1035" s="7"/>
      <c r="Z1035" s="7"/>
      <c r="AA1035" s="34"/>
      <c r="AB1035" s="7"/>
      <c r="AC1035" s="34"/>
      <c r="AD1035" s="10"/>
      <c r="AE1035"/>
      <c r="AF1035"/>
    </row>
    <row r="1036" spans="1:32" x14ac:dyDescent="0.25">
      <c r="A1036" s="16"/>
      <c r="C1036" s="70"/>
      <c r="D1036" s="70"/>
      <c r="E1036" s="73"/>
      <c r="F1036" s="9"/>
      <c r="H1036" s="45"/>
      <c r="I1036" s="10"/>
      <c r="J1036" s="7"/>
      <c r="K1036" s="7"/>
      <c r="L1036" s="10"/>
      <c r="M1036" s="10"/>
      <c r="N1036" s="10"/>
      <c r="O1036" s="10"/>
      <c r="P1036" s="10"/>
      <c r="Q1036" s="10"/>
      <c r="R1036" s="10"/>
      <c r="S1036" s="10"/>
      <c r="T1036" s="14"/>
      <c r="U1036" s="10"/>
      <c r="V1036" s="10"/>
      <c r="W1036" s="10"/>
      <c r="X1036" s="7"/>
      <c r="Y1036" s="7"/>
      <c r="Z1036" s="7"/>
      <c r="AA1036" s="34"/>
      <c r="AB1036" s="7"/>
      <c r="AC1036" s="34"/>
      <c r="AD1036" s="10"/>
      <c r="AE1036"/>
      <c r="AF1036"/>
    </row>
    <row r="1037" spans="1:32" x14ac:dyDescent="0.25">
      <c r="A1037" s="16"/>
      <c r="C1037" s="70"/>
      <c r="D1037" s="70"/>
      <c r="E1037" s="73"/>
      <c r="F1037" s="9"/>
      <c r="H1037" s="45"/>
      <c r="I1037" s="10"/>
      <c r="J1037" s="7"/>
      <c r="K1037" s="7"/>
      <c r="L1037" s="10"/>
      <c r="M1037" s="10"/>
      <c r="N1037" s="10"/>
      <c r="O1037" s="10"/>
      <c r="P1037" s="10"/>
      <c r="Q1037" s="10"/>
      <c r="R1037" s="10"/>
      <c r="S1037" s="10"/>
      <c r="T1037" s="14"/>
      <c r="U1037" s="10"/>
      <c r="V1037" s="10"/>
      <c r="W1037" s="10"/>
      <c r="X1037" s="7"/>
      <c r="Y1037" s="7"/>
      <c r="Z1037" s="7"/>
      <c r="AA1037" s="34"/>
      <c r="AB1037" s="7"/>
      <c r="AC1037" s="34"/>
      <c r="AD1037" s="10"/>
      <c r="AE1037"/>
      <c r="AF1037"/>
    </row>
    <row r="1038" spans="1:32" x14ac:dyDescent="0.25">
      <c r="A1038" s="16"/>
      <c r="C1038" s="70"/>
      <c r="D1038" s="70"/>
      <c r="E1038" s="73"/>
      <c r="F1038" s="9"/>
      <c r="H1038" s="9"/>
      <c r="I1038" s="10"/>
      <c r="J1038" s="7"/>
      <c r="K1038" s="7"/>
      <c r="L1038" s="10"/>
      <c r="M1038" s="10"/>
      <c r="N1038" s="10"/>
      <c r="O1038" s="10"/>
      <c r="P1038" s="10"/>
      <c r="Q1038" s="10"/>
      <c r="R1038" s="10"/>
      <c r="S1038" s="10"/>
      <c r="T1038" s="14"/>
      <c r="U1038" s="10"/>
      <c r="V1038" s="10"/>
      <c r="W1038" s="10"/>
      <c r="X1038" s="7"/>
      <c r="Y1038" s="7"/>
      <c r="Z1038" s="7"/>
      <c r="AA1038" s="34"/>
      <c r="AB1038" s="7"/>
      <c r="AC1038" s="34"/>
      <c r="AD1038" s="10"/>
      <c r="AE1038"/>
      <c r="AF1038"/>
    </row>
    <row r="1039" spans="1:32" x14ac:dyDescent="0.25">
      <c r="A1039" s="16"/>
      <c r="C1039" s="70"/>
      <c r="D1039" s="70"/>
      <c r="E1039" s="73"/>
      <c r="F1039" s="9"/>
      <c r="H1039" s="9"/>
      <c r="I1039" s="10"/>
      <c r="J1039" s="7"/>
      <c r="K1039" s="7"/>
      <c r="L1039" s="10"/>
      <c r="M1039" s="10"/>
      <c r="N1039" s="10"/>
      <c r="O1039" s="10"/>
      <c r="P1039" s="10"/>
      <c r="Q1039" s="10"/>
      <c r="R1039" s="10"/>
      <c r="S1039" s="10"/>
      <c r="T1039" s="14"/>
      <c r="U1039" s="10"/>
      <c r="V1039" s="10"/>
      <c r="W1039" s="10"/>
      <c r="X1039" s="7"/>
      <c r="Y1039" s="7"/>
      <c r="Z1039" s="7"/>
      <c r="AA1039" s="34"/>
      <c r="AB1039" s="7"/>
      <c r="AC1039" s="34"/>
      <c r="AD1039" s="10"/>
      <c r="AE1039"/>
      <c r="AF1039"/>
    </row>
    <row r="1040" spans="1:32" x14ac:dyDescent="0.25">
      <c r="A1040" s="16"/>
      <c r="C1040" s="70"/>
      <c r="D1040" s="70"/>
      <c r="E1040" s="73"/>
      <c r="F1040" s="9"/>
      <c r="H1040" s="9"/>
      <c r="I1040" s="10"/>
      <c r="J1040" s="7"/>
      <c r="K1040" s="7"/>
      <c r="L1040" s="10"/>
      <c r="M1040" s="10"/>
      <c r="N1040" s="10"/>
      <c r="O1040" s="10"/>
      <c r="P1040" s="10"/>
      <c r="Q1040" s="10"/>
      <c r="R1040" s="10"/>
      <c r="S1040" s="10"/>
      <c r="T1040" s="14"/>
      <c r="U1040" s="10"/>
      <c r="V1040" s="10"/>
      <c r="W1040" s="10"/>
      <c r="X1040" s="7"/>
      <c r="Y1040" s="7"/>
      <c r="Z1040" s="7"/>
      <c r="AA1040" s="34"/>
      <c r="AB1040" s="7"/>
      <c r="AC1040" s="34"/>
      <c r="AD1040" s="10"/>
      <c r="AE1040"/>
      <c r="AF1040"/>
    </row>
    <row r="1041" spans="1:32" x14ac:dyDescent="0.25">
      <c r="A1041" s="16"/>
      <c r="C1041" s="70"/>
      <c r="D1041" s="70"/>
      <c r="E1041" s="73"/>
      <c r="F1041" s="9"/>
      <c r="H1041" s="9"/>
      <c r="I1041" s="10"/>
      <c r="J1041" s="7"/>
      <c r="K1041" s="7"/>
      <c r="L1041" s="10"/>
      <c r="M1041" s="10"/>
      <c r="N1041" s="10"/>
      <c r="O1041" s="10"/>
      <c r="P1041" s="10"/>
      <c r="Q1041" s="10"/>
      <c r="R1041" s="10"/>
      <c r="S1041" s="10"/>
      <c r="T1041" s="14"/>
      <c r="U1041" s="10"/>
      <c r="V1041" s="10"/>
      <c r="W1041" s="10"/>
      <c r="X1041" s="7"/>
      <c r="Y1041" s="7"/>
      <c r="Z1041" s="7"/>
      <c r="AA1041" s="34"/>
      <c r="AB1041" s="7"/>
      <c r="AC1041" s="34"/>
      <c r="AD1041" s="10"/>
      <c r="AE1041"/>
      <c r="AF1041"/>
    </row>
    <row r="1042" spans="1:32" x14ac:dyDescent="0.25">
      <c r="A1042" s="16"/>
      <c r="C1042" s="70"/>
      <c r="D1042" s="70"/>
      <c r="E1042" s="73"/>
      <c r="F1042" s="9"/>
      <c r="H1042" s="9"/>
      <c r="I1042" s="10"/>
      <c r="J1042" s="7"/>
      <c r="K1042" s="7"/>
      <c r="L1042" s="10"/>
      <c r="M1042" s="10"/>
      <c r="N1042" s="10"/>
      <c r="O1042" s="10"/>
      <c r="P1042" s="10"/>
      <c r="Q1042" s="10"/>
      <c r="R1042" s="10"/>
      <c r="S1042" s="10"/>
      <c r="T1042" s="14"/>
      <c r="U1042" s="10"/>
      <c r="V1042" s="10"/>
      <c r="W1042" s="10"/>
      <c r="X1042" s="7"/>
      <c r="Y1042" s="7"/>
      <c r="Z1042" s="7"/>
      <c r="AA1042" s="34"/>
      <c r="AB1042" s="7"/>
      <c r="AC1042" s="34"/>
      <c r="AD1042" s="10"/>
      <c r="AE1042"/>
      <c r="AF1042"/>
    </row>
    <row r="1043" spans="1:32" x14ac:dyDescent="0.25">
      <c r="A1043" s="16"/>
      <c r="C1043" s="70"/>
      <c r="D1043" s="70"/>
      <c r="E1043" s="73"/>
      <c r="F1043" s="9"/>
      <c r="H1043" s="9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4"/>
      <c r="U1043" s="10"/>
      <c r="V1043" s="10"/>
      <c r="W1043" s="10"/>
      <c r="X1043" s="7"/>
      <c r="Y1043" s="7"/>
      <c r="Z1043" s="7"/>
      <c r="AA1043" s="34"/>
      <c r="AB1043" s="7"/>
      <c r="AC1043" s="34"/>
      <c r="AD1043" s="10"/>
      <c r="AE1043"/>
      <c r="AF1043"/>
    </row>
    <row r="1044" spans="1:32" x14ac:dyDescent="0.25">
      <c r="A1044" s="16"/>
      <c r="C1044" s="70"/>
      <c r="D1044" s="70"/>
      <c r="E1044" s="73"/>
      <c r="F1044" s="9"/>
      <c r="H1044" s="9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4"/>
      <c r="U1044" s="10"/>
      <c r="V1044" s="10"/>
      <c r="W1044" s="10"/>
      <c r="X1044" s="7"/>
      <c r="Y1044" s="7"/>
      <c r="Z1044" s="7"/>
      <c r="AA1044" s="34"/>
      <c r="AB1044" s="7"/>
      <c r="AC1044" s="34"/>
      <c r="AD1044" s="10"/>
      <c r="AE1044"/>
      <c r="AF1044"/>
    </row>
    <row r="1045" spans="1:32" x14ac:dyDescent="0.25">
      <c r="A1045" s="16"/>
      <c r="C1045" s="70"/>
      <c r="D1045" s="70"/>
      <c r="E1045" s="73"/>
      <c r="F1045" s="9"/>
      <c r="H1045" s="9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4"/>
      <c r="U1045" s="10"/>
      <c r="V1045" s="10"/>
      <c r="W1045" s="10"/>
      <c r="X1045" s="7"/>
      <c r="Y1045" s="7"/>
      <c r="Z1045" s="7"/>
      <c r="AA1045" s="34"/>
      <c r="AB1045" s="7"/>
      <c r="AC1045" s="34"/>
      <c r="AD1045" s="10"/>
      <c r="AE1045"/>
      <c r="AF1045"/>
    </row>
    <row r="1046" spans="1:32" x14ac:dyDescent="0.25">
      <c r="A1046" s="16"/>
      <c r="C1046" s="70"/>
      <c r="D1046" s="70"/>
      <c r="E1046" s="73"/>
      <c r="F1046" s="9"/>
      <c r="H1046" s="9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4"/>
      <c r="U1046" s="10"/>
      <c r="V1046" s="10"/>
      <c r="W1046" s="10"/>
      <c r="X1046" s="7"/>
      <c r="Y1046" s="7"/>
      <c r="Z1046" s="7"/>
      <c r="AA1046" s="34"/>
      <c r="AB1046" s="7"/>
      <c r="AC1046" s="34"/>
      <c r="AD1046" s="10"/>
      <c r="AE1046"/>
      <c r="AF1046"/>
    </row>
    <row r="1047" spans="1:32" x14ac:dyDescent="0.25">
      <c r="A1047" s="16"/>
      <c r="C1047" s="70"/>
      <c r="D1047" s="70"/>
      <c r="E1047" s="73"/>
      <c r="F1047" s="9"/>
      <c r="H1047" s="9"/>
      <c r="I1047" s="10"/>
      <c r="J1047" s="7"/>
      <c r="K1047" s="7"/>
      <c r="L1047" s="10"/>
      <c r="M1047" s="10"/>
      <c r="N1047" s="10"/>
      <c r="O1047" s="10"/>
      <c r="P1047" s="10"/>
      <c r="Q1047" s="10"/>
      <c r="R1047" s="10"/>
      <c r="S1047" s="10"/>
      <c r="T1047" s="14"/>
      <c r="U1047" s="10"/>
      <c r="V1047" s="10"/>
      <c r="W1047" s="10"/>
      <c r="X1047" s="7"/>
      <c r="Y1047" s="7"/>
      <c r="Z1047" s="7"/>
      <c r="AA1047" s="34"/>
      <c r="AB1047" s="7"/>
      <c r="AC1047" s="34"/>
      <c r="AD1047" s="10"/>
      <c r="AE1047"/>
      <c r="AF1047"/>
    </row>
    <row r="1048" spans="1:32" x14ac:dyDescent="0.25">
      <c r="A1048" s="16"/>
      <c r="C1048" s="70"/>
      <c r="D1048" s="70"/>
      <c r="E1048" s="73"/>
      <c r="F1048" s="9"/>
      <c r="H1048" s="9"/>
      <c r="I1048" s="10"/>
      <c r="J1048" s="7"/>
      <c r="K1048" s="7"/>
      <c r="L1048" s="10"/>
      <c r="M1048" s="10"/>
      <c r="N1048" s="10"/>
      <c r="O1048" s="10"/>
      <c r="P1048" s="10"/>
      <c r="Q1048" s="10"/>
      <c r="R1048" s="10"/>
      <c r="S1048" s="10"/>
      <c r="T1048" s="14"/>
      <c r="U1048" s="10"/>
      <c r="V1048" s="10"/>
      <c r="W1048" s="10"/>
      <c r="X1048" s="7"/>
      <c r="Y1048" s="7"/>
      <c r="Z1048" s="7"/>
      <c r="AA1048" s="34"/>
      <c r="AB1048" s="7"/>
      <c r="AC1048" s="34"/>
      <c r="AD1048" s="10"/>
      <c r="AE1048"/>
      <c r="AF1048"/>
    </row>
    <row r="1049" spans="1:32" x14ac:dyDescent="0.25">
      <c r="A1049" s="16"/>
      <c r="C1049" s="70"/>
      <c r="D1049" s="70"/>
      <c r="E1049" s="73"/>
      <c r="F1049" s="9"/>
      <c r="H1049" s="9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4"/>
      <c r="U1049" s="10"/>
      <c r="V1049" s="10"/>
      <c r="W1049" s="10"/>
      <c r="X1049" s="7"/>
      <c r="Y1049" s="7"/>
      <c r="Z1049" s="7"/>
      <c r="AA1049" s="34"/>
      <c r="AB1049" s="7"/>
      <c r="AC1049" s="34"/>
      <c r="AD1049" s="10"/>
      <c r="AE1049"/>
      <c r="AF1049"/>
    </row>
    <row r="1050" spans="1:32" x14ac:dyDescent="0.25">
      <c r="A1050" s="16"/>
      <c r="C1050" s="70"/>
      <c r="D1050" s="70"/>
      <c r="E1050" s="73"/>
      <c r="F1050" s="9"/>
      <c r="H1050" s="9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4"/>
      <c r="U1050" s="10"/>
      <c r="V1050" s="10"/>
      <c r="W1050" s="10"/>
      <c r="X1050" s="7"/>
      <c r="Y1050" s="7"/>
      <c r="Z1050" s="7"/>
      <c r="AA1050" s="34"/>
      <c r="AB1050" s="7"/>
      <c r="AC1050" s="34"/>
      <c r="AD1050" s="10"/>
      <c r="AE1050"/>
      <c r="AF1050"/>
    </row>
    <row r="1051" spans="1:32" x14ac:dyDescent="0.25">
      <c r="A1051" s="16"/>
      <c r="C1051" s="70"/>
      <c r="D1051" s="70"/>
      <c r="E1051" s="73"/>
      <c r="F1051" s="9"/>
      <c r="H1051" s="9"/>
      <c r="I1051" s="10"/>
      <c r="J1051" s="7"/>
      <c r="K1051" s="7"/>
      <c r="L1051" s="10"/>
      <c r="M1051" s="10"/>
      <c r="N1051" s="10"/>
      <c r="O1051" s="10"/>
      <c r="P1051" s="10"/>
      <c r="Q1051" s="10"/>
      <c r="R1051" s="10"/>
      <c r="S1051" s="10"/>
      <c r="T1051" s="14"/>
      <c r="U1051" s="10"/>
      <c r="V1051" s="10"/>
      <c r="W1051" s="10"/>
      <c r="X1051" s="7"/>
      <c r="Y1051" s="7"/>
      <c r="Z1051" s="7"/>
      <c r="AA1051" s="34"/>
      <c r="AB1051" s="7"/>
      <c r="AC1051" s="34"/>
      <c r="AD1051" s="10"/>
      <c r="AE1051"/>
      <c r="AF1051"/>
    </row>
    <row r="1052" spans="1:32" x14ac:dyDescent="0.25">
      <c r="A1052" s="16"/>
      <c r="C1052" s="70"/>
      <c r="D1052" s="70"/>
      <c r="E1052" s="73"/>
      <c r="F1052" s="9"/>
      <c r="H1052" s="9"/>
      <c r="I1052" s="10"/>
      <c r="J1052" s="7"/>
      <c r="K1052" s="7"/>
      <c r="L1052" s="10"/>
      <c r="M1052" s="10"/>
      <c r="N1052" s="10"/>
      <c r="O1052" s="10"/>
      <c r="P1052" s="10"/>
      <c r="Q1052" s="10"/>
      <c r="R1052" s="10"/>
      <c r="S1052" s="10"/>
      <c r="T1052" s="14"/>
      <c r="U1052" s="10"/>
      <c r="V1052" s="10"/>
      <c r="W1052" s="10"/>
      <c r="X1052" s="7"/>
      <c r="Y1052" s="7"/>
      <c r="Z1052" s="7"/>
      <c r="AA1052" s="34"/>
      <c r="AB1052" s="7"/>
      <c r="AC1052" s="34"/>
      <c r="AD1052" s="10"/>
      <c r="AE1052"/>
      <c r="AF1052"/>
    </row>
    <row r="1053" spans="1:32" x14ac:dyDescent="0.25">
      <c r="A1053" s="16"/>
      <c r="C1053" s="70"/>
      <c r="D1053" s="70"/>
      <c r="E1053" s="73"/>
      <c r="F1053" s="9"/>
      <c r="H1053" s="9"/>
      <c r="I1053" s="10"/>
      <c r="J1053" s="10"/>
      <c r="K1053" s="10"/>
      <c r="L1053" s="10"/>
      <c r="M1053" s="34"/>
      <c r="N1053" s="10"/>
      <c r="O1053" s="10"/>
      <c r="P1053" s="10"/>
      <c r="Q1053" s="10"/>
      <c r="R1053" s="10"/>
      <c r="S1053" s="10"/>
      <c r="T1053" s="14"/>
      <c r="U1053" s="10"/>
      <c r="V1053" s="10"/>
      <c r="W1053" s="10"/>
      <c r="X1053" s="7"/>
      <c r="Y1053" s="7"/>
      <c r="Z1053" s="7"/>
      <c r="AA1053" s="34"/>
      <c r="AB1053" s="7"/>
      <c r="AC1053" s="34"/>
      <c r="AD1053" s="10"/>
      <c r="AE1053"/>
      <c r="AF1053"/>
    </row>
    <row r="1054" spans="1:32" x14ac:dyDescent="0.25">
      <c r="A1054" s="16"/>
      <c r="C1054" s="70"/>
      <c r="D1054" s="70"/>
      <c r="E1054" s="73"/>
      <c r="F1054" s="9"/>
      <c r="H1054" s="9"/>
      <c r="I1054" s="10"/>
      <c r="J1054" s="7"/>
      <c r="K1054" s="7"/>
      <c r="L1054" s="10"/>
      <c r="M1054" s="10"/>
      <c r="N1054" s="10"/>
      <c r="O1054" s="10"/>
      <c r="P1054" s="10"/>
      <c r="Q1054" s="10"/>
      <c r="R1054" s="10"/>
      <c r="S1054" s="10"/>
      <c r="T1054" s="14"/>
      <c r="U1054" s="10"/>
      <c r="V1054" s="10"/>
      <c r="W1054" s="10"/>
      <c r="X1054" s="7"/>
      <c r="Y1054" s="7"/>
      <c r="Z1054" s="7"/>
      <c r="AA1054" s="34"/>
      <c r="AB1054" s="7"/>
      <c r="AC1054" s="34"/>
      <c r="AD1054" s="10"/>
      <c r="AE1054"/>
      <c r="AF1054"/>
    </row>
    <row r="1055" spans="1:32" x14ac:dyDescent="0.25">
      <c r="A1055" s="16"/>
      <c r="C1055" s="70"/>
      <c r="D1055" s="70"/>
      <c r="E1055" s="73"/>
      <c r="F1055" s="9"/>
      <c r="H1055" s="9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4"/>
      <c r="U1055" s="10"/>
      <c r="V1055" s="10"/>
      <c r="W1055" s="10"/>
      <c r="X1055" s="7"/>
      <c r="Y1055" s="7"/>
      <c r="Z1055" s="34"/>
      <c r="AA1055" s="34"/>
      <c r="AB1055" s="7"/>
      <c r="AC1055" s="34"/>
      <c r="AD1055" s="10"/>
      <c r="AE1055"/>
      <c r="AF1055"/>
    </row>
    <row r="1056" spans="1:32" x14ac:dyDescent="0.25">
      <c r="A1056" s="16"/>
      <c r="C1056" s="70"/>
      <c r="D1056" s="70"/>
      <c r="E1056" s="73"/>
      <c r="F1056" s="9"/>
      <c r="H1056" s="9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34"/>
      <c r="T1056" s="14"/>
      <c r="U1056" s="10"/>
      <c r="V1056" s="10"/>
      <c r="W1056" s="10"/>
      <c r="X1056" s="7"/>
      <c r="Y1056" s="7"/>
      <c r="Z1056" s="7"/>
      <c r="AA1056" s="34"/>
      <c r="AB1056" s="7"/>
      <c r="AC1056" s="34"/>
      <c r="AD1056" s="10"/>
      <c r="AE1056"/>
      <c r="AF1056"/>
    </row>
    <row r="1057" spans="1:32" x14ac:dyDescent="0.25">
      <c r="A1057" s="16"/>
      <c r="C1057" s="70"/>
      <c r="D1057" s="70"/>
      <c r="E1057" s="73"/>
      <c r="F1057" s="9"/>
      <c r="H1057" s="9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4"/>
      <c r="U1057" s="10"/>
      <c r="V1057" s="10"/>
      <c r="W1057" s="10"/>
      <c r="X1057" s="7"/>
      <c r="Y1057" s="7"/>
      <c r="Z1057" s="7"/>
      <c r="AA1057" s="34"/>
      <c r="AB1057" s="7"/>
      <c r="AC1057" s="34"/>
      <c r="AD1057" s="10"/>
      <c r="AE1057"/>
      <c r="AF1057"/>
    </row>
    <row r="1058" spans="1:32" x14ac:dyDescent="0.25">
      <c r="A1058" s="16"/>
      <c r="C1058" s="70"/>
      <c r="D1058" s="70"/>
      <c r="E1058" s="73"/>
      <c r="F1058" s="9"/>
      <c r="H1058" s="9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4"/>
      <c r="U1058" s="10"/>
      <c r="V1058" s="10"/>
      <c r="W1058" s="10"/>
      <c r="X1058" s="7"/>
      <c r="Y1058" s="7"/>
      <c r="Z1058" s="7"/>
      <c r="AA1058" s="34"/>
      <c r="AB1058" s="7"/>
      <c r="AC1058" s="34"/>
      <c r="AD1058" s="10"/>
      <c r="AE1058"/>
      <c r="AF1058"/>
    </row>
    <row r="1059" spans="1:32" x14ac:dyDescent="0.25">
      <c r="A1059" s="16"/>
      <c r="C1059" s="70"/>
      <c r="D1059" s="70"/>
      <c r="E1059" s="73"/>
      <c r="F1059" s="9"/>
      <c r="H1059" s="9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4"/>
      <c r="U1059" s="10"/>
      <c r="V1059" s="10"/>
      <c r="W1059" s="10"/>
      <c r="X1059" s="7"/>
      <c r="Y1059" s="7"/>
      <c r="Z1059" s="7"/>
      <c r="AA1059" s="34"/>
      <c r="AB1059" s="7"/>
      <c r="AC1059" s="34"/>
      <c r="AD1059" s="10"/>
      <c r="AE1059"/>
      <c r="AF1059"/>
    </row>
    <row r="1060" spans="1:32" x14ac:dyDescent="0.25">
      <c r="A1060" s="16"/>
      <c r="C1060" s="70"/>
      <c r="D1060" s="70"/>
      <c r="E1060" s="73"/>
      <c r="F1060" s="9"/>
      <c r="H1060" s="9"/>
      <c r="I1060" s="10"/>
      <c r="J1060" s="7"/>
      <c r="K1060" s="7"/>
      <c r="L1060" s="10"/>
      <c r="M1060" s="10"/>
      <c r="N1060" s="10"/>
      <c r="O1060" s="10"/>
      <c r="P1060" s="10"/>
      <c r="Q1060" s="10"/>
      <c r="R1060" s="10"/>
      <c r="S1060" s="10"/>
      <c r="T1060" s="14"/>
      <c r="U1060" s="10"/>
      <c r="V1060" s="10"/>
      <c r="W1060" s="10"/>
      <c r="X1060" s="7"/>
      <c r="Y1060" s="7"/>
      <c r="Z1060" s="7"/>
      <c r="AA1060" s="34"/>
      <c r="AB1060" s="7"/>
      <c r="AC1060" s="34"/>
      <c r="AD1060" s="10"/>
      <c r="AE1060"/>
      <c r="AF1060"/>
    </row>
    <row r="1061" spans="1:32" x14ac:dyDescent="0.25">
      <c r="A1061" s="16"/>
      <c r="C1061" s="70"/>
      <c r="D1061" s="70"/>
      <c r="E1061" s="73"/>
      <c r="F1061" s="9"/>
      <c r="H1061" s="9"/>
      <c r="I1061" s="10"/>
      <c r="J1061" s="7"/>
      <c r="K1061" s="7"/>
      <c r="L1061" s="10"/>
      <c r="M1061" s="10"/>
      <c r="N1061" s="10"/>
      <c r="O1061" s="10"/>
      <c r="P1061" s="10"/>
      <c r="Q1061" s="10"/>
      <c r="R1061" s="10"/>
      <c r="S1061" s="10"/>
      <c r="T1061" s="14"/>
      <c r="U1061" s="10"/>
      <c r="V1061" s="10"/>
      <c r="W1061" s="10"/>
      <c r="X1061" s="7"/>
      <c r="Y1061" s="7"/>
      <c r="Z1061" s="7"/>
      <c r="AA1061" s="34"/>
      <c r="AB1061" s="7"/>
      <c r="AC1061" s="34"/>
      <c r="AD1061" s="10"/>
      <c r="AE1061"/>
      <c r="AF1061"/>
    </row>
    <row r="1062" spans="1:32" x14ac:dyDescent="0.25">
      <c r="A1062" s="16"/>
      <c r="C1062" s="70"/>
      <c r="D1062" s="70"/>
      <c r="E1062" s="73"/>
      <c r="F1062" s="9"/>
      <c r="H1062" s="9"/>
      <c r="I1062" s="10"/>
      <c r="J1062" s="7"/>
      <c r="K1062" s="7"/>
      <c r="L1062" s="10"/>
      <c r="M1062" s="10"/>
      <c r="N1062" s="10"/>
      <c r="O1062" s="10"/>
      <c r="P1062" s="10"/>
      <c r="Q1062" s="10"/>
      <c r="R1062" s="10"/>
      <c r="S1062" s="10"/>
      <c r="T1062" s="14"/>
      <c r="U1062" s="10"/>
      <c r="V1062" s="10"/>
      <c r="W1062" s="10"/>
      <c r="X1062" s="7"/>
      <c r="Y1062" s="7"/>
      <c r="Z1062" s="7"/>
      <c r="AA1062" s="34"/>
      <c r="AB1062" s="7"/>
      <c r="AC1062" s="34"/>
      <c r="AD1062" s="10"/>
      <c r="AE1062"/>
      <c r="AF1062"/>
    </row>
    <row r="1063" spans="1:32" x14ac:dyDescent="0.25">
      <c r="A1063" s="16"/>
      <c r="C1063" s="70"/>
      <c r="D1063" s="70"/>
      <c r="E1063" s="73"/>
      <c r="F1063" s="9"/>
      <c r="H1063" s="9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4"/>
      <c r="U1063" s="10"/>
      <c r="V1063" s="10"/>
      <c r="W1063" s="10"/>
      <c r="X1063" s="7"/>
      <c r="Y1063" s="7"/>
      <c r="Z1063" s="7"/>
      <c r="AA1063" s="34"/>
      <c r="AB1063" s="7"/>
      <c r="AC1063" s="34"/>
      <c r="AD1063" s="10"/>
      <c r="AE1063"/>
      <c r="AF1063"/>
    </row>
    <row r="1064" spans="1:32" x14ac:dyDescent="0.25">
      <c r="A1064" s="16"/>
      <c r="C1064" s="70"/>
      <c r="D1064" s="70"/>
      <c r="E1064" s="79"/>
      <c r="F1064" s="45"/>
      <c r="H1064" s="45"/>
      <c r="I1064" s="10"/>
      <c r="J1064" s="7"/>
      <c r="K1064" s="7"/>
      <c r="L1064" s="10"/>
      <c r="M1064" s="10"/>
      <c r="N1064" s="10"/>
      <c r="O1064" s="10"/>
      <c r="P1064" s="10"/>
      <c r="Q1064" s="10"/>
      <c r="R1064" s="10"/>
      <c r="S1064" s="10"/>
      <c r="T1064" s="14"/>
      <c r="U1064" s="10"/>
      <c r="V1064" s="10"/>
      <c r="W1064" s="10"/>
      <c r="X1064" s="7"/>
      <c r="Y1064" s="7"/>
      <c r="Z1064" s="7"/>
      <c r="AA1064" s="34"/>
      <c r="AB1064" s="7"/>
      <c r="AC1064" s="34"/>
      <c r="AD1064" s="10"/>
      <c r="AE1064"/>
      <c r="AF1064"/>
    </row>
    <row r="1065" spans="1:32" x14ac:dyDescent="0.25">
      <c r="A1065" s="16"/>
      <c r="C1065" s="70"/>
      <c r="D1065" s="70"/>
      <c r="E1065" s="73"/>
      <c r="F1065" s="9"/>
      <c r="H1065" s="9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4"/>
      <c r="U1065" s="10"/>
      <c r="V1065" s="10"/>
      <c r="W1065" s="10"/>
      <c r="X1065" s="7"/>
      <c r="Y1065" s="7"/>
      <c r="Z1065" s="7"/>
      <c r="AA1065" s="34"/>
      <c r="AB1065" s="7"/>
      <c r="AC1065" s="34"/>
      <c r="AD1065" s="10"/>
      <c r="AE1065"/>
      <c r="AF1065"/>
    </row>
    <row r="1066" spans="1:32" x14ac:dyDescent="0.25">
      <c r="A1066" s="16"/>
      <c r="C1066" s="70"/>
      <c r="D1066" s="70"/>
      <c r="E1066" s="73"/>
      <c r="F1066" s="9"/>
      <c r="H1066" s="9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4"/>
      <c r="U1066" s="10"/>
      <c r="V1066" s="10"/>
      <c r="W1066" s="10"/>
      <c r="X1066" s="7"/>
      <c r="Y1066" s="7"/>
      <c r="Z1066" s="7"/>
      <c r="AA1066" s="34"/>
      <c r="AB1066" s="7"/>
      <c r="AC1066" s="34"/>
      <c r="AD1066" s="10"/>
      <c r="AE1066"/>
      <c r="AF1066"/>
    </row>
    <row r="1067" spans="1:32" x14ac:dyDescent="0.25">
      <c r="A1067" s="16"/>
      <c r="C1067" s="70"/>
      <c r="D1067" s="70"/>
      <c r="E1067" s="73"/>
      <c r="F1067" s="9"/>
      <c r="H1067" s="9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4"/>
      <c r="U1067" s="10"/>
      <c r="V1067" s="10"/>
      <c r="W1067" s="10"/>
      <c r="X1067" s="7"/>
      <c r="Y1067" s="7"/>
      <c r="Z1067" s="7"/>
      <c r="AA1067" s="34"/>
      <c r="AB1067" s="7"/>
      <c r="AC1067" s="34"/>
      <c r="AD1067" s="10"/>
      <c r="AE1067"/>
      <c r="AF1067"/>
    </row>
    <row r="1068" spans="1:32" x14ac:dyDescent="0.25">
      <c r="A1068" s="43"/>
      <c r="C1068" s="70"/>
      <c r="D1068" s="70"/>
      <c r="E1068" s="73"/>
      <c r="F1068" s="9"/>
      <c r="H1068" s="9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4"/>
      <c r="U1068" s="10"/>
      <c r="V1068" s="10"/>
      <c r="W1068" s="10"/>
      <c r="X1068" s="7"/>
      <c r="Y1068" s="7"/>
      <c r="Z1068" s="7"/>
      <c r="AA1068" s="34"/>
      <c r="AB1068" s="7"/>
      <c r="AC1068" s="34"/>
      <c r="AD1068" s="10"/>
      <c r="AE1068"/>
      <c r="AF1068"/>
    </row>
    <row r="1069" spans="1:32" x14ac:dyDescent="0.25">
      <c r="A1069" s="16"/>
      <c r="C1069" s="70"/>
      <c r="D1069" s="70"/>
      <c r="E1069" s="73"/>
      <c r="F1069" s="45"/>
      <c r="G1069" s="49"/>
      <c r="H1069" s="9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4"/>
      <c r="U1069" s="10"/>
      <c r="V1069" s="10"/>
      <c r="W1069" s="10"/>
      <c r="X1069" s="7"/>
      <c r="Y1069" s="7"/>
      <c r="Z1069" s="7"/>
      <c r="AA1069" s="34"/>
      <c r="AB1069" s="7"/>
      <c r="AC1069" s="34"/>
      <c r="AD1069" s="10"/>
      <c r="AE1069"/>
      <c r="AF1069"/>
    </row>
    <row r="1070" spans="1:32" x14ac:dyDescent="0.25">
      <c r="A1070" s="16"/>
      <c r="C1070" s="70"/>
      <c r="D1070" s="70"/>
      <c r="E1070" s="73"/>
      <c r="F1070" s="9"/>
      <c r="H1070" s="9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4"/>
      <c r="U1070" s="10"/>
      <c r="V1070" s="10"/>
      <c r="W1070" s="10"/>
      <c r="X1070" s="7"/>
      <c r="Y1070" s="7"/>
      <c r="Z1070" s="7"/>
      <c r="AA1070" s="34"/>
      <c r="AB1070" s="7"/>
      <c r="AC1070" s="34"/>
      <c r="AD1070" s="10"/>
      <c r="AE1070"/>
      <c r="AF1070"/>
    </row>
    <row r="1071" spans="1:32" x14ac:dyDescent="0.25">
      <c r="A1071" s="16"/>
      <c r="C1071" s="70"/>
      <c r="D1071" s="70"/>
      <c r="E1071" s="73"/>
      <c r="F1071" s="9"/>
      <c r="H1071" s="9"/>
      <c r="I1071" s="10"/>
      <c r="J1071" s="7"/>
      <c r="K1071" s="7"/>
      <c r="L1071" s="34"/>
      <c r="M1071" s="34"/>
      <c r="N1071" s="10"/>
      <c r="O1071" s="10"/>
      <c r="P1071" s="10"/>
      <c r="Q1071" s="10"/>
      <c r="R1071" s="10"/>
      <c r="S1071" s="10"/>
      <c r="T1071" s="14"/>
      <c r="U1071" s="10"/>
      <c r="V1071" s="10"/>
      <c r="W1071" s="10"/>
      <c r="X1071" s="7"/>
      <c r="Y1071" s="7"/>
      <c r="Z1071" s="7"/>
      <c r="AA1071" s="34"/>
      <c r="AB1071" s="7"/>
      <c r="AC1071" s="34"/>
      <c r="AD1071" s="10"/>
      <c r="AE1071"/>
      <c r="AF1071"/>
    </row>
    <row r="1072" spans="1:32" x14ac:dyDescent="0.25">
      <c r="A1072" s="16"/>
      <c r="C1072" s="70"/>
      <c r="D1072" s="70"/>
      <c r="E1072" s="73"/>
      <c r="F1072" s="45"/>
      <c r="H1072" s="9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4"/>
      <c r="U1072" s="10"/>
      <c r="V1072" s="10"/>
      <c r="W1072" s="10"/>
      <c r="X1072" s="7"/>
      <c r="Y1072" s="34"/>
      <c r="Z1072" s="7"/>
      <c r="AA1072" s="34"/>
      <c r="AB1072" s="7"/>
      <c r="AC1072" s="34"/>
      <c r="AD1072" s="10"/>
      <c r="AE1072"/>
      <c r="AF1072"/>
    </row>
    <row r="1073" spans="1:32" x14ac:dyDescent="0.25">
      <c r="A1073" s="16"/>
      <c r="C1073" s="70"/>
      <c r="D1073" s="70"/>
      <c r="E1073" s="73"/>
      <c r="F1073" s="9"/>
      <c r="H1073" s="9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4"/>
      <c r="U1073" s="10"/>
      <c r="V1073" s="10"/>
      <c r="W1073" s="10"/>
      <c r="X1073" s="7"/>
      <c r="Y1073" s="7"/>
      <c r="Z1073" s="7"/>
      <c r="AA1073" s="34"/>
      <c r="AB1073" s="7"/>
      <c r="AC1073" s="34"/>
      <c r="AD1073" s="10"/>
      <c r="AE1073"/>
      <c r="AF1073"/>
    </row>
    <row r="1074" spans="1:32" x14ac:dyDescent="0.25">
      <c r="A1074" s="16"/>
      <c r="C1074" s="70"/>
      <c r="D1074" s="70"/>
      <c r="E1074" s="73"/>
      <c r="F1074" s="9"/>
      <c r="H1074" s="9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4"/>
      <c r="U1074" s="10"/>
      <c r="V1074" s="10"/>
      <c r="W1074" s="10"/>
      <c r="X1074" s="7"/>
      <c r="Y1074" s="7"/>
      <c r="Z1074" s="7"/>
      <c r="AA1074" s="34"/>
      <c r="AB1074" s="7"/>
      <c r="AC1074" s="34"/>
      <c r="AD1074" s="10"/>
      <c r="AE1074"/>
      <c r="AF1074"/>
    </row>
    <row r="1075" spans="1:32" x14ac:dyDescent="0.25">
      <c r="A1075" s="16"/>
      <c r="C1075" s="70"/>
      <c r="D1075" s="70"/>
      <c r="E1075" s="73"/>
      <c r="F1075" s="9"/>
      <c r="H1075" s="9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4"/>
      <c r="U1075" s="10"/>
      <c r="V1075" s="10"/>
      <c r="W1075" s="10"/>
      <c r="X1075" s="7"/>
      <c r="Y1075" s="7"/>
      <c r="Z1075" s="7"/>
      <c r="AA1075" s="34"/>
      <c r="AB1075" s="7"/>
      <c r="AC1075" s="34"/>
      <c r="AD1075" s="10"/>
      <c r="AE1075"/>
      <c r="AF1075"/>
    </row>
    <row r="1076" spans="1:32" x14ac:dyDescent="0.25">
      <c r="A1076" s="16"/>
      <c r="C1076" s="70"/>
      <c r="D1076" s="70"/>
      <c r="E1076" s="73"/>
      <c r="F1076" s="9"/>
      <c r="H1076" s="9"/>
      <c r="I1076" s="10"/>
      <c r="J1076" s="7"/>
      <c r="K1076" s="7"/>
      <c r="L1076" s="10"/>
      <c r="M1076" s="10"/>
      <c r="N1076" s="10"/>
      <c r="O1076" s="10"/>
      <c r="P1076" s="10"/>
      <c r="Q1076" s="10"/>
      <c r="R1076" s="10"/>
      <c r="S1076" s="10"/>
      <c r="T1076" s="14"/>
      <c r="U1076" s="10"/>
      <c r="V1076" s="10"/>
      <c r="W1076" s="10"/>
      <c r="X1076" s="7"/>
      <c r="Y1076" s="7"/>
      <c r="Z1076" s="7"/>
      <c r="AA1076" s="34"/>
      <c r="AB1076" s="7"/>
      <c r="AC1076" s="34"/>
      <c r="AD1076" s="10"/>
      <c r="AE1076"/>
      <c r="AF1076"/>
    </row>
    <row r="1077" spans="1:32" x14ac:dyDescent="0.25">
      <c r="A1077" s="16"/>
      <c r="C1077" s="70"/>
      <c r="D1077" s="70"/>
      <c r="E1077" s="73"/>
      <c r="F1077" s="9"/>
      <c r="H1077" s="9"/>
      <c r="I1077" s="10"/>
      <c r="J1077" s="7"/>
      <c r="K1077" s="7"/>
      <c r="L1077" s="10"/>
      <c r="M1077" s="10"/>
      <c r="N1077" s="10"/>
      <c r="O1077" s="10"/>
      <c r="P1077" s="10"/>
      <c r="Q1077" s="10"/>
      <c r="R1077" s="10"/>
      <c r="S1077" s="10"/>
      <c r="T1077" s="14"/>
      <c r="U1077" s="10"/>
      <c r="V1077" s="10"/>
      <c r="W1077" s="10"/>
      <c r="X1077" s="7"/>
      <c r="Y1077" s="7"/>
      <c r="Z1077" s="7"/>
      <c r="AA1077" s="34"/>
      <c r="AB1077" s="7"/>
      <c r="AC1077" s="34"/>
      <c r="AD1077" s="10"/>
      <c r="AE1077"/>
      <c r="AF1077"/>
    </row>
    <row r="1078" spans="1:32" x14ac:dyDescent="0.25">
      <c r="A1078" s="16"/>
      <c r="C1078" s="70"/>
      <c r="D1078" s="70"/>
      <c r="E1078" s="73"/>
      <c r="F1078" s="9"/>
      <c r="H1078" s="9"/>
      <c r="I1078" s="10"/>
      <c r="J1078" s="7"/>
      <c r="K1078" s="7"/>
      <c r="L1078" s="10"/>
      <c r="M1078" s="10"/>
      <c r="N1078" s="10"/>
      <c r="O1078" s="10"/>
      <c r="P1078" s="10"/>
      <c r="Q1078" s="10"/>
      <c r="R1078" s="10"/>
      <c r="S1078" s="10"/>
      <c r="T1078" s="14"/>
      <c r="U1078" s="10"/>
      <c r="V1078" s="10"/>
      <c r="W1078" s="10"/>
      <c r="X1078" s="7"/>
      <c r="Y1078" s="7"/>
      <c r="Z1078" s="7"/>
      <c r="AA1078" s="34"/>
      <c r="AB1078" s="7"/>
      <c r="AC1078" s="34"/>
      <c r="AD1078" s="10"/>
      <c r="AE1078"/>
      <c r="AF1078"/>
    </row>
    <row r="1079" spans="1:32" x14ac:dyDescent="0.25">
      <c r="A1079" s="16"/>
      <c r="C1079" s="70"/>
      <c r="D1079" s="70"/>
      <c r="E1079" s="73"/>
      <c r="F1079" s="9"/>
      <c r="H1079" s="9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4"/>
      <c r="U1079" s="10"/>
      <c r="V1079" s="10"/>
      <c r="W1079" s="10"/>
      <c r="X1079" s="7"/>
      <c r="Y1079" s="7"/>
      <c r="Z1079" s="34"/>
      <c r="AA1079" s="34"/>
      <c r="AB1079" s="7"/>
      <c r="AC1079" s="34"/>
      <c r="AD1079" s="10"/>
      <c r="AE1079"/>
      <c r="AF1079"/>
    </row>
    <row r="1080" spans="1:32" x14ac:dyDescent="0.25">
      <c r="A1080" s="16"/>
      <c r="C1080" s="70"/>
      <c r="D1080" s="70"/>
      <c r="E1080" s="73"/>
      <c r="F1080" s="9"/>
      <c r="H1080" s="9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4"/>
      <c r="U1080" s="10"/>
      <c r="V1080" s="10"/>
      <c r="W1080" s="10"/>
      <c r="X1080" s="7"/>
      <c r="Y1080" s="7"/>
      <c r="Z1080" s="7"/>
      <c r="AA1080" s="34"/>
      <c r="AB1080" s="7"/>
      <c r="AC1080" s="34"/>
      <c r="AD1080" s="10"/>
      <c r="AE1080"/>
      <c r="AF1080"/>
    </row>
    <row r="1081" spans="1:32" x14ac:dyDescent="0.25">
      <c r="A1081" s="16"/>
      <c r="C1081" s="70"/>
      <c r="D1081" s="70"/>
      <c r="E1081" s="73"/>
      <c r="F1081" s="9"/>
      <c r="H1081" s="9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4"/>
      <c r="U1081" s="10"/>
      <c r="V1081" s="10"/>
      <c r="W1081" s="10"/>
      <c r="X1081" s="7"/>
      <c r="Y1081" s="7"/>
      <c r="Z1081" s="7"/>
      <c r="AA1081" s="34"/>
      <c r="AB1081" s="7"/>
      <c r="AC1081" s="34"/>
      <c r="AD1081" s="10"/>
      <c r="AE1081"/>
      <c r="AF1081"/>
    </row>
    <row r="1082" spans="1:32" x14ac:dyDescent="0.25">
      <c r="A1082" s="16"/>
      <c r="C1082" s="70"/>
      <c r="D1082" s="70"/>
      <c r="E1082" s="73"/>
      <c r="F1082" s="9"/>
      <c r="H1082" s="9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4"/>
      <c r="U1082" s="10"/>
      <c r="V1082" s="10"/>
      <c r="W1082" s="10"/>
      <c r="X1082" s="7"/>
      <c r="Y1082" s="7"/>
      <c r="Z1082" s="7"/>
      <c r="AA1082" s="34"/>
      <c r="AB1082" s="7"/>
      <c r="AC1082" s="34"/>
      <c r="AD1082" s="10"/>
      <c r="AE1082"/>
      <c r="AF1082"/>
    </row>
    <row r="1083" spans="1:32" x14ac:dyDescent="0.25">
      <c r="A1083" s="16"/>
      <c r="C1083" s="70"/>
      <c r="D1083" s="70"/>
      <c r="E1083" s="73"/>
      <c r="F1083" s="9"/>
      <c r="H1083" s="9"/>
      <c r="I1083" s="10"/>
      <c r="J1083" s="7"/>
      <c r="K1083" s="7"/>
      <c r="L1083" s="10"/>
      <c r="M1083" s="10"/>
      <c r="N1083" s="10"/>
      <c r="O1083" s="10"/>
      <c r="P1083" s="10"/>
      <c r="Q1083" s="10"/>
      <c r="R1083" s="10"/>
      <c r="S1083" s="10"/>
      <c r="T1083" s="14"/>
      <c r="U1083" s="10"/>
      <c r="V1083" s="10"/>
      <c r="W1083" s="10"/>
      <c r="X1083" s="7"/>
      <c r="Y1083" s="7"/>
      <c r="Z1083" s="7"/>
      <c r="AA1083" s="34"/>
      <c r="AB1083" s="7"/>
      <c r="AC1083" s="34"/>
      <c r="AD1083" s="10"/>
      <c r="AE1083"/>
      <c r="AF1083"/>
    </row>
    <row r="1084" spans="1:32" x14ac:dyDescent="0.25">
      <c r="A1084" s="16"/>
      <c r="C1084" s="70"/>
      <c r="D1084" s="70"/>
      <c r="E1084" s="73"/>
      <c r="F1084" s="9"/>
      <c r="H1084" s="9"/>
      <c r="I1084" s="10"/>
      <c r="J1084" s="7"/>
      <c r="K1084" s="7"/>
      <c r="L1084" s="10"/>
      <c r="M1084" s="10"/>
      <c r="N1084" s="10"/>
      <c r="O1084" s="10"/>
      <c r="P1084" s="10"/>
      <c r="Q1084" s="10"/>
      <c r="R1084" s="10"/>
      <c r="S1084" s="10"/>
      <c r="T1084" s="14"/>
      <c r="U1084" s="10"/>
      <c r="V1084" s="10"/>
      <c r="W1084" s="10"/>
      <c r="X1084" s="7"/>
      <c r="Y1084" s="7"/>
      <c r="Z1084" s="7"/>
      <c r="AA1084" s="34"/>
      <c r="AB1084" s="7"/>
      <c r="AC1084" s="34"/>
      <c r="AD1084" s="10"/>
      <c r="AE1084"/>
      <c r="AF1084"/>
    </row>
    <row r="1085" spans="1:32" x14ac:dyDescent="0.25">
      <c r="A1085" s="16"/>
      <c r="C1085" s="70"/>
      <c r="D1085" s="70"/>
      <c r="E1085" s="73"/>
      <c r="F1085" s="9"/>
      <c r="H1085" s="9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4"/>
      <c r="U1085" s="10"/>
      <c r="V1085" s="10"/>
      <c r="W1085" s="10"/>
      <c r="X1085" s="7"/>
      <c r="Y1085" s="7"/>
      <c r="Z1085" s="7"/>
      <c r="AA1085" s="34"/>
      <c r="AB1085" s="7"/>
      <c r="AC1085" s="34"/>
      <c r="AD1085" s="10"/>
      <c r="AE1085"/>
      <c r="AF1085"/>
    </row>
    <row r="1086" spans="1:32" x14ac:dyDescent="0.25">
      <c r="A1086" s="16"/>
      <c r="C1086" s="70"/>
      <c r="D1086" s="70"/>
      <c r="E1086" s="73"/>
      <c r="F1086" s="9"/>
      <c r="H1086" s="9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4"/>
      <c r="U1086" s="10"/>
      <c r="V1086" s="10"/>
      <c r="W1086" s="10"/>
      <c r="X1086" s="7"/>
      <c r="Y1086" s="7"/>
      <c r="Z1086" s="7"/>
      <c r="AA1086" s="34"/>
      <c r="AB1086" s="7"/>
      <c r="AC1086" s="34"/>
      <c r="AD1086" s="10"/>
      <c r="AE1086"/>
      <c r="AF1086"/>
    </row>
    <row r="1087" spans="1:32" x14ac:dyDescent="0.25">
      <c r="A1087" s="16"/>
      <c r="C1087" s="70"/>
      <c r="D1087" s="70"/>
      <c r="E1087" s="73"/>
      <c r="F1087" s="9"/>
      <c r="H1087" s="9"/>
      <c r="I1087" s="10"/>
      <c r="J1087" s="7"/>
      <c r="K1087" s="7"/>
      <c r="L1087" s="10"/>
      <c r="M1087" s="10"/>
      <c r="N1087" s="10"/>
      <c r="O1087" s="10"/>
      <c r="P1087" s="10"/>
      <c r="Q1087" s="10"/>
      <c r="R1087" s="10"/>
      <c r="S1087" s="10"/>
      <c r="T1087" s="14"/>
      <c r="U1087" s="10"/>
      <c r="V1087" s="10"/>
      <c r="W1087" s="10"/>
      <c r="X1087" s="7"/>
      <c r="Y1087" s="7"/>
      <c r="Z1087" s="7"/>
      <c r="AA1087" s="34"/>
      <c r="AB1087" s="7"/>
      <c r="AC1087" s="34"/>
      <c r="AD1087" s="10"/>
      <c r="AE1087"/>
      <c r="AF1087"/>
    </row>
    <row r="1088" spans="1:32" x14ac:dyDescent="0.25">
      <c r="A1088" s="16"/>
      <c r="C1088" s="70"/>
      <c r="D1088" s="70"/>
      <c r="E1088" s="73"/>
      <c r="F1088" s="9"/>
      <c r="H1088" s="9"/>
      <c r="I1088" s="10"/>
      <c r="J1088" s="7"/>
      <c r="K1088" s="7"/>
      <c r="L1088" s="10"/>
      <c r="M1088" s="10"/>
      <c r="N1088" s="10"/>
      <c r="O1088" s="10"/>
      <c r="P1088" s="10"/>
      <c r="Q1088" s="10"/>
      <c r="R1088" s="10"/>
      <c r="S1088" s="10"/>
      <c r="T1088" s="14"/>
      <c r="U1088" s="10"/>
      <c r="V1088" s="10"/>
      <c r="W1088" s="10"/>
      <c r="X1088" s="7"/>
      <c r="Y1088" s="7"/>
      <c r="Z1088" s="7"/>
      <c r="AA1088" s="34"/>
      <c r="AB1088" s="7"/>
      <c r="AC1088" s="34"/>
      <c r="AD1088" s="10"/>
      <c r="AE1088"/>
      <c r="AF1088"/>
    </row>
    <row r="1089" spans="1:32" x14ac:dyDescent="0.25">
      <c r="A1089" s="16"/>
      <c r="C1089" s="70"/>
      <c r="D1089" s="70"/>
      <c r="E1089" s="73"/>
      <c r="F1089" s="9"/>
      <c r="H1089" s="9"/>
      <c r="I1089" s="10"/>
      <c r="J1089" s="7"/>
      <c r="K1089" s="7"/>
      <c r="L1089" s="10"/>
      <c r="M1089" s="10"/>
      <c r="N1089" s="10"/>
      <c r="O1089" s="10"/>
      <c r="P1089" s="10"/>
      <c r="Q1089" s="10"/>
      <c r="R1089" s="10"/>
      <c r="S1089" s="10"/>
      <c r="T1089" s="14"/>
      <c r="U1089" s="10"/>
      <c r="V1089" s="10"/>
      <c r="W1089" s="10"/>
      <c r="X1089" s="7"/>
      <c r="Y1089" s="7"/>
      <c r="Z1089" s="7"/>
      <c r="AA1089" s="34"/>
      <c r="AB1089" s="7"/>
      <c r="AC1089" s="34"/>
      <c r="AD1089" s="10"/>
      <c r="AE1089"/>
      <c r="AF1089"/>
    </row>
    <row r="1090" spans="1:32" x14ac:dyDescent="0.25">
      <c r="A1090" s="16"/>
      <c r="C1090" s="70"/>
      <c r="D1090" s="70"/>
      <c r="E1090" s="73"/>
      <c r="F1090" s="9"/>
      <c r="H1090" s="9"/>
      <c r="I1090" s="10"/>
      <c r="J1090" s="7"/>
      <c r="K1090" s="7"/>
      <c r="L1090" s="10"/>
      <c r="M1090" s="10"/>
      <c r="N1090" s="10"/>
      <c r="O1090" s="10"/>
      <c r="P1090" s="10"/>
      <c r="Q1090" s="10"/>
      <c r="R1090" s="10"/>
      <c r="S1090" s="10"/>
      <c r="T1090" s="14"/>
      <c r="U1090" s="10"/>
      <c r="V1090" s="10"/>
      <c r="W1090" s="10"/>
      <c r="X1090" s="7"/>
      <c r="Y1090" s="7"/>
      <c r="Z1090" s="7"/>
      <c r="AA1090" s="34"/>
      <c r="AB1090" s="7"/>
      <c r="AC1090" s="34"/>
      <c r="AD1090" s="10"/>
      <c r="AE1090"/>
      <c r="AF1090"/>
    </row>
    <row r="1091" spans="1:32" x14ac:dyDescent="0.25">
      <c r="A1091" s="16"/>
      <c r="C1091" s="70"/>
      <c r="D1091" s="70"/>
      <c r="E1091" s="73"/>
      <c r="F1091" s="9"/>
      <c r="H1091" s="9"/>
      <c r="I1091" s="10"/>
      <c r="J1091" s="7"/>
      <c r="K1091" s="7"/>
      <c r="L1091" s="10"/>
      <c r="M1091" s="10"/>
      <c r="N1091" s="10"/>
      <c r="O1091" s="10"/>
      <c r="P1091" s="10"/>
      <c r="Q1091" s="10"/>
      <c r="R1091" s="10"/>
      <c r="S1091" s="10"/>
      <c r="T1091" s="14"/>
      <c r="U1091" s="10"/>
      <c r="V1091" s="10"/>
      <c r="W1091" s="10"/>
      <c r="X1091" s="7"/>
      <c r="Y1091" s="7"/>
      <c r="Z1091" s="7"/>
      <c r="AA1091" s="34"/>
      <c r="AB1091" s="7"/>
      <c r="AC1091" s="34"/>
      <c r="AD1091" s="10"/>
      <c r="AE1091"/>
      <c r="AF1091"/>
    </row>
    <row r="1092" spans="1:32" x14ac:dyDescent="0.25">
      <c r="A1092" s="16"/>
      <c r="C1092" s="70"/>
      <c r="D1092" s="70"/>
      <c r="E1092" s="73"/>
      <c r="F1092" s="9"/>
      <c r="H1092" s="9"/>
      <c r="I1092" s="10"/>
      <c r="J1092" s="60"/>
      <c r="K1092" s="42"/>
      <c r="L1092" s="10"/>
      <c r="M1092" s="10"/>
      <c r="N1092" s="10"/>
      <c r="O1092" s="10"/>
      <c r="P1092" s="10"/>
      <c r="Q1092" s="10"/>
      <c r="R1092" s="10"/>
      <c r="S1092" s="10"/>
      <c r="T1092" s="14"/>
      <c r="U1092" s="10"/>
      <c r="V1092" s="10"/>
      <c r="W1092" s="10"/>
      <c r="X1092" s="7"/>
      <c r="Y1092" s="7"/>
      <c r="Z1092" s="7"/>
      <c r="AA1092" s="34"/>
      <c r="AB1092" s="7"/>
      <c r="AC1092" s="34"/>
      <c r="AD1092" s="10"/>
      <c r="AE1092"/>
      <c r="AF1092"/>
    </row>
    <row r="1093" spans="1:32" x14ac:dyDescent="0.25">
      <c r="A1093" s="16"/>
      <c r="C1093" s="70"/>
      <c r="D1093" s="70"/>
      <c r="E1093" s="73"/>
      <c r="F1093" s="9"/>
      <c r="H1093" s="9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4"/>
      <c r="U1093" s="10"/>
      <c r="V1093" s="10"/>
      <c r="W1093" s="10"/>
      <c r="X1093" s="7"/>
      <c r="Y1093" s="7"/>
      <c r="Z1093" s="7"/>
      <c r="AA1093" s="34"/>
      <c r="AB1093" s="7"/>
      <c r="AC1093" s="34"/>
      <c r="AD1093" s="10"/>
      <c r="AE1093"/>
      <c r="AF1093"/>
    </row>
    <row r="1094" spans="1:32" x14ac:dyDescent="0.25">
      <c r="A1094" s="16"/>
      <c r="C1094" s="70"/>
      <c r="D1094" s="70"/>
      <c r="E1094" s="73"/>
      <c r="F1094" s="9"/>
      <c r="H1094" s="9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4"/>
      <c r="U1094" s="10"/>
      <c r="V1094" s="10"/>
      <c r="W1094" s="10"/>
      <c r="X1094" s="7"/>
      <c r="Y1094" s="7"/>
      <c r="Z1094" s="7"/>
      <c r="AA1094" s="34"/>
      <c r="AB1094" s="7"/>
      <c r="AC1094" s="34"/>
      <c r="AD1094" s="10"/>
      <c r="AE1094"/>
      <c r="AF1094"/>
    </row>
    <row r="1095" spans="1:32" x14ac:dyDescent="0.25">
      <c r="A1095" s="16"/>
      <c r="C1095" s="70"/>
      <c r="D1095" s="70"/>
      <c r="E1095" s="73"/>
      <c r="F1095" s="9"/>
      <c r="H1095" s="9"/>
      <c r="I1095" s="10"/>
      <c r="J1095" s="7"/>
      <c r="K1095" s="7"/>
      <c r="L1095" s="10"/>
      <c r="M1095" s="10"/>
      <c r="N1095" s="10"/>
      <c r="O1095" s="10"/>
      <c r="P1095" s="10"/>
      <c r="Q1095" s="10"/>
      <c r="R1095" s="10"/>
      <c r="S1095" s="10"/>
      <c r="T1095" s="14"/>
      <c r="U1095" s="10"/>
      <c r="V1095" s="10"/>
      <c r="W1095" s="10"/>
      <c r="X1095" s="7"/>
      <c r="Y1095" s="7"/>
      <c r="Z1095" s="7"/>
      <c r="AA1095" s="34"/>
      <c r="AB1095" s="7"/>
      <c r="AC1095" s="34"/>
      <c r="AD1095" s="10"/>
      <c r="AE1095"/>
      <c r="AF1095"/>
    </row>
    <row r="1096" spans="1:32" x14ac:dyDescent="0.25">
      <c r="A1096" s="16"/>
      <c r="C1096" s="70"/>
      <c r="D1096" s="70"/>
      <c r="E1096" s="73"/>
      <c r="F1096" s="9"/>
      <c r="H1096" s="9"/>
      <c r="I1096" s="10"/>
      <c r="J1096" s="7"/>
      <c r="K1096" s="7"/>
      <c r="L1096" s="10"/>
      <c r="M1096" s="10"/>
      <c r="N1096" s="10"/>
      <c r="O1096" s="10"/>
      <c r="P1096" s="10"/>
      <c r="Q1096" s="10"/>
      <c r="R1096" s="10"/>
      <c r="S1096" s="10"/>
      <c r="T1096" s="14"/>
      <c r="U1096" s="10"/>
      <c r="V1096" s="10"/>
      <c r="W1096" s="10"/>
      <c r="X1096" s="7"/>
      <c r="Y1096" s="7"/>
      <c r="Z1096" s="7"/>
      <c r="AA1096" s="34"/>
      <c r="AB1096" s="7"/>
      <c r="AC1096" s="34"/>
      <c r="AD1096" s="10"/>
      <c r="AE1096"/>
      <c r="AF1096"/>
    </row>
    <row r="1097" spans="1:32" x14ac:dyDescent="0.25">
      <c r="A1097" s="16"/>
      <c r="C1097" s="70"/>
      <c r="D1097" s="70"/>
      <c r="E1097" s="73"/>
      <c r="F1097" s="9"/>
      <c r="H1097" s="9"/>
      <c r="I1097" s="10"/>
      <c r="J1097" s="7"/>
      <c r="K1097" s="7"/>
      <c r="L1097" s="10"/>
      <c r="M1097" s="10"/>
      <c r="N1097" s="10"/>
      <c r="O1097" s="10"/>
      <c r="P1097" s="10"/>
      <c r="Q1097" s="10"/>
      <c r="R1097" s="10"/>
      <c r="S1097" s="10"/>
      <c r="T1097" s="14"/>
      <c r="U1097" s="10"/>
      <c r="V1097" s="10"/>
      <c r="W1097" s="10"/>
      <c r="X1097" s="7"/>
      <c r="Y1097" s="7"/>
      <c r="Z1097" s="7"/>
      <c r="AA1097" s="34"/>
      <c r="AB1097" s="7"/>
      <c r="AC1097" s="34"/>
      <c r="AD1097" s="10"/>
      <c r="AE1097"/>
      <c r="AF1097"/>
    </row>
    <row r="1098" spans="1:32" x14ac:dyDescent="0.25">
      <c r="A1098" s="16"/>
      <c r="C1098" s="70"/>
      <c r="D1098" s="70"/>
      <c r="E1098" s="73"/>
      <c r="F1098" s="9"/>
      <c r="H1098" s="9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4"/>
      <c r="U1098" s="10"/>
      <c r="V1098" s="10"/>
      <c r="W1098" s="10"/>
      <c r="X1098" s="7"/>
      <c r="Y1098" s="7"/>
      <c r="Z1098" s="7"/>
      <c r="AA1098" s="34"/>
      <c r="AB1098" s="7"/>
      <c r="AC1098" s="34"/>
      <c r="AD1098" s="10"/>
      <c r="AE1098"/>
      <c r="AF1098"/>
    </row>
    <row r="1099" spans="1:32" x14ac:dyDescent="0.25">
      <c r="A1099" s="16"/>
      <c r="C1099" s="70"/>
      <c r="D1099" s="70"/>
      <c r="E1099" s="73"/>
      <c r="F1099" s="9"/>
      <c r="H1099" s="9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4"/>
      <c r="U1099" s="10"/>
      <c r="V1099" s="10"/>
      <c r="W1099" s="10"/>
      <c r="X1099" s="7"/>
      <c r="Y1099" s="7"/>
      <c r="Z1099" s="7"/>
      <c r="AA1099" s="34"/>
      <c r="AB1099" s="7"/>
      <c r="AC1099" s="34"/>
      <c r="AD1099" s="10"/>
      <c r="AE1099"/>
      <c r="AF1099"/>
    </row>
    <row r="1100" spans="1:32" x14ac:dyDescent="0.25">
      <c r="A1100" s="16"/>
      <c r="C1100" s="70"/>
      <c r="D1100" s="70"/>
      <c r="E1100" s="73"/>
      <c r="F1100" s="9"/>
      <c r="H1100" s="9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4"/>
      <c r="U1100" s="10"/>
      <c r="V1100" s="10"/>
      <c r="W1100" s="10"/>
      <c r="X1100" s="7"/>
      <c r="Y1100" s="7"/>
      <c r="Z1100" s="7"/>
      <c r="AA1100" s="34"/>
      <c r="AB1100" s="7"/>
      <c r="AC1100" s="34"/>
      <c r="AD1100" s="10"/>
      <c r="AE1100"/>
      <c r="AF1100"/>
    </row>
    <row r="1101" spans="1:32" x14ac:dyDescent="0.25">
      <c r="A1101" s="16"/>
      <c r="C1101" s="70"/>
      <c r="D1101" s="70"/>
      <c r="E1101" s="73"/>
      <c r="F1101" s="9"/>
      <c r="H1101" s="9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4"/>
      <c r="U1101" s="10"/>
      <c r="V1101" s="10"/>
      <c r="W1101" s="10"/>
      <c r="X1101" s="7"/>
      <c r="Y1101" s="7"/>
      <c r="Z1101" s="7"/>
      <c r="AA1101" s="34"/>
      <c r="AB1101" s="7"/>
      <c r="AC1101" s="34"/>
      <c r="AD1101" s="10"/>
      <c r="AE1101"/>
      <c r="AF1101"/>
    </row>
    <row r="1102" spans="1:32" x14ac:dyDescent="0.25">
      <c r="A1102" s="16"/>
      <c r="C1102" s="70"/>
      <c r="D1102" s="70"/>
      <c r="E1102" s="73"/>
      <c r="F1102" s="9"/>
      <c r="H1102" s="9"/>
      <c r="I1102" s="10"/>
      <c r="J1102" s="7"/>
      <c r="K1102" s="7"/>
      <c r="L1102" s="10"/>
      <c r="M1102" s="10"/>
      <c r="N1102" s="10"/>
      <c r="O1102" s="10"/>
      <c r="P1102" s="10"/>
      <c r="Q1102" s="10"/>
      <c r="R1102" s="10"/>
      <c r="S1102" s="10"/>
      <c r="T1102" s="14"/>
      <c r="U1102" s="10"/>
      <c r="V1102" s="10"/>
      <c r="W1102" s="10"/>
      <c r="X1102" s="7"/>
      <c r="Y1102" s="7"/>
      <c r="Z1102" s="7"/>
      <c r="AA1102" s="34"/>
      <c r="AB1102" s="7"/>
      <c r="AC1102" s="34"/>
      <c r="AD1102" s="10"/>
      <c r="AE1102"/>
      <c r="AF1102"/>
    </row>
    <row r="1103" spans="1:32" x14ac:dyDescent="0.25">
      <c r="A1103" s="16"/>
      <c r="C1103" s="70"/>
      <c r="D1103" s="70"/>
      <c r="E1103" s="73"/>
      <c r="F1103" s="9"/>
      <c r="H1103" s="9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4"/>
      <c r="U1103" s="10"/>
      <c r="V1103" s="10"/>
      <c r="W1103" s="10"/>
      <c r="X1103" s="7"/>
      <c r="Y1103" s="7"/>
      <c r="Z1103" s="7"/>
      <c r="AA1103" s="34"/>
      <c r="AB1103" s="7"/>
      <c r="AC1103" s="34"/>
      <c r="AD1103" s="10"/>
      <c r="AE1103"/>
      <c r="AF1103"/>
    </row>
    <row r="1104" spans="1:32" x14ac:dyDescent="0.25">
      <c r="A1104" s="16"/>
      <c r="C1104" s="70"/>
      <c r="D1104" s="70"/>
      <c r="E1104" s="73"/>
      <c r="F1104" s="9"/>
      <c r="H1104" s="9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4"/>
      <c r="U1104" s="10"/>
      <c r="V1104" s="10"/>
      <c r="W1104" s="10"/>
      <c r="X1104" s="7"/>
      <c r="Y1104" s="34"/>
      <c r="Z1104" s="7"/>
      <c r="AA1104" s="34"/>
      <c r="AB1104" s="7"/>
      <c r="AC1104" s="34"/>
      <c r="AD1104" s="10"/>
      <c r="AE1104"/>
      <c r="AF1104"/>
    </row>
    <row r="1105" spans="1:32" x14ac:dyDescent="0.25">
      <c r="A1105" s="16"/>
      <c r="C1105" s="70"/>
      <c r="D1105" s="70"/>
      <c r="E1105" s="73"/>
      <c r="F1105" s="9"/>
      <c r="H1105" s="9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4"/>
      <c r="U1105" s="10"/>
      <c r="V1105" s="10"/>
      <c r="W1105" s="10"/>
      <c r="X1105" s="7"/>
      <c r="Y1105" s="7"/>
      <c r="Z1105" s="7"/>
      <c r="AA1105" s="34"/>
      <c r="AB1105" s="7"/>
      <c r="AC1105" s="34"/>
      <c r="AD1105" s="10"/>
      <c r="AE1105"/>
      <c r="AF1105"/>
    </row>
    <row r="1106" spans="1:32" x14ac:dyDescent="0.25">
      <c r="A1106" s="16"/>
      <c r="C1106" s="70"/>
      <c r="D1106" s="70"/>
      <c r="E1106" s="73"/>
      <c r="F1106" s="9"/>
      <c r="H1106" s="9"/>
      <c r="I1106" s="10"/>
      <c r="J1106" s="7"/>
      <c r="K1106" s="7"/>
      <c r="L1106" s="10"/>
      <c r="M1106" s="10"/>
      <c r="N1106" s="10"/>
      <c r="O1106" s="10"/>
      <c r="P1106" s="10"/>
      <c r="Q1106" s="10"/>
      <c r="R1106" s="10"/>
      <c r="S1106" s="10"/>
      <c r="T1106" s="14"/>
      <c r="U1106" s="10"/>
      <c r="V1106" s="10"/>
      <c r="W1106" s="10"/>
      <c r="X1106" s="7"/>
      <c r="Y1106" s="7"/>
      <c r="Z1106" s="7"/>
      <c r="AA1106" s="34"/>
      <c r="AB1106" s="7"/>
      <c r="AC1106" s="34"/>
      <c r="AD1106" s="10"/>
      <c r="AE1106"/>
      <c r="AF1106"/>
    </row>
    <row r="1107" spans="1:32" x14ac:dyDescent="0.25">
      <c r="A1107" s="16"/>
      <c r="C1107" s="70"/>
      <c r="D1107" s="70"/>
      <c r="E1107" s="73"/>
      <c r="F1107" s="9"/>
      <c r="H1107" s="9"/>
      <c r="I1107" s="10"/>
      <c r="J1107" s="7"/>
      <c r="K1107" s="7"/>
      <c r="L1107" s="10"/>
      <c r="M1107" s="10"/>
      <c r="N1107" s="10"/>
      <c r="O1107" s="10"/>
      <c r="P1107" s="10"/>
      <c r="Q1107" s="10"/>
      <c r="R1107" s="10"/>
      <c r="S1107" s="10"/>
      <c r="T1107" s="14"/>
      <c r="U1107" s="10"/>
      <c r="V1107" s="10"/>
      <c r="W1107" s="10"/>
      <c r="X1107" s="7"/>
      <c r="Y1107" s="7"/>
      <c r="Z1107" s="7"/>
      <c r="AA1107" s="34"/>
      <c r="AB1107" s="7"/>
      <c r="AC1107" s="34"/>
      <c r="AD1107" s="10"/>
      <c r="AE1107"/>
      <c r="AF1107"/>
    </row>
    <row r="1108" spans="1:32" x14ac:dyDescent="0.25">
      <c r="A1108" s="16"/>
      <c r="C1108" s="70"/>
      <c r="D1108" s="70"/>
      <c r="E1108" s="73"/>
      <c r="F1108" s="9"/>
      <c r="H1108" s="9"/>
      <c r="I1108" s="10"/>
      <c r="J1108" s="60"/>
      <c r="K1108" s="42"/>
      <c r="L1108" s="10"/>
      <c r="M1108" s="10"/>
      <c r="N1108" s="10"/>
      <c r="O1108" s="10"/>
      <c r="P1108" s="10"/>
      <c r="Q1108" s="10"/>
      <c r="R1108" s="10"/>
      <c r="S1108" s="10"/>
      <c r="T1108" s="14"/>
      <c r="U1108" s="10"/>
      <c r="V1108" s="10"/>
      <c r="W1108" s="10"/>
      <c r="X1108" s="7"/>
      <c r="Y1108" s="7"/>
      <c r="Z1108" s="7"/>
      <c r="AA1108" s="34"/>
      <c r="AB1108" s="7"/>
      <c r="AC1108" s="34"/>
      <c r="AD1108" s="10"/>
      <c r="AE1108"/>
      <c r="AF1108"/>
    </row>
    <row r="1109" spans="1:32" x14ac:dyDescent="0.25">
      <c r="A1109" s="16"/>
      <c r="C1109" s="70"/>
      <c r="D1109" s="70"/>
      <c r="E1109" s="73"/>
      <c r="F1109" s="9"/>
      <c r="H1109" s="9"/>
      <c r="I1109" s="10"/>
      <c r="J1109" s="7"/>
      <c r="K1109" s="7"/>
      <c r="L1109" s="10"/>
      <c r="M1109" s="10"/>
      <c r="N1109" s="10"/>
      <c r="O1109" s="10"/>
      <c r="P1109" s="10"/>
      <c r="Q1109" s="10"/>
      <c r="R1109" s="10"/>
      <c r="S1109" s="10"/>
      <c r="T1109" s="14"/>
      <c r="U1109" s="10"/>
      <c r="V1109" s="10"/>
      <c r="W1109" s="10"/>
      <c r="X1109" s="7"/>
      <c r="Y1109" s="7"/>
      <c r="Z1109" s="7"/>
      <c r="AA1109" s="34"/>
      <c r="AB1109" s="7"/>
      <c r="AC1109" s="34"/>
      <c r="AD1109" s="10"/>
      <c r="AE1109"/>
      <c r="AF1109"/>
    </row>
    <row r="1110" spans="1:32" x14ac:dyDescent="0.25">
      <c r="A1110" s="16"/>
      <c r="C1110" s="70"/>
      <c r="D1110" s="70"/>
      <c r="E1110" s="73"/>
      <c r="F1110" s="9"/>
      <c r="H1110" s="9"/>
      <c r="I1110" s="10"/>
      <c r="J1110" s="60"/>
      <c r="K1110" s="42"/>
      <c r="L1110" s="10"/>
      <c r="M1110" s="10"/>
      <c r="N1110" s="10"/>
      <c r="O1110" s="10"/>
      <c r="P1110" s="10"/>
      <c r="Q1110" s="10"/>
      <c r="R1110" s="10"/>
      <c r="S1110" s="10"/>
      <c r="T1110" s="14"/>
      <c r="U1110" s="10"/>
      <c r="V1110" s="10"/>
      <c r="W1110" s="10"/>
      <c r="X1110" s="7"/>
      <c r="Y1110" s="7"/>
      <c r="Z1110" s="7"/>
      <c r="AA1110" s="34"/>
      <c r="AB1110" s="7"/>
      <c r="AC1110" s="34"/>
      <c r="AD1110" s="10"/>
      <c r="AE1110"/>
      <c r="AF1110"/>
    </row>
    <row r="1111" spans="1:32" x14ac:dyDescent="0.25">
      <c r="A1111" s="16"/>
      <c r="C1111" s="70"/>
      <c r="D1111" s="70"/>
      <c r="E1111" s="73"/>
      <c r="F1111" s="9"/>
      <c r="H1111" s="9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4"/>
      <c r="U1111" s="10"/>
      <c r="V1111" s="10"/>
      <c r="W1111" s="10"/>
      <c r="X1111" s="7"/>
      <c r="Y1111" s="7"/>
      <c r="Z1111" s="7"/>
      <c r="AA1111" s="34"/>
      <c r="AB1111" s="7"/>
      <c r="AC1111" s="34"/>
      <c r="AD1111" s="10"/>
      <c r="AE1111"/>
      <c r="AF1111"/>
    </row>
    <row r="1112" spans="1:32" x14ac:dyDescent="0.25">
      <c r="A1112" s="16"/>
      <c r="C1112" s="70"/>
      <c r="D1112" s="70"/>
      <c r="E1112" s="73"/>
      <c r="F1112" s="9"/>
      <c r="H1112" s="9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4"/>
      <c r="U1112" s="10"/>
      <c r="V1112" s="10"/>
      <c r="W1112" s="10"/>
      <c r="X1112" s="7"/>
      <c r="Y1112" s="7"/>
      <c r="Z1112" s="7"/>
      <c r="AA1112" s="34"/>
      <c r="AB1112" s="7"/>
      <c r="AC1112" s="34"/>
      <c r="AD1112" s="10"/>
      <c r="AE1112"/>
      <c r="AF1112"/>
    </row>
    <row r="1113" spans="1:32" x14ac:dyDescent="0.25">
      <c r="A1113" s="16"/>
      <c r="C1113" s="70"/>
      <c r="D1113" s="70"/>
      <c r="E1113" s="73"/>
      <c r="F1113" s="9"/>
      <c r="H1113" s="9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4"/>
      <c r="U1113" s="10"/>
      <c r="V1113" s="10"/>
      <c r="W1113" s="10"/>
      <c r="X1113" s="7"/>
      <c r="Y1113" s="7"/>
      <c r="Z1113" s="7"/>
      <c r="AA1113" s="34"/>
      <c r="AB1113" s="7"/>
      <c r="AC1113" s="34"/>
      <c r="AD1113" s="10"/>
      <c r="AE1113"/>
      <c r="AF1113"/>
    </row>
    <row r="1114" spans="1:32" x14ac:dyDescent="0.25">
      <c r="A1114" s="16"/>
      <c r="C1114" s="70"/>
      <c r="D1114" s="70"/>
      <c r="E1114" s="73"/>
      <c r="F1114" s="9"/>
      <c r="H1114" s="9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4"/>
      <c r="U1114" s="10"/>
      <c r="V1114" s="10"/>
      <c r="W1114" s="10"/>
      <c r="X1114" s="7"/>
      <c r="Y1114" s="7"/>
      <c r="Z1114" s="7"/>
      <c r="AA1114" s="34"/>
      <c r="AB1114" s="7"/>
      <c r="AC1114" s="34"/>
      <c r="AD1114" s="10"/>
      <c r="AE1114"/>
      <c r="AF1114"/>
    </row>
    <row r="1115" spans="1:32" x14ac:dyDescent="0.25">
      <c r="A1115" s="16"/>
      <c r="C1115" s="70"/>
      <c r="D1115" s="70"/>
      <c r="E1115" s="73"/>
      <c r="F1115" s="9"/>
      <c r="H1115" s="9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4"/>
      <c r="U1115" s="10"/>
      <c r="V1115" s="10"/>
      <c r="W1115" s="10"/>
      <c r="X1115" s="7"/>
      <c r="Y1115" s="7"/>
      <c r="Z1115" s="7"/>
      <c r="AA1115" s="34"/>
      <c r="AB1115" s="7"/>
      <c r="AC1115" s="34"/>
      <c r="AD1115" s="10"/>
      <c r="AE1115"/>
      <c r="AF1115"/>
    </row>
    <row r="1116" spans="1:32" x14ac:dyDescent="0.25">
      <c r="A1116" s="16"/>
      <c r="C1116" s="70"/>
      <c r="D1116" s="70"/>
      <c r="E1116" s="73"/>
      <c r="F1116" s="9"/>
      <c r="H1116" s="9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4"/>
      <c r="U1116" s="10"/>
      <c r="V1116" s="10"/>
      <c r="W1116" s="10"/>
      <c r="X1116" s="7"/>
      <c r="Y1116" s="7"/>
      <c r="Z1116" s="7"/>
      <c r="AA1116" s="34"/>
      <c r="AB1116" s="7"/>
      <c r="AC1116" s="34"/>
      <c r="AD1116" s="10"/>
      <c r="AE1116"/>
      <c r="AF1116"/>
    </row>
    <row r="1117" spans="1:32" x14ac:dyDescent="0.25">
      <c r="A1117" s="16"/>
      <c r="C1117" s="70"/>
      <c r="D1117" s="70"/>
      <c r="E1117" s="73"/>
      <c r="F1117" s="9"/>
      <c r="H1117" s="9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4"/>
      <c r="U1117" s="10"/>
      <c r="V1117" s="10"/>
      <c r="W1117" s="10"/>
      <c r="X1117" s="7"/>
      <c r="Y1117" s="7"/>
      <c r="Z1117" s="34"/>
      <c r="AA1117" s="34"/>
      <c r="AB1117" s="7"/>
      <c r="AC1117" s="34"/>
      <c r="AD1117" s="10"/>
      <c r="AE1117"/>
      <c r="AF1117"/>
    </row>
    <row r="1118" spans="1:32" x14ac:dyDescent="0.25">
      <c r="A1118" s="16"/>
      <c r="C1118" s="70"/>
      <c r="D1118" s="70"/>
      <c r="E1118" s="73"/>
      <c r="F1118" s="9"/>
      <c r="H1118" s="9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4"/>
      <c r="U1118" s="10"/>
      <c r="V1118" s="10"/>
      <c r="W1118" s="10"/>
      <c r="X1118" s="7"/>
      <c r="Y1118" s="7"/>
      <c r="Z1118" s="7"/>
      <c r="AA1118" s="34"/>
      <c r="AB1118" s="7"/>
      <c r="AC1118" s="34"/>
      <c r="AD1118" s="10"/>
      <c r="AE1118"/>
      <c r="AF1118"/>
    </row>
    <row r="1119" spans="1:32" x14ac:dyDescent="0.25">
      <c r="A1119" s="16"/>
      <c r="C1119" s="70"/>
      <c r="D1119" s="70"/>
      <c r="E1119" s="73"/>
      <c r="F1119" s="9"/>
      <c r="H1119" s="9"/>
      <c r="I1119" s="10"/>
      <c r="J1119" s="7"/>
      <c r="K1119" s="7"/>
      <c r="L1119" s="10"/>
      <c r="M1119" s="10"/>
      <c r="N1119" s="10"/>
      <c r="O1119" s="10"/>
      <c r="P1119" s="10"/>
      <c r="Q1119" s="10"/>
      <c r="R1119" s="10"/>
      <c r="S1119" s="10"/>
      <c r="T1119" s="14"/>
      <c r="U1119" s="10"/>
      <c r="V1119" s="10"/>
      <c r="W1119" s="10"/>
      <c r="X1119" s="7"/>
      <c r="Y1119" s="7"/>
      <c r="Z1119" s="7"/>
      <c r="AA1119" s="34"/>
      <c r="AB1119" s="7"/>
      <c r="AC1119" s="34"/>
      <c r="AD1119" s="10"/>
      <c r="AE1119"/>
      <c r="AF1119"/>
    </row>
    <row r="1120" spans="1:32" x14ac:dyDescent="0.25">
      <c r="A1120" s="16"/>
      <c r="C1120" s="70"/>
      <c r="D1120" s="70"/>
      <c r="E1120" s="73"/>
      <c r="F1120" s="9"/>
      <c r="H1120" s="9"/>
      <c r="I1120" s="10"/>
      <c r="J1120" s="7"/>
      <c r="K1120" s="7"/>
      <c r="L1120" s="10"/>
      <c r="M1120" s="10"/>
      <c r="N1120" s="10"/>
      <c r="O1120" s="10"/>
      <c r="P1120" s="10"/>
      <c r="Q1120" s="10"/>
      <c r="R1120" s="10"/>
      <c r="S1120" s="10"/>
      <c r="T1120" s="14"/>
      <c r="U1120" s="10"/>
      <c r="V1120" s="10"/>
      <c r="W1120" s="10"/>
      <c r="X1120" s="7"/>
      <c r="Y1120" s="7"/>
      <c r="Z1120" s="7"/>
      <c r="AA1120" s="34"/>
      <c r="AB1120" s="7"/>
      <c r="AC1120" s="34"/>
      <c r="AD1120" s="10"/>
      <c r="AE1120"/>
      <c r="AF1120"/>
    </row>
    <row r="1121" spans="1:32" x14ac:dyDescent="0.25">
      <c r="A1121" s="16"/>
      <c r="C1121" s="70"/>
      <c r="D1121" s="70"/>
      <c r="E1121" s="73"/>
      <c r="F1121" s="9"/>
      <c r="H1121" s="9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4"/>
      <c r="U1121" s="10"/>
      <c r="V1121" s="10"/>
      <c r="W1121" s="10"/>
      <c r="X1121" s="7"/>
      <c r="Y1121" s="7"/>
      <c r="Z1121" s="7"/>
      <c r="AA1121" s="34"/>
      <c r="AB1121" s="7"/>
      <c r="AC1121" s="34"/>
      <c r="AD1121" s="10"/>
      <c r="AE1121"/>
      <c r="AF1121"/>
    </row>
    <row r="1122" spans="1:32" x14ac:dyDescent="0.25">
      <c r="A1122" s="16"/>
      <c r="C1122" s="70"/>
      <c r="D1122" s="70"/>
      <c r="E1122" s="73"/>
      <c r="F1122" s="9"/>
      <c r="H1122" s="9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4"/>
      <c r="U1122" s="10"/>
      <c r="V1122" s="10"/>
      <c r="W1122" s="10"/>
      <c r="X1122" s="7"/>
      <c r="Y1122" s="7"/>
      <c r="Z1122" s="7"/>
      <c r="AA1122" s="34"/>
      <c r="AB1122" s="7"/>
      <c r="AC1122" s="34"/>
      <c r="AD1122" s="10"/>
      <c r="AE1122"/>
      <c r="AF1122"/>
    </row>
    <row r="1123" spans="1:32" x14ac:dyDescent="0.25">
      <c r="A1123" s="16"/>
      <c r="C1123" s="70"/>
      <c r="D1123" s="70"/>
      <c r="E1123" s="73"/>
      <c r="F1123" s="9"/>
      <c r="H1123" s="9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4"/>
      <c r="U1123" s="10"/>
      <c r="V1123" s="10"/>
      <c r="W1123" s="10"/>
      <c r="X1123" s="7"/>
      <c r="Y1123" s="7"/>
      <c r="Z1123" s="7"/>
      <c r="AA1123" s="34"/>
      <c r="AB1123" s="7"/>
      <c r="AC1123" s="34"/>
      <c r="AD1123" s="10"/>
      <c r="AE1123"/>
      <c r="AF1123"/>
    </row>
    <row r="1124" spans="1:32" x14ac:dyDescent="0.25">
      <c r="A1124" s="16"/>
      <c r="C1124" s="70"/>
      <c r="D1124" s="70"/>
      <c r="E1124" s="73"/>
      <c r="F1124" s="9"/>
      <c r="H1124" s="9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4"/>
      <c r="U1124" s="10"/>
      <c r="V1124" s="10"/>
      <c r="W1124" s="10"/>
      <c r="X1124" s="7"/>
      <c r="Y1124" s="34"/>
      <c r="Z1124" s="7"/>
      <c r="AA1124" s="34"/>
      <c r="AB1124" s="7"/>
      <c r="AC1124" s="34"/>
      <c r="AD1124" s="10"/>
      <c r="AE1124"/>
      <c r="AF1124"/>
    </row>
    <row r="1125" spans="1:32" x14ac:dyDescent="0.25">
      <c r="A1125" s="16"/>
      <c r="C1125" s="70"/>
      <c r="D1125" s="70"/>
      <c r="E1125" s="73"/>
      <c r="F1125" s="9"/>
      <c r="H1125" s="9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4"/>
      <c r="U1125" s="10"/>
      <c r="V1125" s="10"/>
      <c r="W1125" s="10"/>
      <c r="X1125" s="7"/>
      <c r="Y1125" s="7"/>
      <c r="Z1125" s="7"/>
      <c r="AA1125" s="34"/>
      <c r="AB1125" s="7"/>
      <c r="AC1125" s="34"/>
      <c r="AD1125" s="10"/>
      <c r="AE1125"/>
      <c r="AF1125"/>
    </row>
    <row r="1126" spans="1:32" x14ac:dyDescent="0.25">
      <c r="A1126" s="16"/>
      <c r="C1126" s="70"/>
      <c r="D1126" s="70"/>
      <c r="E1126" s="73"/>
      <c r="F1126" s="9"/>
      <c r="H1126" s="9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4"/>
      <c r="U1126" s="10"/>
      <c r="V1126" s="10"/>
      <c r="W1126" s="10"/>
      <c r="X1126" s="7"/>
      <c r="Y1126" s="7"/>
      <c r="Z1126" s="7"/>
      <c r="AA1126" s="34"/>
      <c r="AB1126" s="7"/>
      <c r="AC1126" s="34"/>
      <c r="AD1126" s="10"/>
      <c r="AE1126"/>
      <c r="AF1126"/>
    </row>
    <row r="1127" spans="1:32" x14ac:dyDescent="0.25">
      <c r="A1127" s="16"/>
      <c r="C1127" s="70"/>
      <c r="D1127" s="70"/>
      <c r="E1127" s="73"/>
      <c r="F1127" s="9"/>
      <c r="H1127" s="9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4"/>
      <c r="U1127" s="10"/>
      <c r="V1127" s="10"/>
      <c r="W1127" s="10"/>
      <c r="X1127" s="7"/>
      <c r="Y1127" s="7"/>
      <c r="Z1127" s="7"/>
      <c r="AA1127" s="34"/>
      <c r="AB1127" s="7"/>
      <c r="AC1127" s="34"/>
      <c r="AD1127" s="10"/>
      <c r="AE1127"/>
      <c r="AF1127"/>
    </row>
    <row r="1128" spans="1:32" x14ac:dyDescent="0.25">
      <c r="A1128" s="16"/>
      <c r="C1128" s="70"/>
      <c r="D1128" s="70"/>
      <c r="E1128" s="73"/>
      <c r="F1128" s="9"/>
      <c r="H1128" s="9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4"/>
      <c r="U1128" s="10"/>
      <c r="V1128" s="10"/>
      <c r="W1128" s="10"/>
      <c r="X1128" s="7"/>
      <c r="Y1128" s="7"/>
      <c r="Z1128" s="7"/>
      <c r="AA1128" s="34"/>
      <c r="AB1128" s="7"/>
      <c r="AC1128" s="34"/>
      <c r="AD1128" s="10"/>
      <c r="AE1128"/>
      <c r="AF1128"/>
    </row>
    <row r="1129" spans="1:32" x14ac:dyDescent="0.25">
      <c r="A1129" s="16"/>
      <c r="C1129" s="70"/>
      <c r="D1129" s="70"/>
      <c r="E1129" s="73"/>
      <c r="F1129" s="9"/>
      <c r="H1129" s="9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4"/>
      <c r="U1129" s="10"/>
      <c r="V1129" s="10"/>
      <c r="W1129" s="10"/>
      <c r="X1129" s="7"/>
      <c r="Y1129" s="7"/>
      <c r="Z1129" s="7"/>
      <c r="AA1129" s="34"/>
      <c r="AB1129" s="7"/>
      <c r="AC1129" s="34"/>
      <c r="AD1129" s="10"/>
      <c r="AE1129"/>
      <c r="AF1129"/>
    </row>
    <row r="1130" spans="1:32" x14ac:dyDescent="0.25">
      <c r="A1130" s="16"/>
      <c r="C1130" s="70"/>
      <c r="D1130" s="70"/>
      <c r="E1130" s="73"/>
      <c r="F1130" s="9"/>
      <c r="H1130" s="9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4"/>
      <c r="U1130" s="10"/>
      <c r="V1130" s="10"/>
      <c r="W1130" s="10"/>
      <c r="X1130" s="7"/>
      <c r="Y1130" s="34"/>
      <c r="Z1130" s="7"/>
      <c r="AA1130" s="34"/>
      <c r="AB1130" s="7"/>
      <c r="AC1130" s="34"/>
      <c r="AD1130" s="10"/>
      <c r="AE1130"/>
      <c r="AF1130"/>
    </row>
    <row r="1131" spans="1:32" x14ac:dyDescent="0.25">
      <c r="A1131" s="16"/>
      <c r="C1131" s="70"/>
      <c r="D1131" s="70"/>
      <c r="E1131" s="73"/>
      <c r="F1131" s="9"/>
      <c r="H1131" s="9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4"/>
      <c r="U1131" s="10"/>
      <c r="V1131" s="10"/>
      <c r="W1131" s="10"/>
      <c r="X1131" s="7"/>
      <c r="Y1131" s="34"/>
      <c r="Z1131" s="7"/>
      <c r="AA1131" s="34"/>
      <c r="AB1131" s="7"/>
      <c r="AC1131" s="34"/>
      <c r="AD1131" s="10"/>
      <c r="AE1131"/>
      <c r="AF1131"/>
    </row>
    <row r="1132" spans="1:32" x14ac:dyDescent="0.25">
      <c r="A1132" s="16"/>
      <c r="C1132" s="70"/>
      <c r="D1132" s="70"/>
      <c r="E1132" s="73"/>
      <c r="F1132" s="9"/>
      <c r="H1132" s="9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4"/>
      <c r="U1132" s="10"/>
      <c r="V1132" s="10"/>
      <c r="W1132" s="10"/>
      <c r="X1132" s="7"/>
      <c r="Y1132" s="7"/>
      <c r="Z1132" s="7"/>
      <c r="AA1132" s="34"/>
      <c r="AB1132" s="7"/>
      <c r="AC1132" s="34"/>
      <c r="AD1132" s="10"/>
      <c r="AE1132"/>
      <c r="AF1132"/>
    </row>
    <row r="1133" spans="1:32" x14ac:dyDescent="0.25">
      <c r="A1133" s="16"/>
      <c r="C1133" s="70"/>
      <c r="D1133" s="70"/>
      <c r="E1133" s="73"/>
      <c r="F1133" s="9"/>
      <c r="H1133" s="9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4"/>
      <c r="U1133" s="10"/>
      <c r="V1133" s="10"/>
      <c r="W1133" s="10"/>
      <c r="X1133" s="7"/>
      <c r="Y1133" s="7"/>
      <c r="Z1133" s="7"/>
      <c r="AA1133" s="34"/>
      <c r="AB1133" s="7"/>
      <c r="AC1133" s="34"/>
      <c r="AD1133" s="10"/>
      <c r="AE1133"/>
      <c r="AF1133"/>
    </row>
    <row r="1134" spans="1:32" x14ac:dyDescent="0.25">
      <c r="A1134" s="16"/>
      <c r="C1134" s="70"/>
      <c r="D1134" s="70"/>
      <c r="E1134" s="73"/>
      <c r="F1134" s="9"/>
      <c r="H1134" s="9"/>
      <c r="I1134" s="10"/>
      <c r="J1134" s="10"/>
      <c r="K1134" s="7"/>
      <c r="L1134" s="10"/>
      <c r="M1134" s="10"/>
      <c r="N1134" s="10"/>
      <c r="O1134" s="10"/>
      <c r="P1134" s="10"/>
      <c r="Q1134" s="10"/>
      <c r="R1134" s="10"/>
      <c r="S1134" s="10"/>
      <c r="T1134" s="14"/>
      <c r="U1134" s="10"/>
      <c r="V1134" s="10"/>
      <c r="W1134" s="10"/>
      <c r="X1134" s="7"/>
      <c r="Y1134" s="7"/>
      <c r="Z1134" s="7"/>
      <c r="AA1134" s="34"/>
      <c r="AB1134" s="7"/>
      <c r="AC1134" s="34"/>
      <c r="AD1134" s="10"/>
      <c r="AE1134"/>
      <c r="AF1134"/>
    </row>
    <row r="1135" spans="1:32" x14ac:dyDescent="0.25">
      <c r="A1135" s="16"/>
      <c r="C1135" s="70"/>
      <c r="D1135" s="70"/>
      <c r="E1135" s="73"/>
      <c r="F1135" s="9"/>
      <c r="H1135" s="9"/>
      <c r="I1135" s="10"/>
      <c r="J1135" s="10"/>
      <c r="K1135" s="7"/>
      <c r="L1135" s="10"/>
      <c r="M1135" s="10"/>
      <c r="N1135" s="10"/>
      <c r="O1135" s="10"/>
      <c r="P1135" s="10"/>
      <c r="Q1135" s="10"/>
      <c r="R1135" s="10"/>
      <c r="S1135" s="10"/>
      <c r="T1135" s="14"/>
      <c r="U1135" s="10"/>
      <c r="V1135" s="10"/>
      <c r="W1135" s="10"/>
      <c r="X1135" s="7"/>
      <c r="Y1135" s="7"/>
      <c r="Z1135" s="7"/>
      <c r="AA1135" s="34"/>
      <c r="AB1135" s="7"/>
      <c r="AC1135" s="34"/>
      <c r="AD1135" s="10"/>
      <c r="AE1135"/>
      <c r="AF1135"/>
    </row>
    <row r="1136" spans="1:32" x14ac:dyDescent="0.25">
      <c r="A1136" s="16"/>
      <c r="C1136" s="70"/>
      <c r="D1136" s="70"/>
      <c r="E1136" s="73"/>
      <c r="F1136" s="9"/>
      <c r="H1136" s="9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4"/>
      <c r="U1136" s="10"/>
      <c r="V1136" s="10"/>
      <c r="W1136" s="10"/>
      <c r="X1136" s="7"/>
      <c r="Y1136" s="7"/>
      <c r="Z1136" s="7"/>
      <c r="AA1136" s="34"/>
      <c r="AB1136" s="7"/>
      <c r="AC1136" s="34"/>
      <c r="AD1136" s="10"/>
      <c r="AE1136"/>
      <c r="AF1136"/>
    </row>
    <row r="1137" spans="1:32" x14ac:dyDescent="0.25">
      <c r="A1137" s="16"/>
      <c r="C1137" s="70"/>
      <c r="D1137" s="70"/>
      <c r="E1137" s="73"/>
      <c r="F1137" s="9"/>
      <c r="H1137" s="9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4"/>
      <c r="U1137" s="10"/>
      <c r="V1137" s="10"/>
      <c r="W1137" s="10"/>
      <c r="X1137" s="7"/>
      <c r="Y1137" s="7"/>
      <c r="Z1137" s="7"/>
      <c r="AA1137" s="34"/>
      <c r="AB1137" s="7"/>
      <c r="AC1137" s="34"/>
      <c r="AD1137" s="10"/>
      <c r="AE1137"/>
      <c r="AF1137"/>
    </row>
    <row r="1138" spans="1:32" x14ac:dyDescent="0.25">
      <c r="A1138" s="16"/>
      <c r="C1138" s="70"/>
      <c r="D1138" s="70"/>
      <c r="E1138" s="73"/>
      <c r="F1138" s="9"/>
      <c r="H1138" s="9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4"/>
      <c r="U1138" s="10"/>
      <c r="V1138" s="10"/>
      <c r="W1138" s="10"/>
      <c r="X1138" s="7"/>
      <c r="Y1138" s="7"/>
      <c r="Z1138" s="7"/>
      <c r="AA1138" s="34"/>
      <c r="AB1138" s="7"/>
      <c r="AC1138" s="34"/>
      <c r="AD1138" s="10"/>
      <c r="AE1138"/>
      <c r="AF1138"/>
    </row>
    <row r="1139" spans="1:32" x14ac:dyDescent="0.25">
      <c r="A1139" s="16"/>
      <c r="C1139" s="70"/>
      <c r="D1139" s="70"/>
      <c r="E1139" s="73"/>
      <c r="F1139" s="9"/>
      <c r="H1139" s="9"/>
      <c r="I1139" s="10"/>
      <c r="J1139" s="7"/>
      <c r="K1139" s="7"/>
      <c r="L1139" s="10"/>
      <c r="M1139" s="10"/>
      <c r="N1139" s="10"/>
      <c r="O1139" s="10"/>
      <c r="P1139" s="10"/>
      <c r="Q1139" s="10"/>
      <c r="R1139" s="10"/>
      <c r="S1139" s="10"/>
      <c r="T1139" s="14"/>
      <c r="U1139" s="10"/>
      <c r="V1139" s="10"/>
      <c r="W1139" s="10"/>
      <c r="X1139" s="7"/>
      <c r="Y1139" s="7"/>
      <c r="Z1139" s="7"/>
      <c r="AA1139" s="34"/>
      <c r="AB1139" s="7"/>
      <c r="AC1139" s="34"/>
      <c r="AD1139" s="10"/>
      <c r="AE1139"/>
      <c r="AF1139"/>
    </row>
    <row r="1140" spans="1:32" x14ac:dyDescent="0.25">
      <c r="A1140" s="16"/>
      <c r="C1140" s="70"/>
      <c r="D1140" s="70"/>
      <c r="E1140" s="73"/>
      <c r="F1140" s="9"/>
      <c r="H1140" s="9"/>
      <c r="I1140" s="10"/>
      <c r="J1140" s="7"/>
      <c r="K1140" s="7"/>
      <c r="L1140" s="10"/>
      <c r="M1140" s="10"/>
      <c r="N1140" s="10"/>
      <c r="O1140" s="10"/>
      <c r="P1140" s="10"/>
      <c r="Q1140" s="10"/>
      <c r="R1140" s="10"/>
      <c r="S1140" s="10"/>
      <c r="T1140" s="14"/>
      <c r="U1140" s="10"/>
      <c r="V1140" s="10"/>
      <c r="W1140" s="10"/>
      <c r="X1140" s="7"/>
      <c r="Y1140" s="7"/>
      <c r="Z1140" s="7"/>
      <c r="AA1140" s="34"/>
      <c r="AB1140" s="7"/>
      <c r="AC1140" s="34"/>
      <c r="AD1140" s="10"/>
      <c r="AE1140"/>
      <c r="AF1140"/>
    </row>
    <row r="1141" spans="1:32" x14ac:dyDescent="0.25">
      <c r="A1141" s="16"/>
      <c r="C1141" s="70"/>
      <c r="D1141" s="70"/>
      <c r="E1141" s="73"/>
      <c r="F1141" s="9"/>
      <c r="H1141" s="9"/>
      <c r="I1141" s="10"/>
      <c r="J1141" s="7"/>
      <c r="K1141" s="7"/>
      <c r="L1141" s="10"/>
      <c r="M1141" s="10"/>
      <c r="N1141" s="10"/>
      <c r="O1141" s="10"/>
      <c r="P1141" s="10"/>
      <c r="Q1141" s="10"/>
      <c r="R1141" s="10"/>
      <c r="S1141" s="10"/>
      <c r="T1141" s="14"/>
      <c r="U1141" s="10"/>
      <c r="V1141" s="10"/>
      <c r="W1141" s="10"/>
      <c r="X1141" s="7"/>
      <c r="Y1141" s="7"/>
      <c r="Z1141" s="7"/>
      <c r="AA1141" s="34"/>
      <c r="AB1141" s="7"/>
      <c r="AC1141" s="34"/>
      <c r="AD1141" s="10"/>
      <c r="AE1141"/>
      <c r="AF1141"/>
    </row>
    <row r="1142" spans="1:32" x14ac:dyDescent="0.25">
      <c r="A1142" s="16"/>
      <c r="C1142" s="70"/>
      <c r="D1142" s="70"/>
      <c r="E1142" s="73"/>
      <c r="F1142" s="9"/>
      <c r="H1142" s="9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4"/>
      <c r="U1142" s="10"/>
      <c r="V1142" s="10"/>
      <c r="W1142" s="10"/>
      <c r="X1142" s="7"/>
      <c r="Y1142" s="7"/>
      <c r="Z1142" s="7"/>
      <c r="AA1142" s="34"/>
      <c r="AB1142" s="7"/>
      <c r="AC1142" s="34"/>
      <c r="AD1142" s="10"/>
      <c r="AE1142"/>
      <c r="AF1142"/>
    </row>
    <row r="1143" spans="1:32" x14ac:dyDescent="0.25">
      <c r="A1143" s="16"/>
      <c r="C1143" s="70"/>
      <c r="D1143" s="70"/>
      <c r="E1143" s="73"/>
      <c r="F1143" s="9"/>
      <c r="H1143" s="9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4"/>
      <c r="U1143" s="10"/>
      <c r="V1143" s="10"/>
      <c r="W1143" s="10"/>
      <c r="X1143" s="7"/>
      <c r="Y1143" s="7"/>
      <c r="Z1143" s="7"/>
      <c r="AA1143" s="34"/>
      <c r="AB1143" s="7"/>
      <c r="AC1143" s="34"/>
      <c r="AD1143" s="10"/>
      <c r="AE1143"/>
      <c r="AF1143"/>
    </row>
    <row r="1144" spans="1:32" x14ac:dyDescent="0.25">
      <c r="A1144" s="16"/>
      <c r="C1144" s="70"/>
      <c r="D1144" s="70"/>
      <c r="E1144" s="73"/>
      <c r="F1144" s="9"/>
      <c r="H1144" s="9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4"/>
      <c r="U1144" s="10"/>
      <c r="V1144" s="10"/>
      <c r="W1144" s="10"/>
      <c r="X1144" s="7"/>
      <c r="Y1144" s="7"/>
      <c r="Z1144" s="7"/>
      <c r="AA1144" s="34"/>
      <c r="AB1144" s="7"/>
      <c r="AC1144" s="34"/>
      <c r="AD1144" s="10"/>
      <c r="AE1144"/>
      <c r="AF1144"/>
    </row>
    <row r="1145" spans="1:32" x14ac:dyDescent="0.25">
      <c r="A1145" s="16"/>
      <c r="C1145" s="70"/>
      <c r="D1145" s="70"/>
      <c r="E1145" s="73"/>
      <c r="F1145" s="9"/>
      <c r="H1145" s="9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4"/>
      <c r="U1145" s="10"/>
      <c r="V1145" s="10"/>
      <c r="W1145" s="10"/>
      <c r="X1145" s="7"/>
      <c r="Y1145" s="7"/>
      <c r="Z1145" s="7"/>
      <c r="AA1145" s="34"/>
      <c r="AB1145" s="7"/>
      <c r="AC1145" s="34"/>
      <c r="AD1145" s="10"/>
      <c r="AE1145"/>
      <c r="AF1145"/>
    </row>
    <row r="1146" spans="1:32" x14ac:dyDescent="0.25">
      <c r="A1146" s="16"/>
      <c r="C1146" s="70"/>
      <c r="D1146" s="70"/>
      <c r="E1146" s="73"/>
      <c r="F1146" s="9"/>
      <c r="H1146" s="9"/>
      <c r="I1146" s="10"/>
      <c r="J1146" s="7"/>
      <c r="K1146" s="7"/>
      <c r="L1146" s="10"/>
      <c r="M1146" s="10"/>
      <c r="N1146" s="10"/>
      <c r="O1146" s="10"/>
      <c r="P1146" s="10"/>
      <c r="Q1146" s="10"/>
      <c r="R1146" s="10"/>
      <c r="S1146" s="10"/>
      <c r="T1146" s="14"/>
      <c r="U1146" s="10"/>
      <c r="V1146" s="10"/>
      <c r="W1146" s="10"/>
      <c r="X1146" s="7"/>
      <c r="Y1146" s="7"/>
      <c r="Z1146" s="7"/>
      <c r="AA1146" s="34"/>
      <c r="AB1146" s="7"/>
      <c r="AC1146" s="34"/>
      <c r="AD1146" s="10"/>
      <c r="AE1146"/>
      <c r="AF1146"/>
    </row>
    <row r="1147" spans="1:32" x14ac:dyDescent="0.25">
      <c r="A1147" s="16"/>
      <c r="C1147" s="70"/>
      <c r="D1147" s="70"/>
      <c r="E1147" s="73"/>
      <c r="F1147" s="9"/>
      <c r="H1147" s="9"/>
      <c r="I1147" s="10"/>
      <c r="J1147" s="10"/>
      <c r="K1147" s="7"/>
      <c r="L1147" s="10"/>
      <c r="M1147" s="10"/>
      <c r="N1147" s="10"/>
      <c r="O1147" s="10"/>
      <c r="P1147" s="10"/>
      <c r="Q1147" s="10"/>
      <c r="R1147" s="10"/>
      <c r="S1147" s="10"/>
      <c r="T1147" s="14"/>
      <c r="U1147" s="10"/>
      <c r="V1147" s="10"/>
      <c r="W1147" s="10"/>
      <c r="X1147" s="7"/>
      <c r="Y1147" s="7"/>
      <c r="Z1147" s="7"/>
      <c r="AA1147" s="34"/>
      <c r="AB1147" s="7"/>
      <c r="AC1147" s="34"/>
      <c r="AD1147" s="10"/>
      <c r="AE1147"/>
      <c r="AF1147"/>
    </row>
    <row r="1148" spans="1:32" x14ac:dyDescent="0.25">
      <c r="A1148" s="16"/>
      <c r="C1148" s="70"/>
      <c r="D1148" s="70"/>
      <c r="E1148" s="73"/>
      <c r="F1148" s="9"/>
      <c r="H1148" s="9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4"/>
      <c r="U1148" s="10"/>
      <c r="V1148" s="10"/>
      <c r="W1148" s="10"/>
      <c r="X1148" s="7"/>
      <c r="Y1148" s="7"/>
      <c r="Z1148" s="7"/>
      <c r="AA1148" s="34"/>
      <c r="AB1148" s="7"/>
      <c r="AC1148" s="34"/>
      <c r="AD1148" s="10"/>
      <c r="AE1148"/>
      <c r="AF1148"/>
    </row>
    <row r="1149" spans="1:32" x14ac:dyDescent="0.25">
      <c r="A1149" s="16"/>
      <c r="C1149" s="70"/>
      <c r="D1149" s="70"/>
      <c r="E1149" s="73"/>
      <c r="F1149" s="9"/>
      <c r="H1149" s="9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4"/>
      <c r="U1149" s="10"/>
      <c r="V1149" s="10"/>
      <c r="W1149" s="10"/>
      <c r="X1149" s="7"/>
      <c r="Y1149" s="7"/>
      <c r="Z1149" s="7"/>
      <c r="AA1149" s="34"/>
      <c r="AB1149" s="7"/>
      <c r="AC1149" s="34"/>
      <c r="AD1149" s="10"/>
      <c r="AE1149"/>
      <c r="AF1149"/>
    </row>
    <row r="1150" spans="1:32" x14ac:dyDescent="0.25">
      <c r="A1150" s="43"/>
      <c r="C1150" s="70"/>
      <c r="D1150" s="70"/>
      <c r="E1150" s="73"/>
      <c r="F1150" s="9"/>
      <c r="H1150" s="9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4"/>
      <c r="U1150" s="10"/>
      <c r="V1150" s="10"/>
      <c r="W1150" s="10"/>
      <c r="X1150" s="7"/>
      <c r="Y1150" s="7"/>
      <c r="Z1150" s="7"/>
      <c r="AA1150" s="34"/>
      <c r="AB1150" s="7"/>
      <c r="AC1150" s="34"/>
      <c r="AD1150" s="10"/>
      <c r="AE1150"/>
      <c r="AF1150"/>
    </row>
    <row r="1151" spans="1:32" x14ac:dyDescent="0.25">
      <c r="A1151" s="16"/>
      <c r="C1151" s="70"/>
      <c r="D1151" s="70"/>
      <c r="E1151" s="73"/>
      <c r="F1151" s="9"/>
      <c r="H1151" s="9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4"/>
      <c r="U1151" s="10"/>
      <c r="V1151" s="10"/>
      <c r="W1151" s="10"/>
      <c r="X1151" s="7"/>
      <c r="Y1151" s="7"/>
      <c r="Z1151" s="7"/>
      <c r="AA1151" s="34"/>
      <c r="AB1151" s="7"/>
      <c r="AC1151" s="34"/>
      <c r="AD1151" s="10"/>
      <c r="AE1151"/>
      <c r="AF1151"/>
    </row>
    <row r="1152" spans="1:32" x14ac:dyDescent="0.25">
      <c r="A1152" s="16"/>
      <c r="C1152" s="70"/>
      <c r="D1152" s="70"/>
      <c r="E1152" s="73"/>
      <c r="F1152" s="9"/>
      <c r="H1152" s="9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4"/>
      <c r="U1152" s="10"/>
      <c r="V1152" s="10"/>
      <c r="W1152" s="10"/>
      <c r="X1152" s="7"/>
      <c r="Y1152" s="7"/>
      <c r="Z1152" s="7"/>
      <c r="AA1152" s="34"/>
      <c r="AB1152" s="7"/>
      <c r="AC1152" s="34"/>
      <c r="AD1152" s="10"/>
      <c r="AE1152"/>
      <c r="AF1152"/>
    </row>
    <row r="1153" spans="1:32" x14ac:dyDescent="0.25">
      <c r="A1153" s="16"/>
      <c r="C1153" s="70"/>
      <c r="D1153" s="70"/>
      <c r="E1153" s="73"/>
      <c r="F1153" s="9"/>
      <c r="H1153" s="9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4"/>
      <c r="U1153" s="10"/>
      <c r="V1153" s="10"/>
      <c r="W1153" s="10"/>
      <c r="X1153" s="7"/>
      <c r="Y1153" s="7"/>
      <c r="Z1153" s="7"/>
      <c r="AA1153" s="34"/>
      <c r="AB1153" s="7"/>
      <c r="AC1153" s="34"/>
      <c r="AD1153" s="10"/>
      <c r="AE1153"/>
      <c r="AF1153"/>
    </row>
    <row r="1154" spans="1:32" x14ac:dyDescent="0.25">
      <c r="A1154" s="16"/>
      <c r="C1154" s="70"/>
      <c r="D1154" s="70"/>
      <c r="E1154" s="73"/>
      <c r="F1154" s="9"/>
      <c r="H1154" s="9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4"/>
      <c r="U1154" s="10"/>
      <c r="V1154" s="10"/>
      <c r="W1154" s="10"/>
      <c r="X1154" s="7"/>
      <c r="Y1154" s="7"/>
      <c r="Z1154" s="7"/>
      <c r="AA1154" s="34"/>
      <c r="AB1154" s="7"/>
      <c r="AC1154" s="34"/>
      <c r="AD1154" s="10"/>
      <c r="AE1154"/>
      <c r="AF1154"/>
    </row>
    <row r="1155" spans="1:32" x14ac:dyDescent="0.25">
      <c r="A1155" s="16"/>
      <c r="C1155" s="70"/>
      <c r="D1155" s="70"/>
      <c r="E1155" s="73"/>
      <c r="F1155" s="9"/>
      <c r="H1155" s="9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4"/>
      <c r="U1155" s="10"/>
      <c r="V1155" s="10"/>
      <c r="W1155" s="10"/>
      <c r="X1155" s="7"/>
      <c r="Y1155" s="7"/>
      <c r="Z1155" s="7"/>
      <c r="AA1155" s="34"/>
      <c r="AB1155" s="7"/>
      <c r="AC1155" s="34"/>
      <c r="AD1155" s="10"/>
      <c r="AE1155"/>
      <c r="AF1155"/>
    </row>
    <row r="1156" spans="1:32" x14ac:dyDescent="0.25">
      <c r="A1156" s="16"/>
      <c r="C1156" s="70"/>
      <c r="D1156" s="70"/>
      <c r="E1156" s="73"/>
      <c r="F1156" s="9"/>
      <c r="H1156" s="9"/>
      <c r="I1156" s="10"/>
      <c r="J1156" s="7"/>
      <c r="K1156" s="7"/>
      <c r="L1156" s="10"/>
      <c r="M1156" s="10"/>
      <c r="N1156" s="10"/>
      <c r="O1156" s="10"/>
      <c r="P1156" s="10"/>
      <c r="Q1156" s="10"/>
      <c r="R1156" s="10"/>
      <c r="S1156" s="10"/>
      <c r="T1156" s="14"/>
      <c r="U1156" s="10"/>
      <c r="V1156" s="10"/>
      <c r="W1156" s="10"/>
      <c r="X1156" s="7"/>
      <c r="Y1156" s="7"/>
      <c r="Z1156" s="7"/>
      <c r="AA1156" s="34"/>
      <c r="AB1156" s="7"/>
      <c r="AC1156" s="34"/>
      <c r="AD1156" s="10"/>
      <c r="AE1156"/>
      <c r="AF1156"/>
    </row>
    <row r="1157" spans="1:32" x14ac:dyDescent="0.25">
      <c r="A1157" s="16"/>
      <c r="C1157" s="70"/>
      <c r="D1157" s="70"/>
      <c r="E1157" s="73"/>
      <c r="F1157" s="9"/>
      <c r="H1157" s="9"/>
      <c r="I1157" s="10"/>
      <c r="J1157" s="7"/>
      <c r="K1157" s="7"/>
      <c r="L1157" s="10"/>
      <c r="M1157" s="10"/>
      <c r="N1157" s="10"/>
      <c r="O1157" s="10"/>
      <c r="P1157" s="10"/>
      <c r="Q1157" s="10"/>
      <c r="R1157" s="10"/>
      <c r="S1157" s="10"/>
      <c r="T1157" s="14"/>
      <c r="U1157" s="10"/>
      <c r="V1157" s="10"/>
      <c r="W1157" s="10"/>
      <c r="X1157" s="7"/>
      <c r="Y1157" s="7"/>
      <c r="Z1157" s="7"/>
      <c r="AA1157" s="34"/>
      <c r="AB1157" s="7"/>
      <c r="AC1157" s="34"/>
      <c r="AD1157" s="10"/>
      <c r="AE1157"/>
      <c r="AF1157"/>
    </row>
    <row r="1158" spans="1:32" x14ac:dyDescent="0.25">
      <c r="A1158" s="16"/>
      <c r="C1158" s="70"/>
      <c r="D1158" s="70"/>
      <c r="E1158" s="73"/>
      <c r="F1158" s="9"/>
      <c r="H1158" s="9"/>
      <c r="I1158" s="10"/>
      <c r="J1158" s="10"/>
      <c r="K1158" s="7"/>
      <c r="L1158" s="10"/>
      <c r="M1158" s="10"/>
      <c r="N1158" s="10"/>
      <c r="O1158" s="10"/>
      <c r="P1158" s="10"/>
      <c r="Q1158" s="10"/>
      <c r="R1158" s="10"/>
      <c r="S1158" s="10"/>
      <c r="T1158" s="14"/>
      <c r="U1158" s="10"/>
      <c r="V1158" s="10"/>
      <c r="W1158" s="10"/>
      <c r="X1158" s="7"/>
      <c r="Y1158" s="7"/>
      <c r="Z1158" s="7"/>
      <c r="AA1158" s="34"/>
      <c r="AB1158" s="7"/>
      <c r="AC1158" s="34"/>
      <c r="AD1158" s="10"/>
      <c r="AE1158"/>
      <c r="AF1158"/>
    </row>
    <row r="1159" spans="1:32" x14ac:dyDescent="0.25">
      <c r="A1159" s="16"/>
      <c r="C1159" s="70"/>
      <c r="D1159" s="70"/>
      <c r="E1159" s="73"/>
      <c r="F1159" s="9"/>
      <c r="H1159" s="9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4"/>
      <c r="U1159" s="10"/>
      <c r="V1159" s="10"/>
      <c r="W1159" s="10"/>
      <c r="X1159" s="7"/>
      <c r="Y1159" s="7"/>
      <c r="Z1159" s="7"/>
      <c r="AA1159" s="34"/>
      <c r="AB1159" s="7"/>
      <c r="AC1159" s="34"/>
      <c r="AD1159" s="10"/>
      <c r="AE1159"/>
      <c r="AF1159"/>
    </row>
    <row r="1160" spans="1:32" x14ac:dyDescent="0.25">
      <c r="A1160" s="16"/>
      <c r="C1160" s="70"/>
      <c r="D1160" s="70"/>
      <c r="E1160" s="73"/>
      <c r="F1160" s="9"/>
      <c r="H1160" s="9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4"/>
      <c r="U1160" s="10"/>
      <c r="V1160" s="10"/>
      <c r="W1160" s="10"/>
      <c r="X1160" s="7"/>
      <c r="Y1160" s="7"/>
      <c r="Z1160" s="7"/>
      <c r="AA1160" s="34"/>
      <c r="AB1160" s="7"/>
      <c r="AC1160" s="34"/>
      <c r="AD1160" s="10"/>
      <c r="AE1160"/>
      <c r="AF1160"/>
    </row>
    <row r="1161" spans="1:32" x14ac:dyDescent="0.25">
      <c r="A1161" s="16"/>
      <c r="C1161" s="70"/>
      <c r="D1161" s="70"/>
      <c r="E1161" s="73"/>
      <c r="F1161" s="9"/>
      <c r="H1161" s="9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4"/>
      <c r="U1161" s="10"/>
      <c r="V1161" s="10"/>
      <c r="W1161" s="10"/>
      <c r="X1161" s="7"/>
      <c r="Y1161" s="7"/>
      <c r="Z1161" s="7"/>
      <c r="AA1161" s="34"/>
      <c r="AB1161" s="7"/>
      <c r="AC1161" s="34"/>
      <c r="AD1161" s="10"/>
      <c r="AE1161"/>
      <c r="AF1161"/>
    </row>
    <row r="1162" spans="1:32" x14ac:dyDescent="0.25">
      <c r="A1162" s="16"/>
      <c r="C1162" s="70"/>
      <c r="D1162" s="70"/>
      <c r="E1162" s="73"/>
      <c r="F1162" s="9"/>
      <c r="H1162" s="9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4"/>
      <c r="U1162" s="10"/>
      <c r="V1162" s="10"/>
      <c r="W1162" s="10"/>
      <c r="X1162" s="7"/>
      <c r="Y1162" s="34"/>
      <c r="Z1162" s="7"/>
      <c r="AA1162" s="34"/>
      <c r="AB1162" s="7"/>
      <c r="AC1162" s="34"/>
      <c r="AD1162" s="10"/>
      <c r="AE1162"/>
      <c r="AF1162"/>
    </row>
    <row r="1163" spans="1:32" x14ac:dyDescent="0.25">
      <c r="A1163" s="16"/>
      <c r="C1163" s="70"/>
      <c r="D1163" s="70"/>
      <c r="E1163" s="73"/>
      <c r="F1163" s="9"/>
      <c r="H1163" s="9"/>
      <c r="I1163" s="10"/>
      <c r="J1163" s="7"/>
      <c r="K1163" s="7"/>
      <c r="L1163" s="10"/>
      <c r="M1163" s="10"/>
      <c r="N1163" s="10"/>
      <c r="O1163" s="10"/>
      <c r="P1163" s="10"/>
      <c r="Q1163" s="10"/>
      <c r="R1163" s="10"/>
      <c r="S1163" s="10"/>
      <c r="T1163" s="14"/>
      <c r="U1163" s="10"/>
      <c r="V1163" s="10"/>
      <c r="W1163" s="10"/>
      <c r="X1163" s="7"/>
      <c r="Y1163" s="7"/>
      <c r="Z1163" s="7"/>
      <c r="AA1163" s="34"/>
      <c r="AB1163" s="7"/>
      <c r="AC1163" s="34"/>
      <c r="AD1163" s="10"/>
      <c r="AE1163"/>
      <c r="AF1163"/>
    </row>
    <row r="1164" spans="1:32" x14ac:dyDescent="0.25">
      <c r="A1164" s="16"/>
      <c r="C1164" s="70"/>
      <c r="D1164" s="70"/>
      <c r="E1164" s="73"/>
      <c r="F1164" s="9"/>
      <c r="H1164" s="9"/>
      <c r="I1164" s="10"/>
      <c r="J1164" s="7"/>
      <c r="K1164" s="7"/>
      <c r="L1164" s="10"/>
      <c r="M1164" s="10"/>
      <c r="N1164" s="10"/>
      <c r="O1164" s="10"/>
      <c r="P1164" s="10"/>
      <c r="Q1164" s="10"/>
      <c r="R1164" s="10"/>
      <c r="S1164" s="10"/>
      <c r="T1164" s="14"/>
      <c r="U1164" s="10"/>
      <c r="V1164" s="10"/>
      <c r="W1164" s="10"/>
      <c r="X1164" s="7"/>
      <c r="Y1164" s="7"/>
      <c r="Z1164" s="7"/>
      <c r="AA1164" s="34"/>
      <c r="AB1164" s="7"/>
      <c r="AC1164" s="34"/>
      <c r="AD1164" s="10"/>
      <c r="AE1164"/>
      <c r="AF1164"/>
    </row>
    <row r="1165" spans="1:32" x14ac:dyDescent="0.25">
      <c r="A1165" s="16"/>
      <c r="C1165" s="70"/>
      <c r="D1165" s="70"/>
      <c r="E1165" s="73"/>
      <c r="F1165" s="9"/>
      <c r="H1165" s="9"/>
      <c r="I1165" s="10"/>
      <c r="J1165" s="7"/>
      <c r="K1165" s="7"/>
      <c r="L1165" s="10"/>
      <c r="M1165" s="10"/>
      <c r="N1165" s="10"/>
      <c r="O1165" s="10"/>
      <c r="P1165" s="10"/>
      <c r="Q1165" s="10"/>
      <c r="R1165" s="10"/>
      <c r="S1165" s="10"/>
      <c r="T1165" s="14"/>
      <c r="U1165" s="10"/>
      <c r="V1165" s="10"/>
      <c r="W1165" s="10"/>
      <c r="X1165" s="7"/>
      <c r="Y1165" s="7"/>
      <c r="Z1165" s="7"/>
      <c r="AA1165" s="34"/>
      <c r="AB1165" s="7"/>
      <c r="AC1165" s="34"/>
      <c r="AD1165" s="10"/>
      <c r="AE1165"/>
      <c r="AF1165"/>
    </row>
    <row r="1166" spans="1:32" x14ac:dyDescent="0.25">
      <c r="A1166" s="16"/>
      <c r="C1166" s="70"/>
      <c r="D1166" s="70"/>
      <c r="E1166" s="73"/>
      <c r="F1166" s="9"/>
      <c r="H1166" s="9"/>
      <c r="I1166" s="10"/>
      <c r="J1166" s="60"/>
      <c r="K1166" s="42"/>
      <c r="L1166" s="10"/>
      <c r="M1166" s="10"/>
      <c r="N1166" s="10"/>
      <c r="O1166" s="10"/>
      <c r="P1166" s="10"/>
      <c r="Q1166" s="10"/>
      <c r="R1166" s="10"/>
      <c r="S1166" s="10"/>
      <c r="T1166" s="14"/>
      <c r="U1166" s="10"/>
      <c r="V1166" s="10"/>
      <c r="W1166" s="10"/>
      <c r="X1166" s="7"/>
      <c r="Y1166" s="7"/>
      <c r="Z1166" s="7"/>
      <c r="AA1166" s="34"/>
      <c r="AB1166" s="7"/>
      <c r="AC1166" s="34"/>
      <c r="AD1166" s="10"/>
      <c r="AE1166"/>
      <c r="AF1166"/>
    </row>
    <row r="1167" spans="1:32" x14ac:dyDescent="0.25">
      <c r="A1167" s="16"/>
      <c r="C1167" s="70"/>
      <c r="D1167" s="70"/>
      <c r="E1167" s="73"/>
      <c r="F1167" s="9"/>
      <c r="H1167" s="9"/>
      <c r="I1167" s="10"/>
      <c r="J1167" s="10"/>
      <c r="K1167" s="7"/>
      <c r="L1167" s="10"/>
      <c r="M1167" s="10"/>
      <c r="N1167" s="10"/>
      <c r="O1167" s="10"/>
      <c r="P1167" s="10"/>
      <c r="Q1167" s="10"/>
      <c r="R1167" s="10"/>
      <c r="S1167" s="10"/>
      <c r="T1167" s="14"/>
      <c r="U1167" s="10"/>
      <c r="V1167" s="10"/>
      <c r="W1167" s="10"/>
      <c r="X1167" s="7"/>
      <c r="Y1167" s="7"/>
      <c r="Z1167" s="7"/>
      <c r="AA1167" s="34"/>
      <c r="AB1167" s="7"/>
      <c r="AC1167" s="34"/>
      <c r="AD1167" s="10"/>
      <c r="AE1167"/>
      <c r="AF1167"/>
    </row>
    <row r="1168" spans="1:32" x14ac:dyDescent="0.25">
      <c r="A1168" s="16"/>
      <c r="C1168" s="70"/>
      <c r="D1168" s="70"/>
      <c r="E1168" s="73"/>
      <c r="F1168" s="9"/>
      <c r="H1168" s="9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4"/>
      <c r="U1168" s="10"/>
      <c r="V1168" s="10"/>
      <c r="W1168" s="10"/>
      <c r="X1168" s="7"/>
      <c r="Y1168" s="7"/>
      <c r="Z1168" s="7"/>
      <c r="AA1168" s="34"/>
      <c r="AB1168" s="7"/>
      <c r="AC1168" s="34"/>
      <c r="AD1168" s="10"/>
      <c r="AE1168"/>
      <c r="AF1168"/>
    </row>
    <row r="1169" spans="1:32" x14ac:dyDescent="0.25">
      <c r="A1169" s="16"/>
      <c r="C1169" s="70"/>
      <c r="D1169" s="70"/>
      <c r="E1169" s="73"/>
      <c r="F1169" s="9"/>
      <c r="H1169" s="9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4"/>
      <c r="U1169" s="10"/>
      <c r="V1169" s="10"/>
      <c r="W1169" s="10"/>
      <c r="X1169" s="7"/>
      <c r="Y1169" s="7"/>
      <c r="Z1169" s="7"/>
      <c r="AA1169" s="34"/>
      <c r="AB1169" s="7"/>
      <c r="AC1169" s="34"/>
      <c r="AD1169" s="10"/>
      <c r="AE1169"/>
      <c r="AF1169"/>
    </row>
    <row r="1170" spans="1:32" x14ac:dyDescent="0.25">
      <c r="A1170" s="16"/>
      <c r="C1170" s="70"/>
      <c r="D1170" s="70"/>
      <c r="E1170" s="73"/>
      <c r="F1170" s="9"/>
      <c r="H1170" s="9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4"/>
      <c r="U1170" s="10"/>
      <c r="V1170" s="10"/>
      <c r="W1170" s="10"/>
      <c r="X1170" s="7"/>
      <c r="Y1170" s="7"/>
      <c r="Z1170" s="7"/>
      <c r="AA1170" s="34"/>
      <c r="AB1170" s="7"/>
      <c r="AC1170" s="34"/>
      <c r="AD1170" s="10"/>
      <c r="AE1170"/>
      <c r="AF1170"/>
    </row>
    <row r="1171" spans="1:32" x14ac:dyDescent="0.25">
      <c r="A1171" s="16"/>
      <c r="C1171" s="70"/>
      <c r="D1171" s="70"/>
      <c r="E1171" s="73"/>
      <c r="F1171" s="9"/>
      <c r="H1171" s="9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4"/>
      <c r="U1171" s="10"/>
      <c r="V1171" s="10"/>
      <c r="W1171" s="10"/>
      <c r="X1171" s="7"/>
      <c r="Y1171" s="7"/>
      <c r="Z1171" s="7"/>
      <c r="AA1171" s="34"/>
      <c r="AB1171" s="7"/>
      <c r="AC1171" s="34"/>
      <c r="AD1171" s="10"/>
      <c r="AE1171"/>
      <c r="AF1171"/>
    </row>
    <row r="1172" spans="1:32" x14ac:dyDescent="0.25">
      <c r="A1172" s="16"/>
      <c r="C1172" s="70"/>
      <c r="D1172" s="70"/>
      <c r="E1172" s="73"/>
      <c r="F1172" s="9"/>
      <c r="H1172" s="9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4"/>
      <c r="U1172" s="10"/>
      <c r="V1172" s="10"/>
      <c r="W1172" s="10"/>
      <c r="X1172" s="7"/>
      <c r="Y1172" s="7"/>
      <c r="Z1172" s="34"/>
      <c r="AA1172" s="34"/>
      <c r="AB1172" s="7"/>
      <c r="AC1172" s="34"/>
      <c r="AD1172" s="10"/>
      <c r="AE1172"/>
      <c r="AF1172"/>
    </row>
    <row r="1173" spans="1:32" x14ac:dyDescent="0.25">
      <c r="A1173" s="16"/>
      <c r="C1173" s="70"/>
      <c r="D1173" s="70"/>
      <c r="E1173" s="73"/>
      <c r="F1173" s="9"/>
      <c r="H1173" s="9"/>
      <c r="I1173" s="10"/>
      <c r="J1173" s="10"/>
      <c r="K1173" s="7"/>
      <c r="L1173" s="10"/>
      <c r="M1173" s="10"/>
      <c r="N1173" s="10"/>
      <c r="O1173" s="10"/>
      <c r="P1173" s="10"/>
      <c r="Q1173" s="10"/>
      <c r="R1173" s="10"/>
      <c r="S1173" s="10"/>
      <c r="T1173" s="14"/>
      <c r="U1173" s="10"/>
      <c r="V1173" s="10"/>
      <c r="W1173" s="10"/>
      <c r="X1173" s="7"/>
      <c r="Y1173" s="7"/>
      <c r="Z1173" s="7"/>
      <c r="AA1173" s="34"/>
      <c r="AB1173" s="7"/>
      <c r="AC1173" s="34"/>
      <c r="AD1173" s="10"/>
      <c r="AE1173"/>
      <c r="AF1173"/>
    </row>
    <row r="1174" spans="1:32" x14ac:dyDescent="0.25">
      <c r="A1174" s="16"/>
      <c r="C1174" s="70"/>
      <c r="D1174" s="70"/>
      <c r="E1174" s="73"/>
      <c r="F1174" s="9"/>
      <c r="H1174" s="9"/>
      <c r="I1174" s="10"/>
      <c r="J1174" s="7"/>
      <c r="K1174" s="7"/>
      <c r="L1174" s="10"/>
      <c r="M1174" s="10"/>
      <c r="N1174" s="10"/>
      <c r="O1174" s="10"/>
      <c r="P1174" s="10"/>
      <c r="Q1174" s="10"/>
      <c r="R1174" s="10"/>
      <c r="S1174" s="10"/>
      <c r="T1174" s="14"/>
      <c r="U1174" s="10"/>
      <c r="V1174" s="10"/>
      <c r="W1174" s="10"/>
      <c r="X1174" s="7"/>
      <c r="Y1174" s="7"/>
      <c r="Z1174" s="7"/>
      <c r="AA1174" s="34"/>
      <c r="AB1174" s="7"/>
      <c r="AC1174" s="34"/>
      <c r="AD1174" s="10"/>
      <c r="AE1174"/>
      <c r="AF1174"/>
    </row>
    <row r="1175" spans="1:32" x14ac:dyDescent="0.25">
      <c r="A1175" s="16"/>
      <c r="C1175" s="70"/>
      <c r="D1175" s="70"/>
      <c r="E1175" s="73"/>
      <c r="F1175" s="9"/>
      <c r="H1175" s="9"/>
      <c r="I1175" s="10"/>
      <c r="J1175" s="10"/>
      <c r="K1175" s="7"/>
      <c r="L1175" s="10"/>
      <c r="M1175" s="10"/>
      <c r="N1175" s="10"/>
      <c r="O1175" s="10"/>
      <c r="P1175" s="10"/>
      <c r="Q1175" s="10"/>
      <c r="R1175" s="10"/>
      <c r="S1175" s="10"/>
      <c r="T1175" s="14"/>
      <c r="U1175" s="10"/>
      <c r="V1175" s="10"/>
      <c r="W1175" s="10"/>
      <c r="X1175" s="7"/>
      <c r="Y1175" s="7"/>
      <c r="Z1175" s="7"/>
      <c r="AA1175" s="34"/>
      <c r="AB1175" s="7"/>
      <c r="AC1175" s="34"/>
      <c r="AD1175" s="10"/>
      <c r="AE1175"/>
      <c r="AF1175"/>
    </row>
    <row r="1176" spans="1:32" x14ac:dyDescent="0.25">
      <c r="A1176" s="16"/>
      <c r="C1176" s="70"/>
      <c r="D1176" s="70"/>
      <c r="E1176" s="73"/>
      <c r="F1176" s="9"/>
      <c r="H1176" s="9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4"/>
      <c r="U1176" s="10"/>
      <c r="V1176" s="10"/>
      <c r="W1176" s="10"/>
      <c r="X1176" s="7"/>
      <c r="Y1176" s="7"/>
      <c r="Z1176" s="7"/>
      <c r="AA1176" s="34"/>
      <c r="AB1176" s="7"/>
      <c r="AC1176" s="34"/>
      <c r="AD1176" s="10"/>
      <c r="AE1176"/>
      <c r="AF1176"/>
    </row>
    <row r="1177" spans="1:32" x14ac:dyDescent="0.25">
      <c r="A1177" s="16"/>
      <c r="C1177" s="70"/>
      <c r="D1177" s="70"/>
      <c r="E1177" s="73"/>
      <c r="F1177" s="9"/>
      <c r="H1177" s="9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4"/>
      <c r="U1177" s="10"/>
      <c r="V1177" s="10"/>
      <c r="W1177" s="10"/>
      <c r="X1177" s="7"/>
      <c r="Y1177" s="7"/>
      <c r="Z1177" s="7"/>
      <c r="AA1177" s="34"/>
      <c r="AB1177" s="7"/>
      <c r="AC1177" s="34"/>
      <c r="AD1177" s="10"/>
      <c r="AE1177"/>
      <c r="AF1177"/>
    </row>
    <row r="1178" spans="1:32" x14ac:dyDescent="0.25">
      <c r="A1178" s="16"/>
      <c r="C1178" s="70"/>
      <c r="D1178" s="70"/>
      <c r="E1178" s="73"/>
      <c r="F1178" s="9"/>
      <c r="H1178" s="9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4"/>
      <c r="U1178" s="10"/>
      <c r="V1178" s="10"/>
      <c r="W1178" s="10"/>
      <c r="X1178" s="7"/>
      <c r="Y1178" s="7"/>
      <c r="Z1178" s="7"/>
      <c r="AA1178" s="34"/>
      <c r="AB1178" s="7"/>
      <c r="AC1178" s="34"/>
      <c r="AD1178" s="10"/>
      <c r="AE1178"/>
      <c r="AF1178"/>
    </row>
    <row r="1179" spans="1:32" x14ac:dyDescent="0.25">
      <c r="A1179" s="16"/>
      <c r="C1179" s="70"/>
      <c r="D1179" s="70"/>
      <c r="E1179" s="73"/>
      <c r="F1179" s="9"/>
      <c r="H1179" s="9"/>
      <c r="I1179" s="10"/>
      <c r="J1179" s="10"/>
      <c r="K1179" s="7"/>
      <c r="L1179" s="10"/>
      <c r="M1179" s="10"/>
      <c r="N1179" s="10"/>
      <c r="O1179" s="10"/>
      <c r="P1179" s="10"/>
      <c r="Q1179" s="10"/>
      <c r="R1179" s="10"/>
      <c r="S1179" s="10"/>
      <c r="T1179" s="14"/>
      <c r="U1179" s="10"/>
      <c r="V1179" s="10"/>
      <c r="W1179" s="10"/>
      <c r="X1179" s="7"/>
      <c r="Y1179" s="7"/>
      <c r="Z1179" s="7"/>
      <c r="AA1179" s="34"/>
      <c r="AB1179" s="7"/>
      <c r="AC1179" s="34"/>
      <c r="AD1179" s="10"/>
      <c r="AE1179"/>
      <c r="AF1179"/>
    </row>
    <row r="1180" spans="1:32" x14ac:dyDescent="0.25">
      <c r="A1180" s="16"/>
      <c r="C1180" s="70"/>
      <c r="D1180" s="70"/>
      <c r="E1180" s="73"/>
      <c r="F1180" s="45"/>
      <c r="H1180" s="9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4"/>
      <c r="U1180" s="10"/>
      <c r="V1180" s="10"/>
      <c r="W1180" s="10"/>
      <c r="X1180" s="7"/>
      <c r="Y1180" s="7"/>
      <c r="Z1180" s="7"/>
      <c r="AA1180" s="34"/>
      <c r="AB1180" s="7"/>
      <c r="AC1180" s="34"/>
      <c r="AD1180" s="10"/>
      <c r="AE1180"/>
      <c r="AF1180"/>
    </row>
    <row r="1181" spans="1:32" x14ac:dyDescent="0.25">
      <c r="A1181" s="16"/>
      <c r="C1181" s="70"/>
      <c r="D1181" s="70"/>
      <c r="E1181" s="73"/>
      <c r="F1181" s="9"/>
      <c r="H1181" s="9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4"/>
      <c r="U1181" s="10"/>
      <c r="V1181" s="10"/>
      <c r="W1181" s="10"/>
      <c r="X1181" s="7"/>
      <c r="Y1181" s="7"/>
      <c r="Z1181" s="34"/>
      <c r="AA1181" s="34"/>
      <c r="AB1181" s="7"/>
      <c r="AC1181" s="34"/>
      <c r="AD1181" s="10"/>
      <c r="AE1181"/>
      <c r="AF1181"/>
    </row>
    <row r="1182" spans="1:32" x14ac:dyDescent="0.25">
      <c r="A1182" s="16"/>
      <c r="C1182" s="70"/>
      <c r="D1182" s="70"/>
      <c r="E1182" s="73"/>
      <c r="F1182" s="9"/>
      <c r="H1182" s="9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4"/>
      <c r="U1182" s="10"/>
      <c r="V1182" s="10"/>
      <c r="W1182" s="10"/>
      <c r="X1182" s="7"/>
      <c r="Y1182" s="7"/>
      <c r="Z1182" s="34"/>
      <c r="AA1182" s="34"/>
      <c r="AB1182" s="7"/>
      <c r="AC1182" s="34"/>
      <c r="AD1182" s="10"/>
      <c r="AE1182"/>
      <c r="AF1182"/>
    </row>
    <row r="1183" spans="1:32" x14ac:dyDescent="0.25">
      <c r="A1183" s="16"/>
      <c r="C1183" s="70"/>
      <c r="D1183" s="70"/>
      <c r="E1183" s="73"/>
      <c r="F1183" s="9"/>
      <c r="H1183" s="9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4"/>
      <c r="U1183" s="10"/>
      <c r="V1183" s="10"/>
      <c r="W1183" s="10"/>
      <c r="X1183" s="7"/>
      <c r="Y1183" s="7"/>
      <c r="Z1183" s="7"/>
      <c r="AA1183" s="34"/>
      <c r="AB1183" s="7"/>
      <c r="AC1183" s="34"/>
      <c r="AD1183" s="10"/>
      <c r="AE1183"/>
      <c r="AF1183"/>
    </row>
    <row r="1184" spans="1:32" x14ac:dyDescent="0.25">
      <c r="A1184" s="16"/>
      <c r="C1184" s="70"/>
      <c r="D1184" s="70"/>
      <c r="E1184" s="73"/>
      <c r="F1184" s="9"/>
      <c r="H1184" s="9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4"/>
      <c r="U1184" s="10"/>
      <c r="V1184" s="10"/>
      <c r="W1184" s="10"/>
      <c r="X1184" s="7"/>
      <c r="Y1184" s="7"/>
      <c r="Z1184" s="7"/>
      <c r="AA1184" s="34"/>
      <c r="AB1184" s="7"/>
      <c r="AC1184" s="34"/>
      <c r="AD1184" s="10"/>
      <c r="AE1184"/>
      <c r="AF1184"/>
    </row>
    <row r="1185" spans="1:32" x14ac:dyDescent="0.25">
      <c r="A1185" s="16"/>
      <c r="C1185" s="70"/>
      <c r="D1185" s="70"/>
      <c r="E1185" s="73"/>
      <c r="F1185" s="9"/>
      <c r="H1185" s="9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4"/>
      <c r="U1185" s="10"/>
      <c r="V1185" s="10"/>
      <c r="W1185" s="10"/>
      <c r="X1185" s="7"/>
      <c r="Y1185" s="7"/>
      <c r="Z1185" s="7"/>
      <c r="AA1185" s="34"/>
      <c r="AB1185" s="7"/>
      <c r="AC1185" s="34"/>
      <c r="AD1185" s="10"/>
      <c r="AE1185"/>
      <c r="AF1185"/>
    </row>
    <row r="1186" spans="1:32" x14ac:dyDescent="0.25">
      <c r="A1186" s="16"/>
      <c r="C1186" s="70"/>
      <c r="D1186" s="70"/>
      <c r="E1186" s="73"/>
      <c r="F1186" s="9"/>
      <c r="H1186" s="9"/>
      <c r="I1186" s="10"/>
      <c r="J1186" s="7"/>
      <c r="K1186" s="7"/>
      <c r="L1186" s="10"/>
      <c r="M1186" s="10"/>
      <c r="N1186" s="10"/>
      <c r="O1186" s="10"/>
      <c r="P1186" s="10"/>
      <c r="Q1186" s="10"/>
      <c r="R1186" s="10"/>
      <c r="S1186" s="10"/>
      <c r="T1186" s="14"/>
      <c r="U1186" s="10"/>
      <c r="V1186" s="10"/>
      <c r="W1186" s="10"/>
      <c r="X1186" s="7"/>
      <c r="Y1186" s="7"/>
      <c r="Z1186" s="7"/>
      <c r="AA1186" s="34"/>
      <c r="AB1186" s="7"/>
      <c r="AC1186" s="34"/>
      <c r="AD1186" s="10"/>
      <c r="AE1186"/>
      <c r="AF1186"/>
    </row>
    <row r="1187" spans="1:32" x14ac:dyDescent="0.25">
      <c r="A1187" s="16"/>
      <c r="C1187" s="70"/>
      <c r="D1187" s="70"/>
      <c r="E1187" s="73"/>
      <c r="F1187" s="9"/>
      <c r="H1187" s="9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4"/>
      <c r="U1187" s="10"/>
      <c r="V1187" s="10"/>
      <c r="W1187" s="10"/>
      <c r="X1187" s="7"/>
      <c r="Y1187" s="7"/>
      <c r="Z1187" s="7"/>
      <c r="AA1187" s="34"/>
      <c r="AB1187" s="7"/>
      <c r="AC1187" s="34"/>
      <c r="AD1187" s="10"/>
      <c r="AE1187"/>
      <c r="AF1187"/>
    </row>
    <row r="1188" spans="1:32" x14ac:dyDescent="0.25">
      <c r="A1188" s="16"/>
      <c r="C1188" s="70"/>
      <c r="D1188" s="70"/>
      <c r="E1188" s="73"/>
      <c r="F1188" s="9"/>
      <c r="H1188" s="9"/>
      <c r="I1188" s="10"/>
      <c r="J1188" s="7"/>
      <c r="K1188" s="7"/>
      <c r="L1188" s="10"/>
      <c r="M1188" s="10"/>
      <c r="N1188" s="10"/>
      <c r="O1188" s="10"/>
      <c r="P1188" s="10"/>
      <c r="Q1188" s="10"/>
      <c r="R1188" s="10"/>
      <c r="S1188" s="10"/>
      <c r="T1188" s="14"/>
      <c r="U1188" s="10"/>
      <c r="V1188" s="10"/>
      <c r="W1188" s="10"/>
      <c r="X1188" s="7"/>
      <c r="Y1188" s="7"/>
      <c r="Z1188" s="7"/>
      <c r="AA1188" s="34"/>
      <c r="AB1188" s="7"/>
      <c r="AC1188" s="34"/>
      <c r="AD1188" s="10"/>
      <c r="AE1188"/>
      <c r="AF1188"/>
    </row>
    <row r="1189" spans="1:32" x14ac:dyDescent="0.25">
      <c r="A1189" s="16"/>
      <c r="C1189" s="70"/>
      <c r="D1189" s="70"/>
      <c r="E1189" s="73"/>
      <c r="F1189" s="9"/>
      <c r="H1189" s="9"/>
      <c r="I1189" s="10"/>
      <c r="J1189" s="7"/>
      <c r="K1189" s="7"/>
      <c r="L1189" s="10"/>
      <c r="M1189" s="10"/>
      <c r="N1189" s="10"/>
      <c r="O1189" s="10"/>
      <c r="P1189" s="10"/>
      <c r="Q1189" s="10"/>
      <c r="R1189" s="10"/>
      <c r="S1189" s="10"/>
      <c r="T1189" s="14"/>
      <c r="U1189" s="10"/>
      <c r="V1189" s="10"/>
      <c r="W1189" s="10"/>
      <c r="X1189" s="7"/>
      <c r="Y1189" s="7"/>
      <c r="Z1189" s="7"/>
      <c r="AA1189" s="34"/>
      <c r="AB1189" s="7"/>
      <c r="AC1189" s="34"/>
      <c r="AD1189" s="10"/>
      <c r="AE1189"/>
      <c r="AF1189"/>
    </row>
    <row r="1190" spans="1:32" x14ac:dyDescent="0.25">
      <c r="A1190" s="16"/>
      <c r="C1190" s="70"/>
      <c r="D1190" s="70"/>
      <c r="E1190" s="73"/>
      <c r="F1190" s="9"/>
      <c r="H1190" s="9"/>
      <c r="I1190" s="10"/>
      <c r="J1190" s="10"/>
      <c r="K1190" s="7"/>
      <c r="L1190" s="10"/>
      <c r="M1190" s="10"/>
      <c r="N1190" s="10"/>
      <c r="O1190" s="10"/>
      <c r="P1190" s="10"/>
      <c r="Q1190" s="10"/>
      <c r="R1190" s="10"/>
      <c r="S1190" s="10"/>
      <c r="T1190" s="14"/>
      <c r="U1190" s="10"/>
      <c r="V1190" s="10"/>
      <c r="W1190" s="10"/>
      <c r="X1190" s="7"/>
      <c r="Y1190" s="7"/>
      <c r="Z1190" s="7"/>
      <c r="AA1190" s="34"/>
      <c r="AB1190" s="7"/>
      <c r="AC1190" s="34"/>
      <c r="AD1190" s="10"/>
      <c r="AE1190"/>
      <c r="AF1190"/>
    </row>
    <row r="1191" spans="1:32" x14ac:dyDescent="0.25">
      <c r="A1191" s="16"/>
      <c r="C1191" s="70"/>
      <c r="D1191" s="70"/>
      <c r="E1191" s="73"/>
      <c r="F1191" s="9"/>
      <c r="H1191" s="9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4"/>
      <c r="U1191" s="10"/>
      <c r="V1191" s="10"/>
      <c r="W1191" s="10"/>
      <c r="X1191" s="7"/>
      <c r="Y1191" s="7"/>
      <c r="Z1191" s="7"/>
      <c r="AA1191" s="34"/>
      <c r="AB1191" s="7"/>
      <c r="AC1191" s="34"/>
      <c r="AD1191" s="10"/>
      <c r="AE1191"/>
      <c r="AF1191"/>
    </row>
    <row r="1192" spans="1:32" x14ac:dyDescent="0.25">
      <c r="A1192" s="16"/>
      <c r="C1192" s="70"/>
      <c r="D1192" s="70"/>
      <c r="E1192" s="73"/>
      <c r="F1192" s="9"/>
      <c r="H1192" s="9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4"/>
      <c r="U1192" s="10"/>
      <c r="V1192" s="10"/>
      <c r="W1192" s="10"/>
      <c r="X1192" s="7"/>
      <c r="Y1192" s="7"/>
      <c r="Z1192" s="7"/>
      <c r="AA1192" s="34"/>
      <c r="AB1192" s="7"/>
      <c r="AC1192" s="34"/>
      <c r="AD1192" s="10"/>
      <c r="AE1192"/>
      <c r="AF1192"/>
    </row>
    <row r="1193" spans="1:32" x14ac:dyDescent="0.25">
      <c r="A1193" s="16"/>
      <c r="C1193" s="70"/>
      <c r="D1193" s="70"/>
      <c r="E1193" s="73"/>
      <c r="F1193" s="9"/>
      <c r="H1193" s="9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4"/>
      <c r="U1193" s="10"/>
      <c r="V1193" s="10"/>
      <c r="W1193" s="10"/>
      <c r="X1193" s="7"/>
      <c r="Y1193" s="7"/>
      <c r="Z1193" s="7"/>
      <c r="AA1193" s="34"/>
      <c r="AB1193" s="7"/>
      <c r="AC1193" s="34"/>
      <c r="AD1193" s="10"/>
      <c r="AE1193"/>
      <c r="AF1193"/>
    </row>
    <row r="1194" spans="1:32" x14ac:dyDescent="0.25">
      <c r="A1194" s="16"/>
      <c r="C1194" s="70"/>
      <c r="D1194" s="70"/>
      <c r="E1194" s="73"/>
      <c r="F1194" s="9"/>
      <c r="H1194" s="9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4"/>
      <c r="U1194" s="10"/>
      <c r="V1194" s="10"/>
      <c r="W1194" s="10"/>
      <c r="X1194" s="7"/>
      <c r="Y1194" s="7"/>
      <c r="Z1194" s="7"/>
      <c r="AA1194" s="34"/>
      <c r="AB1194" s="7"/>
      <c r="AC1194" s="34"/>
      <c r="AD1194" s="10"/>
      <c r="AE1194"/>
      <c r="AF1194"/>
    </row>
    <row r="1195" spans="1:32" x14ac:dyDescent="0.25">
      <c r="A1195" s="16"/>
      <c r="C1195" s="70"/>
      <c r="D1195" s="70"/>
      <c r="E1195" s="73"/>
      <c r="F1195" s="9"/>
      <c r="H1195" s="9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4"/>
      <c r="U1195" s="10"/>
      <c r="V1195" s="10"/>
      <c r="W1195" s="10"/>
      <c r="X1195" s="7"/>
      <c r="Y1195" s="7"/>
      <c r="Z1195" s="7"/>
      <c r="AA1195" s="34"/>
      <c r="AB1195" s="7"/>
      <c r="AC1195" s="34"/>
      <c r="AD1195" s="10"/>
      <c r="AE1195"/>
      <c r="AF1195"/>
    </row>
    <row r="1196" spans="1:32" x14ac:dyDescent="0.25">
      <c r="A1196" s="16"/>
      <c r="C1196" s="70"/>
      <c r="D1196" s="70"/>
      <c r="E1196" s="73"/>
      <c r="F1196" s="9"/>
      <c r="H1196" s="9"/>
      <c r="I1196" s="10"/>
      <c r="J1196" s="7"/>
      <c r="K1196" s="7"/>
      <c r="L1196" s="10"/>
      <c r="M1196" s="10"/>
      <c r="N1196" s="10"/>
      <c r="O1196" s="10"/>
      <c r="P1196" s="10"/>
      <c r="Q1196" s="10"/>
      <c r="R1196" s="10"/>
      <c r="S1196" s="10"/>
      <c r="T1196" s="14"/>
      <c r="U1196" s="10"/>
      <c r="V1196" s="10"/>
      <c r="W1196" s="10"/>
      <c r="X1196" s="7"/>
      <c r="Y1196" s="7"/>
      <c r="Z1196" s="7"/>
      <c r="AA1196" s="34"/>
      <c r="AB1196" s="7"/>
      <c r="AC1196" s="34"/>
      <c r="AD1196" s="10"/>
      <c r="AE1196"/>
      <c r="AF1196"/>
    </row>
    <row r="1197" spans="1:32" x14ac:dyDescent="0.25">
      <c r="A1197" s="16"/>
      <c r="C1197" s="70"/>
      <c r="D1197" s="70"/>
      <c r="E1197" s="73"/>
      <c r="F1197" s="9"/>
      <c r="H1197" s="9"/>
      <c r="I1197" s="10"/>
      <c r="J1197" s="10"/>
      <c r="K1197" s="7"/>
      <c r="L1197" s="10"/>
      <c r="M1197" s="10"/>
      <c r="N1197" s="10"/>
      <c r="O1197" s="10"/>
      <c r="P1197" s="10"/>
      <c r="Q1197" s="10"/>
      <c r="R1197" s="10"/>
      <c r="S1197" s="10"/>
      <c r="T1197" s="14"/>
      <c r="U1197" s="10"/>
      <c r="V1197" s="10"/>
      <c r="W1197" s="10"/>
      <c r="X1197" s="7"/>
      <c r="Y1197" s="7"/>
      <c r="Z1197" s="7"/>
      <c r="AA1197" s="34"/>
      <c r="AB1197" s="7"/>
      <c r="AC1197" s="34"/>
      <c r="AD1197" s="10"/>
      <c r="AE1197"/>
      <c r="AF1197"/>
    </row>
    <row r="1198" spans="1:32" x14ac:dyDescent="0.25">
      <c r="A1198" s="16"/>
      <c r="C1198" s="70"/>
      <c r="D1198" s="70"/>
      <c r="E1198" s="73"/>
      <c r="F1198" s="9"/>
      <c r="H1198" s="9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4"/>
      <c r="U1198" s="10"/>
      <c r="V1198" s="10"/>
      <c r="W1198" s="10"/>
      <c r="X1198" s="7"/>
      <c r="Y1198" s="7"/>
      <c r="Z1198" s="7"/>
      <c r="AA1198" s="34"/>
      <c r="AB1198" s="7"/>
      <c r="AC1198" s="34"/>
      <c r="AD1198" s="10"/>
      <c r="AE1198"/>
      <c r="AF1198"/>
    </row>
    <row r="1199" spans="1:32" x14ac:dyDescent="0.25">
      <c r="A1199" s="16"/>
      <c r="C1199" s="70"/>
      <c r="D1199" s="70"/>
      <c r="E1199" s="73"/>
      <c r="F1199" s="9"/>
      <c r="H1199" s="9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4"/>
      <c r="U1199" s="10"/>
      <c r="V1199" s="10"/>
      <c r="W1199" s="10"/>
      <c r="X1199" s="7"/>
      <c r="Y1199" s="34"/>
      <c r="Z1199" s="7"/>
      <c r="AA1199" s="34"/>
      <c r="AB1199" s="7"/>
      <c r="AC1199" s="34"/>
      <c r="AD1199" s="10"/>
      <c r="AE1199"/>
      <c r="AF1199"/>
    </row>
    <row r="1200" spans="1:32" x14ac:dyDescent="0.25">
      <c r="A1200" s="16"/>
      <c r="C1200" s="70"/>
      <c r="D1200" s="70"/>
      <c r="E1200" s="73"/>
      <c r="F1200" s="9"/>
      <c r="H1200" s="9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4"/>
      <c r="U1200" s="10"/>
      <c r="V1200" s="10"/>
      <c r="W1200" s="10"/>
      <c r="X1200" s="7"/>
      <c r="Y1200" s="34"/>
      <c r="Z1200" s="7"/>
      <c r="AA1200" s="34"/>
      <c r="AB1200" s="7"/>
      <c r="AC1200" s="34"/>
      <c r="AD1200" s="10"/>
      <c r="AE1200"/>
      <c r="AF1200"/>
    </row>
    <row r="1201" spans="1:32" x14ac:dyDescent="0.25">
      <c r="A1201" s="16"/>
      <c r="C1201" s="70"/>
      <c r="D1201" s="70"/>
      <c r="E1201" s="73"/>
      <c r="F1201" s="9"/>
      <c r="H1201" s="9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4"/>
      <c r="U1201" s="10"/>
      <c r="V1201" s="10"/>
      <c r="W1201" s="10"/>
      <c r="X1201" s="7"/>
      <c r="Y1201" s="7"/>
      <c r="Z1201" s="7"/>
      <c r="AA1201" s="34"/>
      <c r="AB1201" s="7"/>
      <c r="AC1201" s="34"/>
      <c r="AD1201" s="10"/>
      <c r="AE1201"/>
      <c r="AF1201"/>
    </row>
    <row r="1202" spans="1:32" x14ac:dyDescent="0.25">
      <c r="A1202" s="16"/>
      <c r="C1202" s="70"/>
      <c r="D1202" s="70"/>
      <c r="E1202" s="73"/>
      <c r="F1202" s="9"/>
      <c r="H1202" s="9"/>
      <c r="I1202" s="10"/>
      <c r="J1202" s="10"/>
      <c r="K1202" s="7"/>
      <c r="L1202" s="10"/>
      <c r="M1202" s="10"/>
      <c r="N1202" s="10"/>
      <c r="O1202" s="10"/>
      <c r="P1202" s="10"/>
      <c r="Q1202" s="10"/>
      <c r="R1202" s="10"/>
      <c r="S1202" s="10"/>
      <c r="T1202" s="14"/>
      <c r="U1202" s="10"/>
      <c r="V1202" s="10"/>
      <c r="W1202" s="10"/>
      <c r="X1202" s="7"/>
      <c r="Y1202" s="7"/>
      <c r="Z1202" s="7"/>
      <c r="AA1202" s="34"/>
      <c r="AB1202" s="7"/>
      <c r="AC1202" s="34"/>
      <c r="AD1202" s="10"/>
      <c r="AE1202"/>
      <c r="AF1202"/>
    </row>
    <row r="1203" spans="1:32" x14ac:dyDescent="0.25">
      <c r="A1203" s="16"/>
      <c r="C1203" s="70"/>
      <c r="D1203" s="70"/>
      <c r="E1203" s="73"/>
      <c r="F1203" s="9"/>
      <c r="H1203" s="9"/>
      <c r="I1203" s="10"/>
      <c r="J1203" s="7"/>
      <c r="K1203" s="7"/>
      <c r="L1203" s="10"/>
      <c r="M1203" s="10"/>
      <c r="N1203" s="10"/>
      <c r="O1203" s="10"/>
      <c r="P1203" s="10"/>
      <c r="Q1203" s="10"/>
      <c r="R1203" s="10"/>
      <c r="S1203" s="10"/>
      <c r="T1203" s="14"/>
      <c r="U1203" s="10"/>
      <c r="V1203" s="10"/>
      <c r="W1203" s="10"/>
      <c r="X1203" s="7"/>
      <c r="Y1203" s="7"/>
      <c r="Z1203" s="7"/>
      <c r="AA1203" s="34"/>
      <c r="AB1203" s="7"/>
      <c r="AC1203" s="34"/>
      <c r="AD1203" s="10"/>
      <c r="AE1203"/>
      <c r="AF1203"/>
    </row>
    <row r="1204" spans="1:32" x14ac:dyDescent="0.25">
      <c r="A1204" s="16"/>
      <c r="C1204" s="70"/>
      <c r="D1204" s="70"/>
      <c r="E1204" s="73"/>
      <c r="F1204" s="9"/>
      <c r="H1204" s="9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4"/>
      <c r="U1204" s="10"/>
      <c r="V1204" s="10"/>
      <c r="W1204" s="10"/>
      <c r="X1204" s="7"/>
      <c r="Y1204" s="7"/>
      <c r="Z1204" s="7"/>
      <c r="AA1204" s="34"/>
      <c r="AB1204" s="7"/>
      <c r="AC1204" s="34"/>
      <c r="AD1204" s="10"/>
      <c r="AE1204"/>
      <c r="AF1204"/>
    </row>
    <row r="1205" spans="1:32" x14ac:dyDescent="0.25">
      <c r="A1205" s="16"/>
      <c r="C1205" s="70"/>
      <c r="D1205" s="70"/>
      <c r="E1205" s="73"/>
      <c r="F1205" s="9"/>
      <c r="H1205" s="9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4"/>
      <c r="U1205" s="10"/>
      <c r="V1205" s="10"/>
      <c r="W1205" s="10"/>
      <c r="X1205" s="7"/>
      <c r="Y1205" s="7"/>
      <c r="Z1205" s="7"/>
      <c r="AA1205" s="34"/>
      <c r="AB1205" s="7"/>
      <c r="AC1205" s="34"/>
      <c r="AD1205" s="10"/>
      <c r="AE1205"/>
      <c r="AF1205"/>
    </row>
    <row r="1206" spans="1:32" x14ac:dyDescent="0.25">
      <c r="A1206" s="16"/>
      <c r="C1206" s="70"/>
      <c r="D1206" s="70"/>
      <c r="E1206" s="73"/>
      <c r="F1206" s="9"/>
      <c r="H1206" s="9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4"/>
      <c r="U1206" s="10"/>
      <c r="V1206" s="10"/>
      <c r="W1206" s="10"/>
      <c r="X1206" s="7"/>
      <c r="Y1206" s="7"/>
      <c r="Z1206" s="7"/>
      <c r="AA1206" s="34"/>
      <c r="AB1206" s="7"/>
      <c r="AC1206" s="34"/>
      <c r="AD1206" s="10"/>
      <c r="AE1206"/>
      <c r="AF1206"/>
    </row>
    <row r="1207" spans="1:32" x14ac:dyDescent="0.25">
      <c r="A1207" s="16"/>
      <c r="C1207" s="70"/>
      <c r="D1207" s="70"/>
      <c r="E1207" s="73"/>
      <c r="F1207" s="45"/>
      <c r="H1207" s="9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4"/>
      <c r="U1207" s="10"/>
      <c r="V1207" s="10"/>
      <c r="W1207" s="10"/>
      <c r="X1207" s="7"/>
      <c r="Y1207" s="7"/>
      <c r="Z1207" s="7"/>
      <c r="AA1207" s="34"/>
      <c r="AB1207" s="7"/>
      <c r="AC1207" s="34"/>
      <c r="AD1207" s="10"/>
      <c r="AE1207"/>
      <c r="AF1207"/>
    </row>
    <row r="1208" spans="1:32" x14ac:dyDescent="0.25">
      <c r="A1208" s="16"/>
      <c r="C1208" s="70"/>
      <c r="D1208" s="70"/>
      <c r="E1208" s="73"/>
      <c r="F1208" s="9"/>
      <c r="H1208" s="9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4"/>
      <c r="U1208" s="10"/>
      <c r="V1208" s="10"/>
      <c r="W1208" s="10"/>
      <c r="X1208" s="7"/>
      <c r="Y1208" s="7"/>
      <c r="Z1208" s="34"/>
      <c r="AA1208" s="34"/>
      <c r="AB1208" s="7"/>
      <c r="AC1208" s="34"/>
      <c r="AD1208" s="10"/>
      <c r="AE1208"/>
      <c r="AF1208"/>
    </row>
    <row r="1209" spans="1:32" x14ac:dyDescent="0.25">
      <c r="A1209" s="16"/>
      <c r="C1209" s="70"/>
      <c r="D1209" s="70"/>
      <c r="E1209" s="73"/>
      <c r="F1209" s="9"/>
      <c r="H1209" s="9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4"/>
      <c r="U1209" s="10"/>
      <c r="V1209" s="10"/>
      <c r="W1209" s="10"/>
      <c r="X1209" s="7"/>
      <c r="Y1209" s="7"/>
      <c r="Z1209" s="7"/>
      <c r="AA1209" s="34"/>
      <c r="AB1209" s="7"/>
      <c r="AC1209" s="34"/>
      <c r="AD1209" s="10"/>
      <c r="AE1209"/>
      <c r="AF1209"/>
    </row>
    <row r="1210" spans="1:32" x14ac:dyDescent="0.25">
      <c r="A1210" s="16"/>
      <c r="C1210" s="70"/>
      <c r="D1210" s="70"/>
      <c r="E1210" s="73"/>
      <c r="F1210" s="9"/>
      <c r="H1210" s="9"/>
      <c r="I1210" s="10"/>
      <c r="J1210" s="7"/>
      <c r="K1210" s="7"/>
      <c r="L1210" s="10"/>
      <c r="M1210" s="10"/>
      <c r="N1210" s="10"/>
      <c r="O1210" s="10"/>
      <c r="P1210" s="10"/>
      <c r="Q1210" s="10"/>
      <c r="R1210" s="10"/>
      <c r="S1210" s="10"/>
      <c r="T1210" s="14"/>
      <c r="U1210" s="10"/>
      <c r="V1210" s="10"/>
      <c r="W1210" s="10"/>
      <c r="X1210" s="7"/>
      <c r="Y1210" s="7"/>
      <c r="Z1210" s="7"/>
      <c r="AA1210" s="34"/>
      <c r="AB1210" s="7"/>
      <c r="AC1210" s="34"/>
      <c r="AD1210" s="10"/>
      <c r="AE1210"/>
      <c r="AF1210"/>
    </row>
    <row r="1211" spans="1:32" x14ac:dyDescent="0.25">
      <c r="A1211" s="16"/>
      <c r="C1211" s="70"/>
      <c r="D1211" s="70"/>
      <c r="E1211" s="73"/>
      <c r="F1211" s="9"/>
      <c r="H1211" s="9"/>
      <c r="I1211" s="10"/>
      <c r="J1211" s="7"/>
      <c r="K1211" s="7"/>
      <c r="L1211" s="10"/>
      <c r="M1211" s="10"/>
      <c r="N1211" s="10"/>
      <c r="O1211" s="10"/>
      <c r="P1211" s="10"/>
      <c r="Q1211" s="10"/>
      <c r="R1211" s="10"/>
      <c r="S1211" s="10"/>
      <c r="T1211" s="14"/>
      <c r="U1211" s="10"/>
      <c r="V1211" s="10"/>
      <c r="W1211" s="10"/>
      <c r="X1211" s="7"/>
      <c r="Y1211" s="7"/>
      <c r="Z1211" s="7"/>
      <c r="AA1211" s="34"/>
      <c r="AB1211" s="7"/>
      <c r="AC1211" s="34"/>
      <c r="AD1211" s="10"/>
      <c r="AE1211"/>
      <c r="AF1211"/>
    </row>
    <row r="1212" spans="1:32" x14ac:dyDescent="0.25">
      <c r="A1212" s="16"/>
      <c r="C1212" s="70"/>
      <c r="D1212" s="70"/>
      <c r="E1212" s="73"/>
      <c r="F1212" s="9"/>
      <c r="H1212" s="9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4"/>
      <c r="U1212" s="10"/>
      <c r="V1212" s="10"/>
      <c r="W1212" s="10"/>
      <c r="X1212" s="7"/>
      <c r="Y1212" s="7"/>
      <c r="Z1212" s="7"/>
      <c r="AA1212" s="34"/>
      <c r="AB1212" s="7"/>
      <c r="AC1212" s="34"/>
      <c r="AD1212" s="10"/>
      <c r="AE1212"/>
      <c r="AF1212"/>
    </row>
    <row r="1213" spans="1:32" x14ac:dyDescent="0.25">
      <c r="A1213" s="16"/>
      <c r="C1213" s="70"/>
      <c r="D1213" s="70"/>
      <c r="E1213" s="73"/>
      <c r="F1213" s="9"/>
      <c r="H1213" s="9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4"/>
      <c r="U1213" s="10"/>
      <c r="V1213" s="10"/>
      <c r="W1213" s="10"/>
      <c r="X1213" s="7"/>
      <c r="Y1213" s="7"/>
      <c r="Z1213" s="7"/>
      <c r="AA1213" s="34"/>
      <c r="AB1213" s="7"/>
      <c r="AC1213" s="34"/>
      <c r="AD1213" s="10"/>
      <c r="AE1213"/>
      <c r="AF1213"/>
    </row>
    <row r="1214" spans="1:32" x14ac:dyDescent="0.25">
      <c r="A1214" s="16"/>
      <c r="C1214" s="70"/>
      <c r="D1214" s="70"/>
      <c r="E1214" s="73"/>
      <c r="F1214" s="9"/>
      <c r="H1214" s="9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4"/>
      <c r="U1214" s="10"/>
      <c r="V1214" s="10"/>
      <c r="W1214" s="10"/>
      <c r="X1214" s="7"/>
      <c r="Y1214" s="7"/>
      <c r="Z1214" s="7"/>
      <c r="AA1214" s="34"/>
      <c r="AB1214" s="7"/>
      <c r="AC1214" s="34"/>
      <c r="AD1214" s="10"/>
      <c r="AE1214"/>
      <c r="AF1214"/>
    </row>
    <row r="1215" spans="1:32" x14ac:dyDescent="0.25">
      <c r="A1215" s="16"/>
      <c r="C1215" s="70"/>
      <c r="D1215" s="70"/>
      <c r="E1215" s="73"/>
      <c r="F1215" s="9"/>
      <c r="H1215" s="9"/>
      <c r="I1215" s="10"/>
      <c r="J1215" s="10"/>
      <c r="K1215" s="7"/>
      <c r="L1215" s="10"/>
      <c r="M1215" s="10"/>
      <c r="N1215" s="10"/>
      <c r="O1215" s="10"/>
      <c r="P1215" s="10"/>
      <c r="Q1215" s="10"/>
      <c r="R1215" s="10"/>
      <c r="S1215" s="10"/>
      <c r="T1215" s="14"/>
      <c r="U1215" s="10"/>
      <c r="V1215" s="10"/>
      <c r="W1215" s="10"/>
      <c r="X1215" s="7"/>
      <c r="Y1215" s="7"/>
      <c r="Z1215" s="7"/>
      <c r="AA1215" s="34"/>
      <c r="AB1215" s="7"/>
      <c r="AC1215" s="34"/>
      <c r="AD1215" s="10"/>
      <c r="AE1215"/>
      <c r="AF1215"/>
    </row>
    <row r="1216" spans="1:32" x14ac:dyDescent="0.25">
      <c r="A1216" s="16"/>
      <c r="C1216" s="70"/>
      <c r="D1216" s="70"/>
      <c r="E1216" s="73"/>
      <c r="F1216" s="9"/>
      <c r="H1216" s="9"/>
      <c r="I1216" s="10"/>
      <c r="J1216" s="7"/>
      <c r="K1216" s="7"/>
      <c r="L1216" s="10"/>
      <c r="M1216" s="10"/>
      <c r="N1216" s="10"/>
      <c r="O1216" s="10"/>
      <c r="P1216" s="10"/>
      <c r="Q1216" s="10"/>
      <c r="R1216" s="10"/>
      <c r="S1216" s="10"/>
      <c r="T1216" s="14"/>
      <c r="U1216" s="10"/>
      <c r="V1216" s="10"/>
      <c r="W1216" s="10"/>
      <c r="X1216" s="7"/>
      <c r="Y1216" s="7"/>
      <c r="Z1216" s="7"/>
      <c r="AA1216" s="34"/>
      <c r="AB1216" s="7"/>
      <c r="AC1216" s="34"/>
      <c r="AD1216" s="10"/>
      <c r="AE1216"/>
      <c r="AF1216"/>
    </row>
    <row r="1217" spans="1:32" x14ac:dyDescent="0.25">
      <c r="A1217" s="16"/>
      <c r="C1217" s="70"/>
      <c r="D1217" s="70"/>
      <c r="E1217" s="73"/>
      <c r="F1217" s="9"/>
      <c r="H1217" s="9"/>
      <c r="I1217" s="10"/>
      <c r="J1217" s="7"/>
      <c r="K1217" s="7"/>
      <c r="L1217" s="10"/>
      <c r="M1217" s="10"/>
      <c r="N1217" s="10"/>
      <c r="O1217" s="10"/>
      <c r="P1217" s="10"/>
      <c r="Q1217" s="10"/>
      <c r="R1217" s="10"/>
      <c r="S1217" s="10"/>
      <c r="T1217" s="14"/>
      <c r="U1217" s="10"/>
      <c r="V1217" s="10"/>
      <c r="W1217" s="10"/>
      <c r="X1217" s="7"/>
      <c r="Y1217" s="7"/>
      <c r="Z1217" s="7"/>
      <c r="AA1217" s="34"/>
      <c r="AB1217" s="7"/>
      <c r="AC1217" s="34"/>
      <c r="AD1217" s="10"/>
      <c r="AE1217"/>
      <c r="AF1217"/>
    </row>
    <row r="1218" spans="1:32" x14ac:dyDescent="0.25">
      <c r="A1218" s="16"/>
      <c r="C1218" s="70"/>
      <c r="D1218" s="70"/>
      <c r="E1218" s="73"/>
      <c r="F1218" s="9"/>
      <c r="H1218" s="9"/>
      <c r="I1218" s="10"/>
      <c r="J1218" s="10"/>
      <c r="K1218" s="7"/>
      <c r="L1218" s="10"/>
      <c r="M1218" s="10"/>
      <c r="N1218" s="10"/>
      <c r="O1218" s="10"/>
      <c r="P1218" s="10"/>
      <c r="Q1218" s="10"/>
      <c r="R1218" s="10"/>
      <c r="S1218" s="10"/>
      <c r="T1218" s="14"/>
      <c r="U1218" s="10"/>
      <c r="V1218" s="10"/>
      <c r="W1218" s="10"/>
      <c r="X1218" s="7"/>
      <c r="Y1218" s="7"/>
      <c r="Z1218" s="7"/>
      <c r="AA1218" s="34"/>
      <c r="AB1218" s="7"/>
      <c r="AC1218" s="34"/>
      <c r="AD1218" s="10"/>
      <c r="AE1218"/>
      <c r="AF1218"/>
    </row>
    <row r="1219" spans="1:32" x14ac:dyDescent="0.25">
      <c r="A1219" s="16"/>
      <c r="C1219" s="70"/>
      <c r="D1219" s="70"/>
      <c r="E1219" s="73"/>
      <c r="F1219" s="9"/>
      <c r="H1219" s="9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4"/>
      <c r="U1219" s="10"/>
      <c r="V1219" s="10"/>
      <c r="W1219" s="10"/>
      <c r="X1219" s="7"/>
      <c r="Y1219" s="7"/>
      <c r="Z1219" s="7"/>
      <c r="AA1219" s="34"/>
      <c r="AB1219" s="7"/>
      <c r="AC1219" s="34"/>
      <c r="AD1219" s="10"/>
      <c r="AE1219"/>
      <c r="AF1219"/>
    </row>
    <row r="1220" spans="1:32" x14ac:dyDescent="0.25">
      <c r="A1220" s="16"/>
      <c r="C1220" s="70"/>
      <c r="D1220" s="70"/>
      <c r="E1220" s="73"/>
      <c r="F1220" s="9"/>
      <c r="H1220" s="9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4"/>
      <c r="U1220" s="10"/>
      <c r="V1220" s="10"/>
      <c r="W1220" s="10"/>
      <c r="X1220" s="7"/>
      <c r="Y1220" s="7"/>
      <c r="Z1220" s="7"/>
      <c r="AA1220" s="34"/>
      <c r="AB1220" s="7"/>
      <c r="AC1220" s="34"/>
      <c r="AD1220" s="10"/>
      <c r="AE1220"/>
      <c r="AF1220"/>
    </row>
    <row r="1221" spans="1:32" x14ac:dyDescent="0.25">
      <c r="A1221" s="16"/>
      <c r="C1221" s="70"/>
      <c r="D1221" s="70"/>
      <c r="E1221" s="73"/>
      <c r="F1221" s="9"/>
      <c r="H1221" s="9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4"/>
      <c r="U1221" s="10"/>
      <c r="V1221" s="10"/>
      <c r="W1221" s="10"/>
      <c r="X1221" s="7"/>
      <c r="Y1221" s="7"/>
      <c r="Z1221" s="7"/>
      <c r="AA1221" s="34"/>
      <c r="AB1221" s="7"/>
      <c r="AC1221" s="34"/>
      <c r="AD1221" s="10"/>
      <c r="AE1221"/>
      <c r="AF1221"/>
    </row>
    <row r="1222" spans="1:32" x14ac:dyDescent="0.25">
      <c r="A1222" s="16"/>
      <c r="C1222" s="70"/>
      <c r="D1222" s="70"/>
      <c r="E1222" s="73"/>
      <c r="F1222" s="9"/>
      <c r="H1222" s="9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4"/>
      <c r="U1222" s="10"/>
      <c r="V1222" s="10"/>
      <c r="W1222" s="10"/>
      <c r="X1222" s="7"/>
      <c r="Y1222" s="7"/>
      <c r="Z1222" s="7"/>
      <c r="AA1222" s="34"/>
      <c r="AB1222" s="7"/>
      <c r="AC1222" s="34"/>
      <c r="AD1222" s="10"/>
      <c r="AE1222"/>
      <c r="AF1222"/>
    </row>
    <row r="1223" spans="1:32" x14ac:dyDescent="0.25">
      <c r="A1223" s="16"/>
      <c r="C1223" s="70"/>
      <c r="D1223" s="70"/>
      <c r="E1223" s="73"/>
      <c r="F1223" s="9"/>
      <c r="H1223" s="9"/>
      <c r="I1223" s="14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4"/>
      <c r="U1223" s="10"/>
      <c r="V1223" s="10"/>
      <c r="W1223" s="10"/>
      <c r="X1223" s="7"/>
      <c r="Y1223" s="7"/>
      <c r="Z1223" s="7"/>
      <c r="AA1223" s="34"/>
      <c r="AB1223" s="7"/>
      <c r="AC1223" s="34"/>
      <c r="AD1223" s="10"/>
      <c r="AE1223"/>
      <c r="AF1223"/>
    </row>
    <row r="1224" spans="1:32" x14ac:dyDescent="0.25">
      <c r="A1224" s="16"/>
      <c r="C1224" s="70"/>
      <c r="D1224" s="70"/>
      <c r="E1224" s="73"/>
      <c r="F1224" s="9"/>
      <c r="H1224" s="9"/>
      <c r="I1224" s="14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4"/>
      <c r="U1224" s="10"/>
      <c r="V1224" s="10"/>
      <c r="W1224" s="10"/>
      <c r="X1224" s="7"/>
      <c r="Y1224" s="7"/>
      <c r="Z1224" s="7"/>
      <c r="AA1224" s="34"/>
      <c r="AB1224" s="7"/>
      <c r="AC1224" s="34"/>
      <c r="AD1224" s="10"/>
      <c r="AE1224"/>
      <c r="AF1224"/>
    </row>
    <row r="1225" spans="1:32" ht="15.75" thickBot="1" x14ac:dyDescent="0.3">
      <c r="A1225" s="16"/>
      <c r="C1225" s="70"/>
      <c r="D1225" s="70"/>
      <c r="E1225" s="73"/>
      <c r="F1225" s="9"/>
      <c r="H1225" s="9"/>
      <c r="I1225" s="14"/>
      <c r="J1225" s="10"/>
      <c r="K1225" s="7"/>
      <c r="L1225" s="10"/>
      <c r="M1225" s="10"/>
      <c r="N1225" s="10"/>
      <c r="O1225" s="10"/>
      <c r="P1225" s="10"/>
      <c r="Q1225" s="10"/>
      <c r="R1225" s="10"/>
      <c r="S1225" s="10"/>
      <c r="T1225" s="14"/>
      <c r="U1225" s="10"/>
      <c r="V1225" s="10"/>
      <c r="W1225" s="10"/>
      <c r="X1225" s="7"/>
      <c r="Y1225" s="7"/>
      <c r="Z1225" s="7"/>
      <c r="AA1225" s="34"/>
      <c r="AB1225" s="7"/>
      <c r="AC1225" s="34"/>
      <c r="AD1225" s="10"/>
      <c r="AE1225"/>
      <c r="AF1225"/>
    </row>
    <row r="1226" spans="1:32" ht="19.5" thickBot="1" x14ac:dyDescent="0.35">
      <c r="A1226" s="6" t="s">
        <v>8</v>
      </c>
      <c r="B1226" s="67"/>
      <c r="C1226" s="75"/>
      <c r="D1226" s="75"/>
      <c r="E1226" s="81"/>
      <c r="F1226" s="29"/>
      <c r="G1226" s="29"/>
      <c r="H1226" s="29"/>
      <c r="I1226" s="37" t="e">
        <f>SUM(#REF!)</f>
        <v>#REF!</v>
      </c>
      <c r="J1226" s="38" t="e">
        <f>SUM(#REF!)</f>
        <v>#REF!</v>
      </c>
      <c r="K1226" s="38" t="e">
        <f>SUM(#REF!)</f>
        <v>#REF!</v>
      </c>
      <c r="L1226" s="38" t="e">
        <f>SUM(#REF!)</f>
        <v>#REF!</v>
      </c>
      <c r="M1226" s="38" t="e">
        <f>SUM(#REF!)</f>
        <v>#REF!</v>
      </c>
      <c r="N1226" s="38" t="e">
        <f>SUM(#REF!)</f>
        <v>#REF!</v>
      </c>
      <c r="O1226" s="38" t="e">
        <f>SUM(#REF!)</f>
        <v>#REF!</v>
      </c>
      <c r="P1226" s="38" t="e">
        <f>SUM(#REF!)</f>
        <v>#REF!</v>
      </c>
      <c r="Q1226" s="38" t="e">
        <f>SUM(#REF!)</f>
        <v>#REF!</v>
      </c>
      <c r="R1226" s="38" t="e">
        <f>SUM(#REF!)</f>
        <v>#REF!</v>
      </c>
      <c r="S1226" s="38" t="e">
        <f>SUM(#REF!)</f>
        <v>#REF!</v>
      </c>
      <c r="T1226" s="37" t="e">
        <f>SUM(#REF!)</f>
        <v>#REF!</v>
      </c>
      <c r="U1226" s="38"/>
      <c r="V1226" s="38"/>
      <c r="W1226" s="10" t="e">
        <f>SUM(T1226:V1226)-SUM(I1226:S1226)</f>
        <v>#REF!</v>
      </c>
      <c r="X1226" s="7"/>
      <c r="Y1226" s="7"/>
      <c r="Z1226" s="7"/>
      <c r="AA1226" s="17"/>
      <c r="AB1226" s="7"/>
      <c r="AC1226" s="17"/>
      <c r="AE1226"/>
      <c r="AF1226"/>
    </row>
    <row r="1227" spans="1:32" ht="15.75" thickTop="1" x14ac:dyDescent="0.25">
      <c r="C1227" s="70"/>
      <c r="D1227" s="70"/>
      <c r="E1227" s="73"/>
      <c r="F1227" s="9"/>
      <c r="H1227" s="9"/>
      <c r="I1227" s="14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4"/>
      <c r="U1227" s="10"/>
      <c r="V1227" s="10"/>
      <c r="W1227" s="10"/>
      <c r="X1227" s="7"/>
      <c r="Y1227" s="7"/>
      <c r="Z1227" s="7"/>
      <c r="AA1227" s="17"/>
      <c r="AB1227" s="7"/>
      <c r="AC1227" s="17"/>
      <c r="AE1227"/>
      <c r="AF1227"/>
    </row>
    <row r="1228" spans="1:32" x14ac:dyDescent="0.25">
      <c r="C1228" s="70"/>
      <c r="D1228" s="70"/>
      <c r="E1228" s="73"/>
      <c r="F1228" s="9"/>
      <c r="H1228" s="9"/>
      <c r="I1228" s="14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4"/>
      <c r="U1228" s="10"/>
      <c r="V1228" s="10"/>
      <c r="W1228" s="10"/>
      <c r="X1228" s="7"/>
      <c r="Y1228" s="7"/>
      <c r="Z1228" s="7"/>
      <c r="AA1228" s="17"/>
      <c r="AB1228" s="7"/>
      <c r="AC1228" s="17"/>
      <c r="AE1228"/>
      <c r="AF1228"/>
    </row>
  </sheetData>
  <mergeCells count="3">
    <mergeCell ref="A7:K7"/>
    <mergeCell ref="L7:AA7"/>
    <mergeCell ref="AB7:AC7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315"/>
  <sheetViews>
    <sheetView zoomScaleNormal="100" workbookViewId="0">
      <pane xSplit="11" ySplit="8" topLeftCell="L412" activePane="bottomRight" state="frozen"/>
      <selection pane="topRight" activeCell="L1" sqref="L1"/>
      <selection pane="bottomLeft" activeCell="A9" sqref="A9"/>
      <selection pane="bottomRight" activeCell="I422" sqref="I422"/>
    </sheetView>
  </sheetViews>
  <sheetFormatPr defaultRowHeight="15" x14ac:dyDescent="0.25"/>
  <cols>
    <col min="1" max="1" width="9.42578125" customWidth="1"/>
    <col min="2" max="2" width="10.85546875" style="9" customWidth="1"/>
    <col min="3" max="3" width="8.42578125" style="69" bestFit="1" customWidth="1"/>
    <col min="4" max="4" width="6.28515625" style="69" customWidth="1"/>
    <col min="5" max="5" width="7.5703125" style="76" bestFit="1" customWidth="1"/>
    <col min="6" max="6" width="22.140625" style="1" bestFit="1" customWidth="1"/>
    <col min="7" max="7" width="12.85546875" style="9" bestFit="1" customWidth="1"/>
    <col min="8" max="8" width="7.85546875" style="1" customWidth="1"/>
    <col min="9" max="9" width="47" style="5" bestFit="1" customWidth="1"/>
    <col min="10" max="10" width="14.28515625" style="2" customWidth="1"/>
    <col min="11" max="11" width="16.7109375" style="2" customWidth="1"/>
    <col min="12" max="12" width="19.5703125" style="2" customWidth="1"/>
    <col min="13" max="13" width="20.5703125" style="2" customWidth="1"/>
    <col min="14" max="14" width="17.42578125" style="2" customWidth="1"/>
    <col min="15" max="15" width="11.5703125" style="2" customWidth="1"/>
    <col min="16" max="16" width="20.140625" style="2" customWidth="1"/>
    <col min="17" max="17" width="18.140625" style="2" customWidth="1"/>
    <col min="18" max="18" width="15" style="2" customWidth="1"/>
    <col min="19" max="19" width="18" style="2" customWidth="1"/>
    <col min="20" max="20" width="18.28515625" style="5" customWidth="1"/>
    <col min="21" max="22" width="12" style="2" customWidth="1"/>
    <col min="23" max="23" width="15.28515625" style="2" customWidth="1"/>
    <col min="24" max="24" width="11.42578125" bestFit="1" customWidth="1"/>
    <col min="25" max="25" width="10.42578125" bestFit="1" customWidth="1"/>
    <col min="26" max="26" width="13" customWidth="1"/>
    <col min="27" max="27" width="15.42578125" style="30" customWidth="1"/>
    <col min="28" max="28" width="3.7109375" customWidth="1"/>
    <col min="29" max="29" width="13" style="30" customWidth="1"/>
    <col min="30" max="30" width="12.5703125" style="7" customWidth="1"/>
    <col min="31" max="31" width="20.140625" style="7" bestFit="1" customWidth="1"/>
    <col min="32" max="32" width="10.42578125" style="17" bestFit="1" customWidth="1"/>
  </cols>
  <sheetData>
    <row r="1" spans="1:32" ht="26.25" x14ac:dyDescent="0.4">
      <c r="A1" s="3" t="s">
        <v>57</v>
      </c>
      <c r="I1"/>
      <c r="J1"/>
      <c r="K1"/>
      <c r="T1" s="2"/>
      <c r="X1" s="2"/>
      <c r="Y1" s="2"/>
      <c r="Z1" s="2"/>
      <c r="AB1" s="2"/>
      <c r="AD1" s="10"/>
    </row>
    <row r="2" spans="1:32" x14ac:dyDescent="0.25">
      <c r="A2" t="s">
        <v>9</v>
      </c>
      <c r="I2"/>
      <c r="J2"/>
      <c r="K2"/>
      <c r="T2" s="2"/>
      <c r="X2" s="2"/>
      <c r="Y2" s="2"/>
      <c r="Z2" s="2"/>
      <c r="AB2" s="2"/>
      <c r="AD2" s="10"/>
    </row>
    <row r="3" spans="1:32" x14ac:dyDescent="0.25">
      <c r="A3" s="4" t="s">
        <v>2989</v>
      </c>
      <c r="I3"/>
      <c r="J3"/>
      <c r="K3"/>
      <c r="T3" s="2"/>
      <c r="X3" s="2"/>
      <c r="Y3" s="2"/>
      <c r="Z3" s="2"/>
      <c r="AB3" s="2"/>
      <c r="AD3" s="10"/>
    </row>
    <row r="4" spans="1:32" x14ac:dyDescent="0.25">
      <c r="I4"/>
      <c r="J4"/>
      <c r="K4"/>
      <c r="T4" s="2"/>
      <c r="X4" s="2"/>
      <c r="Y4" s="2"/>
      <c r="Z4" s="2"/>
      <c r="AB4" s="2"/>
      <c r="AD4" s="10"/>
    </row>
    <row r="5" spans="1:32" x14ac:dyDescent="0.25">
      <c r="A5" s="7"/>
      <c r="C5" s="70"/>
      <c r="D5" s="70"/>
      <c r="E5" s="73"/>
      <c r="F5" s="9"/>
      <c r="H5" s="9"/>
      <c r="I5" s="7"/>
      <c r="J5" s="7"/>
      <c r="K5" s="7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7"/>
      <c r="AB5" s="10"/>
      <c r="AC5" s="17"/>
      <c r="AD5" s="10"/>
    </row>
    <row r="6" spans="1:32" ht="15.75" thickBot="1" x14ac:dyDescent="0.3">
      <c r="A6" s="7"/>
      <c r="C6" s="70"/>
      <c r="D6" s="70"/>
      <c r="E6" s="73"/>
      <c r="F6" s="9"/>
      <c r="H6" s="9"/>
      <c r="I6" s="7"/>
      <c r="J6" s="7"/>
      <c r="K6" s="7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7"/>
      <c r="AB6" s="10"/>
      <c r="AC6" s="17"/>
      <c r="AD6" s="10"/>
    </row>
    <row r="7" spans="1:32" ht="15.75" thickBot="1" x14ac:dyDescent="0.3">
      <c r="A7" s="180" t="s">
        <v>11</v>
      </c>
      <c r="B7" s="181"/>
      <c r="C7" s="181"/>
      <c r="D7" s="181"/>
      <c r="E7" s="181"/>
      <c r="F7" s="181"/>
      <c r="G7" s="181"/>
      <c r="H7" s="181"/>
      <c r="I7" s="181"/>
      <c r="J7" s="181"/>
      <c r="K7" s="182"/>
      <c r="L7" s="183" t="s">
        <v>7</v>
      </c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5"/>
      <c r="AC7" s="186"/>
      <c r="AD7" s="10"/>
    </row>
    <row r="8" spans="1:32" ht="36" x14ac:dyDescent="0.25">
      <c r="A8" s="8" t="s">
        <v>10</v>
      </c>
      <c r="B8" s="8" t="s">
        <v>5</v>
      </c>
      <c r="C8" s="71" t="s">
        <v>6</v>
      </c>
      <c r="D8" s="71" t="s">
        <v>15</v>
      </c>
      <c r="E8" s="71" t="s">
        <v>2</v>
      </c>
      <c r="F8" s="8" t="s">
        <v>14</v>
      </c>
      <c r="G8" s="8" t="s">
        <v>27</v>
      </c>
      <c r="H8" s="8" t="s">
        <v>28</v>
      </c>
      <c r="I8" s="8" t="s">
        <v>0</v>
      </c>
      <c r="J8" s="8" t="s">
        <v>12</v>
      </c>
      <c r="K8" s="15" t="s">
        <v>1</v>
      </c>
      <c r="L8" s="11" t="s">
        <v>3</v>
      </c>
      <c r="M8" s="11" t="s">
        <v>16</v>
      </c>
      <c r="N8" s="11" t="s">
        <v>21</v>
      </c>
      <c r="O8" s="11" t="s">
        <v>17</v>
      </c>
      <c r="P8" s="11" t="s">
        <v>42</v>
      </c>
      <c r="Q8" s="11" t="s">
        <v>23</v>
      </c>
      <c r="R8" s="11" t="s">
        <v>18</v>
      </c>
      <c r="S8" s="11" t="s">
        <v>209</v>
      </c>
      <c r="T8" s="11" t="s">
        <v>19</v>
      </c>
      <c r="U8" s="11" t="s">
        <v>20</v>
      </c>
      <c r="V8" s="11" t="s">
        <v>81</v>
      </c>
      <c r="W8" s="11" t="s">
        <v>22</v>
      </c>
      <c r="X8" s="11" t="s">
        <v>24</v>
      </c>
      <c r="Y8" s="11" t="s">
        <v>25</v>
      </c>
      <c r="Z8" s="11" t="s">
        <v>41</v>
      </c>
      <c r="AA8" s="36" t="s">
        <v>26</v>
      </c>
      <c r="AB8" s="12"/>
      <c r="AC8" s="31" t="s">
        <v>4</v>
      </c>
      <c r="AD8" s="13" t="s">
        <v>13</v>
      </c>
      <c r="AE8" s="13" t="s">
        <v>134</v>
      </c>
      <c r="AF8" s="94" t="s">
        <v>1096</v>
      </c>
    </row>
    <row r="9" spans="1:32" x14ac:dyDescent="0.25">
      <c r="A9" s="18"/>
      <c r="B9" s="19"/>
      <c r="C9" s="72"/>
      <c r="D9" s="72"/>
      <c r="E9" s="77"/>
      <c r="F9" s="19"/>
      <c r="G9" s="19"/>
      <c r="H9" s="19"/>
      <c r="I9" s="20"/>
      <c r="J9" s="20"/>
      <c r="K9" s="2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32"/>
      <c r="AB9" s="22"/>
      <c r="AC9" s="32"/>
      <c r="AD9" s="22"/>
    </row>
    <row r="10" spans="1:32" x14ac:dyDescent="0.25">
      <c r="A10" s="25">
        <v>44927</v>
      </c>
      <c r="B10" s="19"/>
      <c r="C10" s="72"/>
      <c r="D10" s="72"/>
      <c r="E10" s="77"/>
      <c r="F10" s="19"/>
      <c r="G10" s="19"/>
      <c r="H10" s="19"/>
      <c r="I10" s="20"/>
      <c r="J10" s="20"/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32"/>
      <c r="AB10" s="22"/>
      <c r="AC10" s="32"/>
      <c r="AD10" s="22"/>
    </row>
    <row r="11" spans="1:32" x14ac:dyDescent="0.25">
      <c r="A11" s="7"/>
      <c r="C11" s="70"/>
      <c r="D11" s="70"/>
      <c r="E11" s="73"/>
      <c r="F11" s="9"/>
      <c r="H11" s="9"/>
      <c r="I11" s="7" t="s">
        <v>2268</v>
      </c>
      <c r="J11" s="51" t="s">
        <v>132</v>
      </c>
      <c r="K11" s="26"/>
      <c r="L11" s="10"/>
      <c r="M11" s="10"/>
      <c r="N11" s="10"/>
      <c r="O11" s="10"/>
      <c r="P11" s="10"/>
      <c r="Q11" s="10">
        <v>62857.99</v>
      </c>
      <c r="R11" s="10"/>
      <c r="S11" s="10"/>
      <c r="T11" s="10"/>
      <c r="U11" s="10"/>
      <c r="V11" s="10"/>
      <c r="W11" s="10"/>
      <c r="X11" s="10"/>
      <c r="Y11" s="10"/>
      <c r="Z11" s="10"/>
      <c r="AA11" s="33"/>
      <c r="AB11" s="10"/>
      <c r="AC11" s="33">
        <v>62857.99</v>
      </c>
      <c r="AD11" s="10">
        <f t="shared" ref="AD11:AD42" si="0">SUM(AB11:AC11)-SUM(L11:AA11)</f>
        <v>0</v>
      </c>
      <c r="AE11" s="82" t="s">
        <v>133</v>
      </c>
    </row>
    <row r="12" spans="1:32" x14ac:dyDescent="0.25">
      <c r="A12" s="7" t="s">
        <v>2230</v>
      </c>
      <c r="B12" s="9">
        <v>3996743</v>
      </c>
      <c r="C12" s="70">
        <v>44930</v>
      </c>
      <c r="D12" s="70">
        <v>44930</v>
      </c>
      <c r="E12" s="73"/>
      <c r="F12" s="9"/>
      <c r="H12" s="9"/>
      <c r="I12" s="7" t="s">
        <v>253</v>
      </c>
      <c r="J12" s="51" t="s">
        <v>2272</v>
      </c>
      <c r="K12" s="7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33">
        <v>650</v>
      </c>
      <c r="AB12" s="10"/>
      <c r="AC12" s="33">
        <v>650</v>
      </c>
      <c r="AD12" s="10">
        <f t="shared" si="0"/>
        <v>0</v>
      </c>
      <c r="AE12" s="82"/>
    </row>
    <row r="13" spans="1:32" x14ac:dyDescent="0.25">
      <c r="A13" s="7" t="s">
        <v>2231</v>
      </c>
      <c r="B13" s="9">
        <v>3996744</v>
      </c>
      <c r="C13" s="70">
        <v>44930</v>
      </c>
      <c r="D13" s="70">
        <v>44930</v>
      </c>
      <c r="E13" s="73"/>
      <c r="F13" s="9"/>
      <c r="H13" s="9"/>
      <c r="I13" s="7" t="s">
        <v>2275</v>
      </c>
      <c r="J13" s="51" t="s">
        <v>35</v>
      </c>
      <c r="K13" s="7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33">
        <v>27500</v>
      </c>
      <c r="AB13" s="10"/>
      <c r="AC13" s="33">
        <v>27500</v>
      </c>
      <c r="AD13" s="10">
        <f t="shared" si="0"/>
        <v>0</v>
      </c>
      <c r="AE13" s="82"/>
    </row>
    <row r="14" spans="1:32" x14ac:dyDescent="0.25">
      <c r="A14" s="7" t="s">
        <v>2232</v>
      </c>
      <c r="B14" s="9">
        <v>3996745</v>
      </c>
      <c r="C14" s="70">
        <v>44930</v>
      </c>
      <c r="D14" s="70">
        <v>44930</v>
      </c>
      <c r="E14" s="73"/>
      <c r="F14" s="9"/>
      <c r="H14" s="9"/>
      <c r="I14" s="7" t="s">
        <v>2273</v>
      </c>
      <c r="J14" s="51" t="s">
        <v>18</v>
      </c>
      <c r="K14" s="7"/>
      <c r="L14" s="10">
        <v>151.09</v>
      </c>
      <c r="M14" s="10"/>
      <c r="N14" s="10"/>
      <c r="O14" s="10"/>
      <c r="P14" s="10"/>
      <c r="Q14" s="10"/>
      <c r="R14" s="10">
        <v>1259.06</v>
      </c>
      <c r="S14" s="10"/>
      <c r="T14" s="10"/>
      <c r="U14" s="10"/>
      <c r="V14" s="10"/>
      <c r="W14" s="10"/>
      <c r="X14" s="10"/>
      <c r="Y14" s="10"/>
      <c r="Z14" s="10"/>
      <c r="AA14" s="33"/>
      <c r="AB14" s="10"/>
      <c r="AC14" s="33">
        <v>1410.15</v>
      </c>
      <c r="AD14" s="10">
        <f t="shared" si="0"/>
        <v>0</v>
      </c>
      <c r="AE14" s="82"/>
    </row>
    <row r="15" spans="1:32" x14ac:dyDescent="0.25">
      <c r="A15" s="7" t="s">
        <v>2233</v>
      </c>
      <c r="B15" s="9">
        <v>3996746</v>
      </c>
      <c r="C15" s="70">
        <v>44930</v>
      </c>
      <c r="D15" s="70">
        <v>44930</v>
      </c>
      <c r="E15" s="73"/>
      <c r="F15" s="9"/>
      <c r="H15" s="9"/>
      <c r="I15" s="7" t="s">
        <v>2273</v>
      </c>
      <c r="J15" s="51" t="s">
        <v>18</v>
      </c>
      <c r="K15" s="7"/>
      <c r="L15" s="10">
        <v>811.09</v>
      </c>
      <c r="M15" s="10"/>
      <c r="N15" s="10"/>
      <c r="O15" s="10"/>
      <c r="P15" s="10"/>
      <c r="Q15" s="10"/>
      <c r="R15" s="10">
        <v>6759.06</v>
      </c>
      <c r="S15" s="10"/>
      <c r="T15" s="10"/>
      <c r="U15" s="10"/>
      <c r="V15" s="10"/>
      <c r="W15" s="10"/>
      <c r="X15" s="10"/>
      <c r="Y15" s="10"/>
      <c r="Z15" s="10"/>
      <c r="AA15" s="33"/>
      <c r="AB15" s="10"/>
      <c r="AC15" s="33">
        <v>7570.15</v>
      </c>
      <c r="AD15" s="10">
        <f t="shared" si="0"/>
        <v>0</v>
      </c>
      <c r="AE15" s="82"/>
    </row>
    <row r="16" spans="1:32" x14ac:dyDescent="0.25">
      <c r="A16" s="7" t="s">
        <v>2234</v>
      </c>
      <c r="B16" s="9">
        <v>3996747</v>
      </c>
      <c r="C16" s="70">
        <v>44946</v>
      </c>
      <c r="D16" s="70">
        <v>44930</v>
      </c>
      <c r="E16" s="73">
        <v>44931</v>
      </c>
      <c r="F16" s="9" t="s">
        <v>3118</v>
      </c>
      <c r="G16" s="9" t="s">
        <v>1411</v>
      </c>
      <c r="H16" s="9"/>
      <c r="I16" s="7" t="s">
        <v>756</v>
      </c>
      <c r="J16" s="51" t="s">
        <v>37</v>
      </c>
      <c r="K16" s="7" t="s">
        <v>38</v>
      </c>
      <c r="L16" s="10">
        <v>4682.1400000000003</v>
      </c>
      <c r="M16" s="10">
        <v>39017.86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33"/>
      <c r="AB16" s="10"/>
      <c r="AC16" s="33">
        <v>43700</v>
      </c>
      <c r="AD16" s="10">
        <f t="shared" si="0"/>
        <v>0</v>
      </c>
      <c r="AE16" s="82"/>
      <c r="AF16" s="17">
        <v>390.68</v>
      </c>
    </row>
    <row r="17" spans="1:32" x14ac:dyDescent="0.25">
      <c r="A17" s="7" t="s">
        <v>2235</v>
      </c>
      <c r="B17" s="9">
        <v>3996748</v>
      </c>
      <c r="C17" s="70">
        <v>44960</v>
      </c>
      <c r="D17" s="70">
        <v>44930</v>
      </c>
      <c r="E17" s="73">
        <v>44931</v>
      </c>
      <c r="F17" s="9" t="s">
        <v>3119</v>
      </c>
      <c r="G17" s="9" t="s">
        <v>1412</v>
      </c>
      <c r="H17" s="9"/>
      <c r="I17" s="7" t="s">
        <v>2276</v>
      </c>
      <c r="J17" s="51" t="s">
        <v>37</v>
      </c>
      <c r="K17" s="7" t="s">
        <v>38</v>
      </c>
      <c r="L17" s="10">
        <v>1392.86</v>
      </c>
      <c r="M17" s="10">
        <v>11607.14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33"/>
      <c r="AB17" s="10"/>
      <c r="AC17" s="33">
        <v>13000</v>
      </c>
      <c r="AD17" s="10">
        <f t="shared" si="0"/>
        <v>0</v>
      </c>
      <c r="AE17" s="82"/>
      <c r="AF17" s="17">
        <v>116.07</v>
      </c>
    </row>
    <row r="18" spans="1:32" x14ac:dyDescent="0.25">
      <c r="A18" s="7" t="s">
        <v>2236</v>
      </c>
      <c r="B18" s="9" t="s">
        <v>2274</v>
      </c>
      <c r="C18" s="70">
        <v>44930</v>
      </c>
      <c r="D18" s="70">
        <v>44930</v>
      </c>
      <c r="E18" s="73"/>
      <c r="F18" s="9"/>
      <c r="H18" s="9"/>
      <c r="I18" s="7" t="s">
        <v>64</v>
      </c>
      <c r="J18" s="51" t="s">
        <v>34</v>
      </c>
      <c r="K18" s="7"/>
      <c r="L18" s="10"/>
      <c r="M18" s="10"/>
      <c r="N18" s="10"/>
      <c r="O18" s="10"/>
      <c r="P18" s="10">
        <v>30000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33"/>
      <c r="AB18" s="10"/>
      <c r="AC18" s="33">
        <v>30000</v>
      </c>
      <c r="AD18" s="10">
        <f t="shared" si="0"/>
        <v>0</v>
      </c>
      <c r="AE18" s="82"/>
    </row>
    <row r="19" spans="1:32" x14ac:dyDescent="0.25">
      <c r="A19" s="7" t="s">
        <v>2237</v>
      </c>
      <c r="B19" s="9">
        <v>3996749</v>
      </c>
      <c r="C19" s="70">
        <v>44931</v>
      </c>
      <c r="D19" s="70">
        <v>44931</v>
      </c>
      <c r="E19" s="73"/>
      <c r="F19" s="9"/>
      <c r="H19" s="9"/>
      <c r="I19" s="7" t="s">
        <v>118</v>
      </c>
      <c r="J19" s="51" t="s">
        <v>1847</v>
      </c>
      <c r="K19" s="7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33">
        <v>4664.2</v>
      </c>
      <c r="AB19" s="10"/>
      <c r="AC19" s="33">
        <v>4664.2</v>
      </c>
      <c r="AD19" s="10">
        <f t="shared" si="0"/>
        <v>0</v>
      </c>
      <c r="AE19" s="82"/>
    </row>
    <row r="20" spans="1:32" x14ac:dyDescent="0.25">
      <c r="A20" s="7" t="s">
        <v>2238</v>
      </c>
      <c r="B20" s="9" t="s">
        <v>2269</v>
      </c>
      <c r="C20" s="70">
        <v>44931</v>
      </c>
      <c r="D20" s="70">
        <v>44931</v>
      </c>
      <c r="E20" s="73">
        <v>44932</v>
      </c>
      <c r="F20" s="9" t="s">
        <v>3120</v>
      </c>
      <c r="G20" s="9" t="s">
        <v>2230</v>
      </c>
      <c r="H20" s="9"/>
      <c r="I20" s="7" t="s">
        <v>2270</v>
      </c>
      <c r="J20" s="51" t="s">
        <v>1999</v>
      </c>
      <c r="K20" s="7" t="s">
        <v>2271</v>
      </c>
      <c r="L20" s="10">
        <v>2003.57</v>
      </c>
      <c r="M20" s="10">
        <v>16696.43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33"/>
      <c r="AB20" s="10"/>
      <c r="AC20" s="33">
        <v>18700</v>
      </c>
      <c r="AD20" s="10">
        <f t="shared" si="0"/>
        <v>0</v>
      </c>
      <c r="AE20" s="82"/>
      <c r="AF20" s="17">
        <v>166.96</v>
      </c>
    </row>
    <row r="21" spans="1:32" x14ac:dyDescent="0.25">
      <c r="A21" s="7" t="s">
        <v>2239</v>
      </c>
      <c r="B21" s="9">
        <v>3996750</v>
      </c>
      <c r="C21" s="70">
        <v>44963</v>
      </c>
      <c r="D21" s="70">
        <v>44935</v>
      </c>
      <c r="E21" s="73">
        <v>44936</v>
      </c>
      <c r="F21" s="9" t="s">
        <v>3121</v>
      </c>
      <c r="G21" s="9" t="s">
        <v>1384</v>
      </c>
      <c r="H21" s="9"/>
      <c r="I21" s="7" t="s">
        <v>1001</v>
      </c>
      <c r="J21" s="51" t="s">
        <v>2087</v>
      </c>
      <c r="K21" s="7" t="s">
        <v>2088</v>
      </c>
      <c r="L21" s="10">
        <v>11250</v>
      </c>
      <c r="M21" s="10">
        <v>93750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33"/>
      <c r="AB21" s="10"/>
      <c r="AC21" s="33">
        <v>105000</v>
      </c>
      <c r="AD21" s="10">
        <f t="shared" si="0"/>
        <v>0</v>
      </c>
      <c r="AE21" s="82"/>
      <c r="AF21" s="17">
        <v>937.5</v>
      </c>
    </row>
    <row r="22" spans="1:32" x14ac:dyDescent="0.25">
      <c r="A22" s="7" t="s">
        <v>2240</v>
      </c>
      <c r="B22" s="9">
        <v>3996751</v>
      </c>
      <c r="C22" s="70">
        <v>44935</v>
      </c>
      <c r="D22" s="70">
        <v>44935</v>
      </c>
      <c r="E22" s="73"/>
      <c r="F22" s="9"/>
      <c r="H22" s="9" t="s">
        <v>1166</v>
      </c>
      <c r="I22" s="7" t="s">
        <v>58</v>
      </c>
      <c r="J22" s="51" t="s">
        <v>65</v>
      </c>
      <c r="K22" s="7"/>
      <c r="L22" s="10"/>
      <c r="M22" s="10"/>
      <c r="N22" s="10"/>
      <c r="O22" s="10"/>
      <c r="P22" s="10"/>
      <c r="Q22" s="10"/>
      <c r="R22" s="10"/>
      <c r="S22" s="10"/>
      <c r="T22" s="10">
        <v>5664</v>
      </c>
      <c r="U22" s="10"/>
      <c r="V22" s="10"/>
      <c r="W22" s="10"/>
      <c r="X22" s="10"/>
      <c r="Y22" s="10"/>
      <c r="Z22" s="10"/>
      <c r="AA22" s="33"/>
      <c r="AB22" s="10"/>
      <c r="AC22" s="33">
        <v>5664</v>
      </c>
      <c r="AD22" s="10">
        <f t="shared" si="0"/>
        <v>0</v>
      </c>
      <c r="AE22" s="82"/>
    </row>
    <row r="23" spans="1:32" x14ac:dyDescent="0.25">
      <c r="A23" s="7" t="s">
        <v>2241</v>
      </c>
      <c r="B23" s="9">
        <v>3996752</v>
      </c>
      <c r="C23" s="70">
        <v>44937</v>
      </c>
      <c r="D23" s="70">
        <v>44937</v>
      </c>
      <c r="E23" s="73">
        <v>44952</v>
      </c>
      <c r="F23" s="9" t="s">
        <v>3122</v>
      </c>
      <c r="H23" s="9"/>
      <c r="I23" s="7" t="s">
        <v>2280</v>
      </c>
      <c r="J23" s="51" t="s">
        <v>83</v>
      </c>
      <c r="K23" s="7" t="s">
        <v>1336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33">
        <v>1000</v>
      </c>
      <c r="AB23" s="10"/>
      <c r="AC23" s="33">
        <v>1000</v>
      </c>
      <c r="AD23" s="10">
        <f t="shared" si="0"/>
        <v>0</v>
      </c>
      <c r="AE23" s="82"/>
    </row>
    <row r="24" spans="1:32" x14ac:dyDescent="0.25">
      <c r="A24" s="7" t="s">
        <v>2242</v>
      </c>
      <c r="B24" s="9">
        <v>3996753</v>
      </c>
      <c r="C24" s="70">
        <v>44937</v>
      </c>
      <c r="D24" s="70">
        <v>44937</v>
      </c>
      <c r="E24" s="73">
        <v>44938</v>
      </c>
      <c r="F24" s="9" t="s">
        <v>3123</v>
      </c>
      <c r="H24" s="9"/>
      <c r="I24" s="7" t="s">
        <v>2278</v>
      </c>
      <c r="J24" s="51" t="s">
        <v>1226</v>
      </c>
      <c r="K24" s="7" t="s">
        <v>1039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33">
        <v>1158</v>
      </c>
      <c r="AB24" s="10"/>
      <c r="AC24" s="33">
        <v>1158</v>
      </c>
      <c r="AD24" s="10">
        <f t="shared" si="0"/>
        <v>0</v>
      </c>
      <c r="AE24" s="82"/>
      <c r="AF24" s="17">
        <v>20.68</v>
      </c>
    </row>
    <row r="25" spans="1:32" x14ac:dyDescent="0.25">
      <c r="A25" s="7" t="s">
        <v>2243</v>
      </c>
      <c r="B25" s="9">
        <v>3996754</v>
      </c>
      <c r="C25" s="70">
        <v>44966</v>
      </c>
      <c r="D25" s="70">
        <v>44937</v>
      </c>
      <c r="E25" s="73">
        <v>44967</v>
      </c>
      <c r="F25" s="9" t="s">
        <v>3124</v>
      </c>
      <c r="G25" s="9" t="s">
        <v>2231</v>
      </c>
      <c r="H25" s="9"/>
      <c r="I25" s="7" t="s">
        <v>2281</v>
      </c>
      <c r="J25" s="51" t="s">
        <v>37</v>
      </c>
      <c r="K25" s="7" t="s">
        <v>38</v>
      </c>
      <c r="L25" s="10">
        <v>10242.86</v>
      </c>
      <c r="M25" s="10">
        <v>85357.14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33"/>
      <c r="AB25" s="10"/>
      <c r="AC25" s="33">
        <v>95600</v>
      </c>
      <c r="AD25" s="10">
        <f t="shared" si="0"/>
        <v>0</v>
      </c>
      <c r="AE25" s="82"/>
      <c r="AF25" s="17">
        <v>853.57</v>
      </c>
    </row>
    <row r="26" spans="1:32" x14ac:dyDescent="0.25">
      <c r="A26" s="7" t="s">
        <v>2244</v>
      </c>
      <c r="B26" s="9">
        <v>3996755</v>
      </c>
      <c r="C26" s="70">
        <v>44937</v>
      </c>
      <c r="D26" s="70">
        <v>44937</v>
      </c>
      <c r="E26" s="73"/>
      <c r="F26" s="9"/>
      <c r="H26" s="9" t="s">
        <v>1185</v>
      </c>
      <c r="I26" s="7" t="s">
        <v>58</v>
      </c>
      <c r="J26" s="51" t="s">
        <v>65</v>
      </c>
      <c r="K26" s="7"/>
      <c r="L26" s="10"/>
      <c r="M26" s="10"/>
      <c r="N26" s="10"/>
      <c r="O26" s="10"/>
      <c r="P26" s="10"/>
      <c r="Q26" s="10"/>
      <c r="R26" s="10"/>
      <c r="S26" s="10"/>
      <c r="T26" s="10">
        <v>13585</v>
      </c>
      <c r="U26" s="10"/>
      <c r="V26" s="10"/>
      <c r="W26" s="10"/>
      <c r="X26" s="10"/>
      <c r="Y26" s="10"/>
      <c r="Z26" s="10"/>
      <c r="AA26" s="33"/>
      <c r="AB26" s="10"/>
      <c r="AC26" s="33">
        <v>13585</v>
      </c>
      <c r="AD26" s="10">
        <f t="shared" si="0"/>
        <v>0</v>
      </c>
      <c r="AE26" s="82"/>
    </row>
    <row r="27" spans="1:32" x14ac:dyDescent="0.25">
      <c r="A27" s="7" t="s">
        <v>2245</v>
      </c>
      <c r="B27" s="9">
        <v>3996756</v>
      </c>
      <c r="C27" s="70">
        <v>44937</v>
      </c>
      <c r="D27" s="70">
        <v>44937</v>
      </c>
      <c r="E27" s="73"/>
      <c r="F27" s="9"/>
      <c r="H27" s="9"/>
      <c r="I27" s="7" t="s">
        <v>2279</v>
      </c>
      <c r="J27" s="51" t="s">
        <v>1235</v>
      </c>
      <c r="K27" s="7"/>
      <c r="L27" s="10">
        <v>64.290000000000006</v>
      </c>
      <c r="M27" s="10"/>
      <c r="N27" s="10"/>
      <c r="O27" s="10"/>
      <c r="P27" s="10"/>
      <c r="Q27" s="10"/>
      <c r="R27" s="10"/>
      <c r="S27" s="10">
        <v>535.71</v>
      </c>
      <c r="T27" s="10"/>
      <c r="U27" s="10"/>
      <c r="V27" s="10"/>
      <c r="W27" s="10"/>
      <c r="X27" s="10"/>
      <c r="Y27" s="10"/>
      <c r="Z27" s="10"/>
      <c r="AA27" s="33"/>
      <c r="AB27" s="10"/>
      <c r="AC27" s="33">
        <v>600</v>
      </c>
      <c r="AD27" s="10">
        <f t="shared" si="0"/>
        <v>0</v>
      </c>
      <c r="AE27" s="82"/>
    </row>
    <row r="28" spans="1:32" x14ac:dyDescent="0.25">
      <c r="A28" s="7" t="s">
        <v>2246</v>
      </c>
      <c r="B28" s="9" t="s">
        <v>2288</v>
      </c>
      <c r="C28" s="70">
        <v>44939</v>
      </c>
      <c r="D28" s="70">
        <v>44939</v>
      </c>
      <c r="E28" s="73">
        <v>44939</v>
      </c>
      <c r="F28" s="9" t="s">
        <v>3125</v>
      </c>
      <c r="H28" s="9"/>
      <c r="I28" s="7" t="s">
        <v>2289</v>
      </c>
      <c r="J28" s="51" t="s">
        <v>109</v>
      </c>
      <c r="K28" s="7" t="s">
        <v>1558</v>
      </c>
      <c r="L28" s="10">
        <v>15836.46</v>
      </c>
      <c r="M28" s="10"/>
      <c r="N28" s="10">
        <v>131970.54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33"/>
      <c r="AB28" s="10"/>
      <c r="AC28" s="33">
        <v>147807</v>
      </c>
      <c r="AD28" s="10">
        <f t="shared" si="0"/>
        <v>0</v>
      </c>
      <c r="AE28" s="82"/>
    </row>
    <row r="29" spans="1:32" x14ac:dyDescent="0.25">
      <c r="A29" s="7" t="s">
        <v>2247</v>
      </c>
      <c r="B29" s="9">
        <v>3996757</v>
      </c>
      <c r="C29" s="70">
        <v>44939</v>
      </c>
      <c r="D29" s="70">
        <v>44939</v>
      </c>
      <c r="E29" s="73">
        <v>44939</v>
      </c>
      <c r="F29" s="9" t="s">
        <v>3126</v>
      </c>
      <c r="H29" s="9"/>
      <c r="I29" s="7" t="s">
        <v>2291</v>
      </c>
      <c r="J29" s="51" t="s">
        <v>109</v>
      </c>
      <c r="K29" s="7" t="s">
        <v>1558</v>
      </c>
      <c r="L29" s="10"/>
      <c r="M29" s="10">
        <v>8775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33"/>
      <c r="AB29" s="10"/>
      <c r="AC29" s="33">
        <v>8775</v>
      </c>
      <c r="AD29" s="10">
        <f t="shared" si="0"/>
        <v>0</v>
      </c>
      <c r="AE29" s="82"/>
    </row>
    <row r="30" spans="1:32" x14ac:dyDescent="0.25">
      <c r="A30" s="7" t="s">
        <v>2248</v>
      </c>
      <c r="B30" s="9">
        <v>3996758</v>
      </c>
      <c r="C30" s="70">
        <v>44942</v>
      </c>
      <c r="D30" s="70">
        <v>44942</v>
      </c>
      <c r="E30" s="73"/>
      <c r="F30" s="9"/>
      <c r="H30" s="9"/>
      <c r="I30" s="7" t="s">
        <v>2287</v>
      </c>
      <c r="J30" s="51" t="s">
        <v>46</v>
      </c>
      <c r="K30" s="7"/>
      <c r="L30" s="10">
        <v>160.71</v>
      </c>
      <c r="M30" s="10"/>
      <c r="N30" s="10"/>
      <c r="O30" s="10"/>
      <c r="P30" s="10"/>
      <c r="Q30" s="10"/>
      <c r="R30" s="10"/>
      <c r="S30" s="10">
        <v>1339.29</v>
      </c>
      <c r="T30" s="10"/>
      <c r="U30" s="10"/>
      <c r="V30" s="10"/>
      <c r="W30" s="10"/>
      <c r="X30" s="10"/>
      <c r="Y30" s="10"/>
      <c r="Z30" s="10"/>
      <c r="AA30" s="33"/>
      <c r="AB30" s="10"/>
      <c r="AC30" s="33">
        <v>1500</v>
      </c>
      <c r="AD30" s="10">
        <f t="shared" si="0"/>
        <v>0</v>
      </c>
      <c r="AE30" s="82"/>
      <c r="AF30" s="17">
        <v>27</v>
      </c>
    </row>
    <row r="31" spans="1:32" x14ac:dyDescent="0.25">
      <c r="A31" s="7" t="s">
        <v>2249</v>
      </c>
      <c r="B31" s="9">
        <v>3996759</v>
      </c>
      <c r="C31" s="70">
        <v>44939</v>
      </c>
      <c r="D31" s="70">
        <v>44942</v>
      </c>
      <c r="E31" s="73">
        <v>44950</v>
      </c>
      <c r="F31" s="9" t="s">
        <v>3127</v>
      </c>
      <c r="H31" s="9"/>
      <c r="I31" s="7" t="s">
        <v>2292</v>
      </c>
      <c r="J31" s="51" t="s">
        <v>127</v>
      </c>
      <c r="K31" s="7" t="s">
        <v>128</v>
      </c>
      <c r="L31" s="10">
        <v>552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33">
        <v>4600</v>
      </c>
      <c r="AB31" s="10"/>
      <c r="AC31" s="33">
        <v>5152</v>
      </c>
      <c r="AD31" s="10">
        <f t="shared" si="0"/>
        <v>0</v>
      </c>
      <c r="AE31" s="82"/>
    </row>
    <row r="32" spans="1:32" x14ac:dyDescent="0.25">
      <c r="A32" s="7" t="s">
        <v>2250</v>
      </c>
      <c r="B32" s="9">
        <v>3996760</v>
      </c>
      <c r="C32" s="70">
        <v>44942</v>
      </c>
      <c r="D32" s="70">
        <v>44942</v>
      </c>
      <c r="E32" s="73"/>
      <c r="F32" s="9"/>
      <c r="H32" s="9" t="s">
        <v>1186</v>
      </c>
      <c r="I32" s="7" t="s">
        <v>1165</v>
      </c>
      <c r="J32" s="51" t="s">
        <v>65</v>
      </c>
      <c r="K32" s="7"/>
      <c r="L32" s="10"/>
      <c r="M32" s="10"/>
      <c r="N32" s="10"/>
      <c r="O32" s="10"/>
      <c r="P32" s="10"/>
      <c r="Q32" s="10"/>
      <c r="R32" s="10"/>
      <c r="S32" s="10"/>
      <c r="T32" s="10">
        <v>10429</v>
      </c>
      <c r="U32" s="10"/>
      <c r="V32" s="10"/>
      <c r="W32" s="10"/>
      <c r="X32" s="10"/>
      <c r="Y32" s="10"/>
      <c r="Z32" s="10"/>
      <c r="AA32" s="33"/>
      <c r="AB32" s="10"/>
      <c r="AC32" s="33">
        <v>10429</v>
      </c>
      <c r="AD32" s="10">
        <f t="shared" si="0"/>
        <v>0</v>
      </c>
      <c r="AE32" s="82"/>
    </row>
    <row r="33" spans="1:32" x14ac:dyDescent="0.25">
      <c r="A33" s="7" t="s">
        <v>2251</v>
      </c>
      <c r="B33" s="9">
        <v>3996769</v>
      </c>
      <c r="C33" s="70">
        <v>44942</v>
      </c>
      <c r="D33" s="70">
        <v>44942</v>
      </c>
      <c r="E33" s="73">
        <v>44939</v>
      </c>
      <c r="F33" s="9" t="s">
        <v>3128</v>
      </c>
      <c r="G33" s="9" t="s">
        <v>2233</v>
      </c>
      <c r="H33" s="9"/>
      <c r="I33" s="7" t="s">
        <v>53</v>
      </c>
      <c r="J33" s="51" t="s">
        <v>59</v>
      </c>
      <c r="K33" s="7" t="s">
        <v>968</v>
      </c>
      <c r="L33" s="10">
        <v>554.57000000000005</v>
      </c>
      <c r="M33" s="10">
        <v>4621.43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33"/>
      <c r="AB33" s="10"/>
      <c r="AC33" s="33">
        <v>5176</v>
      </c>
      <c r="AD33" s="10">
        <f t="shared" si="0"/>
        <v>0</v>
      </c>
      <c r="AE33" s="82"/>
      <c r="AF33" s="17">
        <v>46.21</v>
      </c>
    </row>
    <row r="34" spans="1:32" x14ac:dyDescent="0.25">
      <c r="A34" s="7" t="s">
        <v>2252</v>
      </c>
      <c r="B34" s="9">
        <v>3996762</v>
      </c>
      <c r="C34" s="70">
        <v>44970</v>
      </c>
      <c r="D34" s="70">
        <v>44942</v>
      </c>
      <c r="E34" s="73">
        <v>44946</v>
      </c>
      <c r="F34" s="9" t="s">
        <v>3129</v>
      </c>
      <c r="G34" s="9" t="s">
        <v>2232</v>
      </c>
      <c r="H34" s="9"/>
      <c r="I34" s="7" t="s">
        <v>2293</v>
      </c>
      <c r="J34" s="51" t="s">
        <v>60</v>
      </c>
      <c r="K34" s="7" t="s">
        <v>61</v>
      </c>
      <c r="L34" s="10">
        <v>1242.8599999999999</v>
      </c>
      <c r="M34" s="10">
        <v>10357.14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33"/>
      <c r="AB34" s="10"/>
      <c r="AC34" s="33">
        <v>11600</v>
      </c>
      <c r="AD34" s="10">
        <f t="shared" si="0"/>
        <v>0</v>
      </c>
      <c r="AE34" s="82"/>
      <c r="AF34" s="17">
        <v>103.57</v>
      </c>
    </row>
    <row r="35" spans="1:32" x14ac:dyDescent="0.25">
      <c r="A35" s="7" t="s">
        <v>2253</v>
      </c>
      <c r="B35" s="9">
        <v>3996763</v>
      </c>
      <c r="C35" s="70">
        <v>44942</v>
      </c>
      <c r="D35" s="70">
        <v>44942</v>
      </c>
      <c r="E35" s="73"/>
      <c r="F35" s="9"/>
      <c r="H35" s="9"/>
      <c r="I35" s="7" t="s">
        <v>2286</v>
      </c>
      <c r="J35" s="51" t="s">
        <v>46</v>
      </c>
      <c r="K35" s="7"/>
      <c r="L35" s="10">
        <v>160.61000000000001</v>
      </c>
      <c r="M35" s="10"/>
      <c r="N35" s="10"/>
      <c r="O35" s="10"/>
      <c r="P35" s="10"/>
      <c r="Q35" s="10"/>
      <c r="R35" s="10"/>
      <c r="S35" s="10">
        <v>1338.39</v>
      </c>
      <c r="T35" s="10"/>
      <c r="U35" s="10"/>
      <c r="V35" s="10"/>
      <c r="W35" s="10"/>
      <c r="X35" s="10"/>
      <c r="Y35" s="10"/>
      <c r="Z35" s="10"/>
      <c r="AA35" s="33"/>
      <c r="AB35" s="10"/>
      <c r="AC35" s="33">
        <v>1499</v>
      </c>
      <c r="AD35" s="10">
        <f t="shared" si="0"/>
        <v>0</v>
      </c>
      <c r="AE35" s="82"/>
    </row>
    <row r="36" spans="1:32" x14ac:dyDescent="0.25">
      <c r="A36" s="7" t="s">
        <v>2254</v>
      </c>
      <c r="B36" s="9">
        <v>3996764</v>
      </c>
      <c r="C36" s="70">
        <v>44942</v>
      </c>
      <c r="D36" s="70">
        <v>44942</v>
      </c>
      <c r="E36" s="73"/>
      <c r="F36" s="9"/>
      <c r="H36" s="9"/>
      <c r="I36" s="7" t="s">
        <v>2286</v>
      </c>
      <c r="J36" s="51" t="s">
        <v>46</v>
      </c>
      <c r="K36" s="7"/>
      <c r="L36" s="10">
        <v>107.04</v>
      </c>
      <c r="M36" s="10"/>
      <c r="N36" s="10"/>
      <c r="O36" s="10"/>
      <c r="P36" s="10"/>
      <c r="Q36" s="10"/>
      <c r="R36" s="10"/>
      <c r="S36" s="10">
        <v>891.96</v>
      </c>
      <c r="T36" s="10"/>
      <c r="U36" s="10"/>
      <c r="V36" s="10"/>
      <c r="W36" s="10"/>
      <c r="X36" s="10"/>
      <c r="Y36" s="10"/>
      <c r="Z36" s="10"/>
      <c r="AA36" s="33"/>
      <c r="AB36" s="10"/>
      <c r="AC36" s="33">
        <v>999</v>
      </c>
      <c r="AD36" s="10">
        <f t="shared" si="0"/>
        <v>0</v>
      </c>
      <c r="AE36" s="82"/>
    </row>
    <row r="37" spans="1:32" x14ac:dyDescent="0.25">
      <c r="A37" s="7" t="s">
        <v>2255</v>
      </c>
      <c r="B37" s="9">
        <v>3996765</v>
      </c>
      <c r="C37" s="70">
        <v>44942</v>
      </c>
      <c r="D37" s="70">
        <v>44942</v>
      </c>
      <c r="E37" s="73"/>
      <c r="F37" s="9"/>
      <c r="H37" s="9"/>
      <c r="I37" s="7" t="s">
        <v>2285</v>
      </c>
      <c r="J37" s="51" t="s">
        <v>46</v>
      </c>
      <c r="K37" s="7"/>
      <c r="L37" s="10">
        <v>214.07</v>
      </c>
      <c r="M37" s="10"/>
      <c r="N37" s="10"/>
      <c r="O37" s="10"/>
      <c r="P37" s="10"/>
      <c r="Q37" s="10"/>
      <c r="R37" s="10"/>
      <c r="S37" s="10">
        <v>1783.93</v>
      </c>
      <c r="T37" s="10"/>
      <c r="U37" s="10"/>
      <c r="V37" s="10"/>
      <c r="W37" s="10"/>
      <c r="X37" s="10"/>
      <c r="Y37" s="10"/>
      <c r="Z37" s="10"/>
      <c r="AA37" s="33"/>
      <c r="AB37" s="10"/>
      <c r="AC37" s="33">
        <v>1998</v>
      </c>
      <c r="AD37" s="10">
        <f t="shared" si="0"/>
        <v>0</v>
      </c>
      <c r="AE37" s="82"/>
    </row>
    <row r="38" spans="1:32" x14ac:dyDescent="0.25">
      <c r="A38" s="7" t="s">
        <v>2256</v>
      </c>
      <c r="B38" s="9">
        <v>3996766</v>
      </c>
      <c r="C38" s="70">
        <v>44942</v>
      </c>
      <c r="D38" s="70">
        <v>44942</v>
      </c>
      <c r="E38" s="73"/>
      <c r="F38" s="9"/>
      <c r="H38" s="9"/>
      <c r="I38" s="7" t="s">
        <v>2285</v>
      </c>
      <c r="J38" s="51" t="s">
        <v>46</v>
      </c>
      <c r="K38" s="7"/>
      <c r="L38" s="10">
        <v>214.07</v>
      </c>
      <c r="M38" s="10"/>
      <c r="N38" s="10"/>
      <c r="O38" s="10"/>
      <c r="P38" s="10"/>
      <c r="Q38" s="10"/>
      <c r="R38" s="10"/>
      <c r="S38" s="10">
        <v>1783.93</v>
      </c>
      <c r="T38" s="10"/>
      <c r="U38" s="10"/>
      <c r="V38" s="10"/>
      <c r="W38" s="10"/>
      <c r="X38" s="10"/>
      <c r="Y38" s="10"/>
      <c r="Z38" s="10"/>
      <c r="AA38" s="33"/>
      <c r="AB38" s="10"/>
      <c r="AC38" s="33">
        <v>1998</v>
      </c>
      <c r="AD38" s="10">
        <f t="shared" si="0"/>
        <v>0</v>
      </c>
      <c r="AE38" s="82"/>
    </row>
    <row r="39" spans="1:32" x14ac:dyDescent="0.25">
      <c r="A39" s="7" t="s">
        <v>2257</v>
      </c>
      <c r="B39" s="9">
        <v>3996767</v>
      </c>
      <c r="C39" s="70">
        <v>44942</v>
      </c>
      <c r="D39" s="70">
        <v>44942</v>
      </c>
      <c r="E39" s="73"/>
      <c r="F39" s="9"/>
      <c r="H39" s="9"/>
      <c r="I39" s="7" t="s">
        <v>2284</v>
      </c>
      <c r="J39" s="51" t="s">
        <v>43</v>
      </c>
      <c r="K39" s="7"/>
      <c r="L39" s="10">
        <v>32.14</v>
      </c>
      <c r="M39" s="10"/>
      <c r="N39" s="10"/>
      <c r="O39" s="10"/>
      <c r="P39" s="10"/>
      <c r="Q39" s="10"/>
      <c r="R39" s="10"/>
      <c r="S39" s="10">
        <v>267.86</v>
      </c>
      <c r="T39" s="10"/>
      <c r="U39" s="10"/>
      <c r="V39" s="10"/>
      <c r="W39" s="10"/>
      <c r="X39" s="10"/>
      <c r="Y39" s="10"/>
      <c r="Z39" s="10"/>
      <c r="AA39" s="33"/>
      <c r="AB39" s="10"/>
      <c r="AC39" s="33">
        <v>300</v>
      </c>
      <c r="AD39" s="10">
        <f t="shared" si="0"/>
        <v>0</v>
      </c>
      <c r="AE39" s="82"/>
    </row>
    <row r="40" spans="1:32" x14ac:dyDescent="0.25">
      <c r="A40" s="7" t="s">
        <v>2258</v>
      </c>
      <c r="B40" s="9">
        <v>3996768</v>
      </c>
      <c r="C40" s="70">
        <v>44942</v>
      </c>
      <c r="D40" s="70">
        <v>44942</v>
      </c>
      <c r="E40" s="73"/>
      <c r="F40" s="9"/>
      <c r="H40" s="9"/>
      <c r="I40" s="7" t="s">
        <v>2284</v>
      </c>
      <c r="J40" s="51" t="s">
        <v>43</v>
      </c>
      <c r="K40" s="7"/>
      <c r="L40" s="10">
        <v>89.06</v>
      </c>
      <c r="M40" s="10"/>
      <c r="N40" s="10"/>
      <c r="O40" s="10"/>
      <c r="P40" s="10"/>
      <c r="Q40" s="10"/>
      <c r="R40" s="10"/>
      <c r="S40" s="10">
        <v>742.19</v>
      </c>
      <c r="T40" s="10"/>
      <c r="U40" s="10"/>
      <c r="V40" s="10"/>
      <c r="W40" s="10"/>
      <c r="X40" s="10"/>
      <c r="Y40" s="10"/>
      <c r="Z40" s="10"/>
      <c r="AA40" s="33"/>
      <c r="AB40" s="10"/>
      <c r="AC40" s="33">
        <v>831.25</v>
      </c>
      <c r="AD40" s="10">
        <f t="shared" si="0"/>
        <v>0</v>
      </c>
      <c r="AE40" s="82"/>
    </row>
    <row r="41" spans="1:32" x14ac:dyDescent="0.25">
      <c r="A41" s="7" t="s">
        <v>2259</v>
      </c>
      <c r="B41" s="9">
        <v>3996770</v>
      </c>
      <c r="C41" s="70">
        <v>44943</v>
      </c>
      <c r="D41" s="70">
        <v>44943</v>
      </c>
      <c r="E41" s="73"/>
      <c r="F41" s="9"/>
      <c r="H41" s="9"/>
      <c r="I41" s="7" t="s">
        <v>64</v>
      </c>
      <c r="J41" s="51" t="s">
        <v>432</v>
      </c>
      <c r="K41" s="7"/>
      <c r="L41" s="10"/>
      <c r="M41" s="10"/>
      <c r="N41" s="10"/>
      <c r="O41" s="10"/>
      <c r="P41" s="10">
        <v>20000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33"/>
      <c r="AB41" s="10"/>
      <c r="AC41" s="33">
        <v>20000</v>
      </c>
      <c r="AD41" s="10">
        <f t="shared" si="0"/>
        <v>0</v>
      </c>
      <c r="AE41" s="82"/>
    </row>
    <row r="42" spans="1:32" x14ac:dyDescent="0.25">
      <c r="A42" s="7" t="s">
        <v>2260</v>
      </c>
      <c r="B42" s="9">
        <v>3996771</v>
      </c>
      <c r="C42" s="70">
        <v>44943</v>
      </c>
      <c r="D42" s="70">
        <v>44943</v>
      </c>
      <c r="E42" s="73"/>
      <c r="F42" s="9"/>
      <c r="H42" s="9"/>
      <c r="I42" s="7" t="s">
        <v>2283</v>
      </c>
      <c r="J42" s="51" t="s">
        <v>44</v>
      </c>
      <c r="K42" s="7"/>
      <c r="L42" s="10">
        <v>693.11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>
        <v>5775.88</v>
      </c>
      <c r="Y42" s="10"/>
      <c r="Z42" s="10"/>
      <c r="AA42" s="33"/>
      <c r="AB42" s="10"/>
      <c r="AC42" s="33">
        <v>6468.99</v>
      </c>
      <c r="AD42" s="10">
        <f t="shared" si="0"/>
        <v>0</v>
      </c>
      <c r="AE42" s="82"/>
    </row>
    <row r="43" spans="1:32" x14ac:dyDescent="0.25">
      <c r="A43" s="7" t="s">
        <v>2261</v>
      </c>
      <c r="B43" s="9">
        <v>3996772</v>
      </c>
      <c r="C43" s="70">
        <v>44945</v>
      </c>
      <c r="D43" s="70">
        <v>44945</v>
      </c>
      <c r="I43" s="14" t="s">
        <v>64</v>
      </c>
      <c r="J43" s="97" t="s">
        <v>432</v>
      </c>
      <c r="K43" s="7"/>
      <c r="L43" s="10"/>
      <c r="M43" s="10"/>
      <c r="N43" s="10"/>
      <c r="O43" s="10"/>
      <c r="P43" s="10">
        <v>20000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33"/>
      <c r="AB43" s="10"/>
      <c r="AC43" s="33">
        <v>20000</v>
      </c>
      <c r="AD43" s="10">
        <f t="shared" ref="AD43:AD60" si="1">SUM(AB43:AC43)-SUM(L43:AA43)</f>
        <v>0</v>
      </c>
      <c r="AE43" s="82"/>
    </row>
    <row r="44" spans="1:32" x14ac:dyDescent="0.25">
      <c r="A44" s="7" t="s">
        <v>2262</v>
      </c>
      <c r="B44" s="9">
        <v>3996773</v>
      </c>
      <c r="C44" s="70">
        <v>44989</v>
      </c>
      <c r="D44" s="70">
        <v>44945</v>
      </c>
      <c r="E44" s="73">
        <v>44951</v>
      </c>
      <c r="F44" s="9" t="s">
        <v>3130</v>
      </c>
      <c r="G44" s="9" t="s">
        <v>2262</v>
      </c>
      <c r="H44" s="9"/>
      <c r="I44" s="7" t="s">
        <v>2294</v>
      </c>
      <c r="J44" s="51" t="s">
        <v>1226</v>
      </c>
      <c r="K44" s="7" t="s">
        <v>1039</v>
      </c>
      <c r="L44" s="10">
        <v>6428.57</v>
      </c>
      <c r="M44" s="10">
        <v>53571.43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33"/>
      <c r="AB44" s="10"/>
      <c r="AC44" s="33">
        <v>60000</v>
      </c>
      <c r="AD44" s="10">
        <f t="shared" si="1"/>
        <v>0</v>
      </c>
      <c r="AE44" s="82"/>
      <c r="AF44" s="17">
        <v>535.71</v>
      </c>
    </row>
    <row r="45" spans="1:32" x14ac:dyDescent="0.25">
      <c r="A45" s="7" t="s">
        <v>2263</v>
      </c>
      <c r="B45" s="9" t="s">
        <v>2295</v>
      </c>
      <c r="C45" s="70">
        <v>44945</v>
      </c>
      <c r="D45" s="70">
        <v>44945</v>
      </c>
      <c r="E45" s="73">
        <v>44947</v>
      </c>
      <c r="F45" s="9" t="s">
        <v>3131</v>
      </c>
      <c r="G45" s="9" t="s">
        <v>2234</v>
      </c>
      <c r="H45" s="9"/>
      <c r="I45" s="7" t="s">
        <v>2296</v>
      </c>
      <c r="J45" s="51" t="s">
        <v>1999</v>
      </c>
      <c r="K45" s="7" t="s">
        <v>2297</v>
      </c>
      <c r="L45" s="10">
        <v>11517.86</v>
      </c>
      <c r="M45" s="10">
        <v>95982.14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33"/>
      <c r="AB45" s="10"/>
      <c r="AC45" s="33">
        <v>107500</v>
      </c>
      <c r="AD45" s="10">
        <f t="shared" si="1"/>
        <v>0</v>
      </c>
      <c r="AE45" s="82"/>
      <c r="AF45" s="17">
        <v>959.82</v>
      </c>
    </row>
    <row r="46" spans="1:32" x14ac:dyDescent="0.25">
      <c r="A46" s="7" t="s">
        <v>2264</v>
      </c>
      <c r="B46" s="9" t="s">
        <v>2298</v>
      </c>
      <c r="C46" s="70">
        <v>44945</v>
      </c>
      <c r="D46" s="70">
        <v>44945</v>
      </c>
      <c r="E46" s="73"/>
      <c r="F46" s="9"/>
      <c r="H46" s="9"/>
      <c r="I46" s="7" t="s">
        <v>55</v>
      </c>
      <c r="J46" s="51" t="s">
        <v>54</v>
      </c>
      <c r="K46" s="7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>
        <v>150000</v>
      </c>
      <c r="AA46" s="33"/>
      <c r="AB46" s="10"/>
      <c r="AC46" s="33">
        <v>150000</v>
      </c>
      <c r="AD46" s="10">
        <f t="shared" si="1"/>
        <v>0</v>
      </c>
      <c r="AE46" s="82"/>
    </row>
    <row r="47" spans="1:32" x14ac:dyDescent="0.25">
      <c r="A47" s="7" t="s">
        <v>2265</v>
      </c>
      <c r="B47" s="9">
        <v>3996774</v>
      </c>
      <c r="C47" s="70">
        <v>44949</v>
      </c>
      <c r="D47" s="70">
        <v>44949</v>
      </c>
      <c r="E47" s="73"/>
      <c r="F47" s="9"/>
      <c r="H47" s="9" t="s">
        <v>1247</v>
      </c>
      <c r="I47" s="7" t="s">
        <v>58</v>
      </c>
      <c r="J47" s="51" t="s">
        <v>65</v>
      </c>
      <c r="K47" s="7"/>
      <c r="L47" s="10"/>
      <c r="M47" s="10"/>
      <c r="N47" s="10"/>
      <c r="O47" s="10"/>
      <c r="P47" s="10"/>
      <c r="Q47" s="10"/>
      <c r="R47" s="10"/>
      <c r="S47" s="10"/>
      <c r="T47" s="10">
        <v>10960</v>
      </c>
      <c r="U47" s="10"/>
      <c r="V47" s="10"/>
      <c r="W47" s="10"/>
      <c r="X47" s="10"/>
      <c r="Y47" s="10"/>
      <c r="Z47" s="10"/>
      <c r="AA47" s="33"/>
      <c r="AB47" s="10"/>
      <c r="AC47" s="33">
        <v>10960</v>
      </c>
      <c r="AD47" s="10">
        <f t="shared" si="1"/>
        <v>0</v>
      </c>
      <c r="AE47" s="82"/>
    </row>
    <row r="48" spans="1:32" x14ac:dyDescent="0.25">
      <c r="A48" s="7" t="s">
        <v>2266</v>
      </c>
      <c r="B48" s="9" t="s">
        <v>2300</v>
      </c>
      <c r="C48" s="70">
        <v>44949</v>
      </c>
      <c r="D48" s="70">
        <v>44949</v>
      </c>
      <c r="E48" s="73"/>
      <c r="F48" s="9"/>
      <c r="H48" s="9" t="s">
        <v>1328</v>
      </c>
      <c r="I48" s="7" t="s">
        <v>2301</v>
      </c>
      <c r="J48" s="51" t="s">
        <v>39</v>
      </c>
      <c r="K48" s="7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33">
        <v>25000</v>
      </c>
      <c r="AB48" s="10"/>
      <c r="AC48" s="33">
        <v>14716.65</v>
      </c>
      <c r="AD48" s="10">
        <f t="shared" si="1"/>
        <v>-10283.35</v>
      </c>
      <c r="AE48" s="82" t="s">
        <v>2174</v>
      </c>
    </row>
    <row r="49" spans="1:32" x14ac:dyDescent="0.25">
      <c r="A49" s="7" t="s">
        <v>2267</v>
      </c>
      <c r="B49" s="9" t="s">
        <v>2299</v>
      </c>
      <c r="C49" s="70">
        <v>44949</v>
      </c>
      <c r="D49" s="70">
        <v>44949</v>
      </c>
      <c r="E49" s="73"/>
      <c r="F49" s="9"/>
      <c r="H49" s="9"/>
      <c r="I49" s="7" t="s">
        <v>64</v>
      </c>
      <c r="J49" s="51" t="s">
        <v>39</v>
      </c>
      <c r="K49" s="7"/>
      <c r="L49" s="10"/>
      <c r="M49" s="10"/>
      <c r="N49" s="10"/>
      <c r="O49" s="10"/>
      <c r="P49" s="10">
        <v>40000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33"/>
      <c r="AB49" s="10"/>
      <c r="AC49" s="33">
        <v>40000</v>
      </c>
      <c r="AD49" s="10">
        <f t="shared" si="1"/>
        <v>0</v>
      </c>
      <c r="AE49" s="82"/>
    </row>
    <row r="50" spans="1:32" x14ac:dyDescent="0.25">
      <c r="A50" s="7" t="s">
        <v>2302</v>
      </c>
      <c r="B50" s="9" t="s">
        <v>2307</v>
      </c>
      <c r="C50" s="70">
        <v>44950</v>
      </c>
      <c r="D50" s="70">
        <v>44950</v>
      </c>
      <c r="E50" s="73"/>
      <c r="F50" s="9"/>
      <c r="H50" s="9"/>
      <c r="I50" s="7" t="s">
        <v>55</v>
      </c>
      <c r="J50" s="51" t="s">
        <v>54</v>
      </c>
      <c r="K50" s="7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>
        <v>100000</v>
      </c>
      <c r="AA50" s="33"/>
      <c r="AB50" s="10"/>
      <c r="AC50" s="33">
        <v>100000</v>
      </c>
      <c r="AD50" s="10">
        <f t="shared" si="1"/>
        <v>0</v>
      </c>
      <c r="AE50" s="82"/>
    </row>
    <row r="51" spans="1:32" x14ac:dyDescent="0.25">
      <c r="A51" s="7" t="s">
        <v>2303</v>
      </c>
      <c r="B51" s="9">
        <v>3996775</v>
      </c>
      <c r="C51" s="70">
        <v>44952</v>
      </c>
      <c r="D51" s="70">
        <v>44952</v>
      </c>
      <c r="E51" s="73"/>
      <c r="F51" s="9"/>
      <c r="H51" s="9"/>
      <c r="I51" s="7" t="s">
        <v>2315</v>
      </c>
      <c r="J51" s="51" t="s">
        <v>1261</v>
      </c>
      <c r="K51" s="7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33">
        <v>4256</v>
      </c>
      <c r="AB51" s="10"/>
      <c r="AC51" s="33">
        <v>4256</v>
      </c>
      <c r="AD51" s="10">
        <f t="shared" si="1"/>
        <v>0</v>
      </c>
      <c r="AE51" s="82"/>
    </row>
    <row r="52" spans="1:32" x14ac:dyDescent="0.25">
      <c r="A52" s="7" t="s">
        <v>2304</v>
      </c>
      <c r="B52" s="9">
        <v>3996780</v>
      </c>
      <c r="C52" s="70">
        <v>44952</v>
      </c>
      <c r="D52" s="70">
        <v>44952</v>
      </c>
      <c r="E52" s="73"/>
      <c r="F52" s="9"/>
      <c r="H52" s="9"/>
      <c r="I52" s="7" t="s">
        <v>2317</v>
      </c>
      <c r="J52" s="51" t="s">
        <v>46</v>
      </c>
      <c r="K52" s="7"/>
      <c r="L52" s="10">
        <v>1214.02</v>
      </c>
      <c r="M52" s="10"/>
      <c r="N52" s="10"/>
      <c r="O52" s="10"/>
      <c r="P52" s="10"/>
      <c r="Q52" s="10"/>
      <c r="R52" s="10"/>
      <c r="S52" s="10">
        <v>10116.879999999999</v>
      </c>
      <c r="T52" s="10"/>
      <c r="U52" s="10"/>
      <c r="V52" s="10"/>
      <c r="W52" s="10"/>
      <c r="X52" s="10"/>
      <c r="Y52" s="10"/>
      <c r="Z52" s="10"/>
      <c r="AA52" s="33"/>
      <c r="AB52" s="10"/>
      <c r="AC52" s="33">
        <v>11330.9</v>
      </c>
      <c r="AD52" s="10">
        <f t="shared" si="1"/>
        <v>0</v>
      </c>
      <c r="AE52" s="82"/>
      <c r="AF52" s="17">
        <v>202.34</v>
      </c>
    </row>
    <row r="53" spans="1:32" x14ac:dyDescent="0.25">
      <c r="A53" s="7" t="s">
        <v>2305</v>
      </c>
      <c r="B53" s="9">
        <v>3996777</v>
      </c>
      <c r="C53" s="70">
        <v>44996</v>
      </c>
      <c r="D53" s="70">
        <v>44952</v>
      </c>
      <c r="E53" s="73">
        <v>44966</v>
      </c>
      <c r="F53" s="9" t="s">
        <v>3132</v>
      </c>
      <c r="G53" s="9" t="s">
        <v>2236</v>
      </c>
      <c r="H53" s="9"/>
      <c r="I53" s="7" t="s">
        <v>2316</v>
      </c>
      <c r="J53" s="51" t="s">
        <v>1226</v>
      </c>
      <c r="K53" s="7" t="s">
        <v>1039</v>
      </c>
      <c r="L53" s="10">
        <v>1607.14</v>
      </c>
      <c r="M53" s="10">
        <v>13392.86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33"/>
      <c r="AB53" s="10"/>
      <c r="AC53" s="33">
        <v>15000</v>
      </c>
      <c r="AD53" s="10">
        <f t="shared" si="1"/>
        <v>0</v>
      </c>
      <c r="AE53" s="82"/>
      <c r="AF53" s="17">
        <v>133.93</v>
      </c>
    </row>
    <row r="54" spans="1:32" x14ac:dyDescent="0.25">
      <c r="A54" s="7" t="s">
        <v>2306</v>
      </c>
      <c r="B54" s="9">
        <v>3996778</v>
      </c>
      <c r="C54" s="70">
        <v>44984</v>
      </c>
      <c r="D54" s="70">
        <v>44952</v>
      </c>
      <c r="E54" s="73">
        <v>44953</v>
      </c>
      <c r="F54" s="9" t="s">
        <v>3133</v>
      </c>
      <c r="G54" s="9" t="s">
        <v>2237</v>
      </c>
      <c r="H54" s="9"/>
      <c r="I54" s="7" t="s">
        <v>1001</v>
      </c>
      <c r="J54" s="51" t="s">
        <v>2087</v>
      </c>
      <c r="K54" s="7" t="s">
        <v>2088</v>
      </c>
      <c r="L54" s="10">
        <v>11250</v>
      </c>
      <c r="M54" s="10">
        <v>93750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33"/>
      <c r="AB54" s="10"/>
      <c r="AC54" s="33">
        <v>105000</v>
      </c>
      <c r="AD54" s="10">
        <f t="shared" si="1"/>
        <v>0</v>
      </c>
      <c r="AE54" s="82"/>
      <c r="AF54" s="17">
        <v>937.5</v>
      </c>
    </row>
    <row r="55" spans="1:32" x14ac:dyDescent="0.25">
      <c r="A55" s="7" t="s">
        <v>2308</v>
      </c>
      <c r="B55" s="9">
        <v>3996779</v>
      </c>
      <c r="C55" s="70">
        <v>44986</v>
      </c>
      <c r="D55" s="70">
        <v>44952</v>
      </c>
      <c r="E55" s="73">
        <v>44956</v>
      </c>
      <c r="F55" s="9" t="s">
        <v>3134</v>
      </c>
      <c r="G55" s="9" t="s">
        <v>2238</v>
      </c>
      <c r="H55" s="9"/>
      <c r="I55" s="7" t="s">
        <v>2318</v>
      </c>
      <c r="J55" s="51" t="s">
        <v>2043</v>
      </c>
      <c r="K55" s="7" t="s">
        <v>2138</v>
      </c>
      <c r="L55" s="10">
        <v>2571.4299999999998</v>
      </c>
      <c r="M55" s="10">
        <v>21428.57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33"/>
      <c r="AB55" s="10"/>
      <c r="AC55" s="33">
        <v>24000</v>
      </c>
      <c r="AD55" s="10">
        <f t="shared" si="1"/>
        <v>0</v>
      </c>
      <c r="AE55" s="82"/>
      <c r="AF55" s="17">
        <v>214.29</v>
      </c>
    </row>
    <row r="56" spans="1:32" x14ac:dyDescent="0.25">
      <c r="A56" s="7" t="s">
        <v>2309</v>
      </c>
      <c r="C56" s="70"/>
      <c r="D56" s="70"/>
      <c r="E56" s="73"/>
      <c r="F56" s="9"/>
      <c r="H56" s="9"/>
      <c r="I56" s="99" t="s">
        <v>2325</v>
      </c>
      <c r="J56" s="7"/>
      <c r="K56" s="7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33"/>
      <c r="AB56" s="10"/>
      <c r="AC56" s="33"/>
      <c r="AD56" s="10">
        <f t="shared" si="1"/>
        <v>0</v>
      </c>
      <c r="AE56" s="82"/>
    </row>
    <row r="57" spans="1:32" x14ac:dyDescent="0.25">
      <c r="A57" s="7" t="s">
        <v>2310</v>
      </c>
      <c r="B57" s="9">
        <v>3996781</v>
      </c>
      <c r="C57" s="70">
        <v>45001</v>
      </c>
      <c r="D57" s="70">
        <v>44953</v>
      </c>
      <c r="E57" s="73">
        <v>44966</v>
      </c>
      <c r="F57" s="9" t="s">
        <v>3135</v>
      </c>
      <c r="G57" s="9" t="s">
        <v>2319</v>
      </c>
      <c r="H57" s="9"/>
      <c r="I57" s="7" t="s">
        <v>2320</v>
      </c>
      <c r="J57" s="51" t="s">
        <v>1226</v>
      </c>
      <c r="K57" s="7" t="s">
        <v>1039</v>
      </c>
      <c r="L57" s="10">
        <v>13875</v>
      </c>
      <c r="M57" s="10">
        <v>115625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33"/>
      <c r="AB57" s="10"/>
      <c r="AC57" s="33">
        <v>129500</v>
      </c>
      <c r="AD57" s="10">
        <f t="shared" si="1"/>
        <v>0</v>
      </c>
      <c r="AE57" s="82"/>
      <c r="AF57" s="17">
        <v>1156.25</v>
      </c>
    </row>
    <row r="58" spans="1:32" x14ac:dyDescent="0.25">
      <c r="A58" s="7" t="s">
        <v>2311</v>
      </c>
      <c r="B58" s="9">
        <v>3996782</v>
      </c>
      <c r="C58" s="70">
        <v>44983</v>
      </c>
      <c r="D58" s="70">
        <v>44953</v>
      </c>
      <c r="E58" s="73">
        <v>44978</v>
      </c>
      <c r="F58" s="9" t="s">
        <v>3136</v>
      </c>
      <c r="G58" s="9" t="s">
        <v>1385</v>
      </c>
      <c r="H58" s="9"/>
      <c r="I58" s="7" t="s">
        <v>2321</v>
      </c>
      <c r="J58" s="51" t="s">
        <v>83</v>
      </c>
      <c r="K58" s="7" t="s">
        <v>1336</v>
      </c>
      <c r="L58" s="10">
        <v>12078</v>
      </c>
      <c r="M58" s="10">
        <v>100650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33"/>
      <c r="AB58" s="10"/>
      <c r="AC58" s="33">
        <v>112728</v>
      </c>
      <c r="AD58" s="10">
        <f t="shared" si="1"/>
        <v>0</v>
      </c>
      <c r="AE58" s="82"/>
      <c r="AF58" s="17">
        <v>1006.5</v>
      </c>
    </row>
    <row r="59" spans="1:32" x14ac:dyDescent="0.25">
      <c r="A59" s="7" t="s">
        <v>2312</v>
      </c>
      <c r="B59" s="9">
        <v>3996783</v>
      </c>
      <c r="C59" s="70">
        <v>44956</v>
      </c>
      <c r="D59" s="70">
        <v>44956</v>
      </c>
      <c r="E59" s="73"/>
      <c r="F59" s="9"/>
      <c r="H59" s="9"/>
      <c r="I59" s="7" t="s">
        <v>118</v>
      </c>
      <c r="J59" s="51" t="s">
        <v>1847</v>
      </c>
      <c r="K59" s="7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33">
        <v>13770.5</v>
      </c>
      <c r="AB59" s="10"/>
      <c r="AC59" s="33">
        <v>13770.5</v>
      </c>
      <c r="AD59" s="10">
        <f t="shared" si="1"/>
        <v>0</v>
      </c>
      <c r="AE59" s="82"/>
    </row>
    <row r="60" spans="1:32" x14ac:dyDescent="0.25">
      <c r="A60" s="7" t="s">
        <v>2313</v>
      </c>
      <c r="B60" s="9">
        <v>3996784</v>
      </c>
      <c r="C60" s="85">
        <v>44956</v>
      </c>
      <c r="D60" s="70">
        <v>44956</v>
      </c>
      <c r="E60" s="73"/>
      <c r="F60" s="9"/>
      <c r="H60" s="9"/>
      <c r="I60" s="7" t="s">
        <v>2323</v>
      </c>
      <c r="J60" s="51" t="s">
        <v>2324</v>
      </c>
      <c r="K60" s="7"/>
      <c r="L60" s="10"/>
      <c r="M60" s="10">
        <v>7500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33"/>
      <c r="AB60" s="10"/>
      <c r="AC60" s="33">
        <v>7500</v>
      </c>
      <c r="AD60" s="10">
        <f t="shared" si="1"/>
        <v>0</v>
      </c>
      <c r="AE60" s="82"/>
    </row>
    <row r="61" spans="1:32" s="39" customFormat="1" x14ac:dyDescent="0.25">
      <c r="A61" s="20"/>
      <c r="B61" s="19"/>
      <c r="C61" s="72"/>
      <c r="D61" s="72"/>
      <c r="E61" s="77"/>
      <c r="F61" s="19"/>
      <c r="G61" s="19"/>
      <c r="H61" s="19"/>
      <c r="I61" s="20"/>
      <c r="J61" s="20"/>
      <c r="K61" s="20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32"/>
      <c r="AB61" s="22"/>
      <c r="AC61" s="32"/>
      <c r="AD61" s="22"/>
      <c r="AE61" s="96"/>
      <c r="AF61" s="35"/>
    </row>
    <row r="62" spans="1:32" s="39" customFormat="1" x14ac:dyDescent="0.25">
      <c r="A62" s="25">
        <v>44958</v>
      </c>
      <c r="B62" s="19"/>
      <c r="C62" s="72"/>
      <c r="D62" s="72"/>
      <c r="E62" s="77"/>
      <c r="F62" s="19"/>
      <c r="G62" s="19"/>
      <c r="H62" s="19"/>
      <c r="I62" s="20"/>
      <c r="J62" s="20"/>
      <c r="K62" s="20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32"/>
      <c r="AB62" s="22"/>
      <c r="AC62" s="32"/>
      <c r="AD62" s="22"/>
      <c r="AE62" s="96"/>
      <c r="AF62" s="35"/>
    </row>
    <row r="63" spans="1:32" x14ac:dyDescent="0.25">
      <c r="A63" s="7" t="s">
        <v>2314</v>
      </c>
      <c r="B63" s="9">
        <v>3996785</v>
      </c>
      <c r="C63" s="70">
        <v>44986</v>
      </c>
      <c r="D63" s="70">
        <v>44958</v>
      </c>
      <c r="E63" s="73">
        <v>44967</v>
      </c>
      <c r="F63" s="9" t="s">
        <v>3137</v>
      </c>
      <c r="G63" s="9" t="s">
        <v>2314</v>
      </c>
      <c r="H63" s="9"/>
      <c r="I63" s="7" t="s">
        <v>2370</v>
      </c>
      <c r="J63" s="51" t="s">
        <v>37</v>
      </c>
      <c r="K63" s="7" t="s">
        <v>38</v>
      </c>
      <c r="L63" s="10">
        <v>1285.71</v>
      </c>
      <c r="M63" s="10">
        <v>10714.29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33"/>
      <c r="AB63" s="10"/>
      <c r="AC63" s="33">
        <v>12000</v>
      </c>
      <c r="AD63" s="10">
        <f t="shared" ref="AD63:AD94" si="2">SUM(AB63:AC63)-SUM(L63:AA63)</f>
        <v>0</v>
      </c>
      <c r="AE63" s="82"/>
      <c r="AF63" s="17">
        <v>107.14</v>
      </c>
    </row>
    <row r="64" spans="1:32" x14ac:dyDescent="0.25">
      <c r="A64" s="7" t="s">
        <v>2326</v>
      </c>
      <c r="B64" s="9">
        <v>3996787</v>
      </c>
      <c r="C64" s="70">
        <v>44958</v>
      </c>
      <c r="D64" s="70">
        <v>15008</v>
      </c>
      <c r="E64" s="73"/>
      <c r="F64" s="9"/>
      <c r="H64" s="9" t="s">
        <v>1248</v>
      </c>
      <c r="I64" s="7" t="s">
        <v>58</v>
      </c>
      <c r="J64" s="51" t="s">
        <v>65</v>
      </c>
      <c r="K64" s="7"/>
      <c r="L64" s="10"/>
      <c r="M64" s="10"/>
      <c r="N64" s="10"/>
      <c r="O64" s="10"/>
      <c r="P64" s="10"/>
      <c r="Q64" s="10"/>
      <c r="R64" s="10"/>
      <c r="S64" s="10"/>
      <c r="T64" s="10">
        <v>9558.6</v>
      </c>
      <c r="U64" s="10"/>
      <c r="V64" s="10"/>
      <c r="W64" s="10"/>
      <c r="X64" s="10"/>
      <c r="Y64" s="10"/>
      <c r="Z64" s="10"/>
      <c r="AA64" s="33"/>
      <c r="AB64" s="10"/>
      <c r="AC64" s="33">
        <v>9558.6</v>
      </c>
      <c r="AD64" s="10">
        <f t="shared" si="2"/>
        <v>0</v>
      </c>
      <c r="AE64" s="82"/>
    </row>
    <row r="65" spans="1:32" x14ac:dyDescent="0.25">
      <c r="A65" s="7" t="s">
        <v>2327</v>
      </c>
      <c r="B65" s="9">
        <v>3996788</v>
      </c>
      <c r="C65" s="70">
        <v>44958</v>
      </c>
      <c r="D65" s="70">
        <v>44958</v>
      </c>
      <c r="E65" s="73"/>
      <c r="F65" s="9"/>
      <c r="H65" s="9"/>
      <c r="I65" s="7" t="s">
        <v>2367</v>
      </c>
      <c r="J65" s="51" t="s">
        <v>327</v>
      </c>
      <c r="K65" s="7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>
        <v>4000</v>
      </c>
      <c r="Z65" s="10"/>
      <c r="AA65" s="33"/>
      <c r="AB65" s="10"/>
      <c r="AC65" s="33">
        <v>4000</v>
      </c>
      <c r="AD65" s="10">
        <f t="shared" si="2"/>
        <v>0</v>
      </c>
      <c r="AE65" s="82"/>
    </row>
    <row r="66" spans="1:32" x14ac:dyDescent="0.25">
      <c r="A66" s="7" t="s">
        <v>2328</v>
      </c>
      <c r="B66" s="9">
        <v>3996789</v>
      </c>
      <c r="C66" s="70">
        <v>44958</v>
      </c>
      <c r="D66" s="70">
        <v>44958</v>
      </c>
      <c r="E66" s="73"/>
      <c r="F66" s="9"/>
      <c r="H66" s="9"/>
      <c r="I66" s="7" t="s">
        <v>2368</v>
      </c>
      <c r="J66" s="51" t="s">
        <v>2377</v>
      </c>
      <c r="K66" s="7" t="s">
        <v>2378</v>
      </c>
      <c r="L66" s="10">
        <v>289.18</v>
      </c>
      <c r="M66" s="10">
        <v>2409.8200000000002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33"/>
      <c r="AB66" s="10"/>
      <c r="AC66" s="33">
        <v>3000</v>
      </c>
      <c r="AD66" s="10">
        <f t="shared" si="2"/>
        <v>301</v>
      </c>
      <c r="AE66" s="82" t="s">
        <v>2421</v>
      </c>
    </row>
    <row r="67" spans="1:32" x14ac:dyDescent="0.25">
      <c r="A67" s="7" t="s">
        <v>2329</v>
      </c>
      <c r="B67" s="9">
        <v>3996790</v>
      </c>
      <c r="C67" s="70">
        <v>44958</v>
      </c>
      <c r="D67" s="70">
        <v>44958</v>
      </c>
      <c r="E67" s="73"/>
      <c r="F67" s="9"/>
      <c r="H67" s="9" t="s">
        <v>1327</v>
      </c>
      <c r="I67" s="7" t="s">
        <v>58</v>
      </c>
      <c r="J67" s="51" t="s">
        <v>65</v>
      </c>
      <c r="K67" s="7"/>
      <c r="L67" s="10"/>
      <c r="M67" s="10"/>
      <c r="N67" s="10"/>
      <c r="O67" s="10"/>
      <c r="P67" s="10"/>
      <c r="Q67" s="10"/>
      <c r="R67" s="10"/>
      <c r="S67" s="10"/>
      <c r="T67" s="10">
        <v>11988</v>
      </c>
      <c r="U67" s="10"/>
      <c r="V67" s="10"/>
      <c r="W67" s="10"/>
      <c r="X67" s="10"/>
      <c r="Y67" s="10"/>
      <c r="Z67" s="10"/>
      <c r="AA67" s="33"/>
      <c r="AB67" s="10"/>
      <c r="AC67" s="33">
        <v>11988</v>
      </c>
      <c r="AD67" s="10">
        <f t="shared" si="2"/>
        <v>0</v>
      </c>
      <c r="AE67" s="82"/>
    </row>
    <row r="68" spans="1:32" x14ac:dyDescent="0.25">
      <c r="A68" s="7" t="s">
        <v>2330</v>
      </c>
      <c r="B68" s="9" t="s">
        <v>2369</v>
      </c>
      <c r="C68" s="70">
        <v>44958</v>
      </c>
      <c r="D68" s="70">
        <v>44958</v>
      </c>
      <c r="E68" s="73"/>
      <c r="F68" s="9"/>
      <c r="H68" s="9"/>
      <c r="I68" s="7" t="s">
        <v>64</v>
      </c>
      <c r="J68" s="51" t="s">
        <v>33</v>
      </c>
      <c r="K68" s="7"/>
      <c r="L68" s="10"/>
      <c r="M68" s="10"/>
      <c r="N68" s="10"/>
      <c r="O68" s="10"/>
      <c r="P68" s="10">
        <v>15000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33"/>
      <c r="AB68" s="10"/>
      <c r="AC68" s="33">
        <v>15000</v>
      </c>
      <c r="AD68" s="10">
        <f t="shared" si="2"/>
        <v>0</v>
      </c>
      <c r="AE68" s="82"/>
    </row>
    <row r="69" spans="1:32" x14ac:dyDescent="0.25">
      <c r="A69" s="7" t="s">
        <v>2331</v>
      </c>
      <c r="B69" s="9">
        <v>3996792</v>
      </c>
      <c r="C69" s="70">
        <v>44960</v>
      </c>
      <c r="D69" s="70">
        <v>44959</v>
      </c>
      <c r="E69" s="73"/>
      <c r="F69" s="9"/>
      <c r="H69" s="9"/>
      <c r="I69" s="7" t="s">
        <v>2366</v>
      </c>
      <c r="J69" s="51" t="s">
        <v>65</v>
      </c>
      <c r="K69" s="7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33">
        <v>6000</v>
      </c>
      <c r="AB69" s="10"/>
      <c r="AC69" s="33">
        <v>6000</v>
      </c>
      <c r="AD69" s="10">
        <f t="shared" si="2"/>
        <v>0</v>
      </c>
      <c r="AE69" s="82"/>
    </row>
    <row r="70" spans="1:32" x14ac:dyDescent="0.25">
      <c r="A70" s="7" t="s">
        <v>2332</v>
      </c>
      <c r="B70" s="9">
        <v>3996793</v>
      </c>
      <c r="C70" s="70">
        <v>44963</v>
      </c>
      <c r="D70" s="70">
        <v>44963</v>
      </c>
      <c r="E70" s="73"/>
      <c r="F70" s="9"/>
      <c r="H70" s="9"/>
      <c r="I70" s="7" t="s">
        <v>2371</v>
      </c>
      <c r="J70" s="51" t="s">
        <v>18</v>
      </c>
      <c r="K70" s="7"/>
      <c r="L70" s="10">
        <v>151.09</v>
      </c>
      <c r="M70" s="10"/>
      <c r="N70" s="10"/>
      <c r="O70" s="10"/>
      <c r="P70" s="10"/>
      <c r="Q70" s="10"/>
      <c r="R70" s="10">
        <v>1259.06</v>
      </c>
      <c r="S70" s="10"/>
      <c r="T70" s="10"/>
      <c r="U70" s="10"/>
      <c r="V70" s="10"/>
      <c r="W70" s="10"/>
      <c r="X70" s="10"/>
      <c r="Y70" s="10"/>
      <c r="Z70" s="10"/>
      <c r="AA70" s="33"/>
      <c r="AB70" s="10"/>
      <c r="AC70" s="33">
        <v>1410.15</v>
      </c>
      <c r="AD70" s="10">
        <f t="shared" si="2"/>
        <v>0</v>
      </c>
      <c r="AE70" s="82"/>
    </row>
    <row r="71" spans="1:32" x14ac:dyDescent="0.25">
      <c r="A71" s="7" t="s">
        <v>2333</v>
      </c>
      <c r="B71" s="9">
        <v>3996794</v>
      </c>
      <c r="C71" s="70">
        <v>44963</v>
      </c>
      <c r="D71" s="70">
        <v>44963</v>
      </c>
      <c r="E71" s="73"/>
      <c r="F71" s="9"/>
      <c r="H71" s="9"/>
      <c r="I71" s="7" t="s">
        <v>2371</v>
      </c>
      <c r="J71" s="51" t="s">
        <v>18</v>
      </c>
      <c r="K71" s="7"/>
      <c r="L71" s="10">
        <v>811.09</v>
      </c>
      <c r="M71" s="10"/>
      <c r="N71" s="10"/>
      <c r="O71" s="10"/>
      <c r="P71" s="10"/>
      <c r="Q71" s="10"/>
      <c r="R71" s="10">
        <v>6759.06</v>
      </c>
      <c r="S71" s="10"/>
      <c r="T71" s="10"/>
      <c r="U71" s="10"/>
      <c r="V71" s="10"/>
      <c r="W71" s="10"/>
      <c r="X71" s="10"/>
      <c r="Y71" s="10"/>
      <c r="Z71" s="10"/>
      <c r="AA71" s="33"/>
      <c r="AB71" s="10"/>
      <c r="AC71" s="33">
        <v>7570.15</v>
      </c>
      <c r="AD71" s="10">
        <f t="shared" si="2"/>
        <v>0</v>
      </c>
      <c r="AE71" s="82"/>
    </row>
    <row r="72" spans="1:32" x14ac:dyDescent="0.25">
      <c r="A72" s="7" t="s">
        <v>2334</v>
      </c>
      <c r="B72" s="9">
        <v>3996795</v>
      </c>
      <c r="C72" s="70">
        <v>44963</v>
      </c>
      <c r="D72" s="70">
        <v>44963</v>
      </c>
      <c r="E72" s="73">
        <v>44964</v>
      </c>
      <c r="F72" s="9" t="s">
        <v>3138</v>
      </c>
      <c r="H72" s="9"/>
      <c r="I72" s="7" t="s">
        <v>2372</v>
      </c>
      <c r="J72" s="51" t="s">
        <v>83</v>
      </c>
      <c r="K72" s="7" t="s">
        <v>1336</v>
      </c>
      <c r="L72" s="10">
        <v>160.71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33">
        <v>1339.29</v>
      </c>
      <c r="AB72" s="10"/>
      <c r="AC72" s="33">
        <v>1500</v>
      </c>
      <c r="AD72" s="10">
        <f t="shared" si="2"/>
        <v>0</v>
      </c>
      <c r="AE72" s="82"/>
    </row>
    <row r="73" spans="1:32" x14ac:dyDescent="0.25">
      <c r="A73" s="7" t="s">
        <v>2335</v>
      </c>
      <c r="B73" s="9">
        <v>3996796</v>
      </c>
      <c r="C73" s="70">
        <v>44991</v>
      </c>
      <c r="D73" s="70">
        <v>44963</v>
      </c>
      <c r="E73" s="73">
        <v>44993</v>
      </c>
      <c r="F73" s="9" t="s">
        <v>3139</v>
      </c>
      <c r="G73" s="9" t="s">
        <v>2242</v>
      </c>
      <c r="H73" s="9"/>
      <c r="I73" s="7" t="s">
        <v>2373</v>
      </c>
      <c r="J73" s="51" t="s">
        <v>83</v>
      </c>
      <c r="K73" s="7" t="s">
        <v>1336</v>
      </c>
      <c r="L73" s="10">
        <v>2507.14</v>
      </c>
      <c r="M73" s="10">
        <v>20892.86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33"/>
      <c r="AB73" s="10"/>
      <c r="AC73" s="33">
        <v>23400</v>
      </c>
      <c r="AD73" s="10">
        <f t="shared" si="2"/>
        <v>0</v>
      </c>
      <c r="AE73" s="82"/>
      <c r="AF73" s="17">
        <v>208.93</v>
      </c>
    </row>
    <row r="74" spans="1:32" x14ac:dyDescent="0.25">
      <c r="A74" s="7" t="s">
        <v>2336</v>
      </c>
      <c r="B74" s="9" t="s">
        <v>2374</v>
      </c>
      <c r="C74" s="70">
        <v>44963</v>
      </c>
      <c r="D74" s="70">
        <v>44963</v>
      </c>
      <c r="E74" s="73"/>
      <c r="F74" s="9"/>
      <c r="H74" s="9"/>
      <c r="I74" s="7" t="s">
        <v>55</v>
      </c>
      <c r="J74" s="51" t="s">
        <v>54</v>
      </c>
      <c r="K74" s="7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>
        <v>200000</v>
      </c>
      <c r="AA74" s="33"/>
      <c r="AB74" s="10"/>
      <c r="AC74" s="33">
        <v>200000</v>
      </c>
      <c r="AD74" s="10">
        <f t="shared" si="2"/>
        <v>0</v>
      </c>
      <c r="AE74" s="82"/>
    </row>
    <row r="75" spans="1:32" x14ac:dyDescent="0.25">
      <c r="A75" s="7" t="s">
        <v>2337</v>
      </c>
      <c r="B75" s="9" t="s">
        <v>2375</v>
      </c>
      <c r="C75" s="70">
        <v>44963</v>
      </c>
      <c r="D75" s="70">
        <v>44963</v>
      </c>
      <c r="E75" s="73"/>
      <c r="F75" s="9"/>
      <c r="H75" s="9"/>
      <c r="I75" s="7" t="s">
        <v>2376</v>
      </c>
      <c r="J75" s="51" t="s">
        <v>94</v>
      </c>
      <c r="K75" s="7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33">
        <v>30000.01</v>
      </c>
      <c r="AB75" s="10"/>
      <c r="AC75" s="33">
        <v>30000.01</v>
      </c>
      <c r="AD75" s="10">
        <f t="shared" si="2"/>
        <v>0</v>
      </c>
      <c r="AE75" s="82"/>
    </row>
    <row r="76" spans="1:32" x14ac:dyDescent="0.25">
      <c r="A76" s="7" t="s">
        <v>2338</v>
      </c>
      <c r="B76" s="9">
        <v>3996797</v>
      </c>
      <c r="C76" s="70">
        <v>44966</v>
      </c>
      <c r="D76" s="70">
        <v>44966</v>
      </c>
      <c r="E76" s="73"/>
      <c r="F76" s="9"/>
      <c r="H76" s="9"/>
      <c r="I76" s="7" t="s">
        <v>2379</v>
      </c>
      <c r="J76" s="51" t="s">
        <v>43</v>
      </c>
      <c r="K76" s="7"/>
      <c r="L76" s="10">
        <v>32.14</v>
      </c>
      <c r="M76" s="10"/>
      <c r="N76" s="10"/>
      <c r="O76" s="10"/>
      <c r="P76" s="10"/>
      <c r="Q76" s="10"/>
      <c r="R76" s="10"/>
      <c r="S76" s="10">
        <v>267.86</v>
      </c>
      <c r="T76" s="10"/>
      <c r="U76" s="10"/>
      <c r="V76" s="10"/>
      <c r="W76" s="10"/>
      <c r="X76" s="10"/>
      <c r="Y76" s="10"/>
      <c r="Z76" s="10"/>
      <c r="AA76" s="33"/>
      <c r="AB76" s="10"/>
      <c r="AC76" s="33">
        <v>300</v>
      </c>
      <c r="AD76" s="10">
        <f t="shared" si="2"/>
        <v>0</v>
      </c>
      <c r="AE76" s="82"/>
    </row>
    <row r="77" spans="1:32" x14ac:dyDescent="0.25">
      <c r="A77" s="7" t="s">
        <v>2339</v>
      </c>
      <c r="B77" s="9">
        <v>3996798</v>
      </c>
      <c r="C77" s="70">
        <v>44966</v>
      </c>
      <c r="D77" s="70">
        <v>44966</v>
      </c>
      <c r="E77" s="73"/>
      <c r="F77" s="9"/>
      <c r="H77" s="9"/>
      <c r="I77" s="7" t="s">
        <v>123</v>
      </c>
      <c r="J77" s="51" t="s">
        <v>51</v>
      </c>
      <c r="K77" s="7"/>
      <c r="L77" s="10"/>
      <c r="M77" s="10">
        <v>25000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33"/>
      <c r="AB77" s="10"/>
      <c r="AC77" s="33">
        <v>25000</v>
      </c>
      <c r="AD77" s="10">
        <f t="shared" si="2"/>
        <v>0</v>
      </c>
      <c r="AE77" s="82"/>
    </row>
    <row r="78" spans="1:32" x14ac:dyDescent="0.25">
      <c r="A78" s="7" t="s">
        <v>2340</v>
      </c>
      <c r="B78" s="9">
        <v>3996799</v>
      </c>
      <c r="C78" s="70">
        <v>44966</v>
      </c>
      <c r="D78" s="70">
        <v>44966</v>
      </c>
      <c r="E78" s="73"/>
      <c r="F78" s="9"/>
      <c r="H78" s="9"/>
      <c r="I78" s="7" t="s">
        <v>2380</v>
      </c>
      <c r="J78" s="51" t="s">
        <v>1469</v>
      </c>
      <c r="K78" s="7"/>
      <c r="L78" s="10">
        <v>3375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33">
        <v>28125</v>
      </c>
      <c r="AB78" s="10"/>
      <c r="AC78" s="33">
        <v>31500</v>
      </c>
      <c r="AD78" s="10">
        <f t="shared" si="2"/>
        <v>0</v>
      </c>
      <c r="AE78" s="82"/>
    </row>
    <row r="79" spans="1:32" x14ac:dyDescent="0.25">
      <c r="A79" s="7" t="s">
        <v>2341</v>
      </c>
      <c r="B79" s="9">
        <v>3996800</v>
      </c>
      <c r="C79" s="70">
        <v>44966</v>
      </c>
      <c r="D79" s="70">
        <v>44966</v>
      </c>
      <c r="E79" s="73">
        <v>44967</v>
      </c>
      <c r="F79" s="9" t="s">
        <v>3140</v>
      </c>
      <c r="H79" s="9"/>
      <c r="I79" s="7" t="s">
        <v>2323</v>
      </c>
      <c r="J79" s="51" t="s">
        <v>109</v>
      </c>
      <c r="K79" s="7"/>
      <c r="L79" s="10"/>
      <c r="M79" s="10">
        <v>7500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33"/>
      <c r="AB79" s="10"/>
      <c r="AC79" s="33">
        <v>7500</v>
      </c>
      <c r="AD79" s="10">
        <f t="shared" si="2"/>
        <v>0</v>
      </c>
      <c r="AE79" s="82"/>
    </row>
    <row r="80" spans="1:32" x14ac:dyDescent="0.25">
      <c r="A80" s="7" t="s">
        <v>2342</v>
      </c>
      <c r="B80" s="9">
        <v>4071851</v>
      </c>
      <c r="C80" s="70">
        <v>44992</v>
      </c>
      <c r="D80" s="70">
        <v>44966</v>
      </c>
      <c r="E80" s="73">
        <v>44993</v>
      </c>
      <c r="F80" s="9" t="s">
        <v>3141</v>
      </c>
      <c r="G80" s="9" t="s">
        <v>2243</v>
      </c>
      <c r="H80" s="9"/>
      <c r="I80" s="7" t="s">
        <v>2381</v>
      </c>
      <c r="J80" s="51" t="s">
        <v>83</v>
      </c>
      <c r="K80" s="7" t="s">
        <v>1336</v>
      </c>
      <c r="L80" s="10">
        <v>1253.57</v>
      </c>
      <c r="M80" s="10">
        <v>10446.43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33"/>
      <c r="AB80" s="10"/>
      <c r="AC80" s="33">
        <v>11700</v>
      </c>
      <c r="AD80" s="10">
        <f t="shared" si="2"/>
        <v>0</v>
      </c>
      <c r="AE80" s="82"/>
      <c r="AF80" s="17">
        <v>104.46</v>
      </c>
    </row>
    <row r="81" spans="1:32" x14ac:dyDescent="0.25">
      <c r="A81" s="7" t="s">
        <v>2343</v>
      </c>
      <c r="B81" s="9">
        <v>4071852</v>
      </c>
      <c r="C81" s="70">
        <v>44992</v>
      </c>
      <c r="D81" s="70">
        <v>44966</v>
      </c>
      <c r="E81" s="73">
        <v>44967</v>
      </c>
      <c r="F81" s="9" t="s">
        <v>3142</v>
      </c>
      <c r="G81" s="9" t="s">
        <v>2244</v>
      </c>
      <c r="H81" s="9"/>
      <c r="I81" s="7" t="s">
        <v>151</v>
      </c>
      <c r="J81" s="51" t="s">
        <v>60</v>
      </c>
      <c r="K81" s="7" t="s">
        <v>61</v>
      </c>
      <c r="L81" s="10">
        <v>503.57</v>
      </c>
      <c r="M81" s="10">
        <v>4196.43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33"/>
      <c r="AB81" s="10"/>
      <c r="AC81" s="33">
        <v>4700</v>
      </c>
      <c r="AD81" s="10">
        <f t="shared" si="2"/>
        <v>0</v>
      </c>
      <c r="AE81" s="82"/>
      <c r="AF81" s="17">
        <v>41.96</v>
      </c>
    </row>
    <row r="82" spans="1:32" x14ac:dyDescent="0.25">
      <c r="A82" s="7" t="s">
        <v>2344</v>
      </c>
      <c r="B82" s="9">
        <v>4071854</v>
      </c>
      <c r="C82" s="70">
        <v>45011</v>
      </c>
      <c r="D82" s="70">
        <v>44967</v>
      </c>
      <c r="E82" s="73">
        <v>44987</v>
      </c>
      <c r="F82" s="9" t="s">
        <v>3143</v>
      </c>
      <c r="G82" s="9" t="s">
        <v>1172</v>
      </c>
      <c r="H82" s="9"/>
      <c r="I82" s="7" t="s">
        <v>629</v>
      </c>
      <c r="J82" s="51" t="s">
        <v>1226</v>
      </c>
      <c r="K82" s="7" t="s">
        <v>1039</v>
      </c>
      <c r="L82" s="10">
        <v>4017.86</v>
      </c>
      <c r="M82" s="10">
        <v>33482.14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33"/>
      <c r="AB82" s="10"/>
      <c r="AC82" s="33">
        <v>37500</v>
      </c>
      <c r="AD82" s="10">
        <f t="shared" si="2"/>
        <v>0</v>
      </c>
      <c r="AE82" s="82"/>
      <c r="AF82" s="17">
        <v>334.82</v>
      </c>
    </row>
    <row r="83" spans="1:32" x14ac:dyDescent="0.25">
      <c r="A83" s="7" t="s">
        <v>2345</v>
      </c>
      <c r="B83" s="9">
        <v>4071855</v>
      </c>
      <c r="C83" s="70">
        <v>45011</v>
      </c>
      <c r="D83" s="70">
        <v>44967</v>
      </c>
      <c r="E83" s="73">
        <v>44987</v>
      </c>
      <c r="F83" s="9" t="s">
        <v>3144</v>
      </c>
      <c r="G83" s="9" t="s">
        <v>2245</v>
      </c>
      <c r="H83" s="9"/>
      <c r="I83" s="7" t="s">
        <v>1918</v>
      </c>
      <c r="J83" s="51" t="s">
        <v>1226</v>
      </c>
      <c r="K83" s="7" t="s">
        <v>1039</v>
      </c>
      <c r="L83" s="10">
        <v>1607.14</v>
      </c>
      <c r="M83" s="10">
        <v>13392.86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33"/>
      <c r="AB83" s="10"/>
      <c r="AC83" s="33">
        <v>15000</v>
      </c>
      <c r="AD83" s="10">
        <f t="shared" si="2"/>
        <v>0</v>
      </c>
      <c r="AE83" s="82"/>
      <c r="AF83" s="17">
        <v>133.93</v>
      </c>
    </row>
    <row r="84" spans="1:32" x14ac:dyDescent="0.25">
      <c r="A84" s="7" t="s">
        <v>2346</v>
      </c>
      <c r="B84" s="9" t="s">
        <v>2382</v>
      </c>
      <c r="C84" s="70">
        <v>44967</v>
      </c>
      <c r="D84" s="70">
        <v>44967</v>
      </c>
      <c r="E84" s="73">
        <v>44970</v>
      </c>
      <c r="F84" s="9" t="s">
        <v>3145</v>
      </c>
      <c r="H84" s="9"/>
      <c r="I84" s="7" t="s">
        <v>63</v>
      </c>
      <c r="J84" s="51" t="s">
        <v>109</v>
      </c>
      <c r="K84" s="7"/>
      <c r="L84" s="10"/>
      <c r="M84" s="10"/>
      <c r="N84" s="10">
        <v>145684.35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33"/>
      <c r="AB84" s="10"/>
      <c r="AC84" s="33">
        <v>145684.35</v>
      </c>
      <c r="AD84" s="10">
        <f t="shared" si="2"/>
        <v>0</v>
      </c>
      <c r="AE84" s="82"/>
    </row>
    <row r="85" spans="1:32" x14ac:dyDescent="0.25">
      <c r="A85" s="7" t="s">
        <v>2347</v>
      </c>
      <c r="B85" s="9" t="s">
        <v>2383</v>
      </c>
      <c r="C85" s="70">
        <v>44967</v>
      </c>
      <c r="D85" s="70">
        <v>44967</v>
      </c>
      <c r="E85" s="73">
        <v>44967</v>
      </c>
      <c r="F85" s="9" t="s">
        <v>3146</v>
      </c>
      <c r="H85" s="9"/>
      <c r="I85" s="7" t="s">
        <v>2384</v>
      </c>
      <c r="J85" s="51" t="s">
        <v>2385</v>
      </c>
      <c r="K85" s="7" t="s">
        <v>2386</v>
      </c>
      <c r="L85" s="10">
        <v>7212.86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33">
        <v>60107.14</v>
      </c>
      <c r="AB85" s="10"/>
      <c r="AC85" s="33">
        <v>67320</v>
      </c>
      <c r="AD85" s="10">
        <f t="shared" si="2"/>
        <v>0</v>
      </c>
      <c r="AE85" s="82"/>
    </row>
    <row r="86" spans="1:32" x14ac:dyDescent="0.25">
      <c r="A86" s="7" t="s">
        <v>2348</v>
      </c>
      <c r="B86" s="9">
        <v>4071856</v>
      </c>
      <c r="C86" s="70">
        <v>44970</v>
      </c>
      <c r="D86" s="70">
        <v>44970</v>
      </c>
      <c r="E86" s="73"/>
      <c r="F86" s="9"/>
      <c r="H86" s="9"/>
      <c r="I86" s="7" t="s">
        <v>2387</v>
      </c>
      <c r="J86" s="51" t="s">
        <v>44</v>
      </c>
      <c r="K86" s="7"/>
      <c r="L86" s="10"/>
      <c r="M86" s="10">
        <v>812.22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>
        <v>6768.54</v>
      </c>
      <c r="Y86" s="10"/>
      <c r="Z86" s="10"/>
      <c r="AA86" s="33"/>
      <c r="AB86" s="10"/>
      <c r="AC86" s="33">
        <v>7580.76</v>
      </c>
      <c r="AD86" s="10">
        <f t="shared" si="2"/>
        <v>0</v>
      </c>
      <c r="AE86" s="82"/>
    </row>
    <row r="87" spans="1:32" x14ac:dyDescent="0.25">
      <c r="A87" s="7" t="s">
        <v>2349</v>
      </c>
      <c r="B87" s="9">
        <v>4071857</v>
      </c>
      <c r="C87" s="70">
        <v>44970</v>
      </c>
      <c r="D87" s="70">
        <v>44970</v>
      </c>
      <c r="E87" s="73"/>
      <c r="F87" s="9"/>
      <c r="H87" s="9"/>
      <c r="I87" s="7" t="s">
        <v>2388</v>
      </c>
      <c r="J87" s="51" t="s">
        <v>327</v>
      </c>
      <c r="K87" s="7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33">
        <v>2240</v>
      </c>
      <c r="AB87" s="10"/>
      <c r="AC87" s="33">
        <v>3000</v>
      </c>
      <c r="AD87" s="10">
        <f t="shared" si="2"/>
        <v>760</v>
      </c>
      <c r="AE87" s="82" t="s">
        <v>2422</v>
      </c>
    </row>
    <row r="88" spans="1:32" x14ac:dyDescent="0.25">
      <c r="A88" s="7" t="s">
        <v>2350</v>
      </c>
      <c r="B88" s="9">
        <v>4071858</v>
      </c>
      <c r="C88" s="70">
        <v>44970</v>
      </c>
      <c r="D88" s="70">
        <v>44970</v>
      </c>
      <c r="E88" s="73"/>
      <c r="F88" s="9"/>
      <c r="H88" s="9"/>
      <c r="I88" s="7" t="s">
        <v>2379</v>
      </c>
      <c r="J88" s="51" t="s">
        <v>43</v>
      </c>
      <c r="K88" s="7"/>
      <c r="L88" s="10">
        <v>32.14</v>
      </c>
      <c r="M88" s="10"/>
      <c r="N88" s="10"/>
      <c r="O88" s="10"/>
      <c r="P88" s="10"/>
      <c r="Q88" s="10"/>
      <c r="R88" s="10"/>
      <c r="S88" s="10">
        <v>267.86</v>
      </c>
      <c r="T88" s="10"/>
      <c r="U88" s="10"/>
      <c r="V88" s="10"/>
      <c r="W88" s="10"/>
      <c r="X88" s="10"/>
      <c r="Y88" s="10"/>
      <c r="Z88" s="10"/>
      <c r="AA88" s="33"/>
      <c r="AB88" s="10"/>
      <c r="AC88" s="33">
        <v>300</v>
      </c>
      <c r="AD88" s="10">
        <f t="shared" si="2"/>
        <v>0</v>
      </c>
      <c r="AE88" s="82"/>
    </row>
    <row r="89" spans="1:32" x14ac:dyDescent="0.25">
      <c r="A89" s="7" t="s">
        <v>2351</v>
      </c>
      <c r="B89" s="9">
        <v>4071859</v>
      </c>
      <c r="C89" s="70">
        <v>44970</v>
      </c>
      <c r="D89" s="70">
        <v>44970</v>
      </c>
      <c r="E89" s="73"/>
      <c r="F89" s="9"/>
      <c r="H89" s="9"/>
      <c r="I89" s="7" t="s">
        <v>2389</v>
      </c>
      <c r="J89" s="51" t="s">
        <v>39</v>
      </c>
      <c r="K89" s="7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33">
        <v>7200</v>
      </c>
      <c r="AB89" s="10"/>
      <c r="AC89" s="33">
        <v>7200</v>
      </c>
      <c r="AD89" s="10">
        <f t="shared" si="2"/>
        <v>0</v>
      </c>
      <c r="AE89" s="82"/>
    </row>
    <row r="90" spans="1:32" x14ac:dyDescent="0.25">
      <c r="A90" s="7" t="s">
        <v>2352</v>
      </c>
      <c r="B90" s="9">
        <v>4071860</v>
      </c>
      <c r="C90" s="70">
        <v>44970</v>
      </c>
      <c r="D90" s="70">
        <v>44970</v>
      </c>
      <c r="E90" s="73"/>
      <c r="F90" s="9"/>
      <c r="H90" s="9"/>
      <c r="I90" s="7" t="s">
        <v>2390</v>
      </c>
      <c r="J90" s="51" t="s">
        <v>46</v>
      </c>
      <c r="K90" s="7"/>
      <c r="L90" s="10">
        <v>160.61000000000001</v>
      </c>
      <c r="M90" s="10"/>
      <c r="N90" s="10"/>
      <c r="O90" s="10"/>
      <c r="P90" s="10"/>
      <c r="Q90" s="10"/>
      <c r="R90" s="10"/>
      <c r="S90" s="10">
        <v>1338.39</v>
      </c>
      <c r="T90" s="10"/>
      <c r="U90" s="10"/>
      <c r="V90" s="10"/>
      <c r="W90" s="10"/>
      <c r="X90" s="10"/>
      <c r="Y90" s="10"/>
      <c r="Z90" s="10"/>
      <c r="AA90" s="33"/>
      <c r="AB90" s="10"/>
      <c r="AC90" s="33">
        <v>1499</v>
      </c>
      <c r="AD90" s="10">
        <f t="shared" si="2"/>
        <v>0</v>
      </c>
      <c r="AE90" s="82"/>
    </row>
    <row r="91" spans="1:32" x14ac:dyDescent="0.25">
      <c r="A91" s="7" t="s">
        <v>2353</v>
      </c>
      <c r="B91" s="9">
        <v>4071861</v>
      </c>
      <c r="C91" s="70">
        <v>44970</v>
      </c>
      <c r="D91" s="70">
        <v>44970</v>
      </c>
      <c r="E91" s="73"/>
      <c r="F91" s="9"/>
      <c r="H91" s="9"/>
      <c r="I91" s="7" t="s">
        <v>2390</v>
      </c>
      <c r="J91" s="51" t="s">
        <v>46</v>
      </c>
      <c r="K91" s="7"/>
      <c r="L91" s="10">
        <v>107.04</v>
      </c>
      <c r="M91" s="10"/>
      <c r="N91" s="10"/>
      <c r="O91" s="10"/>
      <c r="P91" s="10"/>
      <c r="Q91" s="10"/>
      <c r="R91" s="10"/>
      <c r="S91" s="10">
        <v>891.96</v>
      </c>
      <c r="T91" s="10"/>
      <c r="U91" s="10"/>
      <c r="V91" s="10"/>
      <c r="W91" s="10"/>
      <c r="X91" s="10"/>
      <c r="Y91" s="10"/>
      <c r="Z91" s="10"/>
      <c r="AA91" s="33"/>
      <c r="AB91" s="10"/>
      <c r="AC91" s="33">
        <v>999</v>
      </c>
      <c r="AD91" s="10">
        <f t="shared" si="2"/>
        <v>0</v>
      </c>
      <c r="AE91" s="82"/>
    </row>
    <row r="92" spans="1:32" x14ac:dyDescent="0.25">
      <c r="A92" s="7" t="s">
        <v>2354</v>
      </c>
      <c r="B92" s="9">
        <v>4071862</v>
      </c>
      <c r="C92" s="70">
        <v>44970</v>
      </c>
      <c r="D92" s="70">
        <v>44970</v>
      </c>
      <c r="E92" s="73"/>
      <c r="F92" s="9"/>
      <c r="H92" s="9"/>
      <c r="I92" s="7" t="s">
        <v>2391</v>
      </c>
      <c r="J92" s="51" t="s">
        <v>46</v>
      </c>
      <c r="K92" s="7"/>
      <c r="L92" s="10">
        <v>107.04</v>
      </c>
      <c r="M92" s="10"/>
      <c r="N92" s="10"/>
      <c r="O92" s="10"/>
      <c r="P92" s="10"/>
      <c r="Q92" s="10"/>
      <c r="R92" s="10"/>
      <c r="S92" s="10">
        <v>891.96</v>
      </c>
      <c r="T92" s="10"/>
      <c r="U92" s="10"/>
      <c r="V92" s="10"/>
      <c r="W92" s="10"/>
      <c r="X92" s="10"/>
      <c r="Y92" s="10"/>
      <c r="Z92" s="10"/>
      <c r="AA92" s="33"/>
      <c r="AB92" s="10"/>
      <c r="AC92" s="33">
        <v>999</v>
      </c>
      <c r="AD92" s="10">
        <f t="shared" si="2"/>
        <v>0</v>
      </c>
      <c r="AE92" s="82"/>
    </row>
    <row r="93" spans="1:32" x14ac:dyDescent="0.25">
      <c r="A93" s="7" t="s">
        <v>2355</v>
      </c>
      <c r="B93" s="9">
        <v>4071863</v>
      </c>
      <c r="C93" s="70">
        <v>44970</v>
      </c>
      <c r="D93" s="70">
        <v>44970</v>
      </c>
      <c r="E93" s="73"/>
      <c r="F93" s="9"/>
      <c r="H93" s="9"/>
      <c r="I93" s="7" t="s">
        <v>2391</v>
      </c>
      <c r="J93" s="51" t="s">
        <v>46</v>
      </c>
      <c r="K93" s="7"/>
      <c r="L93" s="10">
        <v>107.04</v>
      </c>
      <c r="M93" s="10"/>
      <c r="N93" s="10"/>
      <c r="O93" s="10"/>
      <c r="P93" s="10"/>
      <c r="Q93" s="10"/>
      <c r="R93" s="10"/>
      <c r="S93" s="10">
        <v>891.96</v>
      </c>
      <c r="T93" s="10"/>
      <c r="U93" s="10"/>
      <c r="V93" s="10"/>
      <c r="W93" s="10"/>
      <c r="X93" s="10"/>
      <c r="Y93" s="10"/>
      <c r="Z93" s="10"/>
      <c r="AA93" s="33"/>
      <c r="AB93" s="10"/>
      <c r="AC93" s="33">
        <v>999</v>
      </c>
      <c r="AD93" s="10">
        <f t="shared" si="2"/>
        <v>0</v>
      </c>
      <c r="AE93" s="82"/>
    </row>
    <row r="94" spans="1:32" x14ac:dyDescent="0.25">
      <c r="A94" s="7" t="s">
        <v>2356</v>
      </c>
      <c r="B94" s="9">
        <v>4071864</v>
      </c>
      <c r="C94" s="70">
        <v>44970</v>
      </c>
      <c r="D94" s="70">
        <v>44970</v>
      </c>
      <c r="E94" s="73"/>
      <c r="F94" s="9"/>
      <c r="H94" s="9"/>
      <c r="I94" s="7" t="s">
        <v>2379</v>
      </c>
      <c r="J94" s="51" t="s">
        <v>43</v>
      </c>
      <c r="K94" s="7"/>
      <c r="L94" s="10">
        <v>64.180000000000007</v>
      </c>
      <c r="M94" s="10"/>
      <c r="N94" s="10"/>
      <c r="O94" s="10"/>
      <c r="P94" s="10"/>
      <c r="Q94" s="10"/>
      <c r="R94" s="10"/>
      <c r="S94" s="10">
        <v>534.82000000000005</v>
      </c>
      <c r="T94" s="10"/>
      <c r="U94" s="10"/>
      <c r="V94" s="10"/>
      <c r="W94" s="10"/>
      <c r="X94" s="10"/>
      <c r="Y94" s="10"/>
      <c r="Z94" s="10"/>
      <c r="AA94" s="33"/>
      <c r="AB94" s="10"/>
      <c r="AC94" s="33">
        <v>599</v>
      </c>
      <c r="AD94" s="10">
        <f t="shared" si="2"/>
        <v>0</v>
      </c>
      <c r="AE94" s="82"/>
    </row>
    <row r="95" spans="1:32" x14ac:dyDescent="0.25">
      <c r="A95" s="7" t="s">
        <v>2357</v>
      </c>
      <c r="B95" s="9">
        <v>4071865</v>
      </c>
      <c r="C95" s="70">
        <v>44970</v>
      </c>
      <c r="D95" s="70">
        <v>44970</v>
      </c>
      <c r="E95" s="73"/>
      <c r="F95" s="9"/>
      <c r="H95" s="9"/>
      <c r="I95" s="7" t="s">
        <v>118</v>
      </c>
      <c r="J95" s="51" t="s">
        <v>1847</v>
      </c>
      <c r="K95" s="7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33">
        <v>18656.82</v>
      </c>
      <c r="AB95" s="10"/>
      <c r="AC95" s="33">
        <v>18656.82</v>
      </c>
      <c r="AD95" s="10">
        <f t="shared" ref="AD95:AD158" si="3">SUM(AB95:AC95)-SUM(L95:AA95)</f>
        <v>0</v>
      </c>
      <c r="AE95" s="82"/>
    </row>
    <row r="96" spans="1:32" x14ac:dyDescent="0.25">
      <c r="A96" s="7" t="s">
        <v>2358</v>
      </c>
      <c r="B96" s="9">
        <v>4071866</v>
      </c>
      <c r="C96" s="70">
        <v>44970</v>
      </c>
      <c r="D96" s="70">
        <v>44970</v>
      </c>
      <c r="E96" s="73"/>
      <c r="F96" s="9"/>
      <c r="H96" s="9" t="s">
        <v>1333</v>
      </c>
      <c r="I96" s="7" t="s">
        <v>58</v>
      </c>
      <c r="J96" s="51" t="s">
        <v>65</v>
      </c>
      <c r="K96" s="7"/>
      <c r="L96" s="10"/>
      <c r="M96" s="10"/>
      <c r="N96" s="10"/>
      <c r="O96" s="10"/>
      <c r="P96" s="10"/>
      <c r="Q96" s="10"/>
      <c r="R96" s="10"/>
      <c r="S96" s="10"/>
      <c r="T96" s="10">
        <v>7134</v>
      </c>
      <c r="U96" s="10"/>
      <c r="V96" s="10"/>
      <c r="W96" s="10"/>
      <c r="X96" s="10"/>
      <c r="Y96" s="10"/>
      <c r="Z96" s="10"/>
      <c r="AA96" s="33"/>
      <c r="AB96" s="10"/>
      <c r="AC96" s="33">
        <v>7134</v>
      </c>
      <c r="AD96" s="10">
        <f t="shared" si="3"/>
        <v>0</v>
      </c>
      <c r="AE96" s="82"/>
    </row>
    <row r="97" spans="1:32" x14ac:dyDescent="0.25">
      <c r="A97" s="7" t="s">
        <v>2359</v>
      </c>
      <c r="B97" s="9">
        <v>4071867</v>
      </c>
      <c r="C97" s="70">
        <v>44972</v>
      </c>
      <c r="D97" s="70">
        <v>44970</v>
      </c>
      <c r="E97" s="73">
        <v>44973</v>
      </c>
      <c r="F97" s="9" t="s">
        <v>3147</v>
      </c>
      <c r="H97" s="9"/>
      <c r="I97" s="7" t="s">
        <v>2392</v>
      </c>
      <c r="J97" s="51" t="s">
        <v>127</v>
      </c>
      <c r="K97" s="7"/>
      <c r="L97" s="10">
        <v>552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33">
        <v>4600</v>
      </c>
      <c r="AB97" s="10"/>
      <c r="AC97" s="33">
        <v>5152</v>
      </c>
      <c r="AD97" s="10">
        <f t="shared" si="3"/>
        <v>0</v>
      </c>
      <c r="AE97" s="82"/>
    </row>
    <row r="98" spans="1:32" x14ac:dyDescent="0.25">
      <c r="A98" s="7" t="s">
        <v>2360</v>
      </c>
      <c r="B98" s="9">
        <v>4071868</v>
      </c>
      <c r="C98" s="70">
        <v>44977</v>
      </c>
      <c r="D98" s="70">
        <v>44977</v>
      </c>
      <c r="E98" s="73"/>
      <c r="F98" s="9"/>
      <c r="H98" s="9"/>
      <c r="I98" s="7" t="s">
        <v>2419</v>
      </c>
      <c r="J98" s="51" t="s">
        <v>2425</v>
      </c>
      <c r="K98" s="7" t="s">
        <v>2426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33">
        <v>4000</v>
      </c>
      <c r="AB98" s="10"/>
      <c r="AC98" s="33">
        <v>4000</v>
      </c>
      <c r="AD98" s="10">
        <f t="shared" si="3"/>
        <v>0</v>
      </c>
      <c r="AE98" s="82"/>
    </row>
    <row r="99" spans="1:32" x14ac:dyDescent="0.25">
      <c r="A99" s="7" t="s">
        <v>2361</v>
      </c>
      <c r="B99" s="9">
        <v>4071869</v>
      </c>
      <c r="C99" s="70">
        <v>44977</v>
      </c>
      <c r="D99" s="70">
        <v>44977</v>
      </c>
      <c r="E99" s="73"/>
      <c r="F99" s="9"/>
      <c r="H99" s="9"/>
      <c r="I99" s="7" t="s">
        <v>2420</v>
      </c>
      <c r="J99" s="51" t="s">
        <v>39</v>
      </c>
      <c r="K99" s="7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33">
        <v>67750.649999999994</v>
      </c>
      <c r="AB99" s="10"/>
      <c r="AC99" s="33">
        <v>67750.649999999994</v>
      </c>
      <c r="AD99" s="10">
        <f t="shared" si="3"/>
        <v>0</v>
      </c>
      <c r="AE99" s="82"/>
    </row>
    <row r="100" spans="1:32" x14ac:dyDescent="0.25">
      <c r="A100" s="7" t="s">
        <v>2362</v>
      </c>
      <c r="B100" s="9">
        <v>4071870</v>
      </c>
      <c r="C100" s="70">
        <v>44977</v>
      </c>
      <c r="D100" s="70">
        <v>44977</v>
      </c>
      <c r="E100" s="73">
        <v>44978</v>
      </c>
      <c r="F100" s="9" t="s">
        <v>3148</v>
      </c>
      <c r="H100" s="9"/>
      <c r="I100" s="7" t="s">
        <v>2414</v>
      </c>
      <c r="J100" s="51" t="s">
        <v>83</v>
      </c>
      <c r="K100" s="7" t="s">
        <v>1336</v>
      </c>
      <c r="L100" s="10">
        <v>160.71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33">
        <v>1339.29</v>
      </c>
      <c r="AB100" s="10"/>
      <c r="AC100" s="33">
        <v>1500</v>
      </c>
      <c r="AD100" s="10">
        <f t="shared" si="3"/>
        <v>0</v>
      </c>
      <c r="AE100" s="82"/>
      <c r="AF100" s="17">
        <v>26.79</v>
      </c>
    </row>
    <row r="101" spans="1:32" x14ac:dyDescent="0.25">
      <c r="A101" s="7" t="s">
        <v>2363</v>
      </c>
      <c r="B101" s="9">
        <v>4071871</v>
      </c>
      <c r="C101" s="70">
        <v>44977</v>
      </c>
      <c r="D101" s="70">
        <v>44977</v>
      </c>
      <c r="E101" s="73"/>
      <c r="F101" s="9"/>
      <c r="H101" s="9"/>
      <c r="I101" s="7" t="s">
        <v>2413</v>
      </c>
      <c r="J101" s="51" t="s">
        <v>1202</v>
      </c>
      <c r="K101" s="7"/>
      <c r="L101" s="10">
        <v>1225.07</v>
      </c>
      <c r="M101" s="10"/>
      <c r="N101" s="10"/>
      <c r="O101" s="10"/>
      <c r="P101" s="10"/>
      <c r="Q101" s="10"/>
      <c r="R101" s="10"/>
      <c r="S101" s="10">
        <v>10208.93</v>
      </c>
      <c r="T101" s="10"/>
      <c r="U101" s="10"/>
      <c r="V101" s="10"/>
      <c r="W101" s="10"/>
      <c r="X101" s="10"/>
      <c r="Y101" s="10"/>
      <c r="Z101" s="10"/>
      <c r="AA101" s="33"/>
      <c r="AB101" s="10"/>
      <c r="AC101" s="33">
        <v>11434</v>
      </c>
      <c r="AD101" s="10">
        <f t="shared" si="3"/>
        <v>0</v>
      </c>
      <c r="AE101" s="82"/>
      <c r="AF101" s="17">
        <v>204.18</v>
      </c>
    </row>
    <row r="102" spans="1:32" x14ac:dyDescent="0.25">
      <c r="A102" s="7" t="s">
        <v>2364</v>
      </c>
      <c r="B102" s="9">
        <v>4071872</v>
      </c>
      <c r="C102" s="70">
        <v>44977</v>
      </c>
      <c r="D102" s="70">
        <v>44977</v>
      </c>
      <c r="E102" s="73">
        <v>44978</v>
      </c>
      <c r="F102" s="9" t="s">
        <v>3149</v>
      </c>
      <c r="H102" s="9"/>
      <c r="I102" s="7" t="s">
        <v>2415</v>
      </c>
      <c r="J102" s="51" t="s">
        <v>83</v>
      </c>
      <c r="K102" s="7" t="s">
        <v>1336</v>
      </c>
      <c r="L102" s="10">
        <v>160.71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33">
        <v>1339.29</v>
      </c>
      <c r="AB102" s="10"/>
      <c r="AC102" s="33">
        <v>1500</v>
      </c>
      <c r="AD102" s="10">
        <f t="shared" si="3"/>
        <v>0</v>
      </c>
      <c r="AE102" s="82"/>
      <c r="AF102" s="17">
        <v>26.79</v>
      </c>
    </row>
    <row r="103" spans="1:32" x14ac:dyDescent="0.25">
      <c r="A103" s="7" t="s">
        <v>2365</v>
      </c>
      <c r="B103" s="9">
        <v>4071873</v>
      </c>
      <c r="C103" s="70">
        <v>44977</v>
      </c>
      <c r="D103" s="70">
        <v>44977</v>
      </c>
      <c r="E103" s="73"/>
      <c r="F103" s="9"/>
      <c r="H103" s="9" t="s">
        <v>1395</v>
      </c>
      <c r="I103" s="7" t="s">
        <v>58</v>
      </c>
      <c r="J103" s="51" t="s">
        <v>65</v>
      </c>
      <c r="K103" s="7"/>
      <c r="L103" s="10"/>
      <c r="M103" s="10"/>
      <c r="N103" s="10"/>
      <c r="O103" s="10"/>
      <c r="P103" s="10"/>
      <c r="Q103" s="10"/>
      <c r="R103" s="10"/>
      <c r="S103" s="10"/>
      <c r="T103" s="10">
        <v>13579.89</v>
      </c>
      <c r="U103" s="10"/>
      <c r="V103" s="10"/>
      <c r="W103" s="10"/>
      <c r="X103" s="10"/>
      <c r="Y103" s="10"/>
      <c r="Z103" s="10"/>
      <c r="AA103" s="33"/>
      <c r="AB103" s="10"/>
      <c r="AC103" s="33">
        <v>13579.89</v>
      </c>
      <c r="AD103" s="10">
        <f t="shared" si="3"/>
        <v>0</v>
      </c>
      <c r="AE103" s="82"/>
    </row>
    <row r="104" spans="1:32" x14ac:dyDescent="0.25">
      <c r="A104" s="7" t="s">
        <v>2393</v>
      </c>
      <c r="B104" s="9">
        <v>4071874</v>
      </c>
      <c r="C104" s="70">
        <v>45000</v>
      </c>
      <c r="D104" s="70">
        <v>44977</v>
      </c>
      <c r="E104" s="73">
        <v>44993</v>
      </c>
      <c r="F104" s="9" t="s">
        <v>3150</v>
      </c>
      <c r="G104" s="9" t="s">
        <v>2235</v>
      </c>
      <c r="H104" s="9"/>
      <c r="I104" s="7" t="s">
        <v>2416</v>
      </c>
      <c r="J104" s="51" t="s">
        <v>83</v>
      </c>
      <c r="K104" s="7" t="s">
        <v>1336</v>
      </c>
      <c r="L104" s="10">
        <v>8640</v>
      </c>
      <c r="M104" s="10">
        <v>72000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33"/>
      <c r="AB104" s="10"/>
      <c r="AC104" s="33">
        <v>80640</v>
      </c>
      <c r="AD104" s="10">
        <f t="shared" si="3"/>
        <v>0</v>
      </c>
      <c r="AE104" s="82"/>
      <c r="AF104" s="17">
        <v>720</v>
      </c>
    </row>
    <row r="105" spans="1:32" x14ac:dyDescent="0.25">
      <c r="A105" s="7" t="s">
        <v>2394</v>
      </c>
      <c r="B105" s="9">
        <v>4071875</v>
      </c>
      <c r="C105" s="70">
        <v>45001</v>
      </c>
      <c r="D105" s="70">
        <v>44977</v>
      </c>
      <c r="E105" s="73">
        <v>44999</v>
      </c>
      <c r="F105" s="9" t="s">
        <v>3151</v>
      </c>
      <c r="G105" s="9" t="s">
        <v>2247</v>
      </c>
      <c r="H105" s="9"/>
      <c r="I105" s="7" t="s">
        <v>2417</v>
      </c>
      <c r="J105" s="51" t="s">
        <v>37</v>
      </c>
      <c r="K105" s="7" t="s">
        <v>38</v>
      </c>
      <c r="L105" s="10">
        <v>360</v>
      </c>
      <c r="M105" s="10">
        <v>3000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33"/>
      <c r="AB105" s="10"/>
      <c r="AC105" s="33">
        <v>3360</v>
      </c>
      <c r="AD105" s="10">
        <f t="shared" si="3"/>
        <v>0</v>
      </c>
      <c r="AE105" s="82"/>
      <c r="AF105" s="17">
        <v>30</v>
      </c>
    </row>
    <row r="106" spans="1:32" x14ac:dyDescent="0.25">
      <c r="A106" s="7" t="s">
        <v>2395</v>
      </c>
      <c r="B106" s="9" t="s">
        <v>2418</v>
      </c>
      <c r="C106" s="70">
        <v>44977</v>
      </c>
      <c r="D106" s="70">
        <v>44977</v>
      </c>
      <c r="E106" s="73"/>
      <c r="F106" s="9"/>
      <c r="H106" s="9"/>
      <c r="I106" s="7" t="s">
        <v>55</v>
      </c>
      <c r="J106" s="51" t="s">
        <v>54</v>
      </c>
      <c r="K106" s="7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>
        <v>250000</v>
      </c>
      <c r="AA106" s="33"/>
      <c r="AB106" s="10"/>
      <c r="AC106" s="33">
        <v>250000</v>
      </c>
      <c r="AD106" s="10">
        <f t="shared" si="3"/>
        <v>0</v>
      </c>
      <c r="AE106" s="82"/>
    </row>
    <row r="107" spans="1:32" x14ac:dyDescent="0.25">
      <c r="A107" s="7" t="s">
        <v>2396</v>
      </c>
      <c r="B107" s="9">
        <v>4071876</v>
      </c>
      <c r="C107" s="70">
        <v>44984</v>
      </c>
      <c r="D107" s="70">
        <v>44981</v>
      </c>
      <c r="E107" s="73"/>
      <c r="F107" s="9"/>
      <c r="H107" s="9" t="s">
        <v>1396</v>
      </c>
      <c r="I107" s="7" t="s">
        <v>58</v>
      </c>
      <c r="J107" s="51" t="s">
        <v>65</v>
      </c>
      <c r="K107" s="7"/>
      <c r="L107" s="10"/>
      <c r="M107" s="10"/>
      <c r="N107" s="10"/>
      <c r="O107" s="10"/>
      <c r="P107" s="10"/>
      <c r="Q107" s="10"/>
      <c r="R107" s="10"/>
      <c r="S107" s="10"/>
      <c r="T107" s="10">
        <v>10809</v>
      </c>
      <c r="U107" s="10"/>
      <c r="V107" s="10"/>
      <c r="W107" s="10"/>
      <c r="X107" s="10"/>
      <c r="Y107" s="10"/>
      <c r="Z107" s="10"/>
      <c r="AA107" s="33"/>
      <c r="AB107" s="10"/>
      <c r="AC107" s="33">
        <v>10809</v>
      </c>
      <c r="AD107" s="10">
        <f t="shared" si="3"/>
        <v>0</v>
      </c>
      <c r="AE107" s="82"/>
    </row>
    <row r="108" spans="1:32" x14ac:dyDescent="0.25">
      <c r="A108" s="7" t="s">
        <v>2397</v>
      </c>
      <c r="B108" s="9">
        <v>4071877</v>
      </c>
      <c r="C108" s="70">
        <v>44984</v>
      </c>
      <c r="D108" s="70">
        <v>44981</v>
      </c>
      <c r="E108" s="73">
        <v>44978</v>
      </c>
      <c r="F108" s="9" t="s">
        <v>3152</v>
      </c>
      <c r="H108" s="9"/>
      <c r="I108" s="7" t="s">
        <v>2427</v>
      </c>
      <c r="J108" s="51" t="s">
        <v>2428</v>
      </c>
      <c r="K108" s="7" t="s">
        <v>2429</v>
      </c>
      <c r="L108" s="10">
        <v>942.86</v>
      </c>
      <c r="M108" s="10">
        <v>7857.14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33"/>
      <c r="AB108" s="10"/>
      <c r="AC108" s="33">
        <v>8800</v>
      </c>
      <c r="AD108" s="10">
        <f t="shared" si="3"/>
        <v>0</v>
      </c>
      <c r="AE108" s="82"/>
    </row>
    <row r="109" spans="1:32" x14ac:dyDescent="0.25">
      <c r="A109" s="7" t="s">
        <v>2398</v>
      </c>
      <c r="B109" s="9">
        <v>4071878</v>
      </c>
      <c r="C109" s="70">
        <v>44984</v>
      </c>
      <c r="D109" s="70">
        <v>44981</v>
      </c>
      <c r="E109" s="73"/>
      <c r="F109" s="9"/>
      <c r="H109" s="9" t="s">
        <v>1397</v>
      </c>
      <c r="I109" s="7" t="s">
        <v>2430</v>
      </c>
      <c r="J109" s="51" t="s">
        <v>2431</v>
      </c>
      <c r="K109" s="7" t="s">
        <v>2432</v>
      </c>
      <c r="L109" s="10">
        <v>803.57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33">
        <v>6696.43</v>
      </c>
      <c r="AB109" s="10"/>
      <c r="AC109" s="33">
        <v>8000</v>
      </c>
      <c r="AD109" s="10">
        <f t="shared" si="3"/>
        <v>500</v>
      </c>
      <c r="AE109" s="82" t="s">
        <v>2433</v>
      </c>
    </row>
    <row r="110" spans="1:32" x14ac:dyDescent="0.25">
      <c r="A110" s="7" t="s">
        <v>2399</v>
      </c>
      <c r="B110" s="9" t="s">
        <v>2423</v>
      </c>
      <c r="C110" s="70">
        <v>44984</v>
      </c>
      <c r="D110" s="70">
        <v>44981</v>
      </c>
      <c r="E110" s="73"/>
      <c r="F110" s="9"/>
      <c r="H110" s="9"/>
      <c r="I110" s="7" t="s">
        <v>64</v>
      </c>
      <c r="J110" s="51" t="s">
        <v>1633</v>
      </c>
      <c r="K110" s="7"/>
      <c r="L110" s="10"/>
      <c r="M110" s="10"/>
      <c r="N110" s="10"/>
      <c r="O110" s="10"/>
      <c r="P110" s="10">
        <v>25000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33"/>
      <c r="AB110" s="10"/>
      <c r="AC110" s="33">
        <v>25000</v>
      </c>
      <c r="AD110" s="10">
        <f t="shared" si="3"/>
        <v>0</v>
      </c>
      <c r="AE110" s="82"/>
    </row>
    <row r="111" spans="1:32" x14ac:dyDescent="0.25">
      <c r="A111" s="7" t="s">
        <v>2400</v>
      </c>
      <c r="B111" s="9">
        <v>4071879</v>
      </c>
      <c r="C111" s="70">
        <v>44984</v>
      </c>
      <c r="D111" s="70">
        <v>44984</v>
      </c>
      <c r="E111" s="73"/>
      <c r="F111" s="9"/>
      <c r="H111" s="9"/>
      <c r="I111" s="7" t="s">
        <v>2424</v>
      </c>
      <c r="J111" s="51" t="s">
        <v>2425</v>
      </c>
      <c r="K111" s="7" t="s">
        <v>2426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33">
        <v>3820</v>
      </c>
      <c r="AB111" s="10"/>
      <c r="AC111" s="33">
        <v>3820</v>
      </c>
      <c r="AD111" s="10">
        <f t="shared" si="3"/>
        <v>0</v>
      </c>
      <c r="AE111" s="82"/>
    </row>
    <row r="112" spans="1:32" s="39" customFormat="1" x14ac:dyDescent="0.25">
      <c r="A112" s="20"/>
      <c r="B112" s="19"/>
      <c r="C112" s="72"/>
      <c r="D112" s="72"/>
      <c r="E112" s="77"/>
      <c r="F112" s="19"/>
      <c r="G112" s="19"/>
      <c r="H112" s="19"/>
      <c r="I112" s="20"/>
      <c r="J112" s="20"/>
      <c r="K112" s="20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32"/>
      <c r="AB112" s="22"/>
      <c r="AC112" s="32"/>
      <c r="AD112" s="22"/>
      <c r="AE112" s="96"/>
      <c r="AF112" s="35"/>
    </row>
    <row r="113" spans="1:32" s="39" customFormat="1" x14ac:dyDescent="0.25">
      <c r="A113" s="25">
        <v>44986</v>
      </c>
      <c r="B113" s="19"/>
      <c r="C113" s="72"/>
      <c r="D113" s="72"/>
      <c r="E113" s="77"/>
      <c r="F113" s="19"/>
      <c r="G113" s="19"/>
      <c r="H113" s="19"/>
      <c r="I113" s="20"/>
      <c r="J113" s="20"/>
      <c r="K113" s="20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32"/>
      <c r="AB113" s="22"/>
      <c r="AC113" s="32"/>
      <c r="AD113" s="22"/>
      <c r="AE113" s="96"/>
      <c r="AF113" s="35"/>
    </row>
    <row r="114" spans="1:32" x14ac:dyDescent="0.25">
      <c r="A114" s="7" t="s">
        <v>2401</v>
      </c>
      <c r="B114" s="9" t="s">
        <v>2434</v>
      </c>
      <c r="C114" s="70">
        <v>44986</v>
      </c>
      <c r="D114" s="70">
        <v>44986</v>
      </c>
      <c r="E114" s="73">
        <v>44987</v>
      </c>
      <c r="F114" s="9" t="s">
        <v>3153</v>
      </c>
      <c r="G114" s="9" t="s">
        <v>2252</v>
      </c>
      <c r="H114" s="9"/>
      <c r="I114" s="7" t="s">
        <v>1988</v>
      </c>
      <c r="J114" s="51" t="s">
        <v>1999</v>
      </c>
      <c r="K114" s="7" t="s">
        <v>2297</v>
      </c>
      <c r="L114" s="10">
        <v>11517.86</v>
      </c>
      <c r="M114" s="10">
        <v>95982.14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33"/>
      <c r="AB114" s="10"/>
      <c r="AC114" s="33">
        <v>107500</v>
      </c>
      <c r="AD114" s="10">
        <f t="shared" si="3"/>
        <v>0</v>
      </c>
      <c r="AE114" s="82"/>
      <c r="AF114" s="17">
        <v>959.82</v>
      </c>
    </row>
    <row r="115" spans="1:32" x14ac:dyDescent="0.25">
      <c r="A115" s="7" t="s">
        <v>2402</v>
      </c>
      <c r="B115" s="9">
        <v>4071880</v>
      </c>
      <c r="C115" s="70">
        <v>45008</v>
      </c>
      <c r="D115" s="70">
        <v>44986</v>
      </c>
      <c r="E115" s="73">
        <v>44987</v>
      </c>
      <c r="F115" s="9" t="s">
        <v>3154</v>
      </c>
      <c r="G115" s="9" t="s">
        <v>2248</v>
      </c>
      <c r="H115" s="9"/>
      <c r="I115" s="7" t="s">
        <v>2435</v>
      </c>
      <c r="J115" s="51" t="s">
        <v>2043</v>
      </c>
      <c r="K115" s="7" t="s">
        <v>2138</v>
      </c>
      <c r="L115" s="10">
        <v>5812.5</v>
      </c>
      <c r="M115" s="10">
        <v>48437.5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33"/>
      <c r="AB115" s="10"/>
      <c r="AC115" s="33">
        <v>54250</v>
      </c>
      <c r="AD115" s="10">
        <f t="shared" si="3"/>
        <v>0</v>
      </c>
      <c r="AE115" s="82"/>
      <c r="AF115" s="17">
        <v>484.38</v>
      </c>
    </row>
    <row r="116" spans="1:32" x14ac:dyDescent="0.25">
      <c r="A116" s="7" t="s">
        <v>2403</v>
      </c>
      <c r="B116" s="9">
        <v>4071881</v>
      </c>
      <c r="C116" s="70">
        <v>45017</v>
      </c>
      <c r="D116" s="70">
        <v>44986</v>
      </c>
      <c r="E116" s="73">
        <v>44999</v>
      </c>
      <c r="F116" s="9" t="s">
        <v>3155</v>
      </c>
      <c r="G116" s="9" t="s">
        <v>2249</v>
      </c>
      <c r="H116" s="9"/>
      <c r="I116" s="7" t="s">
        <v>2436</v>
      </c>
      <c r="J116" s="51" t="s">
        <v>37</v>
      </c>
      <c r="K116" s="7" t="s">
        <v>38</v>
      </c>
      <c r="L116" s="10">
        <v>4168.93</v>
      </c>
      <c r="M116" s="10">
        <v>34741.07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33"/>
      <c r="AB116" s="10"/>
      <c r="AC116" s="33">
        <v>38910</v>
      </c>
      <c r="AD116" s="10">
        <f t="shared" si="3"/>
        <v>0</v>
      </c>
      <c r="AE116" s="82"/>
      <c r="AF116" s="17">
        <v>347.41</v>
      </c>
    </row>
    <row r="117" spans="1:32" x14ac:dyDescent="0.25">
      <c r="A117" s="7" t="s">
        <v>2404</v>
      </c>
      <c r="B117" s="9">
        <v>4071882</v>
      </c>
      <c r="C117" s="70">
        <v>45017</v>
      </c>
      <c r="D117" s="70">
        <v>44986</v>
      </c>
      <c r="E117" s="73">
        <v>44999</v>
      </c>
      <c r="F117" s="9" t="s">
        <v>3156</v>
      </c>
      <c r="G117" s="9" t="s">
        <v>2251</v>
      </c>
      <c r="H117" s="9"/>
      <c r="I117" s="7" t="s">
        <v>2437</v>
      </c>
      <c r="J117" s="51" t="s">
        <v>37</v>
      </c>
      <c r="K117" s="7" t="s">
        <v>38</v>
      </c>
      <c r="L117" s="10">
        <v>4682.1400000000003</v>
      </c>
      <c r="M117" s="10">
        <v>39017.86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33"/>
      <c r="AB117" s="10"/>
      <c r="AC117" s="33">
        <v>43700</v>
      </c>
      <c r="AD117" s="10">
        <f t="shared" si="3"/>
        <v>0</v>
      </c>
      <c r="AE117" s="82"/>
      <c r="AF117" s="17">
        <v>390.18</v>
      </c>
    </row>
    <row r="118" spans="1:32" x14ac:dyDescent="0.25">
      <c r="A118" s="7" t="s">
        <v>2405</v>
      </c>
      <c r="B118" s="9">
        <v>4071883</v>
      </c>
      <c r="C118" s="70">
        <v>44986</v>
      </c>
      <c r="D118" s="70">
        <v>44986</v>
      </c>
      <c r="E118" s="73"/>
      <c r="F118" s="9"/>
      <c r="H118" s="9"/>
      <c r="I118" s="7" t="s">
        <v>147</v>
      </c>
      <c r="J118" s="51" t="s">
        <v>39</v>
      </c>
      <c r="K118" s="7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33">
        <v>17277.5</v>
      </c>
      <c r="AB118" s="10"/>
      <c r="AC118" s="33">
        <v>17277.5</v>
      </c>
      <c r="AD118" s="10">
        <f t="shared" si="3"/>
        <v>0</v>
      </c>
      <c r="AE118" s="82"/>
    </row>
    <row r="119" spans="1:32" x14ac:dyDescent="0.25">
      <c r="A119" s="7" t="s">
        <v>2406</v>
      </c>
      <c r="B119" s="9">
        <v>4071884</v>
      </c>
      <c r="C119" s="70">
        <v>44986</v>
      </c>
      <c r="D119" s="70">
        <v>44986</v>
      </c>
      <c r="E119" s="73"/>
      <c r="F119" s="9"/>
      <c r="H119" s="9"/>
      <c r="I119" s="7" t="s">
        <v>2438</v>
      </c>
      <c r="J119" s="51" t="s">
        <v>1261</v>
      </c>
      <c r="K119" s="7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33">
        <v>4256</v>
      </c>
      <c r="AB119" s="10"/>
      <c r="AC119" s="33">
        <v>4256</v>
      </c>
      <c r="AD119" s="10">
        <f t="shared" si="3"/>
        <v>0</v>
      </c>
      <c r="AE119" s="82"/>
    </row>
    <row r="120" spans="1:32" x14ac:dyDescent="0.25">
      <c r="A120" s="7" t="s">
        <v>2407</v>
      </c>
      <c r="B120" s="9">
        <v>4071885</v>
      </c>
      <c r="C120" s="70">
        <v>44986</v>
      </c>
      <c r="D120" s="70">
        <v>44986</v>
      </c>
      <c r="E120" s="73"/>
      <c r="F120" s="9"/>
      <c r="H120" s="9"/>
      <c r="I120" s="7" t="s">
        <v>2439</v>
      </c>
      <c r="J120" s="51" t="s">
        <v>18</v>
      </c>
      <c r="K120" s="7"/>
      <c r="L120" s="10">
        <v>151.09</v>
      </c>
      <c r="M120" s="10"/>
      <c r="N120" s="10"/>
      <c r="O120" s="10"/>
      <c r="P120" s="10"/>
      <c r="Q120" s="10"/>
      <c r="R120" s="10">
        <v>1259.06</v>
      </c>
      <c r="S120" s="10"/>
      <c r="T120" s="10"/>
      <c r="U120" s="10"/>
      <c r="V120" s="10"/>
      <c r="W120" s="10"/>
      <c r="X120" s="10"/>
      <c r="Y120" s="10"/>
      <c r="Z120" s="10"/>
      <c r="AA120" s="33"/>
      <c r="AB120" s="10"/>
      <c r="AC120" s="33">
        <v>1410.15</v>
      </c>
      <c r="AD120" s="10">
        <f t="shared" si="3"/>
        <v>0</v>
      </c>
      <c r="AE120" s="82"/>
    </row>
    <row r="121" spans="1:32" x14ac:dyDescent="0.25">
      <c r="A121" s="7" t="s">
        <v>2408</v>
      </c>
      <c r="B121" s="9">
        <v>4071886</v>
      </c>
      <c r="C121" s="70">
        <v>44986</v>
      </c>
      <c r="D121" s="70">
        <v>44986</v>
      </c>
      <c r="E121" s="73"/>
      <c r="F121" s="9"/>
      <c r="H121" s="9"/>
      <c r="I121" s="7" t="s">
        <v>2439</v>
      </c>
      <c r="J121" s="51" t="s">
        <v>18</v>
      </c>
      <c r="K121" s="7"/>
      <c r="L121" s="10">
        <v>811.09</v>
      </c>
      <c r="M121" s="10"/>
      <c r="N121" s="10"/>
      <c r="O121" s="10"/>
      <c r="P121" s="10"/>
      <c r="Q121" s="10"/>
      <c r="R121" s="10">
        <v>6759.06</v>
      </c>
      <c r="S121" s="10"/>
      <c r="T121" s="10"/>
      <c r="U121" s="10"/>
      <c r="V121" s="10"/>
      <c r="W121" s="10"/>
      <c r="X121" s="10"/>
      <c r="Y121" s="10"/>
      <c r="Z121" s="10"/>
      <c r="AA121" s="33"/>
      <c r="AB121" s="10"/>
      <c r="AC121" s="33">
        <v>7570.15</v>
      </c>
      <c r="AD121" s="10">
        <f t="shared" si="3"/>
        <v>0</v>
      </c>
      <c r="AE121" s="82"/>
    </row>
    <row r="122" spans="1:32" x14ac:dyDescent="0.25">
      <c r="A122" s="7" t="s">
        <v>2409</v>
      </c>
      <c r="B122" s="9">
        <v>4071887</v>
      </c>
      <c r="C122" s="70">
        <v>44988</v>
      </c>
      <c r="D122" s="70">
        <v>44988</v>
      </c>
      <c r="E122" s="73"/>
      <c r="F122" s="9"/>
      <c r="H122" s="9"/>
      <c r="I122" s="7" t="s">
        <v>118</v>
      </c>
      <c r="J122" s="51" t="s">
        <v>1847</v>
      </c>
      <c r="K122" s="7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33">
        <v>12216.05</v>
      </c>
      <c r="AB122" s="10"/>
      <c r="AC122" s="33">
        <v>12216.05</v>
      </c>
      <c r="AD122" s="10">
        <f t="shared" si="3"/>
        <v>0</v>
      </c>
      <c r="AE122" s="82"/>
    </row>
    <row r="123" spans="1:32" x14ac:dyDescent="0.25">
      <c r="A123" s="7" t="s">
        <v>2410</v>
      </c>
      <c r="B123" s="9">
        <v>4071888</v>
      </c>
      <c r="C123" s="70">
        <v>44988</v>
      </c>
      <c r="D123" s="70">
        <v>44988</v>
      </c>
      <c r="E123" s="73"/>
      <c r="F123" s="9"/>
      <c r="H123" s="9"/>
      <c r="I123" s="7" t="s">
        <v>2389</v>
      </c>
      <c r="J123" s="51" t="s">
        <v>65</v>
      </c>
      <c r="K123" s="7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33">
        <v>4950</v>
      </c>
      <c r="AB123" s="10"/>
      <c r="AC123" s="33">
        <v>4950</v>
      </c>
      <c r="AD123" s="10">
        <f t="shared" si="3"/>
        <v>0</v>
      </c>
      <c r="AE123" s="82"/>
    </row>
    <row r="124" spans="1:32" x14ac:dyDescent="0.25">
      <c r="A124" s="7" t="s">
        <v>2411</v>
      </c>
      <c r="B124" s="9">
        <v>4071889</v>
      </c>
      <c r="C124" s="70">
        <v>44991</v>
      </c>
      <c r="D124" s="70">
        <v>44991</v>
      </c>
      <c r="E124" s="73"/>
      <c r="F124" s="9"/>
      <c r="H124" s="9" t="s">
        <v>1398</v>
      </c>
      <c r="I124" s="7" t="s">
        <v>58</v>
      </c>
      <c r="J124" s="51" t="s">
        <v>65</v>
      </c>
      <c r="K124" s="7"/>
      <c r="L124" s="10"/>
      <c r="M124" s="10"/>
      <c r="N124" s="10"/>
      <c r="O124" s="10"/>
      <c r="P124" s="10"/>
      <c r="Q124" s="10"/>
      <c r="R124" s="10"/>
      <c r="S124" s="10"/>
      <c r="T124" s="10">
        <v>10346</v>
      </c>
      <c r="U124" s="10"/>
      <c r="V124" s="10"/>
      <c r="W124" s="10"/>
      <c r="X124" s="10"/>
      <c r="Y124" s="10"/>
      <c r="Z124" s="10"/>
      <c r="AA124" s="33"/>
      <c r="AB124" s="10"/>
      <c r="AC124" s="33">
        <v>10346</v>
      </c>
      <c r="AD124" s="10">
        <f t="shared" si="3"/>
        <v>0</v>
      </c>
      <c r="AE124" s="82"/>
    </row>
    <row r="125" spans="1:32" x14ac:dyDescent="0.25">
      <c r="A125" s="7" t="s">
        <v>2412</v>
      </c>
      <c r="B125" s="9">
        <v>4071890</v>
      </c>
      <c r="C125" s="70">
        <v>44991</v>
      </c>
      <c r="D125" s="70">
        <v>44991</v>
      </c>
      <c r="E125" s="73"/>
      <c r="F125" s="9"/>
      <c r="H125" s="9" t="s">
        <v>1399</v>
      </c>
      <c r="I125" s="7" t="s">
        <v>58</v>
      </c>
      <c r="J125" s="51" t="s">
        <v>65</v>
      </c>
      <c r="K125" s="7"/>
      <c r="L125" s="10"/>
      <c r="M125" s="10"/>
      <c r="N125" s="10"/>
      <c r="O125" s="10"/>
      <c r="P125" s="10"/>
      <c r="Q125" s="10"/>
      <c r="R125" s="10"/>
      <c r="S125" s="10"/>
      <c r="T125" s="10">
        <v>12125.68</v>
      </c>
      <c r="U125" s="10"/>
      <c r="V125" s="10"/>
      <c r="W125" s="10"/>
      <c r="X125" s="10"/>
      <c r="Y125" s="10"/>
      <c r="Z125" s="10"/>
      <c r="AA125" s="33"/>
      <c r="AB125" s="10"/>
      <c r="AC125" s="33">
        <v>12125.68</v>
      </c>
      <c r="AD125" s="10">
        <f t="shared" si="3"/>
        <v>0</v>
      </c>
      <c r="AE125" s="82"/>
    </row>
    <row r="126" spans="1:32" x14ac:dyDescent="0.25">
      <c r="A126" s="7" t="s">
        <v>2440</v>
      </c>
      <c r="B126" s="9">
        <v>4071891</v>
      </c>
      <c r="C126" s="70">
        <v>45032</v>
      </c>
      <c r="D126" s="70">
        <v>44991</v>
      </c>
      <c r="E126" s="73">
        <v>44995</v>
      </c>
      <c r="F126" s="9" t="s">
        <v>3157</v>
      </c>
      <c r="G126" s="9" t="s">
        <v>2250</v>
      </c>
      <c r="H126" s="9"/>
      <c r="I126" s="7" t="s">
        <v>2454</v>
      </c>
      <c r="J126" s="51" t="s">
        <v>1226</v>
      </c>
      <c r="K126" s="7" t="s">
        <v>1039</v>
      </c>
      <c r="L126" s="10">
        <v>8035.71</v>
      </c>
      <c r="M126" s="10">
        <v>66964.289999999994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33"/>
      <c r="AB126" s="10"/>
      <c r="AC126" s="33">
        <v>75000</v>
      </c>
      <c r="AD126" s="10">
        <f t="shared" si="3"/>
        <v>0</v>
      </c>
      <c r="AE126" s="82"/>
      <c r="AF126" s="17">
        <v>669.64</v>
      </c>
    </row>
    <row r="127" spans="1:32" x14ac:dyDescent="0.25">
      <c r="A127" s="7" t="s">
        <v>2441</v>
      </c>
      <c r="B127" s="9" t="s">
        <v>2451</v>
      </c>
      <c r="C127" s="70">
        <v>44991</v>
      </c>
      <c r="D127" s="70">
        <v>44991</v>
      </c>
      <c r="E127" s="73">
        <v>44992</v>
      </c>
      <c r="F127" s="9" t="s">
        <v>3158</v>
      </c>
      <c r="G127" s="9" t="s">
        <v>2256</v>
      </c>
      <c r="H127" s="9"/>
      <c r="I127" s="7" t="s">
        <v>2453</v>
      </c>
      <c r="J127" s="51" t="s">
        <v>1999</v>
      </c>
      <c r="K127" s="7" t="s">
        <v>2297</v>
      </c>
      <c r="L127" s="10">
        <v>589.29</v>
      </c>
      <c r="M127" s="10">
        <v>4910.71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33"/>
      <c r="AB127" s="10"/>
      <c r="AC127" s="33">
        <v>5500</v>
      </c>
      <c r="AD127" s="10">
        <f t="shared" si="3"/>
        <v>0</v>
      </c>
      <c r="AE127" s="82"/>
      <c r="AF127" s="17">
        <v>49.11</v>
      </c>
    </row>
    <row r="128" spans="1:32" x14ac:dyDescent="0.25">
      <c r="A128" s="7" t="s">
        <v>2442</v>
      </c>
      <c r="B128" s="9" t="s">
        <v>2452</v>
      </c>
      <c r="C128" s="70">
        <v>44991</v>
      </c>
      <c r="D128" s="70">
        <v>44991</v>
      </c>
      <c r="E128" s="73"/>
      <c r="F128" s="9"/>
      <c r="H128" s="9"/>
      <c r="I128" s="7" t="s">
        <v>55</v>
      </c>
      <c r="J128" s="51" t="s">
        <v>54</v>
      </c>
      <c r="K128" s="7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>
        <v>400000</v>
      </c>
      <c r="AA128" s="33"/>
      <c r="AB128" s="10"/>
      <c r="AC128" s="33">
        <v>400000</v>
      </c>
      <c r="AD128" s="10">
        <f t="shared" si="3"/>
        <v>0</v>
      </c>
      <c r="AE128" s="82"/>
    </row>
    <row r="129" spans="1:32" x14ac:dyDescent="0.25">
      <c r="A129" s="7" t="s">
        <v>2443</v>
      </c>
      <c r="B129" s="9">
        <v>4071892</v>
      </c>
      <c r="C129" s="47">
        <v>44991</v>
      </c>
      <c r="D129" s="70">
        <v>44991</v>
      </c>
      <c r="E129" s="73"/>
      <c r="F129" s="9"/>
      <c r="H129" s="9"/>
      <c r="I129" s="7" t="s">
        <v>2450</v>
      </c>
      <c r="J129" s="51" t="s">
        <v>126</v>
      </c>
      <c r="K129" s="7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33">
        <v>12500</v>
      </c>
      <c r="AB129" s="10"/>
      <c r="AC129" s="33">
        <v>12500</v>
      </c>
      <c r="AD129" s="10">
        <f t="shared" si="3"/>
        <v>0</v>
      </c>
      <c r="AE129" s="82"/>
    </row>
    <row r="130" spans="1:32" x14ac:dyDescent="0.25">
      <c r="A130" s="7" t="s">
        <v>2444</v>
      </c>
      <c r="B130" s="9">
        <v>4071893</v>
      </c>
      <c r="C130" s="47">
        <v>44991</v>
      </c>
      <c r="D130" s="70">
        <v>44991</v>
      </c>
      <c r="E130" s="73"/>
      <c r="F130" s="9"/>
      <c r="H130" s="9"/>
      <c r="I130" s="7" t="s">
        <v>1417</v>
      </c>
      <c r="J130" s="51" t="s">
        <v>1417</v>
      </c>
      <c r="K130" s="7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33"/>
      <c r="AB130" s="10"/>
      <c r="AC130" s="33"/>
      <c r="AD130" s="10">
        <f t="shared" si="3"/>
        <v>0</v>
      </c>
      <c r="AE130" s="82"/>
    </row>
    <row r="131" spans="1:32" x14ac:dyDescent="0.25">
      <c r="A131" s="7" t="s">
        <v>2445</v>
      </c>
      <c r="B131" s="9">
        <v>4071894</v>
      </c>
      <c r="C131" s="70">
        <v>45023</v>
      </c>
      <c r="D131" s="70">
        <v>44992</v>
      </c>
      <c r="E131" s="73">
        <v>45026</v>
      </c>
      <c r="F131" s="9" t="s">
        <v>3159</v>
      </c>
      <c r="G131" s="9" t="s">
        <v>2241</v>
      </c>
      <c r="H131" s="9"/>
      <c r="I131" s="7" t="s">
        <v>2455</v>
      </c>
      <c r="J131" s="51" t="s">
        <v>83</v>
      </c>
      <c r="K131" s="7" t="s">
        <v>1336</v>
      </c>
      <c r="L131" s="10">
        <v>31966.07</v>
      </c>
      <c r="M131" s="10">
        <v>266383.93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33"/>
      <c r="AB131" s="10"/>
      <c r="AC131" s="33">
        <v>298350</v>
      </c>
      <c r="AD131" s="10">
        <f t="shared" si="3"/>
        <v>0</v>
      </c>
      <c r="AE131" s="82"/>
      <c r="AF131" s="17">
        <v>2663.84</v>
      </c>
    </row>
    <row r="132" spans="1:32" x14ac:dyDescent="0.25">
      <c r="A132" s="7" t="s">
        <v>2446</v>
      </c>
      <c r="B132" s="9">
        <v>4071895</v>
      </c>
      <c r="C132" s="70">
        <v>45034</v>
      </c>
      <c r="D132" s="70">
        <v>44992</v>
      </c>
      <c r="E132" s="73">
        <v>44995</v>
      </c>
      <c r="F132" s="9" t="s">
        <v>3160</v>
      </c>
      <c r="G132" s="9" t="s">
        <v>2255</v>
      </c>
      <c r="H132" s="9"/>
      <c r="I132" s="7" t="s">
        <v>2462</v>
      </c>
      <c r="J132" s="51" t="s">
        <v>1226</v>
      </c>
      <c r="K132" s="7" t="s">
        <v>1039</v>
      </c>
      <c r="L132" s="10">
        <v>803.57</v>
      </c>
      <c r="M132" s="10">
        <v>6696.43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33"/>
      <c r="AB132" s="10"/>
      <c r="AC132" s="33">
        <v>7500</v>
      </c>
      <c r="AD132" s="10">
        <f t="shared" si="3"/>
        <v>0</v>
      </c>
      <c r="AE132" s="82"/>
      <c r="AF132" s="17">
        <v>66.959999999999994</v>
      </c>
    </row>
    <row r="133" spans="1:32" x14ac:dyDescent="0.25">
      <c r="A133" s="7" t="s">
        <v>2447</v>
      </c>
      <c r="B133" s="9">
        <v>4071896</v>
      </c>
      <c r="C133" s="70">
        <v>44995</v>
      </c>
      <c r="D133" s="70">
        <v>44995</v>
      </c>
      <c r="E133" s="73"/>
      <c r="F133" s="9"/>
      <c r="H133" s="9"/>
      <c r="I133" s="7" t="s">
        <v>2464</v>
      </c>
      <c r="J133" s="51" t="s">
        <v>2463</v>
      </c>
      <c r="K133" s="7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33">
        <v>10000</v>
      </c>
      <c r="AB133" s="10"/>
      <c r="AC133" s="33">
        <v>10000</v>
      </c>
      <c r="AD133" s="10">
        <f t="shared" si="3"/>
        <v>0</v>
      </c>
      <c r="AE133" s="82"/>
    </row>
    <row r="134" spans="1:32" x14ac:dyDescent="0.25">
      <c r="A134" s="7" t="s">
        <v>2448</v>
      </c>
      <c r="B134" s="9">
        <v>4071897</v>
      </c>
      <c r="C134" s="70">
        <v>44995</v>
      </c>
      <c r="D134" s="70">
        <v>44995</v>
      </c>
      <c r="E134" s="73"/>
      <c r="F134" s="9"/>
      <c r="H134" s="9"/>
      <c r="I134" s="7" t="s">
        <v>123</v>
      </c>
      <c r="J134" s="51" t="s">
        <v>30</v>
      </c>
      <c r="K134" s="7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33">
        <v>23000</v>
      </c>
      <c r="AB134" s="10"/>
      <c r="AC134" s="33">
        <v>23000</v>
      </c>
      <c r="AD134" s="10">
        <f t="shared" si="3"/>
        <v>0</v>
      </c>
      <c r="AE134" s="82"/>
    </row>
    <row r="135" spans="1:32" x14ac:dyDescent="0.25">
      <c r="A135" s="7" t="s">
        <v>2449</v>
      </c>
      <c r="B135" s="9">
        <v>4071898</v>
      </c>
      <c r="C135" s="70">
        <v>44995</v>
      </c>
      <c r="D135" s="70">
        <v>44995</v>
      </c>
      <c r="E135" s="73"/>
      <c r="F135" s="9"/>
      <c r="H135" s="9"/>
      <c r="I135" s="7" t="s">
        <v>2465</v>
      </c>
      <c r="J135" s="51" t="s">
        <v>43</v>
      </c>
      <c r="K135" s="7"/>
      <c r="L135" s="10">
        <v>32.14</v>
      </c>
      <c r="M135" s="10"/>
      <c r="N135" s="10"/>
      <c r="O135" s="10"/>
      <c r="P135" s="10"/>
      <c r="Q135" s="10"/>
      <c r="R135" s="10"/>
      <c r="S135" s="10">
        <v>267.86</v>
      </c>
      <c r="T135" s="10"/>
      <c r="U135" s="10"/>
      <c r="V135" s="10"/>
      <c r="W135" s="10"/>
      <c r="X135" s="10"/>
      <c r="Y135" s="10"/>
      <c r="Z135" s="10"/>
      <c r="AA135" s="33"/>
      <c r="AB135" s="10"/>
      <c r="AC135" s="33">
        <v>300</v>
      </c>
      <c r="AD135" s="10">
        <f t="shared" si="3"/>
        <v>0</v>
      </c>
      <c r="AE135" s="82"/>
    </row>
    <row r="136" spans="1:32" x14ac:dyDescent="0.25">
      <c r="A136" s="7" t="s">
        <v>2456</v>
      </c>
      <c r="B136" s="9">
        <v>4071899</v>
      </c>
      <c r="C136" s="70">
        <v>44995</v>
      </c>
      <c r="D136" s="70">
        <v>44995</v>
      </c>
      <c r="E136" s="73"/>
      <c r="F136" s="9"/>
      <c r="H136" s="9"/>
      <c r="I136" s="7" t="s">
        <v>2465</v>
      </c>
      <c r="J136" s="51" t="s">
        <v>43</v>
      </c>
      <c r="K136" s="7"/>
      <c r="L136" s="10">
        <v>32.14</v>
      </c>
      <c r="M136" s="10"/>
      <c r="N136" s="10"/>
      <c r="O136" s="10"/>
      <c r="P136" s="10"/>
      <c r="Q136" s="10"/>
      <c r="R136" s="10"/>
      <c r="S136" s="10">
        <v>267.86</v>
      </c>
      <c r="T136" s="10"/>
      <c r="U136" s="10"/>
      <c r="V136" s="10"/>
      <c r="W136" s="10"/>
      <c r="X136" s="10"/>
      <c r="Y136" s="10"/>
      <c r="Z136" s="10"/>
      <c r="AA136" s="33"/>
      <c r="AB136" s="10"/>
      <c r="AC136" s="33">
        <v>300</v>
      </c>
      <c r="AD136" s="10">
        <f t="shared" si="3"/>
        <v>0</v>
      </c>
      <c r="AE136" s="82"/>
    </row>
    <row r="137" spans="1:32" x14ac:dyDescent="0.25">
      <c r="A137" s="7" t="s">
        <v>2457</v>
      </c>
      <c r="B137" s="9">
        <v>4071900</v>
      </c>
      <c r="C137" s="70">
        <v>45041</v>
      </c>
      <c r="D137" s="70">
        <v>44995</v>
      </c>
      <c r="E137" s="73">
        <v>45008</v>
      </c>
      <c r="F137" s="9" t="s">
        <v>3161</v>
      </c>
      <c r="G137" s="9" t="s">
        <v>2258</v>
      </c>
      <c r="H137" s="9"/>
      <c r="I137" s="7" t="s">
        <v>2462</v>
      </c>
      <c r="J137" s="51" t="s">
        <v>1226</v>
      </c>
      <c r="K137" s="7" t="s">
        <v>1039</v>
      </c>
      <c r="L137" s="10">
        <v>803.57</v>
      </c>
      <c r="M137" s="10">
        <v>6696.43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33"/>
      <c r="AB137" s="10"/>
      <c r="AC137" s="33">
        <v>7500</v>
      </c>
      <c r="AD137" s="10">
        <f t="shared" si="3"/>
        <v>0</v>
      </c>
      <c r="AE137" s="82"/>
      <c r="AF137" s="17">
        <v>66.959999999999994</v>
      </c>
    </row>
    <row r="138" spans="1:32" x14ac:dyDescent="0.25">
      <c r="A138" s="7" t="s">
        <v>2458</v>
      </c>
      <c r="B138" s="9">
        <v>4071901</v>
      </c>
      <c r="C138" s="70">
        <v>45026</v>
      </c>
      <c r="D138" s="70">
        <v>44998</v>
      </c>
      <c r="E138" s="73">
        <v>45036</v>
      </c>
      <c r="F138" s="9" t="s">
        <v>3162</v>
      </c>
      <c r="G138" s="9" t="s">
        <v>2257</v>
      </c>
      <c r="H138" s="9"/>
      <c r="I138" s="7" t="s">
        <v>2468</v>
      </c>
      <c r="J138" s="51" t="s">
        <v>37</v>
      </c>
      <c r="K138" s="7" t="s">
        <v>38</v>
      </c>
      <c r="L138" s="10">
        <v>1071.43</v>
      </c>
      <c r="M138" s="10">
        <v>8928.57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33"/>
      <c r="AB138" s="10"/>
      <c r="AC138" s="33">
        <v>10000</v>
      </c>
      <c r="AD138" s="10">
        <f t="shared" si="3"/>
        <v>0</v>
      </c>
      <c r="AE138" s="82"/>
      <c r="AF138" s="17">
        <v>89.29</v>
      </c>
    </row>
    <row r="139" spans="1:32" x14ac:dyDescent="0.25">
      <c r="A139" s="7" t="s">
        <v>2459</v>
      </c>
      <c r="B139" s="9" t="s">
        <v>2466</v>
      </c>
      <c r="C139" s="70">
        <v>44998</v>
      </c>
      <c r="D139" s="70">
        <v>44998</v>
      </c>
      <c r="E139" s="73">
        <v>45003</v>
      </c>
      <c r="F139" s="9" t="s">
        <v>3163</v>
      </c>
      <c r="G139" s="9" t="s">
        <v>2259</v>
      </c>
      <c r="H139" s="9"/>
      <c r="I139" s="7" t="s">
        <v>2467</v>
      </c>
      <c r="J139" s="51" t="s">
        <v>1999</v>
      </c>
      <c r="K139" s="7" t="s">
        <v>2297</v>
      </c>
      <c r="L139" s="10">
        <v>707.14</v>
      </c>
      <c r="M139" s="10">
        <v>5892.86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33"/>
      <c r="AB139" s="10"/>
      <c r="AC139" s="33">
        <v>6600</v>
      </c>
      <c r="AD139" s="10">
        <f t="shared" si="3"/>
        <v>0</v>
      </c>
      <c r="AE139" s="82"/>
      <c r="AF139" s="17">
        <v>58.93</v>
      </c>
    </row>
    <row r="140" spans="1:32" x14ac:dyDescent="0.25">
      <c r="A140" s="7" t="s">
        <v>2460</v>
      </c>
      <c r="B140" s="9">
        <v>4071902</v>
      </c>
      <c r="C140" s="70">
        <v>45000</v>
      </c>
      <c r="D140" s="70">
        <v>45000</v>
      </c>
      <c r="E140" s="73">
        <v>45002</v>
      </c>
      <c r="F140" s="9" t="s">
        <v>3164</v>
      </c>
      <c r="H140" s="9"/>
      <c r="I140" s="7" t="s">
        <v>398</v>
      </c>
      <c r="J140" s="51" t="s">
        <v>399</v>
      </c>
      <c r="K140" s="7"/>
      <c r="L140" s="10">
        <v>642.86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33">
        <v>5357.14</v>
      </c>
      <c r="AB140" s="10"/>
      <c r="AC140" s="33">
        <v>6000</v>
      </c>
      <c r="AD140" s="10">
        <f t="shared" si="3"/>
        <v>0</v>
      </c>
      <c r="AE140" s="82"/>
    </row>
    <row r="141" spans="1:32" x14ac:dyDescent="0.25">
      <c r="A141" s="7" t="s">
        <v>2461</v>
      </c>
      <c r="B141" s="9">
        <v>4071903</v>
      </c>
      <c r="C141" s="70">
        <v>45000</v>
      </c>
      <c r="D141" s="70">
        <v>45000</v>
      </c>
      <c r="E141" s="73"/>
      <c r="F141" s="9"/>
      <c r="H141" s="9" t="s">
        <v>1444</v>
      </c>
      <c r="I141" s="7" t="s">
        <v>58</v>
      </c>
      <c r="J141" s="51" t="s">
        <v>65</v>
      </c>
      <c r="K141" s="7"/>
      <c r="L141" s="10"/>
      <c r="M141" s="10"/>
      <c r="N141" s="10"/>
      <c r="O141" s="10"/>
      <c r="P141" s="10"/>
      <c r="Q141" s="10"/>
      <c r="R141" s="10"/>
      <c r="S141" s="10"/>
      <c r="T141" s="10">
        <v>3936</v>
      </c>
      <c r="U141" s="10"/>
      <c r="V141" s="10"/>
      <c r="W141" s="10"/>
      <c r="X141" s="10"/>
      <c r="Y141" s="10"/>
      <c r="Z141" s="10"/>
      <c r="AA141" s="33"/>
      <c r="AB141" s="10"/>
      <c r="AC141" s="33">
        <v>3936</v>
      </c>
      <c r="AD141" s="10">
        <f t="shared" si="3"/>
        <v>0</v>
      </c>
      <c r="AE141" s="82"/>
    </row>
    <row r="142" spans="1:32" x14ac:dyDescent="0.25">
      <c r="A142" s="7" t="s">
        <v>2469</v>
      </c>
      <c r="B142" s="9">
        <v>4071904</v>
      </c>
      <c r="C142" s="70">
        <v>45000</v>
      </c>
      <c r="D142" s="70">
        <v>45000</v>
      </c>
      <c r="E142" s="73"/>
      <c r="F142" s="9"/>
      <c r="H142" s="9"/>
      <c r="I142" s="7" t="s">
        <v>2478</v>
      </c>
      <c r="J142" s="51" t="s">
        <v>44</v>
      </c>
      <c r="K142" s="7"/>
      <c r="L142" s="10">
        <v>713.92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>
        <v>5949.32</v>
      </c>
      <c r="Y142" s="10"/>
      <c r="Z142" s="10"/>
      <c r="AA142" s="33"/>
      <c r="AB142" s="10"/>
      <c r="AC142" s="33">
        <v>6663.24</v>
      </c>
      <c r="AD142" s="10">
        <f t="shared" si="3"/>
        <v>0</v>
      </c>
      <c r="AE142" s="82"/>
    </row>
    <row r="143" spans="1:32" x14ac:dyDescent="0.25">
      <c r="A143" s="7" t="s">
        <v>2470</v>
      </c>
      <c r="B143" s="9">
        <v>4071905</v>
      </c>
      <c r="C143" s="70">
        <v>45000</v>
      </c>
      <c r="D143" s="70">
        <v>45000</v>
      </c>
      <c r="E143" s="73"/>
      <c r="F143" s="9"/>
      <c r="H143" s="9"/>
      <c r="I143" s="7" t="s">
        <v>118</v>
      </c>
      <c r="J143" s="51" t="s">
        <v>1847</v>
      </c>
      <c r="K143" s="7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33">
        <v>16213.67</v>
      </c>
      <c r="AB143" s="10"/>
      <c r="AC143" s="33">
        <v>16213.67</v>
      </c>
      <c r="AD143" s="10">
        <f t="shared" si="3"/>
        <v>0</v>
      </c>
      <c r="AE143" s="82"/>
    </row>
    <row r="144" spans="1:32" x14ac:dyDescent="0.25">
      <c r="A144" s="7" t="s">
        <v>2471</v>
      </c>
      <c r="B144" s="9">
        <v>4071906</v>
      </c>
      <c r="C144" s="70">
        <v>45000</v>
      </c>
      <c r="D144" s="70">
        <v>45000</v>
      </c>
      <c r="E144" s="73"/>
      <c r="F144" s="9"/>
      <c r="H144" s="9"/>
      <c r="I144" s="7" t="s">
        <v>2479</v>
      </c>
      <c r="J144" s="51" t="s">
        <v>46</v>
      </c>
      <c r="K144" s="7"/>
      <c r="L144" s="10">
        <v>160.61000000000001</v>
      </c>
      <c r="M144" s="10"/>
      <c r="N144" s="10"/>
      <c r="O144" s="10"/>
      <c r="P144" s="10"/>
      <c r="Q144" s="10"/>
      <c r="R144" s="10"/>
      <c r="S144" s="10">
        <v>1338.39</v>
      </c>
      <c r="T144" s="10"/>
      <c r="U144" s="10"/>
      <c r="V144" s="10"/>
      <c r="W144" s="10"/>
      <c r="X144" s="10"/>
      <c r="Y144" s="10"/>
      <c r="Z144" s="10"/>
      <c r="AA144" s="33"/>
      <c r="AB144" s="10"/>
      <c r="AC144" s="33">
        <v>1499</v>
      </c>
      <c r="AD144" s="10">
        <f t="shared" si="3"/>
        <v>0</v>
      </c>
      <c r="AE144" s="82"/>
    </row>
    <row r="145" spans="1:32" x14ac:dyDescent="0.25">
      <c r="A145" s="7" t="s">
        <v>2472</v>
      </c>
      <c r="B145" s="9">
        <v>4071907</v>
      </c>
      <c r="C145" s="70">
        <v>45000</v>
      </c>
      <c r="D145" s="70">
        <v>45000</v>
      </c>
      <c r="E145" s="73"/>
      <c r="F145" s="9"/>
      <c r="H145" s="9"/>
      <c r="I145" s="7" t="s">
        <v>2479</v>
      </c>
      <c r="J145" s="51" t="s">
        <v>46</v>
      </c>
      <c r="K145" s="7"/>
      <c r="L145" s="10">
        <v>107.04</v>
      </c>
      <c r="M145" s="10"/>
      <c r="N145" s="10"/>
      <c r="O145" s="10"/>
      <c r="P145" s="10"/>
      <c r="Q145" s="10"/>
      <c r="R145" s="10"/>
      <c r="S145" s="10">
        <v>891.96</v>
      </c>
      <c r="T145" s="10"/>
      <c r="U145" s="10"/>
      <c r="V145" s="10"/>
      <c r="W145" s="10"/>
      <c r="X145" s="10"/>
      <c r="Y145" s="10"/>
      <c r="Z145" s="10"/>
      <c r="AA145" s="33"/>
      <c r="AB145" s="10"/>
      <c r="AC145" s="33">
        <v>999</v>
      </c>
      <c r="AD145" s="10">
        <f t="shared" si="3"/>
        <v>0</v>
      </c>
      <c r="AE145" s="82"/>
    </row>
    <row r="146" spans="1:32" x14ac:dyDescent="0.25">
      <c r="A146" s="7" t="s">
        <v>2473</v>
      </c>
      <c r="B146" s="9">
        <v>4071908</v>
      </c>
      <c r="C146" s="70">
        <v>45000</v>
      </c>
      <c r="D146" s="70">
        <v>45000</v>
      </c>
      <c r="E146" s="73"/>
      <c r="F146" s="9"/>
      <c r="H146" s="9"/>
      <c r="I146" s="7" t="s">
        <v>2480</v>
      </c>
      <c r="J146" s="51" t="s">
        <v>46</v>
      </c>
      <c r="K146" s="7"/>
      <c r="L146" s="10">
        <v>107.04</v>
      </c>
      <c r="M146" s="10"/>
      <c r="N146" s="10"/>
      <c r="O146" s="10"/>
      <c r="P146" s="10"/>
      <c r="Q146" s="10"/>
      <c r="R146" s="10"/>
      <c r="S146" s="10">
        <v>891.96</v>
      </c>
      <c r="T146" s="10"/>
      <c r="U146" s="10"/>
      <c r="V146" s="10"/>
      <c r="W146" s="10"/>
      <c r="X146" s="10"/>
      <c r="Y146" s="10"/>
      <c r="Z146" s="10"/>
      <c r="AA146" s="33"/>
      <c r="AB146" s="10"/>
      <c r="AC146" s="33">
        <v>999</v>
      </c>
      <c r="AD146" s="10">
        <f t="shared" si="3"/>
        <v>0</v>
      </c>
      <c r="AE146" s="82"/>
    </row>
    <row r="147" spans="1:32" x14ac:dyDescent="0.25">
      <c r="A147" s="7" t="s">
        <v>2474</v>
      </c>
      <c r="B147" s="9">
        <v>4071909</v>
      </c>
      <c r="C147" s="70">
        <v>45000</v>
      </c>
      <c r="D147" s="70">
        <v>45000</v>
      </c>
      <c r="E147" s="73"/>
      <c r="F147" s="9"/>
      <c r="H147" s="9"/>
      <c r="I147" s="7" t="s">
        <v>2480</v>
      </c>
      <c r="J147" s="51" t="s">
        <v>46</v>
      </c>
      <c r="K147" s="7"/>
      <c r="L147" s="10">
        <v>107.04</v>
      </c>
      <c r="M147" s="10"/>
      <c r="N147" s="10"/>
      <c r="O147" s="10"/>
      <c r="P147" s="10"/>
      <c r="Q147" s="10"/>
      <c r="R147" s="10"/>
      <c r="S147" s="10">
        <v>891.96</v>
      </c>
      <c r="T147" s="10"/>
      <c r="U147" s="10"/>
      <c r="V147" s="10"/>
      <c r="W147" s="10"/>
      <c r="X147" s="10"/>
      <c r="Y147" s="10"/>
      <c r="Z147" s="10"/>
      <c r="AA147" s="33"/>
      <c r="AB147" s="10"/>
      <c r="AC147" s="33">
        <v>999</v>
      </c>
      <c r="AD147" s="10">
        <f t="shared" si="3"/>
        <v>0</v>
      </c>
      <c r="AE147" s="82"/>
    </row>
    <row r="148" spans="1:32" x14ac:dyDescent="0.25">
      <c r="A148" s="7" t="s">
        <v>2475</v>
      </c>
      <c r="B148" s="9">
        <v>4071910</v>
      </c>
      <c r="C148" s="70">
        <v>45032</v>
      </c>
      <c r="D148" s="70">
        <v>45001</v>
      </c>
      <c r="E148" s="73">
        <v>45007</v>
      </c>
      <c r="F148" s="9" t="s">
        <v>3165</v>
      </c>
      <c r="G148" s="9" t="s">
        <v>2260</v>
      </c>
      <c r="H148" s="9"/>
      <c r="I148" s="7" t="s">
        <v>2481</v>
      </c>
      <c r="J148" s="51" t="s">
        <v>2043</v>
      </c>
      <c r="K148" s="7" t="s">
        <v>2138</v>
      </c>
      <c r="L148" s="10">
        <v>6241.07</v>
      </c>
      <c r="M148" s="10">
        <v>52008.93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33"/>
      <c r="AB148" s="10"/>
      <c r="AC148" s="33">
        <v>58250</v>
      </c>
      <c r="AD148" s="10">
        <f t="shared" si="3"/>
        <v>0</v>
      </c>
      <c r="AE148" s="82"/>
      <c r="AF148" s="17">
        <v>520.09</v>
      </c>
    </row>
    <row r="149" spans="1:32" x14ac:dyDescent="0.25">
      <c r="A149" s="7" t="s">
        <v>2476</v>
      </c>
      <c r="B149" s="9">
        <v>4071911</v>
      </c>
      <c r="C149" s="70">
        <v>45001</v>
      </c>
      <c r="D149" s="70">
        <v>45001</v>
      </c>
      <c r="E149" s="73"/>
      <c r="F149" s="9"/>
      <c r="H149" s="9"/>
      <c r="I149" s="7" t="s">
        <v>2389</v>
      </c>
      <c r="J149" s="51" t="s">
        <v>65</v>
      </c>
      <c r="K149" s="7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33">
        <v>3600</v>
      </c>
      <c r="AB149" s="10"/>
      <c r="AC149" s="33">
        <v>3600</v>
      </c>
      <c r="AD149" s="10">
        <f t="shared" si="3"/>
        <v>0</v>
      </c>
      <c r="AE149" s="82"/>
    </row>
    <row r="150" spans="1:32" x14ac:dyDescent="0.25">
      <c r="A150" s="7" t="s">
        <v>2477</v>
      </c>
      <c r="B150" s="9">
        <v>4071912</v>
      </c>
      <c r="C150" s="70">
        <v>45001</v>
      </c>
      <c r="D150" s="70">
        <v>45001</v>
      </c>
      <c r="E150" s="73"/>
      <c r="F150" s="9"/>
      <c r="H150" s="9"/>
      <c r="I150" s="7" t="s">
        <v>2465</v>
      </c>
      <c r="J150" s="51" t="s">
        <v>43</v>
      </c>
      <c r="K150" s="7"/>
      <c r="L150" s="10">
        <v>64.180000000000007</v>
      </c>
      <c r="M150" s="10"/>
      <c r="N150" s="10"/>
      <c r="O150" s="10"/>
      <c r="P150" s="10"/>
      <c r="Q150" s="10"/>
      <c r="R150" s="10"/>
      <c r="S150" s="10">
        <v>534.82000000000005</v>
      </c>
      <c r="T150" s="10"/>
      <c r="U150" s="10"/>
      <c r="V150" s="10"/>
      <c r="W150" s="10"/>
      <c r="X150" s="10"/>
      <c r="Y150" s="10"/>
      <c r="Z150" s="10"/>
      <c r="AA150" s="33"/>
      <c r="AB150" s="10"/>
      <c r="AC150" s="33">
        <v>599</v>
      </c>
      <c r="AD150" s="10">
        <f t="shared" si="3"/>
        <v>0</v>
      </c>
      <c r="AE150" s="82"/>
    </row>
    <row r="151" spans="1:32" x14ac:dyDescent="0.25">
      <c r="A151" s="7" t="s">
        <v>2482</v>
      </c>
      <c r="B151" s="9" t="s">
        <v>2488</v>
      </c>
      <c r="C151" s="70">
        <v>45005</v>
      </c>
      <c r="D151" s="70">
        <v>45005</v>
      </c>
      <c r="E151" s="73"/>
      <c r="F151" s="9"/>
      <c r="H151" s="9"/>
      <c r="I151" s="7" t="s">
        <v>64</v>
      </c>
      <c r="J151" s="51" t="s">
        <v>432</v>
      </c>
      <c r="K151" s="7"/>
      <c r="L151" s="10"/>
      <c r="M151" s="10"/>
      <c r="N151" s="10"/>
      <c r="O151" s="10"/>
      <c r="P151" s="10">
        <v>39000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33"/>
      <c r="AB151" s="10"/>
      <c r="AC151" s="33">
        <v>39000</v>
      </c>
      <c r="AD151" s="10">
        <f t="shared" si="3"/>
        <v>0</v>
      </c>
      <c r="AE151" s="82"/>
    </row>
    <row r="152" spans="1:32" x14ac:dyDescent="0.25">
      <c r="A152" s="7" t="s">
        <v>2483</v>
      </c>
      <c r="B152" s="9" t="s">
        <v>2489</v>
      </c>
      <c r="C152" s="70">
        <v>45007</v>
      </c>
      <c r="D152" s="70">
        <v>45007</v>
      </c>
      <c r="E152" s="73"/>
      <c r="F152" s="9"/>
      <c r="H152" s="9"/>
      <c r="I152" s="7" t="s">
        <v>55</v>
      </c>
      <c r="J152" s="51" t="s">
        <v>54</v>
      </c>
      <c r="K152" s="7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>
        <v>300000</v>
      </c>
      <c r="AA152" s="33"/>
      <c r="AB152" s="10"/>
      <c r="AC152" s="33">
        <v>300000</v>
      </c>
      <c r="AD152" s="10">
        <f t="shared" si="3"/>
        <v>0</v>
      </c>
      <c r="AE152" s="82"/>
    </row>
    <row r="153" spans="1:32" x14ac:dyDescent="0.25">
      <c r="A153" s="7" t="s">
        <v>2484</v>
      </c>
      <c r="B153" s="9" t="s">
        <v>2490</v>
      </c>
      <c r="C153" s="70">
        <v>45007</v>
      </c>
      <c r="D153" s="70">
        <v>45007</v>
      </c>
      <c r="E153" s="73"/>
      <c r="F153" s="9"/>
      <c r="H153" s="9"/>
      <c r="I153" s="7" t="s">
        <v>55</v>
      </c>
      <c r="J153" s="51" t="s">
        <v>54</v>
      </c>
      <c r="K153" s="7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>
        <v>300000</v>
      </c>
      <c r="AA153" s="33"/>
      <c r="AB153" s="10"/>
      <c r="AC153" s="33">
        <v>300000</v>
      </c>
      <c r="AD153" s="10">
        <f t="shared" si="3"/>
        <v>0</v>
      </c>
      <c r="AE153" s="82"/>
    </row>
    <row r="154" spans="1:32" x14ac:dyDescent="0.25">
      <c r="A154" s="7" t="s">
        <v>2485</v>
      </c>
      <c r="B154" s="9">
        <v>4071913</v>
      </c>
      <c r="C154" s="70">
        <v>45007</v>
      </c>
      <c r="D154" s="70">
        <v>45007</v>
      </c>
      <c r="E154" s="73"/>
      <c r="F154" s="9"/>
      <c r="H154" s="9"/>
      <c r="I154" s="7" t="s">
        <v>2491</v>
      </c>
      <c r="J154" s="51" t="s">
        <v>46</v>
      </c>
      <c r="K154" s="7"/>
      <c r="L154" s="10">
        <v>1203.2</v>
      </c>
      <c r="M154" s="10"/>
      <c r="N154" s="10"/>
      <c r="O154" s="10"/>
      <c r="P154" s="10"/>
      <c r="Q154" s="10"/>
      <c r="R154" s="10"/>
      <c r="S154" s="10">
        <v>10026.629999999999</v>
      </c>
      <c r="T154" s="10"/>
      <c r="U154" s="10"/>
      <c r="V154" s="10"/>
      <c r="W154" s="10"/>
      <c r="X154" s="10"/>
      <c r="Y154" s="10"/>
      <c r="Z154" s="10"/>
      <c r="AA154" s="33"/>
      <c r="AB154" s="10"/>
      <c r="AC154" s="33">
        <v>11229.83</v>
      </c>
      <c r="AD154" s="10">
        <f t="shared" si="3"/>
        <v>0</v>
      </c>
      <c r="AE154" s="82"/>
      <c r="AF154" s="17">
        <v>204.22</v>
      </c>
    </row>
    <row r="155" spans="1:32" x14ac:dyDescent="0.25">
      <c r="A155" s="7" t="s">
        <v>2486</v>
      </c>
      <c r="B155" s="9" t="s">
        <v>2507</v>
      </c>
      <c r="C155" s="70">
        <v>45008</v>
      </c>
      <c r="D155" s="70">
        <v>45008</v>
      </c>
      <c r="E155" s="73">
        <v>45008</v>
      </c>
      <c r="F155" s="9" t="s">
        <v>3166</v>
      </c>
      <c r="G155" s="9" t="s">
        <v>2266</v>
      </c>
      <c r="H155" s="9"/>
      <c r="I155" s="7" t="s">
        <v>2508</v>
      </c>
      <c r="J155" s="51" t="s">
        <v>1999</v>
      </c>
      <c r="K155" s="7" t="s">
        <v>2297</v>
      </c>
      <c r="L155" s="10">
        <v>1060.71</v>
      </c>
      <c r="M155" s="10">
        <v>8839.2900000000009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33"/>
      <c r="AB155" s="10"/>
      <c r="AC155" s="33">
        <v>9900</v>
      </c>
      <c r="AD155" s="10">
        <f t="shared" si="3"/>
        <v>0</v>
      </c>
      <c r="AE155" s="82"/>
      <c r="AF155" s="17">
        <v>88.39</v>
      </c>
    </row>
    <row r="156" spans="1:32" x14ac:dyDescent="0.25">
      <c r="A156" s="7" t="s">
        <v>2487</v>
      </c>
      <c r="B156" s="9">
        <v>4071914</v>
      </c>
      <c r="C156" s="70">
        <v>45008</v>
      </c>
      <c r="D156" s="70">
        <v>45008</v>
      </c>
      <c r="E156" s="73">
        <v>45009</v>
      </c>
      <c r="F156" s="9" t="s">
        <v>3167</v>
      </c>
      <c r="H156" s="9"/>
      <c r="I156" s="7" t="s">
        <v>2504</v>
      </c>
      <c r="J156" s="51" t="s">
        <v>187</v>
      </c>
      <c r="K156" s="7"/>
      <c r="L156" s="10">
        <v>768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33">
        <v>7236</v>
      </c>
      <c r="AB156" s="10"/>
      <c r="AC156" s="33">
        <v>8004</v>
      </c>
      <c r="AD156" s="10">
        <f t="shared" si="3"/>
        <v>0</v>
      </c>
      <c r="AE156" s="82"/>
    </row>
    <row r="157" spans="1:32" x14ac:dyDescent="0.25">
      <c r="A157" s="7" t="s">
        <v>2492</v>
      </c>
      <c r="B157" s="9">
        <v>4071915</v>
      </c>
      <c r="C157" s="70">
        <v>45039</v>
      </c>
      <c r="D157" s="70">
        <v>45008</v>
      </c>
      <c r="E157" s="73">
        <v>45014</v>
      </c>
      <c r="F157" s="9" t="s">
        <v>3168</v>
      </c>
      <c r="G157" s="9" t="s">
        <v>2265</v>
      </c>
      <c r="H157" s="9"/>
      <c r="I157" s="7" t="s">
        <v>2505</v>
      </c>
      <c r="J157" s="51" t="s">
        <v>60</v>
      </c>
      <c r="K157" s="7" t="s">
        <v>61</v>
      </c>
      <c r="L157" s="10">
        <v>1210.71</v>
      </c>
      <c r="M157" s="10">
        <v>10089.290000000001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33"/>
      <c r="AB157" s="10"/>
      <c r="AC157" s="33">
        <v>11300</v>
      </c>
      <c r="AD157" s="10">
        <f t="shared" si="3"/>
        <v>0</v>
      </c>
      <c r="AE157" s="82"/>
      <c r="AF157" s="17">
        <v>100.89</v>
      </c>
    </row>
    <row r="158" spans="1:32" x14ac:dyDescent="0.25">
      <c r="A158" s="7" t="s">
        <v>2493</v>
      </c>
      <c r="B158" s="9">
        <v>4071916</v>
      </c>
      <c r="C158" s="70">
        <v>45008</v>
      </c>
      <c r="D158" s="70">
        <v>45008</v>
      </c>
      <c r="E158" s="73">
        <v>45014</v>
      </c>
      <c r="F158" s="9" t="s">
        <v>3169</v>
      </c>
      <c r="G158" s="9" t="s">
        <v>2264</v>
      </c>
      <c r="H158" s="9"/>
      <c r="I158" s="7" t="s">
        <v>2506</v>
      </c>
      <c r="J158" s="51" t="s">
        <v>109</v>
      </c>
      <c r="K158" s="7"/>
      <c r="L158" s="10"/>
      <c r="M158" s="10">
        <v>1000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33"/>
      <c r="AB158" s="10"/>
      <c r="AC158" s="33">
        <v>1000</v>
      </c>
      <c r="AD158" s="10">
        <f t="shared" si="3"/>
        <v>0</v>
      </c>
      <c r="AE158" s="82"/>
    </row>
    <row r="159" spans="1:32" x14ac:dyDescent="0.25">
      <c r="A159" s="7" t="s">
        <v>2494</v>
      </c>
      <c r="B159" s="9">
        <v>4071917</v>
      </c>
      <c r="C159" s="70">
        <v>45008</v>
      </c>
      <c r="D159" s="70">
        <v>45008</v>
      </c>
      <c r="E159" s="73"/>
      <c r="F159" s="9"/>
      <c r="H159" s="9" t="s">
        <v>1456</v>
      </c>
      <c r="I159" s="7" t="s">
        <v>58</v>
      </c>
      <c r="J159" s="51" t="s">
        <v>65</v>
      </c>
      <c r="K159" s="7"/>
      <c r="L159" s="10"/>
      <c r="M159" s="10"/>
      <c r="N159" s="10"/>
      <c r="O159" s="10"/>
      <c r="P159" s="10"/>
      <c r="Q159" s="10"/>
      <c r="R159" s="10"/>
      <c r="S159" s="10"/>
      <c r="T159" s="10">
        <v>8417.5</v>
      </c>
      <c r="U159" s="10"/>
      <c r="V159" s="10"/>
      <c r="W159" s="10"/>
      <c r="X159" s="10"/>
      <c r="Y159" s="10"/>
      <c r="Z159" s="10"/>
      <c r="AA159" s="33"/>
      <c r="AB159" s="10"/>
      <c r="AC159" s="33">
        <v>8417.5</v>
      </c>
      <c r="AD159" s="10">
        <f t="shared" ref="AD159:AD225" si="4">SUM(AB159:AC159)-SUM(L159:AA159)</f>
        <v>0</v>
      </c>
      <c r="AE159" s="82"/>
    </row>
    <row r="160" spans="1:32" x14ac:dyDescent="0.25">
      <c r="A160" s="7" t="s">
        <v>2495</v>
      </c>
      <c r="B160" s="9">
        <v>4071918</v>
      </c>
      <c r="C160" s="70">
        <v>45012</v>
      </c>
      <c r="D160" s="70">
        <v>45012</v>
      </c>
      <c r="E160" s="73"/>
      <c r="F160" s="9"/>
      <c r="H160" s="9"/>
      <c r="I160" s="7" t="s">
        <v>123</v>
      </c>
      <c r="J160" s="51" t="s">
        <v>30</v>
      </c>
      <c r="K160" s="7"/>
      <c r="L160" s="10"/>
      <c r="M160" s="10">
        <v>23000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33"/>
      <c r="AB160" s="10"/>
      <c r="AC160" s="33">
        <v>23000</v>
      </c>
      <c r="AD160" s="10">
        <f t="shared" si="4"/>
        <v>0</v>
      </c>
      <c r="AE160" s="82"/>
    </row>
    <row r="161" spans="1:32" x14ac:dyDescent="0.25">
      <c r="A161" s="7" t="s">
        <v>2496</v>
      </c>
      <c r="B161" s="9">
        <v>4071919</v>
      </c>
      <c r="C161" s="70">
        <v>45012</v>
      </c>
      <c r="D161" s="70">
        <v>45012</v>
      </c>
      <c r="E161" s="73">
        <v>45013</v>
      </c>
      <c r="F161" s="9" t="s">
        <v>3170</v>
      </c>
      <c r="H161" s="9"/>
      <c r="I161" s="7" t="s">
        <v>2509</v>
      </c>
      <c r="J161" s="51" t="s">
        <v>2521</v>
      </c>
      <c r="K161" s="7" t="s">
        <v>2176</v>
      </c>
      <c r="L161" s="10">
        <v>1820.89</v>
      </c>
      <c r="M161" s="10">
        <v>15174.11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33"/>
      <c r="AB161" s="10"/>
      <c r="AC161" s="33">
        <v>16995</v>
      </c>
      <c r="AD161" s="10">
        <f t="shared" si="4"/>
        <v>0</v>
      </c>
      <c r="AE161" s="82"/>
    </row>
    <row r="162" spans="1:32" x14ac:dyDescent="0.25">
      <c r="A162" s="7" t="s">
        <v>2497</v>
      </c>
      <c r="B162" s="9">
        <v>4071920</v>
      </c>
      <c r="C162" s="70">
        <v>45012</v>
      </c>
      <c r="D162" s="70">
        <v>45012</v>
      </c>
      <c r="E162" s="73">
        <v>45014</v>
      </c>
      <c r="F162" s="9" t="s">
        <v>3171</v>
      </c>
      <c r="H162" s="9"/>
      <c r="I162" s="7" t="s">
        <v>2323</v>
      </c>
      <c r="J162" s="51" t="s">
        <v>109</v>
      </c>
      <c r="K162" s="7"/>
      <c r="L162" s="10"/>
      <c r="M162" s="10">
        <v>7500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33"/>
      <c r="AB162" s="10"/>
      <c r="AC162" s="33">
        <v>7500</v>
      </c>
      <c r="AD162" s="10">
        <f t="shared" si="4"/>
        <v>0</v>
      </c>
      <c r="AE162" s="82"/>
    </row>
    <row r="163" spans="1:32" x14ac:dyDescent="0.25">
      <c r="A163" s="7" t="s">
        <v>2498</v>
      </c>
      <c r="B163" s="9">
        <v>4071921</v>
      </c>
      <c r="C163" s="70">
        <v>45045</v>
      </c>
      <c r="D163" s="70">
        <v>45012</v>
      </c>
      <c r="E163" s="73">
        <v>45014</v>
      </c>
      <c r="F163" s="9" t="s">
        <v>3172</v>
      </c>
      <c r="G163" s="9" t="s">
        <v>2261</v>
      </c>
      <c r="H163" s="9"/>
      <c r="I163" s="7" t="s">
        <v>1001</v>
      </c>
      <c r="J163" s="51" t="s">
        <v>2087</v>
      </c>
      <c r="K163" s="7" t="s">
        <v>2088</v>
      </c>
      <c r="L163" s="10">
        <v>11250</v>
      </c>
      <c r="M163" s="10">
        <v>93750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33"/>
      <c r="AB163" s="10"/>
      <c r="AC163" s="33">
        <v>105000</v>
      </c>
      <c r="AD163" s="10">
        <f t="shared" si="4"/>
        <v>0</v>
      </c>
      <c r="AE163" s="82"/>
      <c r="AF163" s="17">
        <v>937.5</v>
      </c>
    </row>
    <row r="164" spans="1:32" x14ac:dyDescent="0.25">
      <c r="A164" s="7" t="s">
        <v>2499</v>
      </c>
      <c r="B164" s="9">
        <v>4071922</v>
      </c>
      <c r="C164" s="70">
        <v>45054</v>
      </c>
      <c r="D164" s="70">
        <v>45012</v>
      </c>
      <c r="E164" s="73">
        <v>45016</v>
      </c>
      <c r="F164" s="9" t="s">
        <v>3173</v>
      </c>
      <c r="G164" s="9" t="s">
        <v>2262</v>
      </c>
      <c r="H164" s="9"/>
      <c r="I164" s="7" t="s">
        <v>2510</v>
      </c>
      <c r="J164" s="51" t="s">
        <v>1226</v>
      </c>
      <c r="K164" s="7" t="s">
        <v>1039</v>
      </c>
      <c r="L164" s="10">
        <v>4017.86</v>
      </c>
      <c r="M164" s="10">
        <v>33482.14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33"/>
      <c r="AB164" s="10"/>
      <c r="AC164" s="33">
        <v>37500</v>
      </c>
      <c r="AD164" s="10">
        <f t="shared" si="4"/>
        <v>0</v>
      </c>
      <c r="AE164" s="82"/>
      <c r="AF164" s="17">
        <v>334.82</v>
      </c>
    </row>
    <row r="165" spans="1:32" x14ac:dyDescent="0.25">
      <c r="A165" s="7" t="s">
        <v>2500</v>
      </c>
      <c r="B165" s="9" t="s">
        <v>2520</v>
      </c>
      <c r="C165" s="70">
        <v>45012</v>
      </c>
      <c r="D165" s="70">
        <v>45012</v>
      </c>
      <c r="E165" s="73"/>
      <c r="F165" s="9"/>
      <c r="H165" s="9"/>
      <c r="I165" s="7" t="s">
        <v>64</v>
      </c>
      <c r="J165" s="51" t="s">
        <v>47</v>
      </c>
      <c r="K165" s="7"/>
      <c r="L165" s="10"/>
      <c r="M165" s="10"/>
      <c r="N165" s="10"/>
      <c r="O165" s="10"/>
      <c r="P165" s="10">
        <v>300000</v>
      </c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33"/>
      <c r="AB165" s="10"/>
      <c r="AC165" s="33">
        <v>300000</v>
      </c>
      <c r="AD165" s="10">
        <f t="shared" si="4"/>
        <v>0</v>
      </c>
      <c r="AE165" s="82"/>
    </row>
    <row r="166" spans="1:32" x14ac:dyDescent="0.25">
      <c r="A166" s="7" t="s">
        <v>2501</v>
      </c>
      <c r="B166" s="9">
        <v>4071923</v>
      </c>
      <c r="C166" s="70">
        <v>45012</v>
      </c>
      <c r="D166" s="70">
        <v>45012</v>
      </c>
      <c r="E166" s="73"/>
      <c r="F166" s="9"/>
      <c r="H166" s="9"/>
      <c r="I166" s="7" t="s">
        <v>2519</v>
      </c>
      <c r="J166" s="51" t="s">
        <v>327</v>
      </c>
      <c r="K166" s="7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33">
        <v>4000</v>
      </c>
      <c r="AB166" s="10"/>
      <c r="AC166" s="33">
        <v>4000</v>
      </c>
      <c r="AD166" s="10">
        <f t="shared" si="4"/>
        <v>0</v>
      </c>
      <c r="AE166" s="82" t="s">
        <v>2541</v>
      </c>
    </row>
    <row r="167" spans="1:32" x14ac:dyDescent="0.25">
      <c r="A167" s="7" t="s">
        <v>2502</v>
      </c>
      <c r="B167" s="9">
        <v>4071924</v>
      </c>
      <c r="C167" s="70">
        <v>45015</v>
      </c>
      <c r="D167" s="70">
        <v>45015</v>
      </c>
      <c r="E167" s="73">
        <v>45044</v>
      </c>
      <c r="F167" s="9" t="s">
        <v>3174</v>
      </c>
      <c r="H167" s="9"/>
      <c r="I167" s="7" t="s">
        <v>2523</v>
      </c>
      <c r="J167" s="51" t="s">
        <v>83</v>
      </c>
      <c r="K167" s="7" t="s">
        <v>1336</v>
      </c>
      <c r="L167" s="10">
        <v>771.43</v>
      </c>
      <c r="M167" s="10">
        <v>6428.57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33"/>
      <c r="AB167" s="10"/>
      <c r="AC167" s="33">
        <v>7200</v>
      </c>
      <c r="AD167" s="10">
        <f t="shared" si="4"/>
        <v>0</v>
      </c>
      <c r="AE167" s="82"/>
      <c r="AF167" s="17">
        <v>73.22</v>
      </c>
    </row>
    <row r="168" spans="1:32" x14ac:dyDescent="0.25">
      <c r="A168" s="7" t="s">
        <v>2503</v>
      </c>
      <c r="B168" s="9">
        <v>4071925</v>
      </c>
      <c r="C168" s="70">
        <v>45045</v>
      </c>
      <c r="D168" s="70">
        <v>45015</v>
      </c>
      <c r="E168" s="73">
        <v>45044</v>
      </c>
      <c r="F168" s="9" t="s">
        <v>3175</v>
      </c>
      <c r="G168" s="9" t="s">
        <v>2302</v>
      </c>
      <c r="H168" s="9"/>
      <c r="I168" s="7" t="s">
        <v>2522</v>
      </c>
      <c r="J168" s="51" t="s">
        <v>83</v>
      </c>
      <c r="K168" s="7" t="s">
        <v>1336</v>
      </c>
      <c r="L168" s="10">
        <v>2507.14</v>
      </c>
      <c r="M168" s="10">
        <v>20892.86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33"/>
      <c r="AB168" s="10"/>
      <c r="AC168" s="33">
        <v>23400</v>
      </c>
      <c r="AD168" s="10">
        <f t="shared" si="4"/>
        <v>0</v>
      </c>
      <c r="AE168" s="82"/>
      <c r="AF168" s="17">
        <v>208.93</v>
      </c>
    </row>
    <row r="169" spans="1:32" x14ac:dyDescent="0.25">
      <c r="A169" s="7" t="s">
        <v>2511</v>
      </c>
      <c r="B169" s="9">
        <v>4071926</v>
      </c>
      <c r="C169" s="70">
        <v>45015</v>
      </c>
      <c r="D169" s="70">
        <v>45015</v>
      </c>
      <c r="E169" s="73"/>
      <c r="F169" s="9"/>
      <c r="H169" s="9"/>
      <c r="I169" s="7" t="s">
        <v>2389</v>
      </c>
      <c r="J169" s="51" t="s">
        <v>65</v>
      </c>
      <c r="K169" s="7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33">
        <v>6600</v>
      </c>
      <c r="AB169" s="10"/>
      <c r="AC169" s="33">
        <v>6600</v>
      </c>
      <c r="AD169" s="10">
        <f t="shared" si="4"/>
        <v>0</v>
      </c>
      <c r="AE169" s="82"/>
    </row>
    <row r="170" spans="1:32" x14ac:dyDescent="0.25">
      <c r="A170" s="7" t="s">
        <v>2512</v>
      </c>
      <c r="B170" s="9">
        <v>4071928</v>
      </c>
      <c r="C170" s="70">
        <v>45015</v>
      </c>
      <c r="D170" s="70">
        <v>45015</v>
      </c>
      <c r="E170" s="73"/>
      <c r="F170" s="9"/>
      <c r="H170" s="9" t="s">
        <v>1485</v>
      </c>
      <c r="I170" s="7" t="s">
        <v>58</v>
      </c>
      <c r="J170" s="51" t="s">
        <v>65</v>
      </c>
      <c r="K170" s="7"/>
      <c r="L170" s="10"/>
      <c r="M170" s="10"/>
      <c r="N170" s="10"/>
      <c r="O170" s="10"/>
      <c r="P170" s="10"/>
      <c r="Q170" s="10"/>
      <c r="R170" s="10"/>
      <c r="S170" s="10"/>
      <c r="T170" s="10">
        <v>5422</v>
      </c>
      <c r="U170" s="10"/>
      <c r="V170" s="10"/>
      <c r="W170" s="10"/>
      <c r="X170" s="10"/>
      <c r="Y170" s="10"/>
      <c r="Z170" s="10"/>
      <c r="AA170" s="33"/>
      <c r="AB170" s="10"/>
      <c r="AC170" s="33">
        <v>5422</v>
      </c>
      <c r="AD170" s="10">
        <f t="shared" si="4"/>
        <v>0</v>
      </c>
      <c r="AE170" s="82"/>
    </row>
    <row r="171" spans="1:32" s="39" customFormat="1" x14ac:dyDescent="0.25">
      <c r="A171" s="20"/>
      <c r="B171" s="19"/>
      <c r="C171" s="72"/>
      <c r="D171" s="72"/>
      <c r="E171" s="77"/>
      <c r="F171" s="19"/>
      <c r="G171" s="19"/>
      <c r="H171" s="19"/>
      <c r="I171" s="20"/>
      <c r="J171" s="20"/>
      <c r="K171" s="20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32"/>
      <c r="AB171" s="22"/>
      <c r="AC171" s="32"/>
      <c r="AD171" s="22"/>
      <c r="AE171" s="96"/>
      <c r="AF171" s="35"/>
    </row>
    <row r="172" spans="1:32" s="39" customFormat="1" x14ac:dyDescent="0.25">
      <c r="A172" s="25">
        <v>45017</v>
      </c>
      <c r="B172" s="19"/>
      <c r="C172" s="72"/>
      <c r="D172" s="72"/>
      <c r="E172" s="77"/>
      <c r="F172" s="19"/>
      <c r="G172" s="19"/>
      <c r="H172" s="19"/>
      <c r="I172" s="20"/>
      <c r="J172" s="20"/>
      <c r="K172" s="20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32"/>
      <c r="AB172" s="22"/>
      <c r="AC172" s="32"/>
      <c r="AD172" s="22"/>
      <c r="AE172" s="96"/>
      <c r="AF172" s="35"/>
    </row>
    <row r="173" spans="1:32" x14ac:dyDescent="0.25">
      <c r="A173" s="7"/>
      <c r="C173" s="70"/>
      <c r="D173" s="70"/>
      <c r="E173" s="73"/>
      <c r="F173" s="9"/>
      <c r="H173" s="9"/>
      <c r="I173" s="7" t="s">
        <v>2542</v>
      </c>
      <c r="J173" s="51" t="s">
        <v>132</v>
      </c>
      <c r="K173" s="26"/>
      <c r="L173" s="10"/>
      <c r="M173" s="10"/>
      <c r="N173" s="10"/>
      <c r="O173" s="10"/>
      <c r="P173" s="10"/>
      <c r="Q173" s="10">
        <v>45976.58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33"/>
      <c r="AB173" s="10"/>
      <c r="AC173" s="33">
        <v>45976.58</v>
      </c>
      <c r="AD173" s="10">
        <f>SUM(AB173:AC173)-SUM(L173:AA173)</f>
        <v>0</v>
      </c>
      <c r="AE173" s="82" t="s">
        <v>133</v>
      </c>
    </row>
    <row r="174" spans="1:32" x14ac:dyDescent="0.25">
      <c r="A174" s="7" t="s">
        <v>2513</v>
      </c>
      <c r="B174" s="9" t="s">
        <v>2524</v>
      </c>
      <c r="C174" s="70">
        <v>45018</v>
      </c>
      <c r="D174" s="70">
        <v>45018</v>
      </c>
      <c r="E174" s="73"/>
      <c r="F174" s="9"/>
      <c r="H174" s="9"/>
      <c r="I174" s="7" t="s">
        <v>55</v>
      </c>
      <c r="J174" s="51" t="s">
        <v>54</v>
      </c>
      <c r="K174" s="7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>
        <v>300000</v>
      </c>
      <c r="AA174" s="33"/>
      <c r="AB174" s="10"/>
      <c r="AC174" s="33">
        <v>300000</v>
      </c>
      <c r="AD174" s="10">
        <f t="shared" si="4"/>
        <v>0</v>
      </c>
      <c r="AE174" s="82"/>
    </row>
    <row r="175" spans="1:32" x14ac:dyDescent="0.25">
      <c r="A175" s="7" t="s">
        <v>2514</v>
      </c>
      <c r="B175" s="9">
        <v>4071929</v>
      </c>
      <c r="C175" s="70">
        <v>45018</v>
      </c>
      <c r="D175" s="70">
        <v>45018</v>
      </c>
      <c r="E175" s="73"/>
      <c r="F175" s="9"/>
      <c r="H175" s="9"/>
      <c r="I175" s="7" t="s">
        <v>118</v>
      </c>
      <c r="J175" s="51" t="s">
        <v>1847</v>
      </c>
      <c r="K175" s="7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33">
        <v>12437.88</v>
      </c>
      <c r="AB175" s="10"/>
      <c r="AC175" s="33">
        <v>12437.88</v>
      </c>
      <c r="AD175" s="10">
        <f t="shared" si="4"/>
        <v>0</v>
      </c>
      <c r="AE175" s="82"/>
    </row>
    <row r="176" spans="1:32" x14ac:dyDescent="0.25">
      <c r="A176" s="7" t="s">
        <v>2515</v>
      </c>
      <c r="B176" s="9">
        <v>4071930</v>
      </c>
      <c r="C176" s="70">
        <v>45018</v>
      </c>
      <c r="D176" s="70">
        <v>45018</v>
      </c>
      <c r="E176" s="73"/>
      <c r="F176" s="9"/>
      <c r="H176" s="9" t="s">
        <v>1486</v>
      </c>
      <c r="I176" s="7" t="s">
        <v>58</v>
      </c>
      <c r="J176" s="51" t="s">
        <v>65</v>
      </c>
      <c r="K176" s="7"/>
      <c r="L176" s="10"/>
      <c r="M176" s="10"/>
      <c r="N176" s="10"/>
      <c r="O176" s="10"/>
      <c r="P176" s="10"/>
      <c r="Q176" s="10"/>
      <c r="R176" s="10"/>
      <c r="S176" s="10"/>
      <c r="T176" s="10">
        <v>10449</v>
      </c>
      <c r="U176" s="10"/>
      <c r="V176" s="10"/>
      <c r="W176" s="10"/>
      <c r="X176" s="10"/>
      <c r="Y176" s="10"/>
      <c r="Z176" s="10"/>
      <c r="AA176" s="33"/>
      <c r="AB176" s="10"/>
      <c r="AC176" s="33">
        <v>10449</v>
      </c>
      <c r="AD176" s="10">
        <f t="shared" si="4"/>
        <v>0</v>
      </c>
      <c r="AE176" s="82"/>
    </row>
    <row r="177" spans="1:32" x14ac:dyDescent="0.25">
      <c r="A177" s="7" t="s">
        <v>2516</v>
      </c>
      <c r="B177" s="9">
        <v>4071931</v>
      </c>
      <c r="C177" s="70">
        <v>45061</v>
      </c>
      <c r="D177" s="70">
        <v>45018</v>
      </c>
      <c r="E177" s="73">
        <v>45035</v>
      </c>
      <c r="F177" s="9" t="s">
        <v>3176</v>
      </c>
      <c r="G177" s="9" t="s">
        <v>2303</v>
      </c>
      <c r="H177" s="9"/>
      <c r="I177" s="7" t="s">
        <v>2532</v>
      </c>
      <c r="J177" s="51" t="s">
        <v>1226</v>
      </c>
      <c r="K177" s="7" t="s">
        <v>1039</v>
      </c>
      <c r="L177" s="10">
        <v>4017.86</v>
      </c>
      <c r="M177" s="10">
        <v>33482.14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33"/>
      <c r="AB177" s="10"/>
      <c r="AC177" s="33">
        <v>37500</v>
      </c>
      <c r="AD177" s="10">
        <f t="shared" si="4"/>
        <v>0</v>
      </c>
      <c r="AE177" s="82"/>
      <c r="AF177" s="17">
        <v>334.82</v>
      </c>
    </row>
    <row r="178" spans="1:32" x14ac:dyDescent="0.25">
      <c r="A178" s="7" t="s">
        <v>2517</v>
      </c>
      <c r="B178" s="9">
        <v>4071932</v>
      </c>
      <c r="C178" s="70">
        <v>45028</v>
      </c>
      <c r="D178" s="70">
        <v>45028</v>
      </c>
      <c r="E178" s="73"/>
      <c r="F178" s="9"/>
      <c r="H178" s="9"/>
      <c r="I178" s="7" t="s">
        <v>118</v>
      </c>
      <c r="J178" s="51" t="s">
        <v>125</v>
      </c>
      <c r="K178" s="7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33">
        <v>9000</v>
      </c>
      <c r="AB178" s="10"/>
      <c r="AC178" s="33">
        <v>9000</v>
      </c>
      <c r="AD178" s="10">
        <f t="shared" si="4"/>
        <v>0</v>
      </c>
      <c r="AE178" s="82"/>
    </row>
    <row r="179" spans="1:32" x14ac:dyDescent="0.25">
      <c r="A179" s="7" t="s">
        <v>2518</v>
      </c>
      <c r="B179" s="9">
        <v>4071933</v>
      </c>
      <c r="C179" s="70">
        <v>45028</v>
      </c>
      <c r="D179" s="70">
        <v>45028</v>
      </c>
      <c r="E179" s="73"/>
      <c r="F179" s="9"/>
      <c r="H179" s="9"/>
      <c r="I179" s="7" t="s">
        <v>2389</v>
      </c>
      <c r="J179" s="51" t="s">
        <v>65</v>
      </c>
      <c r="K179" s="7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33">
        <v>4200</v>
      </c>
      <c r="AB179" s="10"/>
      <c r="AC179" s="33">
        <v>4200</v>
      </c>
      <c r="AD179" s="10">
        <f t="shared" si="4"/>
        <v>0</v>
      </c>
      <c r="AE179" s="82"/>
    </row>
    <row r="180" spans="1:32" x14ac:dyDescent="0.25">
      <c r="A180" s="7" t="s">
        <v>2525</v>
      </c>
      <c r="B180" s="9">
        <v>4071934</v>
      </c>
      <c r="C180" s="70">
        <v>45028</v>
      </c>
      <c r="D180" s="70">
        <v>45028</v>
      </c>
      <c r="E180" s="73"/>
      <c r="F180" s="9"/>
      <c r="H180" s="9" t="s">
        <v>1487</v>
      </c>
      <c r="I180" s="7" t="s">
        <v>58</v>
      </c>
      <c r="J180" s="51" t="s">
        <v>65</v>
      </c>
      <c r="K180" s="7"/>
      <c r="L180" s="10"/>
      <c r="M180" s="10"/>
      <c r="N180" s="10"/>
      <c r="O180" s="10"/>
      <c r="P180" s="10"/>
      <c r="Q180" s="10"/>
      <c r="R180" s="10"/>
      <c r="S180" s="10"/>
      <c r="T180" s="10">
        <v>13154</v>
      </c>
      <c r="U180" s="10"/>
      <c r="V180" s="10"/>
      <c r="W180" s="10"/>
      <c r="X180" s="10"/>
      <c r="Y180" s="10"/>
      <c r="Z180" s="10"/>
      <c r="AA180" s="33"/>
      <c r="AB180" s="10"/>
      <c r="AC180" s="33">
        <v>13154</v>
      </c>
      <c r="AD180" s="10">
        <f t="shared" si="4"/>
        <v>0</v>
      </c>
      <c r="AE180" s="82"/>
    </row>
    <row r="181" spans="1:32" x14ac:dyDescent="0.25">
      <c r="A181" s="7" t="s">
        <v>2526</v>
      </c>
      <c r="B181" s="9">
        <v>4071935</v>
      </c>
      <c r="C181" s="70">
        <v>45028</v>
      </c>
      <c r="D181" s="70">
        <v>45028</v>
      </c>
      <c r="E181" s="73"/>
      <c r="F181" s="9"/>
      <c r="H181" s="9"/>
      <c r="I181" s="7" t="s">
        <v>2540</v>
      </c>
      <c r="J181" s="51" t="s">
        <v>43</v>
      </c>
      <c r="K181" s="7"/>
      <c r="L181" s="10">
        <v>32.14</v>
      </c>
      <c r="M181" s="10"/>
      <c r="N181" s="10"/>
      <c r="O181" s="10"/>
      <c r="P181" s="10"/>
      <c r="Q181" s="10"/>
      <c r="R181" s="10"/>
      <c r="S181" s="10">
        <v>267.86</v>
      </c>
      <c r="T181" s="10"/>
      <c r="U181" s="10"/>
      <c r="V181" s="10"/>
      <c r="W181" s="10"/>
      <c r="X181" s="10"/>
      <c r="Y181" s="10"/>
      <c r="Z181" s="10"/>
      <c r="AA181" s="33"/>
      <c r="AB181" s="10"/>
      <c r="AC181" s="33">
        <v>300</v>
      </c>
      <c r="AD181" s="10">
        <f t="shared" si="4"/>
        <v>0</v>
      </c>
      <c r="AE181" s="82"/>
    </row>
    <row r="182" spans="1:32" x14ac:dyDescent="0.25">
      <c r="A182" s="7" t="s">
        <v>2527</v>
      </c>
      <c r="B182" s="9">
        <v>4071936</v>
      </c>
      <c r="C182" s="70">
        <v>45028</v>
      </c>
      <c r="D182" s="70">
        <v>45028</v>
      </c>
      <c r="E182" s="73"/>
      <c r="F182" s="9"/>
      <c r="H182" s="9"/>
      <c r="I182" s="7" t="s">
        <v>2540</v>
      </c>
      <c r="J182" s="51" t="s">
        <v>43</v>
      </c>
      <c r="K182" s="7"/>
      <c r="L182" s="10">
        <v>32.14</v>
      </c>
      <c r="M182" s="10"/>
      <c r="N182" s="10"/>
      <c r="O182" s="10"/>
      <c r="P182" s="10"/>
      <c r="Q182" s="10"/>
      <c r="R182" s="10"/>
      <c r="S182" s="10">
        <v>267.86</v>
      </c>
      <c r="T182" s="10"/>
      <c r="U182" s="10"/>
      <c r="V182" s="10"/>
      <c r="W182" s="10"/>
      <c r="X182" s="10"/>
      <c r="Y182" s="10"/>
      <c r="Z182" s="10"/>
      <c r="AA182" s="33"/>
      <c r="AB182" s="10"/>
      <c r="AC182" s="33">
        <v>300</v>
      </c>
      <c r="AD182" s="10">
        <f t="shared" si="4"/>
        <v>0</v>
      </c>
      <c r="AE182" s="82"/>
    </row>
    <row r="183" spans="1:32" x14ac:dyDescent="0.25">
      <c r="A183" s="7" t="s">
        <v>2528</v>
      </c>
      <c r="B183" s="9">
        <v>4071937</v>
      </c>
      <c r="C183" s="70">
        <v>45028</v>
      </c>
      <c r="D183" s="70">
        <v>45028</v>
      </c>
      <c r="E183" s="73"/>
      <c r="F183" s="9"/>
      <c r="H183" s="9"/>
      <c r="I183" s="7" t="s">
        <v>2540</v>
      </c>
      <c r="J183" s="51" t="s">
        <v>43</v>
      </c>
      <c r="K183" s="7"/>
      <c r="L183" s="10">
        <v>64.180000000000007</v>
      </c>
      <c r="M183" s="10"/>
      <c r="N183" s="10"/>
      <c r="O183" s="10"/>
      <c r="P183" s="10"/>
      <c r="Q183" s="10"/>
      <c r="R183" s="10"/>
      <c r="S183" s="10">
        <v>534.82000000000005</v>
      </c>
      <c r="T183" s="10"/>
      <c r="U183" s="10"/>
      <c r="V183" s="10"/>
      <c r="W183" s="10"/>
      <c r="X183" s="10"/>
      <c r="Y183" s="10"/>
      <c r="Z183" s="10"/>
      <c r="AA183" s="33"/>
      <c r="AB183" s="10"/>
      <c r="AC183" s="33">
        <v>599</v>
      </c>
      <c r="AD183" s="10">
        <f t="shared" si="4"/>
        <v>0</v>
      </c>
      <c r="AE183" s="82"/>
    </row>
    <row r="184" spans="1:32" x14ac:dyDescent="0.25">
      <c r="A184" s="7" t="s">
        <v>2529</v>
      </c>
      <c r="B184" s="9">
        <v>4071938</v>
      </c>
      <c r="C184" s="70">
        <v>45028</v>
      </c>
      <c r="D184" s="70">
        <v>45028</v>
      </c>
      <c r="E184" s="73"/>
      <c r="F184" s="9"/>
      <c r="H184" s="9"/>
      <c r="I184" s="7" t="s">
        <v>2544</v>
      </c>
      <c r="J184" s="51" t="s">
        <v>65</v>
      </c>
      <c r="K184" s="7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33">
        <v>7500</v>
      </c>
      <c r="AB184" s="10"/>
      <c r="AC184" s="33">
        <v>7500</v>
      </c>
      <c r="AD184" s="10">
        <f t="shared" si="4"/>
        <v>0</v>
      </c>
      <c r="AE184" s="82"/>
    </row>
    <row r="185" spans="1:32" x14ac:dyDescent="0.25">
      <c r="A185" s="7" t="s">
        <v>2530</v>
      </c>
      <c r="B185" s="9">
        <v>4071939</v>
      </c>
      <c r="C185" s="70">
        <v>45035</v>
      </c>
      <c r="D185" s="70">
        <v>45035</v>
      </c>
      <c r="E185" s="73"/>
      <c r="F185" s="9"/>
      <c r="H185" s="9"/>
      <c r="I185" s="7" t="s">
        <v>123</v>
      </c>
      <c r="J185" s="51" t="s">
        <v>51</v>
      </c>
      <c r="K185" s="7"/>
      <c r="L185" s="10"/>
      <c r="M185" s="10">
        <v>23000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33"/>
      <c r="AB185" s="10"/>
      <c r="AC185" s="33">
        <v>23000</v>
      </c>
      <c r="AD185" s="10">
        <f t="shared" si="4"/>
        <v>0</v>
      </c>
      <c r="AE185" s="82"/>
    </row>
    <row r="186" spans="1:32" x14ac:dyDescent="0.25">
      <c r="A186" s="7" t="s">
        <v>2531</v>
      </c>
      <c r="B186" s="9">
        <v>4071940</v>
      </c>
      <c r="C186" s="70">
        <v>45030</v>
      </c>
      <c r="D186" s="70">
        <v>45030</v>
      </c>
      <c r="E186" s="73"/>
      <c r="F186" s="9"/>
      <c r="H186" s="9"/>
      <c r="I186" s="7" t="s">
        <v>2543</v>
      </c>
      <c r="J186" s="51" t="s">
        <v>44</v>
      </c>
      <c r="K186" s="7"/>
      <c r="L186" s="10">
        <v>709.77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>
        <v>5914.79</v>
      </c>
      <c r="Y186" s="10"/>
      <c r="Z186" s="10"/>
      <c r="AA186" s="33"/>
      <c r="AB186" s="10"/>
      <c r="AC186" s="33">
        <v>6624.56</v>
      </c>
      <c r="AD186" s="10">
        <f t="shared" si="4"/>
        <v>0</v>
      </c>
      <c r="AE186" s="82"/>
    </row>
    <row r="187" spans="1:32" x14ac:dyDescent="0.25">
      <c r="A187" s="7" t="s">
        <v>2533</v>
      </c>
      <c r="B187" s="9" t="s">
        <v>2545</v>
      </c>
      <c r="C187" s="70">
        <v>45030</v>
      </c>
      <c r="D187" s="70">
        <v>45030</v>
      </c>
      <c r="E187" s="73"/>
      <c r="F187" s="9"/>
      <c r="H187" s="9"/>
      <c r="I187" s="7" t="s">
        <v>64</v>
      </c>
      <c r="J187" s="51" t="s">
        <v>51</v>
      </c>
      <c r="K187" s="7"/>
      <c r="L187" s="10"/>
      <c r="M187" s="10"/>
      <c r="N187" s="10"/>
      <c r="O187" s="10"/>
      <c r="P187" s="10">
        <v>25000</v>
      </c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33"/>
      <c r="AB187" s="10"/>
      <c r="AC187" s="33">
        <v>25000</v>
      </c>
      <c r="AD187" s="10">
        <f t="shared" si="4"/>
        <v>0</v>
      </c>
      <c r="AE187" s="82"/>
    </row>
    <row r="188" spans="1:32" x14ac:dyDescent="0.25">
      <c r="A188" s="7" t="s">
        <v>2534</v>
      </c>
      <c r="B188" s="9" t="s">
        <v>2546</v>
      </c>
      <c r="C188" s="70">
        <v>45033</v>
      </c>
      <c r="D188" s="70">
        <v>45033</v>
      </c>
      <c r="E188" s="73"/>
      <c r="F188" s="9"/>
      <c r="H188" s="9"/>
      <c r="I188" s="7" t="s">
        <v>55</v>
      </c>
      <c r="J188" s="51" t="s">
        <v>54</v>
      </c>
      <c r="K188" s="7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>
        <v>150000</v>
      </c>
      <c r="AA188" s="33"/>
      <c r="AB188" s="10"/>
      <c r="AC188" s="33">
        <v>150000</v>
      </c>
      <c r="AD188" s="10">
        <f t="shared" si="4"/>
        <v>0</v>
      </c>
      <c r="AE188" s="82"/>
    </row>
    <row r="189" spans="1:32" x14ac:dyDescent="0.25">
      <c r="A189" s="7" t="s">
        <v>2535</v>
      </c>
      <c r="B189" s="9">
        <v>4071941</v>
      </c>
      <c r="C189" s="70">
        <v>45033</v>
      </c>
      <c r="D189" s="70">
        <v>45033</v>
      </c>
      <c r="E189" s="73"/>
      <c r="F189" s="9"/>
      <c r="H189" s="9"/>
      <c r="I189" s="7" t="s">
        <v>2547</v>
      </c>
      <c r="J189" s="51" t="s">
        <v>18</v>
      </c>
      <c r="K189" s="7"/>
      <c r="L189" s="10">
        <v>151.09</v>
      </c>
      <c r="M189" s="10"/>
      <c r="N189" s="10"/>
      <c r="O189" s="10"/>
      <c r="P189" s="10"/>
      <c r="Q189" s="10"/>
      <c r="R189" s="10">
        <v>1259.06</v>
      </c>
      <c r="S189" s="10"/>
      <c r="T189" s="10"/>
      <c r="U189" s="10"/>
      <c r="V189" s="10"/>
      <c r="W189" s="10"/>
      <c r="X189" s="10"/>
      <c r="Y189" s="10"/>
      <c r="Z189" s="10"/>
      <c r="AA189" s="33"/>
      <c r="AB189" s="10"/>
      <c r="AC189" s="33">
        <v>1410.15</v>
      </c>
      <c r="AD189" s="10">
        <f t="shared" si="4"/>
        <v>0</v>
      </c>
      <c r="AE189" s="82"/>
    </row>
    <row r="190" spans="1:32" x14ac:dyDescent="0.25">
      <c r="A190" s="7" t="s">
        <v>2536</v>
      </c>
      <c r="B190" s="9">
        <v>4071942</v>
      </c>
      <c r="C190" s="70">
        <v>45033</v>
      </c>
      <c r="D190" s="70">
        <v>45033</v>
      </c>
      <c r="E190" s="73"/>
      <c r="F190" s="9"/>
      <c r="H190" s="9"/>
      <c r="I190" s="7" t="s">
        <v>2547</v>
      </c>
      <c r="J190" s="51" t="s">
        <v>18</v>
      </c>
      <c r="K190" s="7"/>
      <c r="L190" s="10">
        <v>811.09</v>
      </c>
      <c r="M190" s="10"/>
      <c r="N190" s="10"/>
      <c r="O190" s="10"/>
      <c r="P190" s="10"/>
      <c r="Q190" s="10"/>
      <c r="R190" s="10">
        <v>6759.06</v>
      </c>
      <c r="S190" s="10"/>
      <c r="T190" s="10"/>
      <c r="U190" s="10"/>
      <c r="V190" s="10"/>
      <c r="W190" s="10"/>
      <c r="X190" s="10"/>
      <c r="Y190" s="10"/>
      <c r="Z190" s="10"/>
      <c r="AA190" s="33"/>
      <c r="AB190" s="10"/>
      <c r="AC190" s="33">
        <v>7570.15</v>
      </c>
      <c r="AD190" s="10">
        <f t="shared" si="4"/>
        <v>0</v>
      </c>
      <c r="AE190" s="82"/>
    </row>
    <row r="191" spans="1:32" x14ac:dyDescent="0.25">
      <c r="A191" s="7" t="s">
        <v>2537</v>
      </c>
      <c r="B191" s="9">
        <v>4071943</v>
      </c>
      <c r="C191" s="70">
        <v>45033</v>
      </c>
      <c r="D191" s="70">
        <v>45033</v>
      </c>
      <c r="E191" s="70">
        <v>45034</v>
      </c>
      <c r="F191" s="9" t="s">
        <v>3177</v>
      </c>
      <c r="H191" s="9"/>
      <c r="I191" s="7" t="s">
        <v>2555</v>
      </c>
      <c r="J191" s="51" t="s">
        <v>2521</v>
      </c>
      <c r="K191" s="7" t="s">
        <v>2176</v>
      </c>
      <c r="L191" s="10">
        <v>1820.89</v>
      </c>
      <c r="M191" s="10">
        <v>15174.11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33"/>
      <c r="AB191" s="10"/>
      <c r="AC191" s="33">
        <v>16995</v>
      </c>
      <c r="AD191" s="10">
        <f t="shared" si="4"/>
        <v>0</v>
      </c>
      <c r="AE191" s="82"/>
    </row>
    <row r="192" spans="1:32" x14ac:dyDescent="0.25">
      <c r="A192" s="7" t="s">
        <v>2538</v>
      </c>
      <c r="B192" s="9">
        <v>4071944</v>
      </c>
      <c r="C192" s="70">
        <v>45060</v>
      </c>
      <c r="D192" s="70">
        <v>45033</v>
      </c>
      <c r="E192" s="73">
        <v>45062</v>
      </c>
      <c r="F192" s="9" t="s">
        <v>3178</v>
      </c>
      <c r="G192" s="9" t="s">
        <v>2253</v>
      </c>
      <c r="H192" s="9"/>
      <c r="I192" s="7" t="s">
        <v>2556</v>
      </c>
      <c r="J192" s="51" t="s">
        <v>83</v>
      </c>
      <c r="K192" s="7" t="s">
        <v>1336</v>
      </c>
      <c r="L192" s="10">
        <v>40535.360000000001</v>
      </c>
      <c r="M192" s="10">
        <v>337794.64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33"/>
      <c r="AB192" s="10"/>
      <c r="AC192" s="33">
        <v>378330</v>
      </c>
      <c r="AD192" s="10">
        <f t="shared" si="4"/>
        <v>0</v>
      </c>
      <c r="AE192" s="82"/>
      <c r="AF192" s="17">
        <v>3377.95</v>
      </c>
    </row>
    <row r="193" spans="1:32" x14ac:dyDescent="0.25">
      <c r="A193" s="7" t="s">
        <v>2539</v>
      </c>
      <c r="B193" s="9">
        <v>4071945</v>
      </c>
      <c r="C193" s="70">
        <v>45033</v>
      </c>
      <c r="D193" s="70">
        <v>45033</v>
      </c>
      <c r="E193" s="73">
        <v>45034</v>
      </c>
      <c r="F193" s="9" t="s">
        <v>3179</v>
      </c>
      <c r="H193" s="9"/>
      <c r="I193" s="7" t="s">
        <v>143</v>
      </c>
      <c r="J193" s="51" t="s">
        <v>109</v>
      </c>
      <c r="K193" s="7"/>
      <c r="L193" s="10"/>
      <c r="M193" s="10">
        <v>5500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33"/>
      <c r="AB193" s="10"/>
      <c r="AC193" s="33">
        <v>5500</v>
      </c>
      <c r="AD193" s="10">
        <f t="shared" si="4"/>
        <v>0</v>
      </c>
      <c r="AE193" s="82"/>
    </row>
    <row r="194" spans="1:32" x14ac:dyDescent="0.25">
      <c r="A194" s="7" t="s">
        <v>2548</v>
      </c>
      <c r="B194" s="9" t="s">
        <v>2560</v>
      </c>
      <c r="C194" s="70">
        <v>45035</v>
      </c>
      <c r="D194" s="70">
        <v>45035</v>
      </c>
      <c r="E194" s="73"/>
      <c r="F194" s="9"/>
      <c r="H194" s="9"/>
      <c r="I194" s="7" t="s">
        <v>55</v>
      </c>
      <c r="J194" s="51" t="s">
        <v>54</v>
      </c>
      <c r="K194" s="7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>
        <v>150000</v>
      </c>
      <c r="AA194" s="33"/>
      <c r="AB194" s="10"/>
      <c r="AC194" s="33">
        <v>150000</v>
      </c>
      <c r="AD194" s="10">
        <f t="shared" si="4"/>
        <v>0</v>
      </c>
      <c r="AE194" s="82"/>
    </row>
    <row r="195" spans="1:32" x14ac:dyDescent="0.25">
      <c r="A195" s="7" t="s">
        <v>2549</v>
      </c>
      <c r="B195" s="9">
        <v>4071946</v>
      </c>
      <c r="C195" s="70">
        <v>45035</v>
      </c>
      <c r="D195" s="70">
        <v>45035</v>
      </c>
      <c r="E195" s="73"/>
      <c r="F195" s="9"/>
      <c r="H195" s="9"/>
      <c r="I195" s="7" t="s">
        <v>2631</v>
      </c>
      <c r="J195" s="51" t="s">
        <v>2561</v>
      </c>
      <c r="K195" s="7"/>
      <c r="L195" s="10">
        <v>1350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33">
        <v>11250</v>
      </c>
      <c r="AB195" s="10"/>
      <c r="AC195" s="33">
        <v>12600</v>
      </c>
      <c r="AD195" s="10">
        <f t="shared" si="4"/>
        <v>0</v>
      </c>
      <c r="AE195" s="82"/>
    </row>
    <row r="196" spans="1:32" x14ac:dyDescent="0.25">
      <c r="A196" s="7" t="s">
        <v>2550</v>
      </c>
      <c r="B196" s="9">
        <v>4071947</v>
      </c>
      <c r="C196" s="70">
        <v>45035</v>
      </c>
      <c r="D196" s="70">
        <v>45035</v>
      </c>
      <c r="E196" s="73"/>
      <c r="F196" s="9"/>
      <c r="H196" s="9"/>
      <c r="I196" s="7" t="s">
        <v>2557</v>
      </c>
      <c r="J196" s="51" t="s">
        <v>1847</v>
      </c>
      <c r="K196" s="7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33">
        <v>28556.25</v>
      </c>
      <c r="AB196" s="10"/>
      <c r="AC196" s="33">
        <v>28556.25</v>
      </c>
      <c r="AD196" s="10">
        <f t="shared" si="4"/>
        <v>0</v>
      </c>
      <c r="AE196" s="82"/>
    </row>
    <row r="197" spans="1:32" x14ac:dyDescent="0.25">
      <c r="A197" s="7" t="s">
        <v>2551</v>
      </c>
      <c r="B197" s="9">
        <v>4071948</v>
      </c>
      <c r="C197" s="70">
        <v>45035</v>
      </c>
      <c r="D197" s="70">
        <v>45035</v>
      </c>
      <c r="E197" s="73"/>
      <c r="F197" s="9"/>
      <c r="H197" s="9"/>
      <c r="I197" s="7" t="s">
        <v>2558</v>
      </c>
      <c r="J197" s="51" t="s">
        <v>46</v>
      </c>
      <c r="K197" s="7"/>
      <c r="L197" s="10">
        <v>160.61000000000001</v>
      </c>
      <c r="M197" s="10"/>
      <c r="N197" s="10"/>
      <c r="O197" s="10"/>
      <c r="P197" s="10"/>
      <c r="Q197" s="10"/>
      <c r="R197" s="10"/>
      <c r="S197" s="10">
        <v>1338.39</v>
      </c>
      <c r="T197" s="10"/>
      <c r="U197" s="10"/>
      <c r="V197" s="10"/>
      <c r="W197" s="10"/>
      <c r="X197" s="10"/>
      <c r="Y197" s="10"/>
      <c r="Z197" s="10"/>
      <c r="AA197" s="33"/>
      <c r="AB197" s="10"/>
      <c r="AC197" s="33">
        <v>1499</v>
      </c>
      <c r="AD197" s="10">
        <f t="shared" si="4"/>
        <v>0</v>
      </c>
      <c r="AE197" s="82"/>
    </row>
    <row r="198" spans="1:32" x14ac:dyDescent="0.25">
      <c r="A198" s="7" t="s">
        <v>2552</v>
      </c>
      <c r="B198" s="9">
        <v>4071949</v>
      </c>
      <c r="C198" s="70">
        <v>45035</v>
      </c>
      <c r="D198" s="70">
        <v>45035</v>
      </c>
      <c r="E198" s="73"/>
      <c r="F198" s="9"/>
      <c r="H198" s="9"/>
      <c r="I198" s="7" t="s">
        <v>2558</v>
      </c>
      <c r="J198" s="51" t="s">
        <v>46</v>
      </c>
      <c r="K198" s="7"/>
      <c r="L198" s="10">
        <v>107.04</v>
      </c>
      <c r="M198" s="10"/>
      <c r="N198" s="10"/>
      <c r="O198" s="10"/>
      <c r="P198" s="10"/>
      <c r="Q198" s="10"/>
      <c r="R198" s="10"/>
      <c r="S198" s="10">
        <v>891.96</v>
      </c>
      <c r="T198" s="10"/>
      <c r="U198" s="10"/>
      <c r="V198" s="10"/>
      <c r="W198" s="10"/>
      <c r="X198" s="10"/>
      <c r="Y198" s="10"/>
      <c r="Z198" s="10"/>
      <c r="AA198" s="33"/>
      <c r="AB198" s="10"/>
      <c r="AC198" s="33">
        <v>999</v>
      </c>
      <c r="AD198" s="10">
        <f t="shared" si="4"/>
        <v>0</v>
      </c>
      <c r="AE198" s="82"/>
    </row>
    <row r="199" spans="1:32" x14ac:dyDescent="0.25">
      <c r="A199" s="7" t="s">
        <v>2553</v>
      </c>
      <c r="B199" s="9">
        <v>4071950</v>
      </c>
      <c r="C199" s="70">
        <v>45035</v>
      </c>
      <c r="D199" s="70">
        <v>45035</v>
      </c>
      <c r="E199" s="73"/>
      <c r="F199" s="9"/>
      <c r="H199" s="9"/>
      <c r="I199" s="7" t="s">
        <v>2559</v>
      </c>
      <c r="J199" s="51" t="s">
        <v>46</v>
      </c>
      <c r="K199" s="7"/>
      <c r="L199" s="10">
        <v>107.04</v>
      </c>
      <c r="M199" s="10"/>
      <c r="N199" s="10"/>
      <c r="O199" s="10"/>
      <c r="P199" s="10"/>
      <c r="Q199" s="10"/>
      <c r="R199" s="10"/>
      <c r="S199" s="10">
        <v>891.96</v>
      </c>
      <c r="T199" s="10"/>
      <c r="U199" s="10"/>
      <c r="V199" s="10"/>
      <c r="W199" s="10"/>
      <c r="X199" s="10"/>
      <c r="Y199" s="10"/>
      <c r="Z199" s="10"/>
      <c r="AA199" s="33"/>
      <c r="AB199" s="10"/>
      <c r="AC199" s="33">
        <v>999</v>
      </c>
      <c r="AD199" s="10">
        <f t="shared" si="4"/>
        <v>0</v>
      </c>
      <c r="AE199" s="82"/>
    </row>
    <row r="200" spans="1:32" x14ac:dyDescent="0.25">
      <c r="A200" s="7" t="s">
        <v>2554</v>
      </c>
      <c r="B200" s="9">
        <v>4071951</v>
      </c>
      <c r="C200" s="70">
        <v>45035</v>
      </c>
      <c r="D200" s="70">
        <v>45035</v>
      </c>
      <c r="E200" s="73"/>
      <c r="F200" s="9"/>
      <c r="H200" s="9"/>
      <c r="I200" s="7" t="s">
        <v>2559</v>
      </c>
      <c r="J200" s="51" t="s">
        <v>46</v>
      </c>
      <c r="K200" s="7"/>
      <c r="L200" s="10">
        <v>107.04</v>
      </c>
      <c r="M200" s="10"/>
      <c r="N200" s="10"/>
      <c r="O200" s="10"/>
      <c r="P200" s="10"/>
      <c r="Q200" s="10"/>
      <c r="R200" s="10"/>
      <c r="S200" s="10">
        <v>891.96</v>
      </c>
      <c r="T200" s="10"/>
      <c r="U200" s="10"/>
      <c r="V200" s="10"/>
      <c r="W200" s="10"/>
      <c r="X200" s="10"/>
      <c r="Y200" s="10"/>
      <c r="Z200" s="10"/>
      <c r="AA200" s="33"/>
      <c r="AB200" s="10"/>
      <c r="AC200" s="33">
        <v>999</v>
      </c>
      <c r="AD200" s="10">
        <f t="shared" si="4"/>
        <v>0</v>
      </c>
      <c r="AE200" s="82"/>
    </row>
    <row r="201" spans="1:32" x14ac:dyDescent="0.25">
      <c r="A201" s="7" t="s">
        <v>2562</v>
      </c>
      <c r="B201" s="9">
        <v>4071952</v>
      </c>
      <c r="C201" s="70">
        <v>45040</v>
      </c>
      <c r="D201" s="70">
        <v>45040</v>
      </c>
      <c r="E201" s="73"/>
      <c r="F201" s="9"/>
      <c r="H201" s="9"/>
      <c r="I201" s="7" t="s">
        <v>2571</v>
      </c>
      <c r="J201" s="51" t="s">
        <v>65</v>
      </c>
      <c r="K201" s="7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33">
        <v>8000</v>
      </c>
      <c r="AB201" s="10"/>
      <c r="AC201" s="33">
        <v>8000</v>
      </c>
      <c r="AD201" s="10">
        <f t="shared" si="4"/>
        <v>0</v>
      </c>
      <c r="AE201" s="82"/>
    </row>
    <row r="202" spans="1:32" x14ac:dyDescent="0.25">
      <c r="A202" s="7" t="s">
        <v>2563</v>
      </c>
      <c r="B202" s="9">
        <v>4071953</v>
      </c>
      <c r="C202" s="70">
        <v>45042</v>
      </c>
      <c r="D202" s="70">
        <v>45042</v>
      </c>
      <c r="E202" s="73"/>
      <c r="F202" s="9"/>
      <c r="H202" s="9"/>
      <c r="I202" s="7" t="s">
        <v>2573</v>
      </c>
      <c r="J202" s="51" t="s">
        <v>2377</v>
      </c>
      <c r="K202" s="7" t="s">
        <v>2630</v>
      </c>
      <c r="L202" s="10">
        <v>675</v>
      </c>
      <c r="M202" s="10">
        <v>5625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33"/>
      <c r="AB202" s="10"/>
      <c r="AC202" s="33">
        <v>6300</v>
      </c>
      <c r="AD202" s="10">
        <f t="shared" si="4"/>
        <v>0</v>
      </c>
      <c r="AE202" s="82"/>
    </row>
    <row r="203" spans="1:32" x14ac:dyDescent="0.25">
      <c r="A203" s="7" t="s">
        <v>2564</v>
      </c>
      <c r="B203" s="9">
        <v>4071954</v>
      </c>
      <c r="C203" s="70">
        <v>45042</v>
      </c>
      <c r="D203" s="70">
        <v>45042</v>
      </c>
      <c r="E203" s="73"/>
      <c r="F203" s="9"/>
      <c r="H203" s="9"/>
      <c r="I203" s="7" t="s">
        <v>2572</v>
      </c>
      <c r="J203" s="51" t="s">
        <v>46</v>
      </c>
      <c r="K203" s="7"/>
      <c r="L203" s="10">
        <v>1225.07</v>
      </c>
      <c r="M203" s="10"/>
      <c r="N203" s="10"/>
      <c r="O203" s="10"/>
      <c r="P203" s="10"/>
      <c r="Q203" s="10"/>
      <c r="R203" s="10"/>
      <c r="S203" s="10">
        <v>10208.93</v>
      </c>
      <c r="T203" s="10"/>
      <c r="U203" s="10"/>
      <c r="V203" s="10"/>
      <c r="W203" s="10"/>
      <c r="X203" s="10"/>
      <c r="Y203" s="10"/>
      <c r="Z203" s="10"/>
      <c r="AA203" s="33"/>
      <c r="AB203" s="10"/>
      <c r="AC203" s="33">
        <v>11434</v>
      </c>
      <c r="AD203" s="10">
        <f t="shared" si="4"/>
        <v>0</v>
      </c>
      <c r="AE203" s="82"/>
      <c r="AF203" s="17">
        <v>204.22</v>
      </c>
    </row>
    <row r="204" spans="1:32" x14ac:dyDescent="0.25">
      <c r="A204" s="7" t="s">
        <v>2565</v>
      </c>
      <c r="B204" s="9">
        <v>4071955</v>
      </c>
      <c r="C204" s="70">
        <v>45042</v>
      </c>
      <c r="D204" s="70">
        <v>45042</v>
      </c>
      <c r="E204" s="73"/>
      <c r="F204" s="9"/>
      <c r="H204" s="9" t="s">
        <v>1537</v>
      </c>
      <c r="I204" s="7" t="s">
        <v>2588</v>
      </c>
      <c r="J204" s="51" t="s">
        <v>65</v>
      </c>
      <c r="K204" s="7"/>
      <c r="L204" s="10"/>
      <c r="M204" s="10"/>
      <c r="N204" s="10"/>
      <c r="O204" s="10"/>
      <c r="P204" s="10"/>
      <c r="Q204" s="10"/>
      <c r="R204" s="10"/>
      <c r="S204" s="10"/>
      <c r="T204" s="10">
        <v>7601</v>
      </c>
      <c r="U204" s="10"/>
      <c r="V204" s="10"/>
      <c r="W204" s="10"/>
      <c r="X204" s="10"/>
      <c r="Y204" s="10"/>
      <c r="Z204" s="10"/>
      <c r="AA204" s="33"/>
      <c r="AB204" s="10"/>
      <c r="AC204" s="33">
        <v>7601</v>
      </c>
      <c r="AD204" s="10">
        <f t="shared" si="4"/>
        <v>0</v>
      </c>
      <c r="AE204" s="82"/>
    </row>
    <row r="205" spans="1:32" x14ac:dyDescent="0.25">
      <c r="A205" s="7" t="s">
        <v>2566</v>
      </c>
      <c r="B205" s="9">
        <v>4071956</v>
      </c>
      <c r="C205" s="70">
        <v>45042</v>
      </c>
      <c r="D205" s="70">
        <v>45042</v>
      </c>
      <c r="E205" s="73"/>
      <c r="F205" s="9"/>
      <c r="H205" s="9" t="s">
        <v>1545</v>
      </c>
      <c r="I205" s="7" t="s">
        <v>1174</v>
      </c>
      <c r="J205" s="51" t="s">
        <v>65</v>
      </c>
      <c r="K205" s="7"/>
      <c r="L205" s="10"/>
      <c r="M205" s="10"/>
      <c r="N205" s="10"/>
      <c r="O205" s="10"/>
      <c r="P205" s="10"/>
      <c r="Q205" s="10"/>
      <c r="R205" s="10"/>
      <c r="S205" s="10"/>
      <c r="T205" s="10">
        <v>6124</v>
      </c>
      <c r="U205" s="10"/>
      <c r="V205" s="10"/>
      <c r="W205" s="10"/>
      <c r="X205" s="10"/>
      <c r="Y205" s="10"/>
      <c r="Z205" s="10"/>
      <c r="AA205" s="33"/>
      <c r="AB205" s="10"/>
      <c r="AC205" s="33">
        <v>6124</v>
      </c>
      <c r="AD205" s="10">
        <f t="shared" si="4"/>
        <v>0</v>
      </c>
      <c r="AE205" s="82"/>
    </row>
    <row r="206" spans="1:32" x14ac:dyDescent="0.25">
      <c r="A206" s="7" t="s">
        <v>2567</v>
      </c>
      <c r="B206" s="9">
        <v>4071957</v>
      </c>
      <c r="C206" s="70">
        <v>45080</v>
      </c>
      <c r="D206" s="70">
        <v>45042</v>
      </c>
      <c r="E206" s="73">
        <v>45077</v>
      </c>
      <c r="F206" s="9" t="s">
        <v>3180</v>
      </c>
      <c r="G206" s="9" t="s">
        <v>1172</v>
      </c>
      <c r="H206" s="9"/>
      <c r="I206" s="7" t="s">
        <v>2586</v>
      </c>
      <c r="J206" s="51" t="s">
        <v>1226</v>
      </c>
      <c r="K206" s="7" t="s">
        <v>1039</v>
      </c>
      <c r="L206" s="10">
        <v>5625</v>
      </c>
      <c r="M206" s="10">
        <v>46875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33"/>
      <c r="AB206" s="10"/>
      <c r="AC206" s="33">
        <v>52500</v>
      </c>
      <c r="AD206" s="10">
        <f t="shared" si="4"/>
        <v>0</v>
      </c>
      <c r="AE206" s="82"/>
      <c r="AF206" s="17">
        <v>468.75</v>
      </c>
    </row>
    <row r="207" spans="1:32" x14ac:dyDescent="0.25">
      <c r="A207" s="7" t="s">
        <v>2568</v>
      </c>
      <c r="B207" s="9">
        <v>4071958</v>
      </c>
      <c r="C207" s="70">
        <v>45073</v>
      </c>
      <c r="D207" s="70">
        <v>45042</v>
      </c>
      <c r="E207" s="73">
        <v>45048</v>
      </c>
      <c r="F207" s="9" t="s">
        <v>3181</v>
      </c>
      <c r="G207" s="9" t="s">
        <v>1192</v>
      </c>
      <c r="H207" s="9"/>
      <c r="I207" s="7" t="s">
        <v>2587</v>
      </c>
      <c r="J207" s="51" t="s">
        <v>2043</v>
      </c>
      <c r="K207" s="7" t="s">
        <v>2138</v>
      </c>
      <c r="L207" s="10">
        <v>4730.3599999999997</v>
      </c>
      <c r="M207" s="10">
        <v>39419.64</v>
      </c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33"/>
      <c r="AB207" s="10"/>
      <c r="AC207" s="33">
        <v>44150</v>
      </c>
      <c r="AD207" s="10">
        <f t="shared" si="4"/>
        <v>0</v>
      </c>
      <c r="AE207" s="82"/>
      <c r="AF207" s="17">
        <v>394.2</v>
      </c>
    </row>
    <row r="208" spans="1:32" x14ac:dyDescent="0.25">
      <c r="A208" s="7" t="s">
        <v>2569</v>
      </c>
      <c r="B208" s="9">
        <v>4071959</v>
      </c>
      <c r="C208" s="70">
        <v>45074</v>
      </c>
      <c r="D208" s="70">
        <v>45042</v>
      </c>
      <c r="E208" s="73">
        <v>45043</v>
      </c>
      <c r="F208" s="9" t="s">
        <v>3182</v>
      </c>
      <c r="G208" s="9" t="s">
        <v>2308</v>
      </c>
      <c r="H208" s="9"/>
      <c r="I208" s="7" t="s">
        <v>2585</v>
      </c>
      <c r="J208" s="51" t="s">
        <v>60</v>
      </c>
      <c r="K208" s="7" t="s">
        <v>61</v>
      </c>
      <c r="L208" s="10">
        <v>1483.93</v>
      </c>
      <c r="M208" s="10">
        <v>12366.07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33"/>
      <c r="AB208" s="10"/>
      <c r="AC208" s="33">
        <v>13850</v>
      </c>
      <c r="AD208" s="10">
        <f t="shared" si="4"/>
        <v>0</v>
      </c>
      <c r="AE208" s="82"/>
      <c r="AF208" s="17">
        <v>123.66</v>
      </c>
    </row>
    <row r="209" spans="1:32" x14ac:dyDescent="0.25">
      <c r="A209" s="7" t="s">
        <v>2570</v>
      </c>
      <c r="B209" s="9">
        <v>4071960</v>
      </c>
      <c r="C209" s="70">
        <v>45042</v>
      </c>
      <c r="D209" s="70">
        <v>45042</v>
      </c>
      <c r="E209" s="73">
        <v>45042</v>
      </c>
      <c r="F209" s="9" t="s">
        <v>3183</v>
      </c>
      <c r="H209" s="9"/>
      <c r="I209" s="7" t="s">
        <v>2584</v>
      </c>
      <c r="J209" s="51" t="s">
        <v>109</v>
      </c>
      <c r="K209" s="7"/>
      <c r="L209" s="10"/>
      <c r="M209" s="10">
        <v>3114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33"/>
      <c r="AB209" s="10"/>
      <c r="AC209" s="33">
        <v>3114</v>
      </c>
      <c r="AD209" s="10">
        <f t="shared" si="4"/>
        <v>0</v>
      </c>
      <c r="AE209" s="82"/>
    </row>
    <row r="210" spans="1:32" x14ac:dyDescent="0.25">
      <c r="A210" s="7" t="s">
        <v>2574</v>
      </c>
      <c r="B210" s="9" t="s">
        <v>2582</v>
      </c>
      <c r="C210" s="70">
        <v>45048</v>
      </c>
      <c r="D210" s="70">
        <v>45042</v>
      </c>
      <c r="E210" s="73">
        <v>45048</v>
      </c>
      <c r="F210" s="9" t="s">
        <v>3184</v>
      </c>
      <c r="G210" s="9" t="s">
        <v>2306</v>
      </c>
      <c r="H210" s="9"/>
      <c r="I210" s="7" t="s">
        <v>2583</v>
      </c>
      <c r="J210" s="51" t="s">
        <v>1999</v>
      </c>
      <c r="K210" s="7" t="s">
        <v>2297</v>
      </c>
      <c r="L210" s="10">
        <v>12578.57</v>
      </c>
      <c r="M210" s="10">
        <v>104821.43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33"/>
      <c r="AB210" s="10"/>
      <c r="AC210" s="33">
        <v>117400</v>
      </c>
      <c r="AD210" s="10">
        <f t="shared" si="4"/>
        <v>0</v>
      </c>
      <c r="AE210" s="82"/>
      <c r="AF210" s="17">
        <v>1048.21</v>
      </c>
    </row>
    <row r="211" spans="1:32" s="39" customFormat="1" x14ac:dyDescent="0.25">
      <c r="A211" s="20"/>
      <c r="B211" s="19"/>
      <c r="C211" s="72"/>
      <c r="D211" s="72"/>
      <c r="E211" s="77"/>
      <c r="F211" s="19"/>
      <c r="G211" s="19"/>
      <c r="H211" s="19"/>
      <c r="I211" s="20"/>
      <c r="J211" s="20"/>
      <c r="K211" s="20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32"/>
      <c r="AB211" s="22"/>
      <c r="AC211" s="32"/>
      <c r="AD211" s="22"/>
      <c r="AE211" s="96"/>
      <c r="AF211" s="35"/>
    </row>
    <row r="212" spans="1:32" s="39" customFormat="1" x14ac:dyDescent="0.25">
      <c r="A212" s="25">
        <v>45047</v>
      </c>
      <c r="B212" s="19"/>
      <c r="C212" s="72"/>
      <c r="D212" s="72"/>
      <c r="E212" s="77"/>
      <c r="F212" s="19"/>
      <c r="G212" s="19"/>
      <c r="H212" s="19"/>
      <c r="I212" s="20"/>
      <c r="J212" s="20"/>
      <c r="K212" s="20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32"/>
      <c r="AB212" s="22"/>
      <c r="AC212" s="32"/>
      <c r="AD212" s="22"/>
      <c r="AE212" s="96"/>
      <c r="AF212" s="35"/>
    </row>
    <row r="213" spans="1:32" x14ac:dyDescent="0.25">
      <c r="A213" s="7" t="s">
        <v>2575</v>
      </c>
      <c r="B213" s="9">
        <v>4071961</v>
      </c>
      <c r="C213" s="70">
        <v>45048</v>
      </c>
      <c r="D213" s="70">
        <v>45048</v>
      </c>
      <c r="E213" s="73">
        <v>45048</v>
      </c>
      <c r="F213" s="9" t="s">
        <v>3185</v>
      </c>
      <c r="H213" s="9"/>
      <c r="I213" s="7" t="s">
        <v>2589</v>
      </c>
      <c r="J213" s="51" t="s">
        <v>127</v>
      </c>
      <c r="K213" s="7" t="s">
        <v>128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33">
        <v>6288</v>
      </c>
      <c r="AB213" s="10"/>
      <c r="AC213" s="33">
        <v>6288</v>
      </c>
      <c r="AD213" s="10">
        <f t="shared" si="4"/>
        <v>0</v>
      </c>
      <c r="AE213" s="82"/>
    </row>
    <row r="214" spans="1:32" x14ac:dyDescent="0.25">
      <c r="A214" s="7" t="s">
        <v>2576</v>
      </c>
      <c r="B214" s="9">
        <v>4071962</v>
      </c>
      <c r="C214" s="70">
        <v>45049</v>
      </c>
      <c r="D214" s="70">
        <v>45049</v>
      </c>
      <c r="E214" s="73"/>
      <c r="F214" s="9"/>
      <c r="H214" s="9" t="s">
        <v>2626</v>
      </c>
      <c r="I214" s="7" t="s">
        <v>1174</v>
      </c>
      <c r="J214" s="51" t="s">
        <v>65</v>
      </c>
      <c r="K214" s="7"/>
      <c r="L214" s="10"/>
      <c r="M214" s="10"/>
      <c r="N214" s="10"/>
      <c r="O214" s="10"/>
      <c r="P214" s="10"/>
      <c r="Q214" s="10"/>
      <c r="R214" s="10"/>
      <c r="S214" s="10"/>
      <c r="T214" s="10">
        <v>8204.84</v>
      </c>
      <c r="U214" s="10"/>
      <c r="V214" s="10"/>
      <c r="W214" s="10"/>
      <c r="X214" s="10"/>
      <c r="Y214" s="10"/>
      <c r="Z214" s="10"/>
      <c r="AA214" s="33"/>
      <c r="AB214" s="10"/>
      <c r="AC214" s="33">
        <v>8204.84</v>
      </c>
      <c r="AD214" s="10">
        <f t="shared" si="4"/>
        <v>0</v>
      </c>
      <c r="AE214" s="82"/>
    </row>
    <row r="215" spans="1:32" x14ac:dyDescent="0.25">
      <c r="A215" s="7" t="s">
        <v>2577</v>
      </c>
      <c r="B215" s="9">
        <v>4071963</v>
      </c>
      <c r="C215" s="70">
        <v>45049</v>
      </c>
      <c r="D215" s="70">
        <v>45049</v>
      </c>
      <c r="E215" s="73"/>
      <c r="F215" s="9"/>
      <c r="H215" s="9"/>
      <c r="I215" s="7" t="s">
        <v>468</v>
      </c>
      <c r="J215" s="51" t="s">
        <v>327</v>
      </c>
      <c r="K215" s="7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33">
        <v>7566.23</v>
      </c>
      <c r="AB215" s="10"/>
      <c r="AC215" s="33">
        <v>7566.23</v>
      </c>
      <c r="AD215" s="10">
        <f t="shared" si="4"/>
        <v>0</v>
      </c>
      <c r="AE215" s="82"/>
    </row>
    <row r="216" spans="1:32" x14ac:dyDescent="0.25">
      <c r="A216" s="7" t="s">
        <v>2578</v>
      </c>
      <c r="B216" s="9">
        <v>4071964</v>
      </c>
      <c r="C216" s="70">
        <v>45080</v>
      </c>
      <c r="D216" s="70">
        <v>45054</v>
      </c>
      <c r="E216" s="73">
        <v>45084</v>
      </c>
      <c r="F216" s="9" t="s">
        <v>3186</v>
      </c>
      <c r="G216" s="9" t="s">
        <v>2267</v>
      </c>
      <c r="H216" s="9"/>
      <c r="I216" s="7" t="s">
        <v>2627</v>
      </c>
      <c r="J216" s="51" t="s">
        <v>83</v>
      </c>
      <c r="K216" s="7" t="s">
        <v>1336</v>
      </c>
      <c r="L216" s="10">
        <v>4114.29</v>
      </c>
      <c r="M216" s="10">
        <v>34285.71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33"/>
      <c r="AB216" s="10"/>
      <c r="AC216" s="33">
        <v>38400</v>
      </c>
      <c r="AD216" s="10">
        <f t="shared" si="4"/>
        <v>0</v>
      </c>
      <c r="AE216" s="82"/>
      <c r="AF216" s="17">
        <v>342.86</v>
      </c>
    </row>
    <row r="217" spans="1:32" x14ac:dyDescent="0.25">
      <c r="A217" s="7" t="s">
        <v>2579</v>
      </c>
      <c r="B217" s="9">
        <v>4071965</v>
      </c>
      <c r="C217" s="70">
        <v>45054</v>
      </c>
      <c r="D217" s="70">
        <v>45054</v>
      </c>
      <c r="E217" s="73"/>
      <c r="F217" s="9"/>
      <c r="H217" s="9"/>
      <c r="I217" s="7" t="s">
        <v>2628</v>
      </c>
      <c r="J217" s="51" t="s">
        <v>43</v>
      </c>
      <c r="K217" s="7"/>
      <c r="L217" s="10">
        <v>32.14</v>
      </c>
      <c r="M217" s="10"/>
      <c r="N217" s="10"/>
      <c r="O217" s="10"/>
      <c r="P217" s="10"/>
      <c r="Q217" s="10"/>
      <c r="R217" s="10"/>
      <c r="S217" s="10">
        <v>267.86</v>
      </c>
      <c r="T217" s="10"/>
      <c r="U217" s="10"/>
      <c r="V217" s="10"/>
      <c r="W217" s="10"/>
      <c r="X217" s="10"/>
      <c r="Y217" s="10"/>
      <c r="Z217" s="10"/>
      <c r="AA217" s="33"/>
      <c r="AB217" s="10"/>
      <c r="AC217" s="33">
        <v>300</v>
      </c>
      <c r="AD217" s="10">
        <f t="shared" si="4"/>
        <v>0</v>
      </c>
      <c r="AE217" s="82"/>
    </row>
    <row r="218" spans="1:32" x14ac:dyDescent="0.25">
      <c r="A218" s="7" t="s">
        <v>2580</v>
      </c>
      <c r="B218" s="9">
        <v>4071966</v>
      </c>
      <c r="C218" s="70">
        <v>45054</v>
      </c>
      <c r="D218" s="70">
        <v>45054</v>
      </c>
      <c r="E218" s="73"/>
      <c r="F218" s="9"/>
      <c r="H218" s="9"/>
      <c r="I218" s="7" t="s">
        <v>2389</v>
      </c>
      <c r="J218" s="51" t="s">
        <v>65</v>
      </c>
      <c r="K218" s="7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33">
        <v>600</v>
      </c>
      <c r="AB218" s="10"/>
      <c r="AC218" s="33">
        <v>600</v>
      </c>
      <c r="AD218" s="10">
        <f t="shared" si="4"/>
        <v>0</v>
      </c>
      <c r="AE218" s="82"/>
    </row>
    <row r="219" spans="1:32" x14ac:dyDescent="0.25">
      <c r="A219" s="7" t="s">
        <v>2581</v>
      </c>
      <c r="B219" s="9" t="s">
        <v>2629</v>
      </c>
      <c r="C219" s="70">
        <v>45054</v>
      </c>
      <c r="D219" s="70">
        <v>45054</v>
      </c>
      <c r="E219" s="73"/>
      <c r="F219" s="9"/>
      <c r="H219" s="9"/>
      <c r="I219" s="7" t="s">
        <v>55</v>
      </c>
      <c r="J219" s="51" t="s">
        <v>54</v>
      </c>
      <c r="K219" s="7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>
        <v>100000</v>
      </c>
      <c r="AA219" s="33"/>
      <c r="AB219" s="10"/>
      <c r="AC219" s="33">
        <v>100000</v>
      </c>
      <c r="AD219" s="10">
        <f t="shared" si="4"/>
        <v>0</v>
      </c>
      <c r="AE219" s="82"/>
    </row>
    <row r="220" spans="1:32" x14ac:dyDescent="0.25">
      <c r="A220" s="7" t="s">
        <v>2590</v>
      </c>
      <c r="B220" s="9">
        <v>4071967</v>
      </c>
      <c r="C220" s="70">
        <v>45055</v>
      </c>
      <c r="D220" s="70">
        <v>45055</v>
      </c>
      <c r="E220" s="73"/>
      <c r="F220" s="9"/>
      <c r="H220" s="9"/>
      <c r="I220" s="7" t="s">
        <v>2632</v>
      </c>
      <c r="J220" s="51" t="s">
        <v>18</v>
      </c>
      <c r="K220" s="7"/>
      <c r="L220" s="10">
        <v>151.09</v>
      </c>
      <c r="M220" s="10"/>
      <c r="N220" s="10"/>
      <c r="O220" s="10"/>
      <c r="P220" s="10"/>
      <c r="Q220" s="10"/>
      <c r="R220" s="10">
        <v>1259.06</v>
      </c>
      <c r="S220" s="10"/>
      <c r="T220" s="10"/>
      <c r="U220" s="10"/>
      <c r="V220" s="10"/>
      <c r="W220" s="10"/>
      <c r="X220" s="10"/>
      <c r="Y220" s="10"/>
      <c r="Z220" s="10"/>
      <c r="AA220" s="33"/>
      <c r="AB220" s="10"/>
      <c r="AC220" s="33">
        <v>1410.15</v>
      </c>
      <c r="AD220" s="10">
        <f t="shared" si="4"/>
        <v>0</v>
      </c>
      <c r="AE220" s="82"/>
    </row>
    <row r="221" spans="1:32" x14ac:dyDescent="0.25">
      <c r="A221" s="7" t="s">
        <v>2591</v>
      </c>
      <c r="B221" s="9">
        <v>4071968</v>
      </c>
      <c r="C221" s="70">
        <v>45055</v>
      </c>
      <c r="D221" s="70">
        <v>45055</v>
      </c>
      <c r="E221" s="73"/>
      <c r="F221" s="9"/>
      <c r="H221" s="9"/>
      <c r="I221" s="7" t="s">
        <v>2632</v>
      </c>
      <c r="J221" s="51" t="s">
        <v>18</v>
      </c>
      <c r="K221" s="7"/>
      <c r="L221" s="10">
        <v>811.09</v>
      </c>
      <c r="M221" s="10"/>
      <c r="N221" s="10"/>
      <c r="O221" s="10"/>
      <c r="P221" s="10"/>
      <c r="Q221" s="10"/>
      <c r="R221" s="10">
        <v>6759.06</v>
      </c>
      <c r="S221" s="10"/>
      <c r="T221" s="10"/>
      <c r="U221" s="10"/>
      <c r="V221" s="10"/>
      <c r="W221" s="10"/>
      <c r="X221" s="10"/>
      <c r="Y221" s="10"/>
      <c r="Z221" s="10"/>
      <c r="AA221" s="33"/>
      <c r="AB221" s="10"/>
      <c r="AC221" s="33">
        <v>7570.15</v>
      </c>
      <c r="AD221" s="10">
        <f t="shared" si="4"/>
        <v>0</v>
      </c>
      <c r="AE221" s="82"/>
    </row>
    <row r="222" spans="1:32" x14ac:dyDescent="0.25">
      <c r="A222" s="7" t="s">
        <v>2592</v>
      </c>
      <c r="B222" s="9">
        <v>4071969</v>
      </c>
      <c r="C222" s="70">
        <v>45055</v>
      </c>
      <c r="D222" s="70">
        <v>45055</v>
      </c>
      <c r="E222" s="73"/>
      <c r="F222" s="9"/>
      <c r="H222" s="9"/>
      <c r="I222" s="7" t="s">
        <v>2635</v>
      </c>
      <c r="J222" s="51" t="s">
        <v>43</v>
      </c>
      <c r="K222" s="7"/>
      <c r="L222" s="10">
        <v>32.14</v>
      </c>
      <c r="M222" s="10"/>
      <c r="N222" s="10"/>
      <c r="O222" s="10"/>
      <c r="P222" s="10"/>
      <c r="Q222" s="10"/>
      <c r="R222" s="10"/>
      <c r="S222" s="10">
        <v>267.86</v>
      </c>
      <c r="T222" s="10"/>
      <c r="U222" s="10"/>
      <c r="V222" s="10"/>
      <c r="W222" s="10"/>
      <c r="X222" s="10"/>
      <c r="Y222" s="10"/>
      <c r="Z222" s="10"/>
      <c r="AA222" s="33"/>
      <c r="AB222" s="10"/>
      <c r="AC222" s="33">
        <v>300</v>
      </c>
      <c r="AD222" s="10">
        <f t="shared" si="4"/>
        <v>0</v>
      </c>
      <c r="AE222" s="82"/>
    </row>
    <row r="223" spans="1:32" x14ac:dyDescent="0.25">
      <c r="A223" s="7" t="s">
        <v>2593</v>
      </c>
      <c r="B223" s="9">
        <v>4071970</v>
      </c>
      <c r="C223" s="70">
        <v>45055</v>
      </c>
      <c r="D223" s="70">
        <v>45055</v>
      </c>
      <c r="E223" s="73"/>
      <c r="F223" s="9"/>
      <c r="H223" s="9"/>
      <c r="I223" s="7" t="s">
        <v>2636</v>
      </c>
      <c r="J223" s="51" t="s">
        <v>126</v>
      </c>
      <c r="K223" s="7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33">
        <v>12500</v>
      </c>
      <c r="AB223" s="10"/>
      <c r="AC223" s="33">
        <v>12500</v>
      </c>
      <c r="AD223" s="10">
        <f t="shared" si="4"/>
        <v>0</v>
      </c>
      <c r="AE223" s="82"/>
    </row>
    <row r="224" spans="1:32" x14ac:dyDescent="0.25">
      <c r="A224" s="7" t="s">
        <v>2594</v>
      </c>
      <c r="B224" s="9">
        <v>4071971</v>
      </c>
      <c r="C224" s="70">
        <v>45055</v>
      </c>
      <c r="D224" s="70">
        <v>45055</v>
      </c>
      <c r="E224" s="73">
        <v>45070</v>
      </c>
      <c r="F224" s="9" t="s">
        <v>3187</v>
      </c>
      <c r="H224" s="9"/>
      <c r="I224" s="7" t="s">
        <v>371</v>
      </c>
      <c r="J224" s="51" t="s">
        <v>2633</v>
      </c>
      <c r="K224" s="7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33">
        <v>14000</v>
      </c>
      <c r="AB224" s="10"/>
      <c r="AC224" s="33">
        <v>14000</v>
      </c>
      <c r="AD224" s="10">
        <f t="shared" si="4"/>
        <v>0</v>
      </c>
      <c r="AE224" s="82"/>
    </row>
    <row r="225" spans="1:32" x14ac:dyDescent="0.25">
      <c r="A225" s="7" t="s">
        <v>2595</v>
      </c>
      <c r="B225" s="9" t="s">
        <v>2634</v>
      </c>
      <c r="C225" s="70">
        <v>45056</v>
      </c>
      <c r="D225" s="70">
        <v>45056</v>
      </c>
      <c r="E225" s="73"/>
      <c r="F225" s="9"/>
      <c r="H225" s="9"/>
      <c r="I225" s="7" t="s">
        <v>64</v>
      </c>
      <c r="J225" s="51" t="s">
        <v>442</v>
      </c>
      <c r="K225" s="7"/>
      <c r="L225" s="10"/>
      <c r="M225" s="10"/>
      <c r="N225" s="10"/>
      <c r="O225" s="10"/>
      <c r="P225" s="10">
        <v>100000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33"/>
      <c r="AB225" s="10"/>
      <c r="AC225" s="33">
        <v>100000</v>
      </c>
      <c r="AD225" s="10">
        <f t="shared" si="4"/>
        <v>0</v>
      </c>
      <c r="AE225" s="82"/>
    </row>
    <row r="226" spans="1:32" x14ac:dyDescent="0.25">
      <c r="A226" s="7" t="s">
        <v>2596</v>
      </c>
      <c r="B226" s="9">
        <v>4071972</v>
      </c>
      <c r="C226" s="70">
        <v>45061</v>
      </c>
      <c r="D226" s="70">
        <v>45061</v>
      </c>
      <c r="E226" s="73"/>
      <c r="F226" s="9"/>
      <c r="H226" s="9"/>
      <c r="I226" s="7" t="s">
        <v>2557</v>
      </c>
      <c r="J226" s="51" t="s">
        <v>125</v>
      </c>
      <c r="K226" s="7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33">
        <v>3000</v>
      </c>
      <c r="AB226" s="10"/>
      <c r="AC226" s="33">
        <v>3000</v>
      </c>
      <c r="AD226" s="10">
        <f t="shared" ref="AD226:AD289" si="5">SUM(AB226:AC226)-SUM(L226:AA226)</f>
        <v>0</v>
      </c>
      <c r="AE226" s="82"/>
    </row>
    <row r="227" spans="1:32" x14ac:dyDescent="0.25">
      <c r="A227" s="7" t="s">
        <v>2597</v>
      </c>
      <c r="B227" s="9">
        <v>4071973</v>
      </c>
      <c r="C227" s="70">
        <v>45061</v>
      </c>
      <c r="D227" s="70">
        <v>45061</v>
      </c>
      <c r="E227" s="73"/>
      <c r="F227" s="9"/>
      <c r="H227" s="9"/>
      <c r="I227" s="7" t="s">
        <v>2557</v>
      </c>
      <c r="J227" s="51" t="s">
        <v>1847</v>
      </c>
      <c r="K227" s="7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33">
        <v>13326.3</v>
      </c>
      <c r="AB227" s="10"/>
      <c r="AC227" s="33">
        <v>13326.3</v>
      </c>
      <c r="AD227" s="10">
        <f t="shared" si="5"/>
        <v>0</v>
      </c>
      <c r="AE227" s="82"/>
    </row>
    <row r="228" spans="1:32" x14ac:dyDescent="0.25">
      <c r="A228" s="7" t="s">
        <v>2598</v>
      </c>
      <c r="B228" s="9">
        <v>4071974</v>
      </c>
      <c r="C228" s="70">
        <v>45061</v>
      </c>
      <c r="D228" s="70">
        <v>45061</v>
      </c>
      <c r="E228" s="73"/>
      <c r="F228" s="9"/>
      <c r="H228" s="9" t="s">
        <v>1666</v>
      </c>
      <c r="I228" s="7" t="s">
        <v>1174</v>
      </c>
      <c r="J228" s="51" t="s">
        <v>65</v>
      </c>
      <c r="K228" s="7"/>
      <c r="L228" s="10"/>
      <c r="M228" s="10"/>
      <c r="N228" s="10"/>
      <c r="O228" s="10"/>
      <c r="P228" s="10"/>
      <c r="Q228" s="10"/>
      <c r="R228" s="10"/>
      <c r="S228" s="10"/>
      <c r="T228" s="10">
        <v>14098</v>
      </c>
      <c r="U228" s="10"/>
      <c r="V228" s="10"/>
      <c r="W228" s="10"/>
      <c r="X228" s="10"/>
      <c r="Y228" s="10"/>
      <c r="Z228" s="10"/>
      <c r="AA228" s="33"/>
      <c r="AB228" s="10"/>
      <c r="AC228" s="33">
        <v>14098</v>
      </c>
      <c r="AD228" s="10">
        <f t="shared" si="5"/>
        <v>0</v>
      </c>
      <c r="AE228" s="82"/>
    </row>
    <row r="229" spans="1:32" x14ac:dyDescent="0.25">
      <c r="A229" s="7" t="s">
        <v>2599</v>
      </c>
      <c r="B229" s="9">
        <v>4071975</v>
      </c>
      <c r="C229" s="70">
        <v>45061</v>
      </c>
      <c r="D229" s="70">
        <v>45061</v>
      </c>
      <c r="E229" s="73"/>
      <c r="F229" s="9"/>
      <c r="H229" s="9"/>
      <c r="I229" s="7" t="s">
        <v>2637</v>
      </c>
      <c r="J229" s="51" t="s">
        <v>2638</v>
      </c>
      <c r="K229" s="7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33">
        <v>10000</v>
      </c>
      <c r="AB229" s="10"/>
      <c r="AC229" s="33">
        <v>10000</v>
      </c>
      <c r="AD229" s="10">
        <f t="shared" si="5"/>
        <v>0</v>
      </c>
      <c r="AE229" s="82"/>
    </row>
    <row r="230" spans="1:32" x14ac:dyDescent="0.25">
      <c r="A230" s="7" t="s">
        <v>2600</v>
      </c>
      <c r="B230" s="9">
        <v>4071976</v>
      </c>
      <c r="C230" s="70">
        <v>45061</v>
      </c>
      <c r="D230" s="70">
        <v>45061</v>
      </c>
      <c r="E230" s="73">
        <v>45063</v>
      </c>
      <c r="F230" s="9" t="s">
        <v>3188</v>
      </c>
      <c r="H230" s="9"/>
      <c r="I230" s="7" t="s">
        <v>2639</v>
      </c>
      <c r="J230" s="51" t="s">
        <v>2561</v>
      </c>
      <c r="K230" s="7"/>
      <c r="L230" s="10">
        <v>1350</v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33">
        <v>11250</v>
      </c>
      <c r="AB230" s="10"/>
      <c r="AC230" s="33">
        <v>12600</v>
      </c>
      <c r="AD230" s="10">
        <f t="shared" si="5"/>
        <v>0</v>
      </c>
      <c r="AE230" s="82"/>
      <c r="AF230" s="17">
        <v>450</v>
      </c>
    </row>
    <row r="231" spans="1:32" x14ac:dyDescent="0.25">
      <c r="A231" s="7" t="s">
        <v>2601</v>
      </c>
      <c r="B231" s="9">
        <v>4071977</v>
      </c>
      <c r="C231" s="70">
        <v>45063</v>
      </c>
      <c r="D231" s="70">
        <v>45063</v>
      </c>
      <c r="E231" s="73"/>
      <c r="F231" s="9"/>
      <c r="H231" s="9"/>
      <c r="I231" s="7" t="s">
        <v>2640</v>
      </c>
      <c r="J231" s="51" t="s">
        <v>46</v>
      </c>
      <c r="K231" s="7"/>
      <c r="L231" s="10">
        <v>160.61000000000001</v>
      </c>
      <c r="M231" s="10"/>
      <c r="N231" s="10"/>
      <c r="O231" s="10"/>
      <c r="P231" s="10"/>
      <c r="Q231" s="10"/>
      <c r="R231" s="10"/>
      <c r="S231" s="10">
        <v>1338.39</v>
      </c>
      <c r="T231" s="10"/>
      <c r="U231" s="10"/>
      <c r="V231" s="10"/>
      <c r="W231" s="10"/>
      <c r="X231" s="10"/>
      <c r="Y231" s="10"/>
      <c r="Z231" s="10"/>
      <c r="AA231" s="33"/>
      <c r="AB231" s="10"/>
      <c r="AC231" s="33">
        <v>1499</v>
      </c>
      <c r="AD231" s="10">
        <f t="shared" si="5"/>
        <v>0</v>
      </c>
      <c r="AE231" s="82"/>
    </row>
    <row r="232" spans="1:32" x14ac:dyDescent="0.25">
      <c r="A232" s="7" t="s">
        <v>2602</v>
      </c>
      <c r="B232" s="9">
        <v>4071978</v>
      </c>
      <c r="C232" s="70">
        <v>45063</v>
      </c>
      <c r="D232" s="70">
        <v>45063</v>
      </c>
      <c r="E232" s="73"/>
      <c r="F232" s="9"/>
      <c r="H232" s="9"/>
      <c r="I232" s="7" t="s">
        <v>2640</v>
      </c>
      <c r="J232" s="51" t="s">
        <v>46</v>
      </c>
      <c r="K232" s="7"/>
      <c r="L232" s="10">
        <v>107.04</v>
      </c>
      <c r="M232" s="10"/>
      <c r="N232" s="10"/>
      <c r="O232" s="10"/>
      <c r="P232" s="10"/>
      <c r="Q232" s="10"/>
      <c r="R232" s="10"/>
      <c r="S232" s="10">
        <v>891.96</v>
      </c>
      <c r="T232" s="10"/>
      <c r="U232" s="10"/>
      <c r="V232" s="10"/>
      <c r="W232" s="10"/>
      <c r="X232" s="10"/>
      <c r="Y232" s="10"/>
      <c r="Z232" s="10"/>
      <c r="AA232" s="33"/>
      <c r="AB232" s="10"/>
      <c r="AC232" s="33">
        <v>999</v>
      </c>
      <c r="AD232" s="10">
        <f t="shared" si="5"/>
        <v>0</v>
      </c>
      <c r="AE232" s="82"/>
    </row>
    <row r="233" spans="1:32" x14ac:dyDescent="0.25">
      <c r="A233" s="7" t="s">
        <v>2603</v>
      </c>
      <c r="B233" s="9">
        <v>4071979</v>
      </c>
      <c r="C233" s="70">
        <v>45063</v>
      </c>
      <c r="D233" s="70">
        <v>45063</v>
      </c>
      <c r="E233" s="73"/>
      <c r="F233" s="9"/>
      <c r="H233" s="9"/>
      <c r="I233" s="7" t="s">
        <v>2641</v>
      </c>
      <c r="J233" s="51" t="s">
        <v>46</v>
      </c>
      <c r="K233" s="7"/>
      <c r="L233" s="10">
        <v>107.04</v>
      </c>
      <c r="M233" s="10"/>
      <c r="N233" s="10"/>
      <c r="O233" s="10"/>
      <c r="P233" s="10"/>
      <c r="Q233" s="10"/>
      <c r="R233" s="10"/>
      <c r="S233" s="10">
        <v>891.96</v>
      </c>
      <c r="T233" s="10"/>
      <c r="U233" s="10"/>
      <c r="V233" s="10"/>
      <c r="W233" s="10"/>
      <c r="X233" s="10"/>
      <c r="Y233" s="10"/>
      <c r="Z233" s="10"/>
      <c r="AA233" s="33"/>
      <c r="AB233" s="10"/>
      <c r="AC233" s="33">
        <v>999</v>
      </c>
      <c r="AD233" s="10">
        <f t="shared" si="5"/>
        <v>0</v>
      </c>
      <c r="AE233" s="82"/>
    </row>
    <row r="234" spans="1:32" x14ac:dyDescent="0.25">
      <c r="A234" s="7" t="s">
        <v>2604</v>
      </c>
      <c r="B234" s="9">
        <v>4071980</v>
      </c>
      <c r="C234" s="70">
        <v>45063</v>
      </c>
      <c r="D234" s="70">
        <v>45063</v>
      </c>
      <c r="E234" s="73"/>
      <c r="F234" s="9"/>
      <c r="H234" s="9"/>
      <c r="I234" s="7" t="s">
        <v>2641</v>
      </c>
      <c r="J234" s="51" t="s">
        <v>46</v>
      </c>
      <c r="K234" s="7"/>
      <c r="L234" s="10">
        <v>107.04</v>
      </c>
      <c r="M234" s="10"/>
      <c r="N234" s="10"/>
      <c r="O234" s="10"/>
      <c r="P234" s="10"/>
      <c r="Q234" s="10"/>
      <c r="R234" s="10"/>
      <c r="S234" s="10">
        <v>891.96</v>
      </c>
      <c r="T234" s="10"/>
      <c r="U234" s="10"/>
      <c r="V234" s="10"/>
      <c r="W234" s="10"/>
      <c r="X234" s="10"/>
      <c r="Y234" s="10"/>
      <c r="Z234" s="10"/>
      <c r="AA234" s="33"/>
      <c r="AB234" s="10"/>
      <c r="AC234" s="33">
        <v>999</v>
      </c>
      <c r="AD234" s="10">
        <f t="shared" si="5"/>
        <v>0</v>
      </c>
      <c r="AE234" s="82"/>
    </row>
    <row r="235" spans="1:32" x14ac:dyDescent="0.25">
      <c r="A235" s="7" t="s">
        <v>2605</v>
      </c>
      <c r="B235" s="9">
        <v>4071981</v>
      </c>
      <c r="C235" s="70">
        <v>45063</v>
      </c>
      <c r="D235" s="70">
        <v>45063</v>
      </c>
      <c r="E235" s="73"/>
      <c r="F235" s="9"/>
      <c r="H235" s="9"/>
      <c r="I235" s="7" t="s">
        <v>2642</v>
      </c>
      <c r="J235" s="51" t="s">
        <v>44</v>
      </c>
      <c r="K235" s="7"/>
      <c r="L235" s="10">
        <v>781.17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>
        <v>6509.75</v>
      </c>
      <c r="Y235" s="10"/>
      <c r="Z235" s="10"/>
      <c r="AA235" s="33"/>
      <c r="AB235" s="10"/>
      <c r="AC235" s="33">
        <v>7290.92</v>
      </c>
      <c r="AD235" s="10">
        <f t="shared" si="5"/>
        <v>0</v>
      </c>
      <c r="AE235" s="82"/>
    </row>
    <row r="236" spans="1:32" x14ac:dyDescent="0.25">
      <c r="A236" s="7" t="s">
        <v>2606</v>
      </c>
      <c r="B236" s="9">
        <v>4071982</v>
      </c>
      <c r="C236" s="70">
        <v>45107</v>
      </c>
      <c r="D236" s="70">
        <v>45063</v>
      </c>
      <c r="E236" s="73">
        <v>45077</v>
      </c>
      <c r="F236" s="9" t="s">
        <v>3189</v>
      </c>
      <c r="G236" s="9" t="s">
        <v>2239</v>
      </c>
      <c r="H236" s="9"/>
      <c r="I236" s="7" t="s">
        <v>1418</v>
      </c>
      <c r="J236" s="51" t="s">
        <v>1226</v>
      </c>
      <c r="K236" s="7" t="s">
        <v>1039</v>
      </c>
      <c r="L236" s="10">
        <v>6428.57</v>
      </c>
      <c r="M236" s="10">
        <v>53571.43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33"/>
      <c r="AB236" s="10"/>
      <c r="AC236" s="33">
        <v>60000</v>
      </c>
      <c r="AD236" s="10">
        <f t="shared" si="5"/>
        <v>0</v>
      </c>
      <c r="AE236" s="82"/>
      <c r="AF236" s="17">
        <v>535.71</v>
      </c>
    </row>
    <row r="237" spans="1:32" x14ac:dyDescent="0.25">
      <c r="A237" s="7" t="s">
        <v>2607</v>
      </c>
      <c r="B237" s="9">
        <v>4071983</v>
      </c>
      <c r="C237" s="70">
        <v>45093</v>
      </c>
      <c r="D237" s="70">
        <v>45063</v>
      </c>
      <c r="E237" s="73">
        <v>45084</v>
      </c>
      <c r="F237" s="9" t="s">
        <v>3190</v>
      </c>
      <c r="G237" s="9" t="s">
        <v>2263</v>
      </c>
      <c r="H237" s="9"/>
      <c r="I237" s="7" t="s">
        <v>2643</v>
      </c>
      <c r="J237" s="51" t="s">
        <v>83</v>
      </c>
      <c r="K237" s="7" t="s">
        <v>1336</v>
      </c>
      <c r="L237" s="10">
        <v>28170</v>
      </c>
      <c r="M237" s="10">
        <v>234750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33"/>
      <c r="AB237" s="10"/>
      <c r="AC237" s="33">
        <v>262920</v>
      </c>
      <c r="AD237" s="10">
        <f t="shared" si="5"/>
        <v>0</v>
      </c>
      <c r="AE237" s="82"/>
      <c r="AF237" s="17">
        <v>2347.5</v>
      </c>
    </row>
    <row r="238" spans="1:32" x14ac:dyDescent="0.25">
      <c r="A238" s="7" t="s">
        <v>2608</v>
      </c>
      <c r="B238" s="9">
        <v>4071984</v>
      </c>
      <c r="C238" s="70">
        <v>45063</v>
      </c>
      <c r="D238" s="70">
        <v>45063</v>
      </c>
      <c r="E238" s="73">
        <v>45064</v>
      </c>
      <c r="F238" s="9" t="s">
        <v>3191</v>
      </c>
      <c r="G238" s="9" t="s">
        <v>2310</v>
      </c>
      <c r="H238" s="9"/>
      <c r="I238" s="7" t="s">
        <v>2644</v>
      </c>
      <c r="J238" s="51" t="s">
        <v>1999</v>
      </c>
      <c r="K238" s="7" t="s">
        <v>2297</v>
      </c>
      <c r="L238" s="10">
        <v>589.29</v>
      </c>
      <c r="M238" s="10">
        <v>4910.71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33"/>
      <c r="AB238" s="10"/>
      <c r="AC238" s="33">
        <v>5500</v>
      </c>
      <c r="AD238" s="10">
        <f t="shared" si="5"/>
        <v>0</v>
      </c>
      <c r="AE238" s="82"/>
      <c r="AF238" s="17">
        <v>49.11</v>
      </c>
    </row>
    <row r="239" spans="1:32" x14ac:dyDescent="0.25">
      <c r="A239" s="7" t="s">
        <v>2609</v>
      </c>
      <c r="B239" s="9">
        <v>4071985</v>
      </c>
      <c r="C239" s="70">
        <v>45064</v>
      </c>
      <c r="D239" s="70">
        <v>45064</v>
      </c>
      <c r="E239" s="73"/>
      <c r="F239" s="9"/>
      <c r="H239" s="9"/>
      <c r="I239" s="7" t="s">
        <v>2645</v>
      </c>
      <c r="J239" s="51" t="s">
        <v>46</v>
      </c>
      <c r="K239" s="7"/>
      <c r="L239" s="10">
        <v>1193.52</v>
      </c>
      <c r="M239" s="10"/>
      <c r="N239" s="10"/>
      <c r="O239" s="10"/>
      <c r="P239" s="10"/>
      <c r="Q239" s="10"/>
      <c r="R239" s="10"/>
      <c r="S239" s="10">
        <v>9945.99</v>
      </c>
      <c r="T239" s="10"/>
      <c r="U239" s="10"/>
      <c r="V239" s="10"/>
      <c r="W239" s="10"/>
      <c r="X239" s="10"/>
      <c r="Y239" s="10"/>
      <c r="Z239" s="10"/>
      <c r="AA239" s="33"/>
      <c r="AB239" s="10"/>
      <c r="AC239" s="33">
        <v>11139.51</v>
      </c>
      <c r="AD239" s="10">
        <f t="shared" si="5"/>
        <v>0</v>
      </c>
      <c r="AE239" s="82"/>
      <c r="AF239" s="17">
        <v>198.92</v>
      </c>
    </row>
    <row r="240" spans="1:32" x14ac:dyDescent="0.25">
      <c r="A240" s="7" t="s">
        <v>2610</v>
      </c>
      <c r="B240" s="9">
        <v>4071986</v>
      </c>
      <c r="C240" s="70">
        <v>45064</v>
      </c>
      <c r="D240" s="70">
        <v>45064</v>
      </c>
      <c r="E240" s="73">
        <v>45084</v>
      </c>
      <c r="F240" s="9" t="s">
        <v>3192</v>
      </c>
      <c r="H240" s="9"/>
      <c r="I240" s="7" t="s">
        <v>2646</v>
      </c>
      <c r="J240" s="51" t="s">
        <v>83</v>
      </c>
      <c r="K240" s="7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33">
        <v>3600</v>
      </c>
      <c r="AB240" s="10"/>
      <c r="AC240" s="33">
        <v>3600</v>
      </c>
      <c r="AD240" s="10">
        <f t="shared" si="5"/>
        <v>0</v>
      </c>
      <c r="AE240" s="82"/>
      <c r="AF240" s="17">
        <v>41.07</v>
      </c>
    </row>
    <row r="241" spans="1:32" x14ac:dyDescent="0.25">
      <c r="A241" s="7" t="s">
        <v>2611</v>
      </c>
      <c r="B241" s="9" t="s">
        <v>2653</v>
      </c>
      <c r="C241" s="70">
        <v>45064</v>
      </c>
      <c r="D241" s="70">
        <v>45064</v>
      </c>
      <c r="E241" s="73"/>
      <c r="F241" s="9"/>
      <c r="H241" s="9"/>
      <c r="I241" s="7" t="s">
        <v>55</v>
      </c>
      <c r="J241" s="51" t="s">
        <v>54</v>
      </c>
      <c r="K241" s="7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>
        <v>350000</v>
      </c>
      <c r="AA241" s="33"/>
      <c r="AB241" s="10"/>
      <c r="AC241" s="33">
        <v>350000</v>
      </c>
      <c r="AD241" s="10">
        <f t="shared" si="5"/>
        <v>0</v>
      </c>
      <c r="AE241" s="82"/>
    </row>
    <row r="242" spans="1:32" x14ac:dyDescent="0.25">
      <c r="A242" s="7" t="s">
        <v>2612</v>
      </c>
      <c r="B242" s="9" t="s">
        <v>2651</v>
      </c>
      <c r="C242" s="70">
        <v>45068</v>
      </c>
      <c r="D242" s="70">
        <v>45068</v>
      </c>
      <c r="E242" s="73">
        <v>45070</v>
      </c>
      <c r="F242" s="9" t="s">
        <v>3193</v>
      </c>
      <c r="G242" s="9" t="s">
        <v>2312</v>
      </c>
      <c r="H242" s="9"/>
      <c r="I242" s="7" t="s">
        <v>1988</v>
      </c>
      <c r="J242" s="51" t="s">
        <v>1999</v>
      </c>
      <c r="K242" s="7" t="s">
        <v>2297</v>
      </c>
      <c r="L242" s="10">
        <v>11517.86</v>
      </c>
      <c r="M242" s="10">
        <v>95982.14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33"/>
      <c r="AB242" s="10"/>
      <c r="AC242" s="33">
        <v>107500</v>
      </c>
      <c r="AD242" s="10">
        <f t="shared" si="5"/>
        <v>0</v>
      </c>
      <c r="AE242" s="82"/>
      <c r="AF242" s="17">
        <v>959.82</v>
      </c>
    </row>
    <row r="243" spans="1:32" x14ac:dyDescent="0.25">
      <c r="A243" s="7" t="s">
        <v>2613</v>
      </c>
      <c r="B243" s="9">
        <v>4071987</v>
      </c>
      <c r="C243" s="70">
        <v>45103</v>
      </c>
      <c r="D243" s="70">
        <v>45068</v>
      </c>
      <c r="E243" s="73">
        <v>45071</v>
      </c>
      <c r="F243" s="9" t="s">
        <v>3194</v>
      </c>
      <c r="G243" s="9" t="s">
        <v>2309</v>
      </c>
      <c r="H243" s="9"/>
      <c r="I243" s="7" t="s">
        <v>1001</v>
      </c>
      <c r="J243" s="51" t="s">
        <v>2087</v>
      </c>
      <c r="K243" s="7" t="s">
        <v>2088</v>
      </c>
      <c r="L243" s="10">
        <v>11250</v>
      </c>
      <c r="M243" s="10">
        <v>93750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33"/>
      <c r="AB243" s="10"/>
      <c r="AC243" s="33">
        <v>105000</v>
      </c>
      <c r="AD243" s="10">
        <f t="shared" si="5"/>
        <v>0</v>
      </c>
      <c r="AE243" s="82"/>
      <c r="AF243" s="17">
        <v>937.5</v>
      </c>
    </row>
    <row r="244" spans="1:32" x14ac:dyDescent="0.25">
      <c r="A244" s="7" t="s">
        <v>2614</v>
      </c>
      <c r="B244" s="9">
        <v>4071988</v>
      </c>
      <c r="C244" s="70">
        <v>45103</v>
      </c>
      <c r="D244" s="70">
        <v>45068</v>
      </c>
      <c r="E244" s="73">
        <v>45072</v>
      </c>
      <c r="F244" s="9" t="s">
        <v>3195</v>
      </c>
      <c r="G244" s="9" t="s">
        <v>2311</v>
      </c>
      <c r="H244" s="9"/>
      <c r="I244" s="7" t="s">
        <v>2650</v>
      </c>
      <c r="J244" s="51" t="s">
        <v>60</v>
      </c>
      <c r="K244" s="7" t="s">
        <v>61</v>
      </c>
      <c r="L244" s="10">
        <v>1714.29</v>
      </c>
      <c r="M244" s="10">
        <v>14285.71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33"/>
      <c r="AB244" s="10"/>
      <c r="AC244" s="33">
        <v>16000</v>
      </c>
      <c r="AD244" s="10">
        <f t="shared" si="5"/>
        <v>0</v>
      </c>
      <c r="AE244" s="82"/>
      <c r="AF244" s="17">
        <v>142.86000000000001</v>
      </c>
    </row>
    <row r="245" spans="1:32" x14ac:dyDescent="0.25">
      <c r="A245" s="7" t="s">
        <v>2615</v>
      </c>
      <c r="B245" s="9">
        <v>4071989</v>
      </c>
      <c r="C245" s="70">
        <v>45068</v>
      </c>
      <c r="D245" s="70">
        <v>45068</v>
      </c>
      <c r="E245" s="73"/>
      <c r="F245" s="9"/>
      <c r="H245" s="9"/>
      <c r="I245" s="7" t="s">
        <v>2652</v>
      </c>
      <c r="J245" s="51" t="s">
        <v>1261</v>
      </c>
      <c r="K245" s="7"/>
      <c r="L245" s="10">
        <v>441</v>
      </c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33">
        <v>3675</v>
      </c>
      <c r="AB245" s="10"/>
      <c r="AC245" s="33">
        <v>4116</v>
      </c>
      <c r="AD245" s="10">
        <f t="shared" si="5"/>
        <v>0</v>
      </c>
      <c r="AE245" s="82"/>
    </row>
    <row r="246" spans="1:32" x14ac:dyDescent="0.25">
      <c r="A246" s="7" t="s">
        <v>2616</v>
      </c>
      <c r="B246" s="9">
        <v>4071990</v>
      </c>
      <c r="C246" s="70">
        <v>45076</v>
      </c>
      <c r="D246" s="70">
        <v>45069</v>
      </c>
      <c r="E246" s="73"/>
      <c r="F246" s="9"/>
      <c r="H246" s="9"/>
      <c r="I246" s="7" t="s">
        <v>2648</v>
      </c>
      <c r="J246" s="51" t="s">
        <v>2649</v>
      </c>
      <c r="K246" s="7"/>
      <c r="L246" s="10"/>
      <c r="M246" s="10">
        <v>23000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33"/>
      <c r="AB246" s="10"/>
      <c r="AC246" s="33">
        <v>23000</v>
      </c>
      <c r="AD246" s="10">
        <f t="shared" si="5"/>
        <v>0</v>
      </c>
      <c r="AE246" s="82"/>
    </row>
    <row r="247" spans="1:32" x14ac:dyDescent="0.25">
      <c r="A247" s="7" t="s">
        <v>2617</v>
      </c>
      <c r="B247" s="9">
        <v>4071991</v>
      </c>
      <c r="C247" s="70">
        <v>45071</v>
      </c>
      <c r="D247" s="70">
        <v>45071</v>
      </c>
      <c r="E247" s="73"/>
      <c r="F247" s="9"/>
      <c r="H247" s="9" t="s">
        <v>1667</v>
      </c>
      <c r="I247" s="7" t="s">
        <v>2588</v>
      </c>
      <c r="J247" s="51" t="s">
        <v>65</v>
      </c>
      <c r="K247" s="7"/>
      <c r="L247" s="10"/>
      <c r="M247" s="10"/>
      <c r="N247" s="10"/>
      <c r="O247" s="10"/>
      <c r="P247" s="10"/>
      <c r="Q247" s="10"/>
      <c r="R247" s="10"/>
      <c r="S247" s="10"/>
      <c r="T247" s="10">
        <v>7039.5</v>
      </c>
      <c r="U247" s="10"/>
      <c r="V247" s="10"/>
      <c r="W247" s="10"/>
      <c r="X247" s="10"/>
      <c r="Y247" s="10"/>
      <c r="Z247" s="10"/>
      <c r="AA247" s="33"/>
      <c r="AB247" s="10"/>
      <c r="AC247" s="33">
        <v>7039.5</v>
      </c>
      <c r="AD247" s="10">
        <f t="shared" si="5"/>
        <v>0</v>
      </c>
      <c r="AE247" s="82"/>
    </row>
    <row r="248" spans="1:32" x14ac:dyDescent="0.25">
      <c r="A248" s="7" t="s">
        <v>2618</v>
      </c>
      <c r="B248" s="9">
        <v>4071992</v>
      </c>
      <c r="C248" s="70">
        <v>45071</v>
      </c>
      <c r="D248" s="70">
        <v>45071</v>
      </c>
      <c r="E248" s="73"/>
      <c r="F248" s="9"/>
      <c r="H248" s="9" t="s">
        <v>1668</v>
      </c>
      <c r="I248" s="7" t="s">
        <v>1174</v>
      </c>
      <c r="J248" s="51" t="s">
        <v>65</v>
      </c>
      <c r="K248" s="7"/>
      <c r="L248" s="10"/>
      <c r="M248" s="10"/>
      <c r="N248" s="10"/>
      <c r="O248" s="10"/>
      <c r="P248" s="10"/>
      <c r="Q248" s="10"/>
      <c r="R248" s="10"/>
      <c r="S248" s="10"/>
      <c r="T248" s="10">
        <v>3900</v>
      </c>
      <c r="U248" s="10"/>
      <c r="V248" s="10"/>
      <c r="W248" s="10"/>
      <c r="X248" s="10"/>
      <c r="Y248" s="10"/>
      <c r="Z248" s="10"/>
      <c r="AA248" s="33"/>
      <c r="AB248" s="10"/>
      <c r="AC248" s="33">
        <v>3900</v>
      </c>
      <c r="AD248" s="10">
        <f t="shared" si="5"/>
        <v>0</v>
      </c>
      <c r="AE248" s="82"/>
    </row>
    <row r="249" spans="1:32" x14ac:dyDescent="0.25">
      <c r="A249" s="7" t="s">
        <v>2619</v>
      </c>
      <c r="B249" s="9" t="s">
        <v>2647</v>
      </c>
      <c r="C249" s="70">
        <v>45071</v>
      </c>
      <c r="D249" s="70">
        <v>45071</v>
      </c>
      <c r="E249" s="73"/>
      <c r="F249" s="9"/>
      <c r="H249" s="9" t="s">
        <v>1699</v>
      </c>
      <c r="I249" s="7" t="s">
        <v>1955</v>
      </c>
      <c r="J249" s="51" t="s">
        <v>39</v>
      </c>
      <c r="K249" s="7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33">
        <v>32167.59</v>
      </c>
      <c r="AB249" s="10"/>
      <c r="AC249" s="33">
        <v>60000</v>
      </c>
      <c r="AD249" s="10">
        <f t="shared" si="5"/>
        <v>27832.41</v>
      </c>
      <c r="AE249" s="82" t="s">
        <v>2654</v>
      </c>
    </row>
    <row r="250" spans="1:32" x14ac:dyDescent="0.25">
      <c r="A250" s="7" t="s">
        <v>2620</v>
      </c>
      <c r="B250" s="9" t="s">
        <v>2678</v>
      </c>
      <c r="C250" s="70">
        <v>45076</v>
      </c>
      <c r="D250" s="70">
        <v>45076</v>
      </c>
      <c r="E250" s="73"/>
      <c r="F250" s="9"/>
      <c r="H250" s="9"/>
      <c r="I250" s="7" t="s">
        <v>64</v>
      </c>
      <c r="J250" s="51" t="s">
        <v>39</v>
      </c>
      <c r="K250" s="7"/>
      <c r="L250" s="10"/>
      <c r="M250" s="10"/>
      <c r="N250" s="10"/>
      <c r="O250" s="10"/>
      <c r="P250" s="10">
        <v>100000</v>
      </c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33"/>
      <c r="AB250" s="10"/>
      <c r="AC250" s="33">
        <v>100000</v>
      </c>
      <c r="AD250" s="10">
        <f t="shared" si="5"/>
        <v>0</v>
      </c>
      <c r="AE250" s="82"/>
    </row>
    <row r="251" spans="1:32" x14ac:dyDescent="0.25">
      <c r="A251" s="7" t="s">
        <v>2621</v>
      </c>
      <c r="B251" s="9">
        <v>4071993</v>
      </c>
      <c r="C251" s="70">
        <v>45076</v>
      </c>
      <c r="D251" s="70">
        <v>45076</v>
      </c>
      <c r="E251" s="73"/>
      <c r="F251" s="9"/>
      <c r="H251" s="9"/>
      <c r="I251" s="7" t="s">
        <v>2679</v>
      </c>
      <c r="J251" s="51" t="s">
        <v>1261</v>
      </c>
      <c r="K251" s="7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33">
        <v>4116</v>
      </c>
      <c r="AB251" s="10"/>
      <c r="AC251" s="33">
        <v>4116</v>
      </c>
      <c r="AD251" s="10">
        <f t="shared" si="5"/>
        <v>0</v>
      </c>
      <c r="AE251" s="82"/>
    </row>
    <row r="252" spans="1:32" s="39" customFormat="1" x14ac:dyDescent="0.25">
      <c r="A252" s="20"/>
      <c r="B252" s="19"/>
      <c r="C252" s="72"/>
      <c r="D252" s="72"/>
      <c r="E252" s="77"/>
      <c r="F252" s="19"/>
      <c r="G252" s="19"/>
      <c r="H252" s="19"/>
      <c r="I252" s="20"/>
      <c r="J252" s="20"/>
      <c r="K252" s="20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32"/>
      <c r="AB252" s="22"/>
      <c r="AC252" s="32"/>
      <c r="AD252" s="22"/>
      <c r="AE252" s="96"/>
      <c r="AF252" s="35"/>
    </row>
    <row r="253" spans="1:32" s="39" customFormat="1" x14ac:dyDescent="0.25">
      <c r="A253" s="25">
        <v>45078</v>
      </c>
      <c r="B253" s="19"/>
      <c r="C253" s="72"/>
      <c r="D253" s="72"/>
      <c r="E253" s="77"/>
      <c r="F253" s="19"/>
      <c r="G253" s="19"/>
      <c r="H253" s="19"/>
      <c r="I253" s="20"/>
      <c r="J253" s="20"/>
      <c r="K253" s="20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32"/>
      <c r="AB253" s="22"/>
      <c r="AC253" s="32"/>
      <c r="AD253" s="22"/>
      <c r="AE253" s="96"/>
      <c r="AF253" s="35"/>
    </row>
    <row r="254" spans="1:32" x14ac:dyDescent="0.25">
      <c r="A254" s="7" t="s">
        <v>2622</v>
      </c>
      <c r="B254" s="9">
        <v>4071994</v>
      </c>
      <c r="C254" s="70">
        <v>45078</v>
      </c>
      <c r="D254" s="70">
        <v>45078</v>
      </c>
      <c r="E254" s="73">
        <v>45079</v>
      </c>
      <c r="F254" s="9" t="s">
        <v>3196</v>
      </c>
      <c r="G254" s="9" t="s">
        <v>2326</v>
      </c>
      <c r="H254" s="9"/>
      <c r="I254" s="7" t="s">
        <v>53</v>
      </c>
      <c r="J254" s="51" t="s">
        <v>59</v>
      </c>
      <c r="K254" s="7" t="s">
        <v>968</v>
      </c>
      <c r="L254" s="10">
        <v>260.89</v>
      </c>
      <c r="M254" s="10">
        <v>2174.11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33"/>
      <c r="AB254" s="10"/>
      <c r="AC254" s="33">
        <v>2435</v>
      </c>
      <c r="AD254" s="10">
        <f t="shared" si="5"/>
        <v>0</v>
      </c>
      <c r="AE254" s="82"/>
    </row>
    <row r="255" spans="1:32" x14ac:dyDescent="0.25">
      <c r="A255" s="7" t="s">
        <v>2623</v>
      </c>
      <c r="B255" s="9">
        <v>4071995</v>
      </c>
      <c r="C255" s="70">
        <v>45078</v>
      </c>
      <c r="D255" s="70">
        <v>45078</v>
      </c>
      <c r="E255" s="73">
        <v>45086</v>
      </c>
      <c r="F255" s="9" t="s">
        <v>3197</v>
      </c>
      <c r="H255" s="9"/>
      <c r="I255" s="7" t="s">
        <v>2655</v>
      </c>
      <c r="J255" s="51" t="s">
        <v>127</v>
      </c>
      <c r="K255" s="7" t="s">
        <v>128</v>
      </c>
      <c r="L255" s="10">
        <v>662.4</v>
      </c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33">
        <v>5520</v>
      </c>
      <c r="AB255" s="10"/>
      <c r="AC255" s="33">
        <v>6182.4</v>
      </c>
      <c r="AD255" s="10">
        <f t="shared" si="5"/>
        <v>0</v>
      </c>
      <c r="AE255" s="82"/>
    </row>
    <row r="256" spans="1:32" x14ac:dyDescent="0.25">
      <c r="A256" s="7" t="s">
        <v>2624</v>
      </c>
      <c r="B256" s="9">
        <v>4071996</v>
      </c>
      <c r="C256" s="70">
        <v>45078</v>
      </c>
      <c r="D256" s="70">
        <v>45078</v>
      </c>
      <c r="E256" s="73">
        <v>45084</v>
      </c>
      <c r="F256" s="9"/>
      <c r="G256" s="9" t="s">
        <v>2327</v>
      </c>
      <c r="H256" s="9"/>
      <c r="I256" s="7" t="s">
        <v>2828</v>
      </c>
      <c r="J256" s="51" t="s">
        <v>83</v>
      </c>
      <c r="K256" s="7"/>
      <c r="L256" s="10">
        <v>171.43</v>
      </c>
      <c r="M256" s="10">
        <v>1428.57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33"/>
      <c r="AB256" s="10"/>
      <c r="AC256" s="33">
        <v>1600</v>
      </c>
      <c r="AD256" s="10">
        <f t="shared" si="5"/>
        <v>0</v>
      </c>
      <c r="AE256" s="82"/>
      <c r="AF256" s="17">
        <v>14.29</v>
      </c>
    </row>
    <row r="257" spans="1:32" x14ac:dyDescent="0.25">
      <c r="A257" s="7" t="s">
        <v>2625</v>
      </c>
      <c r="B257" s="9">
        <v>4071997</v>
      </c>
      <c r="C257" s="70">
        <v>45079</v>
      </c>
      <c r="D257" s="70">
        <v>45079</v>
      </c>
      <c r="E257" s="73"/>
      <c r="F257" s="9"/>
      <c r="H257" s="9"/>
      <c r="I257" s="7" t="s">
        <v>118</v>
      </c>
      <c r="J257" s="51" t="s">
        <v>1847</v>
      </c>
      <c r="K257" s="7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33">
        <v>13326.3</v>
      </c>
      <c r="AB257" s="10"/>
      <c r="AC257" s="33">
        <v>13326.3</v>
      </c>
      <c r="AD257" s="10">
        <f t="shared" si="5"/>
        <v>0</v>
      </c>
      <c r="AE257" s="82"/>
    </row>
    <row r="258" spans="1:32" x14ac:dyDescent="0.25">
      <c r="A258" s="7" t="s">
        <v>2656</v>
      </c>
      <c r="B258" s="9">
        <v>4071998</v>
      </c>
      <c r="C258" s="70">
        <v>45079</v>
      </c>
      <c r="D258" s="70">
        <v>45079</v>
      </c>
      <c r="E258" s="73"/>
      <c r="F258" s="9"/>
      <c r="H258" s="9"/>
      <c r="I258" s="7" t="s">
        <v>118</v>
      </c>
      <c r="J258" s="51" t="s">
        <v>125</v>
      </c>
      <c r="K258" s="7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33">
        <v>30000</v>
      </c>
      <c r="AB258" s="10"/>
      <c r="AC258" s="33">
        <v>30000</v>
      </c>
      <c r="AD258" s="10">
        <f t="shared" si="5"/>
        <v>0</v>
      </c>
      <c r="AE258" s="82"/>
    </row>
    <row r="259" spans="1:32" x14ac:dyDescent="0.25">
      <c r="A259" s="7" t="s">
        <v>2657</v>
      </c>
      <c r="B259" s="9">
        <v>4071999</v>
      </c>
      <c r="C259" s="70">
        <v>45083</v>
      </c>
      <c r="D259" s="70">
        <v>45083</v>
      </c>
      <c r="E259" s="73"/>
      <c r="F259" s="9"/>
      <c r="H259" s="9" t="s">
        <v>1700</v>
      </c>
      <c r="I259" s="7" t="s">
        <v>2588</v>
      </c>
      <c r="J259" s="51" t="s">
        <v>65</v>
      </c>
      <c r="K259" s="7"/>
      <c r="L259" s="10"/>
      <c r="M259" s="10"/>
      <c r="N259" s="10"/>
      <c r="O259" s="10"/>
      <c r="P259" s="10"/>
      <c r="Q259" s="10"/>
      <c r="R259" s="10"/>
      <c r="S259" s="10"/>
      <c r="T259" s="10">
        <v>6481.6</v>
      </c>
      <c r="U259" s="10"/>
      <c r="V259" s="10"/>
      <c r="W259" s="10"/>
      <c r="X259" s="10"/>
      <c r="Y259" s="10"/>
      <c r="Z259" s="10"/>
      <c r="AA259" s="33"/>
      <c r="AB259" s="10"/>
      <c r="AC259" s="33">
        <v>6481.6</v>
      </c>
      <c r="AD259" s="10">
        <f t="shared" si="5"/>
        <v>0</v>
      </c>
      <c r="AE259" s="82"/>
    </row>
    <row r="260" spans="1:32" x14ac:dyDescent="0.25">
      <c r="A260" s="7" t="s">
        <v>2658</v>
      </c>
      <c r="B260" s="9" t="s">
        <v>2677</v>
      </c>
      <c r="C260" s="70">
        <v>45084</v>
      </c>
      <c r="D260" s="70">
        <v>45084</v>
      </c>
      <c r="E260" s="73"/>
      <c r="F260" s="9"/>
      <c r="H260" s="9"/>
      <c r="I260" s="7" t="s">
        <v>55</v>
      </c>
      <c r="J260" s="51" t="s">
        <v>54</v>
      </c>
      <c r="K260" s="7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>
        <v>400000</v>
      </c>
      <c r="AA260" s="33"/>
      <c r="AB260" s="10"/>
      <c r="AC260" s="33">
        <v>400000</v>
      </c>
      <c r="AD260" s="10">
        <f t="shared" si="5"/>
        <v>0</v>
      </c>
      <c r="AE260" s="82"/>
    </row>
    <row r="261" spans="1:32" x14ac:dyDescent="0.25">
      <c r="A261" s="7" t="s">
        <v>2659</v>
      </c>
      <c r="B261" s="9">
        <v>4072000</v>
      </c>
      <c r="C261" s="70">
        <v>45085</v>
      </c>
      <c r="D261" s="70">
        <v>45085</v>
      </c>
      <c r="E261" s="73"/>
      <c r="F261" s="9"/>
      <c r="H261" s="9"/>
      <c r="I261" s="7" t="s">
        <v>1222</v>
      </c>
      <c r="J261" s="51" t="s">
        <v>39</v>
      </c>
      <c r="K261" s="7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33">
        <v>17277.5</v>
      </c>
      <c r="AB261" s="10"/>
      <c r="AC261" s="33">
        <v>17277.5</v>
      </c>
      <c r="AD261" s="10">
        <f t="shared" si="5"/>
        <v>0</v>
      </c>
      <c r="AE261" s="82"/>
    </row>
    <row r="262" spans="1:32" x14ac:dyDescent="0.25">
      <c r="A262" s="7" t="s">
        <v>2660</v>
      </c>
      <c r="B262" s="9">
        <v>4072001</v>
      </c>
      <c r="C262" s="70">
        <v>45085</v>
      </c>
      <c r="D262" s="70">
        <v>45085</v>
      </c>
      <c r="E262" s="73"/>
      <c r="F262" s="9"/>
      <c r="H262" s="9"/>
      <c r="I262" s="7" t="s">
        <v>1222</v>
      </c>
      <c r="J262" s="51" t="s">
        <v>2680</v>
      </c>
      <c r="K262" s="7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33">
        <v>70000</v>
      </c>
      <c r="AB262" s="10"/>
      <c r="AC262" s="33">
        <v>70000</v>
      </c>
      <c r="AD262" s="10">
        <f t="shared" si="5"/>
        <v>0</v>
      </c>
      <c r="AE262" s="82"/>
    </row>
    <row r="263" spans="1:32" x14ac:dyDescent="0.25">
      <c r="A263" s="7" t="s">
        <v>2661</v>
      </c>
      <c r="B263" s="9">
        <v>4072002</v>
      </c>
      <c r="C263" s="70">
        <v>45085</v>
      </c>
      <c r="D263" s="70">
        <v>45085</v>
      </c>
      <c r="E263" s="73"/>
      <c r="F263" s="9"/>
      <c r="H263" s="9"/>
      <c r="I263" s="7" t="s">
        <v>2681</v>
      </c>
      <c r="J263" s="51" t="s">
        <v>18</v>
      </c>
      <c r="K263" s="7"/>
      <c r="L263" s="10">
        <v>151.09</v>
      </c>
      <c r="M263" s="10"/>
      <c r="N263" s="10"/>
      <c r="O263" s="10"/>
      <c r="P263" s="10"/>
      <c r="Q263" s="10"/>
      <c r="R263" s="10">
        <v>1259.06</v>
      </c>
      <c r="S263" s="10"/>
      <c r="T263" s="10"/>
      <c r="U263" s="10"/>
      <c r="V263" s="10"/>
      <c r="W263" s="10"/>
      <c r="X263" s="10"/>
      <c r="Y263" s="10"/>
      <c r="Z263" s="10"/>
      <c r="AA263" s="33"/>
      <c r="AB263" s="10"/>
      <c r="AC263" s="33">
        <v>1410.15</v>
      </c>
      <c r="AD263" s="10">
        <f t="shared" si="5"/>
        <v>0</v>
      </c>
      <c r="AE263" s="82"/>
    </row>
    <row r="264" spans="1:32" x14ac:dyDescent="0.25">
      <c r="A264" s="7" t="s">
        <v>2662</v>
      </c>
      <c r="B264" s="9">
        <v>4072003</v>
      </c>
      <c r="C264" s="70">
        <v>45085</v>
      </c>
      <c r="D264" s="70">
        <v>45085</v>
      </c>
      <c r="E264" s="73"/>
      <c r="F264" s="9"/>
      <c r="H264" s="9"/>
      <c r="I264" s="7" t="s">
        <v>2681</v>
      </c>
      <c r="J264" s="51" t="s">
        <v>18</v>
      </c>
      <c r="K264" s="7"/>
      <c r="L264" s="10">
        <v>811.09</v>
      </c>
      <c r="M264" s="10"/>
      <c r="N264" s="10"/>
      <c r="O264" s="10"/>
      <c r="P264" s="10"/>
      <c r="Q264" s="10"/>
      <c r="R264" s="10">
        <v>6759.06</v>
      </c>
      <c r="S264" s="10"/>
      <c r="T264" s="10"/>
      <c r="U264" s="10"/>
      <c r="V264" s="10"/>
      <c r="W264" s="10"/>
      <c r="X264" s="10"/>
      <c r="Y264" s="10"/>
      <c r="Z264" s="10"/>
      <c r="AA264" s="33"/>
      <c r="AB264" s="10"/>
      <c r="AC264" s="33">
        <v>7570.15</v>
      </c>
      <c r="AD264" s="10">
        <f t="shared" si="5"/>
        <v>0</v>
      </c>
      <c r="AE264" s="82"/>
    </row>
    <row r="265" spans="1:32" x14ac:dyDescent="0.25">
      <c r="A265" s="7" t="s">
        <v>2663</v>
      </c>
      <c r="B265" s="9">
        <v>4072004</v>
      </c>
      <c r="C265" s="70">
        <v>45091</v>
      </c>
      <c r="D265" s="70">
        <v>45085</v>
      </c>
      <c r="E265" s="73"/>
      <c r="F265" s="9"/>
      <c r="H265" s="9"/>
      <c r="I265" s="7" t="s">
        <v>123</v>
      </c>
      <c r="J265" s="51" t="s">
        <v>51</v>
      </c>
      <c r="K265" s="7"/>
      <c r="L265" s="10"/>
      <c r="M265" s="10">
        <v>23000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33"/>
      <c r="AB265" s="10"/>
      <c r="AC265" s="33">
        <v>23000</v>
      </c>
      <c r="AD265" s="10">
        <f t="shared" si="5"/>
        <v>0</v>
      </c>
      <c r="AE265" s="82"/>
    </row>
    <row r="266" spans="1:32" x14ac:dyDescent="0.25">
      <c r="A266" s="7" t="s">
        <v>2664</v>
      </c>
      <c r="B266" s="9">
        <v>4072005</v>
      </c>
      <c r="C266" s="70">
        <v>45098</v>
      </c>
      <c r="D266" s="70">
        <v>45085</v>
      </c>
      <c r="E266" s="73"/>
      <c r="F266" s="9"/>
      <c r="H266" s="9"/>
      <c r="I266" s="7" t="s">
        <v>123</v>
      </c>
      <c r="J266" s="51" t="s">
        <v>51</v>
      </c>
      <c r="K266" s="7"/>
      <c r="L266" s="10"/>
      <c r="M266" s="10">
        <v>23000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33"/>
      <c r="AB266" s="10"/>
      <c r="AC266" s="33">
        <v>23000</v>
      </c>
      <c r="AD266" s="10">
        <f t="shared" si="5"/>
        <v>0</v>
      </c>
      <c r="AE266" s="82"/>
    </row>
    <row r="267" spans="1:32" x14ac:dyDescent="0.25">
      <c r="A267" s="7" t="s">
        <v>2665</v>
      </c>
      <c r="B267" s="9">
        <v>4072006</v>
      </c>
      <c r="C267" s="70">
        <v>45122</v>
      </c>
      <c r="D267" s="70">
        <v>45085</v>
      </c>
      <c r="E267" s="73">
        <v>45099</v>
      </c>
      <c r="F267" s="9" t="s">
        <v>3198</v>
      </c>
      <c r="G267" s="9" t="s">
        <v>1137</v>
      </c>
      <c r="H267" s="9"/>
      <c r="I267" s="7" t="s">
        <v>2682</v>
      </c>
      <c r="J267" s="51" t="s">
        <v>1226</v>
      </c>
      <c r="K267" s="7" t="s">
        <v>1039</v>
      </c>
      <c r="L267" s="10">
        <v>4553.57</v>
      </c>
      <c r="M267" s="10">
        <v>37946.43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33"/>
      <c r="AB267" s="10"/>
      <c r="AC267" s="33">
        <v>42500</v>
      </c>
      <c r="AD267" s="10">
        <f t="shared" si="5"/>
        <v>0</v>
      </c>
      <c r="AE267" s="82"/>
      <c r="AF267" s="17">
        <v>379.46</v>
      </c>
    </row>
    <row r="268" spans="1:32" x14ac:dyDescent="0.25">
      <c r="A268" s="7" t="s">
        <v>2666</v>
      </c>
      <c r="B268" s="9">
        <v>4072007</v>
      </c>
      <c r="C268" s="70">
        <v>45122</v>
      </c>
      <c r="D268" s="70">
        <v>45085</v>
      </c>
      <c r="E268" s="73">
        <v>45099</v>
      </c>
      <c r="F268" s="9" t="s">
        <v>3199</v>
      </c>
      <c r="G268" s="9" t="s">
        <v>2239</v>
      </c>
      <c r="H268" s="9"/>
      <c r="I268" s="7" t="s">
        <v>1418</v>
      </c>
      <c r="J268" s="51" t="s">
        <v>1226</v>
      </c>
      <c r="K268" s="7" t="s">
        <v>1039</v>
      </c>
      <c r="L268" s="10">
        <v>6428.57</v>
      </c>
      <c r="M268" s="10">
        <v>53571.43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33"/>
      <c r="AB268" s="10"/>
      <c r="AC268" s="33">
        <v>60000</v>
      </c>
      <c r="AD268" s="10">
        <f t="shared" si="5"/>
        <v>0</v>
      </c>
      <c r="AE268" s="82"/>
      <c r="AF268" s="17">
        <v>535.71</v>
      </c>
    </row>
    <row r="269" spans="1:32" x14ac:dyDescent="0.25">
      <c r="A269" s="7" t="s">
        <v>2667</v>
      </c>
      <c r="B269" s="9">
        <v>4072008</v>
      </c>
      <c r="C269" s="70">
        <v>45122</v>
      </c>
      <c r="D269" s="70">
        <v>45085</v>
      </c>
      <c r="E269" s="73">
        <v>45099</v>
      </c>
      <c r="F269" s="9" t="s">
        <v>3200</v>
      </c>
      <c r="G269" s="9" t="s">
        <v>2313</v>
      </c>
      <c r="H269" s="9"/>
      <c r="I269" s="7" t="s">
        <v>2683</v>
      </c>
      <c r="J269" s="51" t="s">
        <v>1226</v>
      </c>
      <c r="K269" s="7" t="s">
        <v>1039</v>
      </c>
      <c r="L269" s="10">
        <v>2292.86</v>
      </c>
      <c r="M269" s="10">
        <v>19107.14</v>
      </c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33"/>
      <c r="AB269" s="10"/>
      <c r="AC269" s="33">
        <v>21400</v>
      </c>
      <c r="AD269" s="10">
        <f t="shared" si="5"/>
        <v>0</v>
      </c>
      <c r="AE269" s="82"/>
      <c r="AF269" s="17">
        <v>191.07</v>
      </c>
    </row>
    <row r="270" spans="1:32" x14ac:dyDescent="0.25">
      <c r="A270" s="7" t="s">
        <v>2668</v>
      </c>
      <c r="B270" s="9">
        <v>4072009</v>
      </c>
      <c r="C270" s="70">
        <v>45122</v>
      </c>
      <c r="D270" s="70">
        <v>45085</v>
      </c>
      <c r="E270" s="73">
        <v>45099</v>
      </c>
      <c r="F270" s="9" t="s">
        <v>3201</v>
      </c>
      <c r="G270" s="9" t="s">
        <v>2314</v>
      </c>
      <c r="H270" s="9"/>
      <c r="I270" s="7" t="s">
        <v>2683</v>
      </c>
      <c r="J270" s="51" t="s">
        <v>1226</v>
      </c>
      <c r="K270" s="7" t="s">
        <v>1039</v>
      </c>
      <c r="L270" s="10">
        <v>4553.57</v>
      </c>
      <c r="M270" s="10">
        <v>37946.43</v>
      </c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33"/>
      <c r="AB270" s="10"/>
      <c r="AC270" s="33">
        <v>42500</v>
      </c>
      <c r="AD270" s="10">
        <f t="shared" si="5"/>
        <v>0</v>
      </c>
      <c r="AE270" s="82"/>
      <c r="AF270" s="17">
        <v>379.46</v>
      </c>
    </row>
    <row r="271" spans="1:32" x14ac:dyDescent="0.25">
      <c r="A271" s="7" t="s">
        <v>2669</v>
      </c>
      <c r="B271" s="9">
        <v>4072010</v>
      </c>
      <c r="C271" s="70">
        <v>45129</v>
      </c>
      <c r="D271" s="70">
        <v>45085</v>
      </c>
      <c r="E271" s="73">
        <v>45099</v>
      </c>
      <c r="F271" s="9" t="s">
        <v>3202</v>
      </c>
      <c r="G271" s="9" t="s">
        <v>2328</v>
      </c>
      <c r="H271" s="9"/>
      <c r="I271" s="7" t="s">
        <v>2684</v>
      </c>
      <c r="J271" s="51" t="s">
        <v>1226</v>
      </c>
      <c r="K271" s="7" t="s">
        <v>1039</v>
      </c>
      <c r="L271" s="10">
        <v>5625</v>
      </c>
      <c r="M271" s="10">
        <v>46875</v>
      </c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33"/>
      <c r="AB271" s="10"/>
      <c r="AC271" s="33">
        <v>52500</v>
      </c>
      <c r="AD271" s="10">
        <f t="shared" si="5"/>
        <v>0</v>
      </c>
      <c r="AE271" s="82"/>
      <c r="AF271" s="17">
        <v>468.75</v>
      </c>
    </row>
    <row r="272" spans="1:32" x14ac:dyDescent="0.25">
      <c r="A272" s="7" t="s">
        <v>2670</v>
      </c>
      <c r="B272" s="9">
        <v>4072011</v>
      </c>
      <c r="C272" s="70">
        <v>45085</v>
      </c>
      <c r="D272" s="70">
        <v>45085</v>
      </c>
      <c r="E272" s="73"/>
      <c r="F272" s="9"/>
      <c r="H272" s="9"/>
      <c r="I272" s="7" t="s">
        <v>2685</v>
      </c>
      <c r="J272" s="51" t="s">
        <v>43</v>
      </c>
      <c r="K272" s="7"/>
      <c r="L272" s="10">
        <v>32.14</v>
      </c>
      <c r="M272" s="10"/>
      <c r="N272" s="10"/>
      <c r="O272" s="10"/>
      <c r="P272" s="10"/>
      <c r="Q272" s="10"/>
      <c r="R272" s="10"/>
      <c r="S272" s="10">
        <v>267.86</v>
      </c>
      <c r="T272" s="10"/>
      <c r="U272" s="10"/>
      <c r="V272" s="10"/>
      <c r="W272" s="10"/>
      <c r="X272" s="10"/>
      <c r="Y272" s="10"/>
      <c r="Z272" s="10"/>
      <c r="AA272" s="33"/>
      <c r="AB272" s="10"/>
      <c r="AC272" s="33">
        <v>300</v>
      </c>
      <c r="AD272" s="10">
        <f t="shared" si="5"/>
        <v>0</v>
      </c>
      <c r="AE272" s="82"/>
    </row>
    <row r="273" spans="1:32" x14ac:dyDescent="0.25">
      <c r="A273" s="7" t="s">
        <v>2671</v>
      </c>
      <c r="B273" s="9">
        <v>4072012</v>
      </c>
      <c r="C273" s="70">
        <v>45085</v>
      </c>
      <c r="D273" s="70">
        <v>45085</v>
      </c>
      <c r="E273" s="73"/>
      <c r="F273" s="9"/>
      <c r="H273" s="9"/>
      <c r="I273" s="7" t="s">
        <v>2685</v>
      </c>
      <c r="J273" s="51" t="s">
        <v>43</v>
      </c>
      <c r="K273" s="7"/>
      <c r="L273" s="10">
        <v>128.36000000000001</v>
      </c>
      <c r="M273" s="10"/>
      <c r="N273" s="10"/>
      <c r="O273" s="10"/>
      <c r="P273" s="10"/>
      <c r="Q273" s="10"/>
      <c r="R273" s="10"/>
      <c r="S273" s="10">
        <v>1069.6400000000001</v>
      </c>
      <c r="T273" s="10"/>
      <c r="U273" s="10"/>
      <c r="V273" s="10"/>
      <c r="W273" s="10"/>
      <c r="X273" s="10"/>
      <c r="Y273" s="10"/>
      <c r="Z273" s="10"/>
      <c r="AA273" s="33"/>
      <c r="AB273" s="10"/>
      <c r="AC273" s="33">
        <v>1198</v>
      </c>
      <c r="AD273" s="10">
        <f t="shared" si="5"/>
        <v>0</v>
      </c>
      <c r="AE273" s="82"/>
    </row>
    <row r="274" spans="1:32" x14ac:dyDescent="0.25">
      <c r="A274" s="7" t="s">
        <v>2672</v>
      </c>
      <c r="B274" s="9">
        <v>4072013</v>
      </c>
      <c r="C274" s="70">
        <v>45085</v>
      </c>
      <c r="D274" s="70">
        <v>45085</v>
      </c>
      <c r="E274" s="73"/>
      <c r="F274" s="9"/>
      <c r="H274" s="9" t="s">
        <v>1701</v>
      </c>
      <c r="I274" s="7" t="s">
        <v>1174</v>
      </c>
      <c r="J274" s="51" t="s">
        <v>65</v>
      </c>
      <c r="K274" s="7"/>
      <c r="L274" s="10"/>
      <c r="M274" s="10"/>
      <c r="N274" s="10"/>
      <c r="O274" s="10"/>
      <c r="P274" s="10"/>
      <c r="Q274" s="10"/>
      <c r="R274" s="10"/>
      <c r="S274" s="10"/>
      <c r="T274" s="10">
        <v>15749</v>
      </c>
      <c r="U274" s="10"/>
      <c r="V274" s="10"/>
      <c r="W274" s="10"/>
      <c r="X274" s="10"/>
      <c r="Y274" s="10"/>
      <c r="Z274" s="10"/>
      <c r="AA274" s="33"/>
      <c r="AB274" s="10"/>
      <c r="AC274" s="33">
        <v>15749</v>
      </c>
      <c r="AD274" s="10">
        <f t="shared" si="5"/>
        <v>0</v>
      </c>
      <c r="AE274" s="82"/>
    </row>
    <row r="275" spans="1:32" x14ac:dyDescent="0.25">
      <c r="A275" s="7" t="s">
        <v>2673</v>
      </c>
      <c r="B275" s="9">
        <v>4072014</v>
      </c>
      <c r="C275" s="70">
        <v>45116</v>
      </c>
      <c r="D275" s="70">
        <v>45086</v>
      </c>
      <c r="E275" s="73"/>
      <c r="F275" s="9"/>
      <c r="G275" s="9" t="s">
        <v>2329</v>
      </c>
      <c r="H275" s="9"/>
      <c r="I275" s="7" t="s">
        <v>2686</v>
      </c>
      <c r="J275" s="51" t="s">
        <v>2687</v>
      </c>
      <c r="K275" s="7" t="s">
        <v>2688</v>
      </c>
      <c r="L275" s="10">
        <v>1162.5</v>
      </c>
      <c r="M275" s="10">
        <v>9687.5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33"/>
      <c r="AB275" s="10"/>
      <c r="AC275" s="33">
        <v>10850</v>
      </c>
      <c r="AD275" s="10">
        <f t="shared" si="5"/>
        <v>0</v>
      </c>
      <c r="AE275" s="82"/>
      <c r="AF275" s="17">
        <v>96.88</v>
      </c>
    </row>
    <row r="276" spans="1:32" x14ac:dyDescent="0.25">
      <c r="A276" s="7" t="s">
        <v>2674</v>
      </c>
      <c r="B276" s="9" t="s">
        <v>2689</v>
      </c>
      <c r="C276" s="70">
        <v>45090</v>
      </c>
      <c r="D276" s="70">
        <v>45086</v>
      </c>
      <c r="E276" s="73"/>
      <c r="F276" s="9"/>
      <c r="G276" s="9" t="s">
        <v>2331</v>
      </c>
      <c r="H276" s="9"/>
      <c r="I276" s="7" t="s">
        <v>2690</v>
      </c>
      <c r="J276" s="51" t="s">
        <v>1999</v>
      </c>
      <c r="K276" s="7" t="s">
        <v>2297</v>
      </c>
      <c r="L276" s="10">
        <v>13714.29</v>
      </c>
      <c r="M276" s="10">
        <v>114285.71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33"/>
      <c r="AB276" s="10"/>
      <c r="AC276" s="33">
        <v>128000</v>
      </c>
      <c r="AD276" s="10">
        <f t="shared" si="5"/>
        <v>0</v>
      </c>
      <c r="AE276" s="82"/>
      <c r="AF276" s="17">
        <v>1142.8599999999999</v>
      </c>
    </row>
    <row r="277" spans="1:32" x14ac:dyDescent="0.25">
      <c r="A277" s="7" t="s">
        <v>2675</v>
      </c>
      <c r="B277" s="9">
        <v>4072015</v>
      </c>
      <c r="C277" s="70">
        <v>45097</v>
      </c>
      <c r="D277" s="70">
        <v>45097</v>
      </c>
      <c r="E277" s="73">
        <v>45097</v>
      </c>
      <c r="F277" s="9" t="s">
        <v>3203</v>
      </c>
      <c r="H277" s="9"/>
      <c r="I277" s="7" t="s">
        <v>2732</v>
      </c>
      <c r="J277" s="51" t="s">
        <v>109</v>
      </c>
      <c r="K277" s="7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33">
        <v>39211.629999999997</v>
      </c>
      <c r="AB277" s="10"/>
      <c r="AC277" s="33">
        <v>39211.629999999997</v>
      </c>
      <c r="AD277" s="10">
        <f t="shared" si="5"/>
        <v>0</v>
      </c>
      <c r="AE277" s="82"/>
    </row>
    <row r="278" spans="1:32" x14ac:dyDescent="0.25">
      <c r="A278" s="7" t="s">
        <v>2676</v>
      </c>
      <c r="B278" s="9" t="s">
        <v>2733</v>
      </c>
      <c r="C278" s="70">
        <v>45098</v>
      </c>
      <c r="D278" s="70">
        <v>45098</v>
      </c>
      <c r="E278" s="73">
        <v>45099</v>
      </c>
      <c r="F278" s="9" t="s">
        <v>3204</v>
      </c>
      <c r="G278" s="9" t="s">
        <v>2334</v>
      </c>
      <c r="H278" s="9"/>
      <c r="I278" s="7" t="s">
        <v>2734</v>
      </c>
      <c r="J278" s="51" t="s">
        <v>1999</v>
      </c>
      <c r="K278" s="7" t="s">
        <v>2297</v>
      </c>
      <c r="L278" s="10">
        <v>3856.07</v>
      </c>
      <c r="M278" s="10">
        <v>32133.93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33"/>
      <c r="AB278" s="10"/>
      <c r="AC278" s="33">
        <v>35990</v>
      </c>
      <c r="AD278" s="10">
        <f t="shared" si="5"/>
        <v>0</v>
      </c>
      <c r="AE278" s="82"/>
      <c r="AF278" s="17">
        <v>321.33999999999997</v>
      </c>
    </row>
    <row r="279" spans="1:32" x14ac:dyDescent="0.25">
      <c r="A279" s="7" t="s">
        <v>2691</v>
      </c>
      <c r="B279" s="9">
        <v>4072016</v>
      </c>
      <c r="C279" s="70">
        <v>45098</v>
      </c>
      <c r="D279" s="70">
        <v>45098</v>
      </c>
      <c r="E279" s="73">
        <v>45100</v>
      </c>
      <c r="F279" s="9" t="s">
        <v>3205</v>
      </c>
      <c r="H279" s="9"/>
      <c r="I279" s="7" t="s">
        <v>2735</v>
      </c>
      <c r="J279" s="51" t="s">
        <v>127</v>
      </c>
      <c r="K279" s="7"/>
      <c r="L279" s="10">
        <v>662.4</v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33">
        <v>5447.71</v>
      </c>
      <c r="AB279" s="10"/>
      <c r="AC279" s="33">
        <v>6110.11</v>
      </c>
      <c r="AD279" s="10">
        <f t="shared" si="5"/>
        <v>0</v>
      </c>
      <c r="AE279" s="82"/>
    </row>
    <row r="280" spans="1:32" x14ac:dyDescent="0.25">
      <c r="A280" s="7" t="s">
        <v>2692</v>
      </c>
      <c r="B280" s="9">
        <v>4072017</v>
      </c>
      <c r="C280" s="70">
        <v>45099</v>
      </c>
      <c r="D280" s="70">
        <v>45099</v>
      </c>
      <c r="E280" s="73"/>
      <c r="F280" s="9"/>
      <c r="H280" s="9"/>
      <c r="I280" s="7" t="s">
        <v>2736</v>
      </c>
      <c r="J280" s="51" t="s">
        <v>2737</v>
      </c>
      <c r="K280" s="7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33">
        <v>31500</v>
      </c>
      <c r="AB280" s="10"/>
      <c r="AC280" s="33">
        <v>31500</v>
      </c>
      <c r="AD280" s="10">
        <f t="shared" si="5"/>
        <v>0</v>
      </c>
      <c r="AE280" s="82"/>
    </row>
    <row r="281" spans="1:32" x14ac:dyDescent="0.25">
      <c r="A281" s="7" t="s">
        <v>2693</v>
      </c>
      <c r="B281" s="9">
        <v>4072018</v>
      </c>
      <c r="C281" s="70">
        <v>45099</v>
      </c>
      <c r="D281" s="70">
        <v>45099</v>
      </c>
      <c r="E281" s="73"/>
      <c r="F281" s="9"/>
      <c r="H281" s="9"/>
      <c r="I281" s="7" t="s">
        <v>2738</v>
      </c>
      <c r="J281" s="51" t="s">
        <v>1202</v>
      </c>
      <c r="K281" s="7"/>
      <c r="L281" s="10">
        <v>1061.02</v>
      </c>
      <c r="M281" s="10"/>
      <c r="N281" s="10"/>
      <c r="O281" s="10"/>
      <c r="P281" s="10"/>
      <c r="Q281" s="10"/>
      <c r="R281" s="10"/>
      <c r="S281" s="10">
        <v>8841.8799999999992</v>
      </c>
      <c r="T281" s="10"/>
      <c r="U281" s="10"/>
      <c r="V281" s="10"/>
      <c r="W281" s="10"/>
      <c r="X281" s="10"/>
      <c r="Y281" s="10"/>
      <c r="Z281" s="10"/>
      <c r="AA281" s="33"/>
      <c r="AB281" s="10"/>
      <c r="AC281" s="33">
        <v>9902.9</v>
      </c>
      <c r="AD281" s="10">
        <f t="shared" si="5"/>
        <v>0</v>
      </c>
      <c r="AE281" s="82"/>
    </row>
    <row r="282" spans="1:32" x14ac:dyDescent="0.25">
      <c r="A282" s="7" t="s">
        <v>2694</v>
      </c>
      <c r="B282" s="9">
        <v>4072019</v>
      </c>
      <c r="C282" s="70">
        <v>45099</v>
      </c>
      <c r="D282" s="70">
        <v>45099</v>
      </c>
      <c r="E282" s="73"/>
      <c r="F282" s="9"/>
      <c r="H282" s="9"/>
      <c r="I282" s="7" t="s">
        <v>2739</v>
      </c>
      <c r="J282" s="51" t="s">
        <v>44</v>
      </c>
      <c r="K282" s="7"/>
      <c r="L282" s="10">
        <v>901.24</v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>
        <v>7510.29</v>
      </c>
      <c r="Y282" s="10"/>
      <c r="Z282" s="10"/>
      <c r="AA282" s="33"/>
      <c r="AB282" s="10"/>
      <c r="AC282" s="33">
        <v>8411.5300000000007</v>
      </c>
      <c r="AD282" s="10">
        <f t="shared" si="5"/>
        <v>0</v>
      </c>
      <c r="AE282" s="82"/>
    </row>
    <row r="283" spans="1:32" x14ac:dyDescent="0.25">
      <c r="A283" s="7" t="s">
        <v>2695</v>
      </c>
      <c r="B283" s="9" t="s">
        <v>2740</v>
      </c>
      <c r="C283" s="70">
        <v>45099</v>
      </c>
      <c r="D283" s="70">
        <v>45099</v>
      </c>
      <c r="E283" s="73">
        <v>45100</v>
      </c>
      <c r="F283" s="9" t="s">
        <v>3206</v>
      </c>
      <c r="H283" s="9"/>
      <c r="I283" s="7" t="s">
        <v>63</v>
      </c>
      <c r="J283" s="51" t="s">
        <v>109</v>
      </c>
      <c r="K283" s="7"/>
      <c r="L283" s="10"/>
      <c r="M283" s="10"/>
      <c r="N283" s="10">
        <v>105928.2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33"/>
      <c r="AB283" s="10"/>
      <c r="AC283" s="33">
        <v>105928.2</v>
      </c>
      <c r="AD283" s="10">
        <f t="shared" si="5"/>
        <v>0</v>
      </c>
      <c r="AE283" s="82"/>
    </row>
    <row r="284" spans="1:32" x14ac:dyDescent="0.25">
      <c r="A284" s="7" t="s">
        <v>2696</v>
      </c>
      <c r="B284" s="9">
        <v>4072020</v>
      </c>
      <c r="C284" s="70">
        <v>45100</v>
      </c>
      <c r="D284" s="70">
        <v>45100</v>
      </c>
      <c r="E284" s="73">
        <v>45104</v>
      </c>
      <c r="F284" s="9" t="s">
        <v>3207</v>
      </c>
      <c r="H284" s="9"/>
      <c r="I284" s="7" t="s">
        <v>2741</v>
      </c>
      <c r="J284" s="51" t="s">
        <v>109</v>
      </c>
      <c r="K284" s="7"/>
      <c r="L284" s="10"/>
      <c r="M284" s="10">
        <v>1680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33"/>
      <c r="AB284" s="10"/>
      <c r="AC284" s="33">
        <v>1680</v>
      </c>
      <c r="AD284" s="10">
        <f t="shared" si="5"/>
        <v>0</v>
      </c>
      <c r="AE284" s="82"/>
    </row>
    <row r="285" spans="1:32" x14ac:dyDescent="0.25">
      <c r="A285" s="7" t="s">
        <v>2697</v>
      </c>
      <c r="B285" s="9">
        <v>4072021</v>
      </c>
      <c r="C285" s="70">
        <v>45145</v>
      </c>
      <c r="D285" s="70">
        <v>45100</v>
      </c>
      <c r="E285" s="73">
        <v>45118</v>
      </c>
      <c r="F285" s="9" t="s">
        <v>3208</v>
      </c>
      <c r="G285" s="9" t="s">
        <v>2332</v>
      </c>
      <c r="H285" s="9"/>
      <c r="I285" s="7" t="s">
        <v>2742</v>
      </c>
      <c r="J285" s="51" t="s">
        <v>1226</v>
      </c>
      <c r="K285" s="7" t="s">
        <v>1039</v>
      </c>
      <c r="L285" s="10">
        <v>4017.86</v>
      </c>
      <c r="M285" s="10">
        <v>33482.14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33"/>
      <c r="AB285" s="10"/>
      <c r="AC285" s="33">
        <v>37500</v>
      </c>
      <c r="AD285" s="10">
        <f t="shared" si="5"/>
        <v>0</v>
      </c>
      <c r="AE285" s="82"/>
      <c r="AF285" s="17">
        <v>334.82</v>
      </c>
    </row>
    <row r="286" spans="1:32" x14ac:dyDescent="0.25">
      <c r="A286" s="7" t="s">
        <v>2698</v>
      </c>
      <c r="B286" s="9">
        <v>4072023</v>
      </c>
      <c r="C286" s="70">
        <v>45136</v>
      </c>
      <c r="D286" s="70">
        <v>45100</v>
      </c>
      <c r="E286" s="73">
        <v>45120</v>
      </c>
      <c r="F286" s="9" t="s">
        <v>3209</v>
      </c>
      <c r="G286" s="9" t="s">
        <v>2333</v>
      </c>
      <c r="H286" s="9"/>
      <c r="I286" s="7" t="s">
        <v>2743</v>
      </c>
      <c r="J286" s="51" t="s">
        <v>2043</v>
      </c>
      <c r="K286" s="7" t="s">
        <v>2138</v>
      </c>
      <c r="L286" s="10">
        <v>3214.29</v>
      </c>
      <c r="M286" s="10">
        <v>26785.71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33"/>
      <c r="AB286" s="10"/>
      <c r="AC286" s="33">
        <v>30000</v>
      </c>
      <c r="AD286" s="10">
        <f t="shared" si="5"/>
        <v>0</v>
      </c>
      <c r="AE286" s="82"/>
      <c r="AF286" s="17">
        <v>267.86</v>
      </c>
    </row>
    <row r="287" spans="1:32" x14ac:dyDescent="0.25">
      <c r="A287" s="7" t="s">
        <v>2699</v>
      </c>
      <c r="B287" s="9">
        <v>4072024</v>
      </c>
      <c r="C287" s="70">
        <v>45103</v>
      </c>
      <c r="D287" s="70">
        <v>45103</v>
      </c>
      <c r="E287" s="73"/>
      <c r="F287" s="9"/>
      <c r="H287" s="9" t="s">
        <v>1716</v>
      </c>
      <c r="I287" s="7" t="s">
        <v>1174</v>
      </c>
      <c r="J287" s="51" t="s">
        <v>65</v>
      </c>
      <c r="K287" s="7"/>
      <c r="L287" s="10"/>
      <c r="M287" s="10"/>
      <c r="N287" s="10"/>
      <c r="O287" s="10"/>
      <c r="P287" s="10"/>
      <c r="Q287" s="10"/>
      <c r="R287" s="10"/>
      <c r="S287" s="10"/>
      <c r="T287" s="10">
        <v>6813</v>
      </c>
      <c r="U287" s="10"/>
      <c r="V287" s="10"/>
      <c r="W287" s="10"/>
      <c r="X287" s="10"/>
      <c r="Y287" s="10"/>
      <c r="Z287" s="10"/>
      <c r="AA287" s="33"/>
      <c r="AB287" s="10"/>
      <c r="AC287" s="33">
        <v>6813</v>
      </c>
      <c r="AD287" s="10">
        <f t="shared" si="5"/>
        <v>0</v>
      </c>
      <c r="AE287" s="82"/>
    </row>
    <row r="288" spans="1:32" x14ac:dyDescent="0.25">
      <c r="A288" s="7" t="s">
        <v>2700</v>
      </c>
      <c r="B288" s="9">
        <v>4072025</v>
      </c>
      <c r="C288" s="70">
        <v>45103</v>
      </c>
      <c r="D288" s="70">
        <v>45103</v>
      </c>
      <c r="E288" s="73"/>
      <c r="F288" s="9"/>
      <c r="H288" s="9"/>
      <c r="I288" s="7" t="s">
        <v>118</v>
      </c>
      <c r="J288" s="51" t="s">
        <v>1847</v>
      </c>
      <c r="K288" s="7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33">
        <v>12437.88</v>
      </c>
      <c r="AB288" s="10"/>
      <c r="AC288" s="33">
        <v>12437.88</v>
      </c>
      <c r="AD288" s="10">
        <f t="shared" si="5"/>
        <v>0</v>
      </c>
      <c r="AE288" s="82"/>
    </row>
    <row r="289" spans="1:32" x14ac:dyDescent="0.25">
      <c r="A289" s="7" t="s">
        <v>2701</v>
      </c>
      <c r="B289" s="9">
        <v>4072026</v>
      </c>
      <c r="C289" s="70">
        <v>45103</v>
      </c>
      <c r="D289" s="70">
        <v>45103</v>
      </c>
      <c r="E289" s="73"/>
      <c r="F289" s="9"/>
      <c r="H289" s="9"/>
      <c r="I289" s="7" t="s">
        <v>118</v>
      </c>
      <c r="J289" s="51" t="s">
        <v>125</v>
      </c>
      <c r="K289" s="7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33">
        <v>6000</v>
      </c>
      <c r="AB289" s="10"/>
      <c r="AC289" s="33">
        <v>6000</v>
      </c>
      <c r="AD289" s="10">
        <f t="shared" si="5"/>
        <v>0</v>
      </c>
      <c r="AE289" s="82"/>
    </row>
    <row r="290" spans="1:32" x14ac:dyDescent="0.25">
      <c r="A290" s="7" t="s">
        <v>2702</v>
      </c>
      <c r="B290" s="9">
        <v>4072027</v>
      </c>
      <c r="C290" s="70">
        <v>45104</v>
      </c>
      <c r="D290" s="70">
        <v>45104</v>
      </c>
      <c r="E290" s="73"/>
      <c r="F290" s="9"/>
      <c r="H290" s="9"/>
      <c r="I290" s="7" t="s">
        <v>2749</v>
      </c>
      <c r="J290" s="51" t="s">
        <v>46</v>
      </c>
      <c r="K290" s="7"/>
      <c r="L290" s="10">
        <v>160.61000000000001</v>
      </c>
      <c r="M290" s="10"/>
      <c r="N290" s="10"/>
      <c r="O290" s="10"/>
      <c r="P290" s="10"/>
      <c r="Q290" s="10"/>
      <c r="R290" s="10"/>
      <c r="S290" s="10">
        <v>1338.39</v>
      </c>
      <c r="T290" s="10"/>
      <c r="U290" s="10"/>
      <c r="V290" s="10"/>
      <c r="W290" s="10"/>
      <c r="X290" s="10"/>
      <c r="Y290" s="10"/>
      <c r="Z290" s="10"/>
      <c r="AA290" s="33"/>
      <c r="AB290" s="10"/>
      <c r="AC290" s="33">
        <v>1499</v>
      </c>
      <c r="AD290" s="10">
        <f t="shared" ref="AD290:AD353" si="6">SUM(AB290:AC290)-SUM(L290:AA290)</f>
        <v>0</v>
      </c>
      <c r="AE290" s="82"/>
    </row>
    <row r="291" spans="1:32" x14ac:dyDescent="0.25">
      <c r="A291" s="7" t="s">
        <v>2703</v>
      </c>
      <c r="B291" s="9">
        <v>4072028</v>
      </c>
      <c r="C291" s="70">
        <v>45104</v>
      </c>
      <c r="D291" s="70">
        <v>45104</v>
      </c>
      <c r="E291" s="73"/>
      <c r="F291" s="9"/>
      <c r="H291" s="9"/>
      <c r="I291" s="7" t="s">
        <v>2749</v>
      </c>
      <c r="J291" s="51" t="s">
        <v>46</v>
      </c>
      <c r="K291" s="7"/>
      <c r="L291" s="10">
        <v>107.04</v>
      </c>
      <c r="M291" s="10"/>
      <c r="N291" s="10"/>
      <c r="O291" s="10"/>
      <c r="P291" s="10"/>
      <c r="Q291" s="10"/>
      <c r="R291" s="10"/>
      <c r="S291" s="10">
        <v>891.96</v>
      </c>
      <c r="T291" s="10"/>
      <c r="U291" s="10"/>
      <c r="V291" s="10"/>
      <c r="W291" s="10"/>
      <c r="X291" s="10"/>
      <c r="Y291" s="10"/>
      <c r="Z291" s="10"/>
      <c r="AA291" s="33"/>
      <c r="AB291" s="10"/>
      <c r="AC291" s="33">
        <v>999</v>
      </c>
      <c r="AD291" s="10">
        <f t="shared" si="6"/>
        <v>0</v>
      </c>
      <c r="AE291" s="82"/>
    </row>
    <row r="292" spans="1:32" x14ac:dyDescent="0.25">
      <c r="A292" s="7" t="s">
        <v>2704</v>
      </c>
      <c r="B292" s="9">
        <v>4072029</v>
      </c>
      <c r="C292" s="70">
        <v>45104</v>
      </c>
      <c r="D292" s="70">
        <v>45104</v>
      </c>
      <c r="E292" s="73"/>
      <c r="F292" s="9"/>
      <c r="H292" s="9"/>
      <c r="I292" s="7" t="s">
        <v>2748</v>
      </c>
      <c r="J292" s="51" t="s">
        <v>46</v>
      </c>
      <c r="K292" s="7"/>
      <c r="L292" s="10">
        <v>107.04</v>
      </c>
      <c r="M292" s="10"/>
      <c r="N292" s="10"/>
      <c r="O292" s="10"/>
      <c r="P292" s="10"/>
      <c r="Q292" s="10"/>
      <c r="R292" s="10"/>
      <c r="S292" s="10">
        <v>891.96</v>
      </c>
      <c r="T292" s="10"/>
      <c r="U292" s="10"/>
      <c r="V292" s="10"/>
      <c r="W292" s="10"/>
      <c r="X292" s="10"/>
      <c r="Y292" s="10"/>
      <c r="Z292" s="10"/>
      <c r="AA292" s="33"/>
      <c r="AB292" s="10"/>
      <c r="AC292" s="33">
        <v>999</v>
      </c>
      <c r="AD292" s="10">
        <f t="shared" si="6"/>
        <v>0</v>
      </c>
      <c r="AE292" s="82"/>
    </row>
    <row r="293" spans="1:32" x14ac:dyDescent="0.25">
      <c r="A293" s="7" t="s">
        <v>2705</v>
      </c>
      <c r="B293" s="9">
        <v>4072030</v>
      </c>
      <c r="C293" s="70">
        <v>45104</v>
      </c>
      <c r="D293" s="70">
        <v>45104</v>
      </c>
      <c r="E293" s="73"/>
      <c r="F293" s="9"/>
      <c r="H293" s="9"/>
      <c r="I293" s="7" t="s">
        <v>2748</v>
      </c>
      <c r="J293" s="51" t="s">
        <v>46</v>
      </c>
      <c r="K293" s="7"/>
      <c r="L293" s="10">
        <v>107.04</v>
      </c>
      <c r="M293" s="10"/>
      <c r="N293" s="10"/>
      <c r="O293" s="10"/>
      <c r="P293" s="10"/>
      <c r="Q293" s="10"/>
      <c r="R293" s="10"/>
      <c r="S293" s="10">
        <v>891.96</v>
      </c>
      <c r="T293" s="10"/>
      <c r="U293" s="10"/>
      <c r="V293" s="10"/>
      <c r="W293" s="10"/>
      <c r="X293" s="10"/>
      <c r="Y293" s="10"/>
      <c r="Z293" s="10"/>
      <c r="AA293" s="33"/>
      <c r="AB293" s="10"/>
      <c r="AC293" s="33">
        <v>999</v>
      </c>
      <c r="AD293" s="10">
        <f t="shared" si="6"/>
        <v>0</v>
      </c>
      <c r="AE293" s="82"/>
    </row>
    <row r="294" spans="1:32" x14ac:dyDescent="0.25">
      <c r="A294" s="7" t="s">
        <v>2706</v>
      </c>
      <c r="B294" s="9">
        <v>4072031</v>
      </c>
      <c r="C294" s="70">
        <v>45106</v>
      </c>
      <c r="D294" s="70">
        <v>45106</v>
      </c>
      <c r="E294" s="73"/>
      <c r="F294" s="9"/>
      <c r="H294" s="9"/>
      <c r="I294" s="7" t="s">
        <v>2747</v>
      </c>
      <c r="J294" s="51" t="s">
        <v>65</v>
      </c>
      <c r="K294" s="7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33">
        <v>6000</v>
      </c>
      <c r="AB294" s="10"/>
      <c r="AC294" s="33">
        <v>6000</v>
      </c>
      <c r="AD294" s="10">
        <f t="shared" si="6"/>
        <v>0</v>
      </c>
      <c r="AE294" s="82"/>
    </row>
    <row r="295" spans="1:32" x14ac:dyDescent="0.25">
      <c r="A295" s="7" t="s">
        <v>2707</v>
      </c>
      <c r="B295" s="9" t="s">
        <v>2746</v>
      </c>
      <c r="C295" s="70">
        <v>45106</v>
      </c>
      <c r="D295" s="70">
        <v>45106</v>
      </c>
      <c r="E295" s="73"/>
      <c r="F295" s="9"/>
      <c r="H295" s="9"/>
      <c r="I295" s="7" t="s">
        <v>55</v>
      </c>
      <c r="J295" s="51" t="s">
        <v>54</v>
      </c>
      <c r="K295" s="7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>
        <v>300000</v>
      </c>
      <c r="AA295" s="33"/>
      <c r="AB295" s="10"/>
      <c r="AC295" s="33">
        <v>300000</v>
      </c>
      <c r="AD295" s="10">
        <f t="shared" si="6"/>
        <v>0</v>
      </c>
      <c r="AE295" s="82"/>
    </row>
    <row r="296" spans="1:32" x14ac:dyDescent="0.25">
      <c r="A296" s="7" t="s">
        <v>2708</v>
      </c>
      <c r="B296" s="9">
        <v>4072032</v>
      </c>
      <c r="C296" s="70">
        <v>45107</v>
      </c>
      <c r="D296" s="70">
        <v>45107</v>
      </c>
      <c r="E296" s="73"/>
      <c r="F296" s="9"/>
      <c r="H296" s="9"/>
      <c r="I296" s="7" t="s">
        <v>2745</v>
      </c>
      <c r="J296" s="51" t="s">
        <v>43</v>
      </c>
      <c r="K296" s="7"/>
      <c r="L296" s="10">
        <v>94.33</v>
      </c>
      <c r="M296" s="10"/>
      <c r="N296" s="10"/>
      <c r="O296" s="10"/>
      <c r="P296" s="10"/>
      <c r="Q296" s="10"/>
      <c r="R296" s="10"/>
      <c r="S296" s="10">
        <v>786.1</v>
      </c>
      <c r="T296" s="10"/>
      <c r="U296" s="10"/>
      <c r="V296" s="10"/>
      <c r="W296" s="10"/>
      <c r="X296" s="10"/>
      <c r="Y296" s="10"/>
      <c r="Z296" s="10"/>
      <c r="AA296" s="33"/>
      <c r="AB296" s="10"/>
      <c r="AC296" s="33">
        <v>880.43</v>
      </c>
      <c r="AD296" s="10">
        <f t="shared" si="6"/>
        <v>0</v>
      </c>
      <c r="AE296" s="82"/>
    </row>
    <row r="297" spans="1:32" x14ac:dyDescent="0.25">
      <c r="A297" s="7" t="s">
        <v>2709</v>
      </c>
      <c r="B297" s="9">
        <v>4072033</v>
      </c>
      <c r="C297" s="70">
        <v>45107</v>
      </c>
      <c r="D297" s="70">
        <v>45107</v>
      </c>
      <c r="E297" s="73"/>
      <c r="F297" s="9"/>
      <c r="H297" s="9"/>
      <c r="I297" s="7" t="s">
        <v>2750</v>
      </c>
      <c r="J297" s="51" t="s">
        <v>49</v>
      </c>
      <c r="K297" s="7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33">
        <v>16803.91</v>
      </c>
      <c r="AB297" s="10"/>
      <c r="AC297" s="33">
        <v>16803.91</v>
      </c>
      <c r="AD297" s="10">
        <f t="shared" si="6"/>
        <v>0</v>
      </c>
      <c r="AE297" s="82"/>
    </row>
    <row r="298" spans="1:32" s="39" customFormat="1" x14ac:dyDescent="0.25">
      <c r="A298" s="20"/>
      <c r="B298" s="19"/>
      <c r="C298" s="72"/>
      <c r="D298" s="72"/>
      <c r="E298" s="77"/>
      <c r="F298" s="19"/>
      <c r="G298" s="19"/>
      <c r="H298" s="19"/>
      <c r="I298" s="20"/>
      <c r="J298" s="20"/>
      <c r="K298" s="20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32"/>
      <c r="AB298" s="22"/>
      <c r="AC298" s="32"/>
      <c r="AD298" s="22"/>
      <c r="AE298" s="96"/>
      <c r="AF298" s="35"/>
    </row>
    <row r="299" spans="1:32" s="39" customFormat="1" x14ac:dyDescent="0.25">
      <c r="A299" s="25">
        <v>45108</v>
      </c>
      <c r="B299" s="19"/>
      <c r="C299" s="72"/>
      <c r="D299" s="72"/>
      <c r="E299" s="77"/>
      <c r="F299" s="19"/>
      <c r="G299" s="19"/>
      <c r="H299" s="19"/>
      <c r="I299" s="20"/>
      <c r="J299" s="20"/>
      <c r="K299" s="20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32"/>
      <c r="AB299" s="22"/>
      <c r="AC299" s="32"/>
      <c r="AD299" s="22"/>
      <c r="AE299" s="96"/>
      <c r="AF299" s="35"/>
    </row>
    <row r="300" spans="1:32" x14ac:dyDescent="0.25">
      <c r="A300" s="7" t="s">
        <v>2710</v>
      </c>
      <c r="B300" s="9" t="s">
        <v>2744</v>
      </c>
      <c r="C300" s="70">
        <v>45110</v>
      </c>
      <c r="D300" s="70">
        <v>45110</v>
      </c>
      <c r="E300" s="73"/>
      <c r="F300" s="9"/>
      <c r="H300" s="9"/>
      <c r="I300" s="7" t="s">
        <v>64</v>
      </c>
      <c r="J300" s="51" t="s">
        <v>33</v>
      </c>
      <c r="K300" s="7"/>
      <c r="L300" s="10"/>
      <c r="M300" s="10"/>
      <c r="N300" s="10"/>
      <c r="O300" s="10"/>
      <c r="P300" s="10">
        <v>100000</v>
      </c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33"/>
      <c r="AB300" s="10"/>
      <c r="AC300" s="33">
        <v>100000</v>
      </c>
      <c r="AD300" s="10">
        <f t="shared" si="6"/>
        <v>0</v>
      </c>
      <c r="AE300" s="82"/>
    </row>
    <row r="301" spans="1:32" x14ac:dyDescent="0.25">
      <c r="A301" s="7" t="s">
        <v>2711</v>
      </c>
      <c r="B301" s="9">
        <v>4072034</v>
      </c>
      <c r="C301" s="70">
        <v>45111</v>
      </c>
      <c r="D301" s="70">
        <v>45111</v>
      </c>
      <c r="E301" s="73"/>
      <c r="F301" s="9"/>
      <c r="H301" s="9"/>
      <c r="I301" s="7" t="s">
        <v>2761</v>
      </c>
      <c r="J301" s="51" t="s">
        <v>18</v>
      </c>
      <c r="K301" s="7"/>
      <c r="L301" s="10">
        <v>151.09</v>
      </c>
      <c r="M301" s="10"/>
      <c r="N301" s="10"/>
      <c r="O301" s="10"/>
      <c r="P301" s="10"/>
      <c r="Q301" s="10"/>
      <c r="R301" s="10">
        <v>1259.06</v>
      </c>
      <c r="S301" s="10"/>
      <c r="T301" s="10"/>
      <c r="U301" s="10"/>
      <c r="V301" s="10"/>
      <c r="W301" s="10"/>
      <c r="X301" s="10"/>
      <c r="Y301" s="10"/>
      <c r="Z301" s="10"/>
      <c r="AA301" s="33"/>
      <c r="AB301" s="10"/>
      <c r="AC301" s="33">
        <v>1410.15</v>
      </c>
      <c r="AD301" s="10">
        <f t="shared" si="6"/>
        <v>0</v>
      </c>
      <c r="AE301" s="82"/>
    </row>
    <row r="302" spans="1:32" x14ac:dyDescent="0.25">
      <c r="A302" s="7" t="s">
        <v>2712</v>
      </c>
      <c r="B302" s="9">
        <v>4072035</v>
      </c>
      <c r="C302" s="70">
        <v>45111</v>
      </c>
      <c r="D302" s="70">
        <v>45111</v>
      </c>
      <c r="E302" s="73"/>
      <c r="F302" s="9"/>
      <c r="H302" s="9"/>
      <c r="I302" s="7" t="s">
        <v>2761</v>
      </c>
      <c r="J302" s="51" t="s">
        <v>18</v>
      </c>
      <c r="K302" s="7"/>
      <c r="L302" s="10">
        <v>811.09</v>
      </c>
      <c r="M302" s="10"/>
      <c r="N302" s="10"/>
      <c r="O302" s="10"/>
      <c r="P302" s="10"/>
      <c r="Q302" s="10"/>
      <c r="R302" s="10">
        <v>6759.06</v>
      </c>
      <c r="S302" s="10"/>
      <c r="T302" s="10"/>
      <c r="U302" s="10"/>
      <c r="V302" s="10"/>
      <c r="W302" s="10"/>
      <c r="X302" s="10"/>
      <c r="Y302" s="10"/>
      <c r="Z302" s="10"/>
      <c r="AA302" s="33"/>
      <c r="AB302" s="10"/>
      <c r="AC302" s="33">
        <v>7570.15</v>
      </c>
      <c r="AD302" s="10">
        <f t="shared" si="6"/>
        <v>0</v>
      </c>
      <c r="AE302" s="82"/>
    </row>
    <row r="303" spans="1:32" x14ac:dyDescent="0.25">
      <c r="A303" s="7" t="s">
        <v>2713</v>
      </c>
      <c r="B303" s="9">
        <v>4072036</v>
      </c>
      <c r="C303" s="70">
        <v>45141</v>
      </c>
      <c r="D303" s="70">
        <v>45111</v>
      </c>
      <c r="E303" s="73">
        <v>45114</v>
      </c>
      <c r="F303" s="9" t="s">
        <v>3210</v>
      </c>
      <c r="G303" s="9" t="s">
        <v>2335</v>
      </c>
      <c r="H303" s="9"/>
      <c r="I303" s="7" t="s">
        <v>2760</v>
      </c>
      <c r="J303" s="51" t="s">
        <v>2687</v>
      </c>
      <c r="K303" s="7" t="s">
        <v>2688</v>
      </c>
      <c r="L303" s="10">
        <v>2539.29</v>
      </c>
      <c r="M303" s="10">
        <v>21160.71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33"/>
      <c r="AB303" s="10"/>
      <c r="AC303" s="33">
        <v>23700</v>
      </c>
      <c r="AD303" s="10">
        <f t="shared" si="6"/>
        <v>0</v>
      </c>
      <c r="AE303" s="82"/>
      <c r="AF303" s="17">
        <v>211.61</v>
      </c>
    </row>
    <row r="304" spans="1:32" x14ac:dyDescent="0.25">
      <c r="A304" s="7" t="s">
        <v>2714</v>
      </c>
      <c r="B304" s="9">
        <v>4072037</v>
      </c>
      <c r="C304" s="70">
        <v>45149</v>
      </c>
      <c r="D304" s="70">
        <v>45111</v>
      </c>
      <c r="E304" s="73">
        <v>45118</v>
      </c>
      <c r="F304" s="9" t="s">
        <v>3211</v>
      </c>
      <c r="G304" s="9" t="s">
        <v>2336</v>
      </c>
      <c r="H304" s="9"/>
      <c r="I304" s="7" t="s">
        <v>1001</v>
      </c>
      <c r="J304" s="51" t="s">
        <v>2087</v>
      </c>
      <c r="K304" s="7"/>
      <c r="L304" s="10">
        <v>11250</v>
      </c>
      <c r="M304" s="10">
        <v>93750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33"/>
      <c r="AB304" s="10"/>
      <c r="AC304" s="33">
        <v>105000</v>
      </c>
      <c r="AD304" s="10">
        <f t="shared" si="6"/>
        <v>0</v>
      </c>
      <c r="AE304" s="82"/>
      <c r="AF304" s="17">
        <v>937.5</v>
      </c>
    </row>
    <row r="305" spans="1:32" x14ac:dyDescent="0.25">
      <c r="A305" s="7" t="s">
        <v>2715</v>
      </c>
      <c r="B305" s="9">
        <v>4072038</v>
      </c>
      <c r="C305" s="70">
        <v>45111</v>
      </c>
      <c r="D305" s="70">
        <v>45111</v>
      </c>
      <c r="E305" s="73"/>
      <c r="F305" s="9"/>
      <c r="H305" s="9"/>
      <c r="I305" s="7" t="s">
        <v>2763</v>
      </c>
      <c r="J305" s="51" t="s">
        <v>65</v>
      </c>
      <c r="K305" s="7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33">
        <v>20850</v>
      </c>
      <c r="AB305" s="10"/>
      <c r="AC305" s="33">
        <v>20850</v>
      </c>
      <c r="AD305" s="10">
        <f t="shared" si="6"/>
        <v>0</v>
      </c>
      <c r="AE305" s="82"/>
    </row>
    <row r="306" spans="1:32" x14ac:dyDescent="0.25">
      <c r="A306" s="7" t="s">
        <v>2716</v>
      </c>
      <c r="B306" s="9">
        <v>4072039</v>
      </c>
      <c r="C306" s="70">
        <v>45111</v>
      </c>
      <c r="D306" s="70">
        <v>45111</v>
      </c>
      <c r="E306" s="73"/>
      <c r="F306" s="9"/>
      <c r="H306" s="9" t="s">
        <v>1747</v>
      </c>
      <c r="I306" s="7" t="s">
        <v>2588</v>
      </c>
      <c r="J306" s="51" t="s">
        <v>65</v>
      </c>
      <c r="K306" s="7"/>
      <c r="L306" s="10"/>
      <c r="M306" s="10"/>
      <c r="N306" s="10"/>
      <c r="O306" s="10"/>
      <c r="P306" s="10"/>
      <c r="Q306" s="10"/>
      <c r="R306" s="10"/>
      <c r="S306" s="10"/>
      <c r="T306" s="10">
        <v>9545.9</v>
      </c>
      <c r="U306" s="10"/>
      <c r="V306" s="10"/>
      <c r="W306" s="10"/>
      <c r="X306" s="10"/>
      <c r="Y306" s="10"/>
      <c r="Z306" s="10"/>
      <c r="AA306" s="33"/>
      <c r="AB306" s="10"/>
      <c r="AC306" s="33">
        <v>9545.9</v>
      </c>
      <c r="AD306" s="10">
        <f t="shared" si="6"/>
        <v>0</v>
      </c>
      <c r="AE306" s="82"/>
    </row>
    <row r="307" spans="1:32" x14ac:dyDescent="0.25">
      <c r="A307" s="7" t="s">
        <v>2717</v>
      </c>
      <c r="B307" s="9">
        <v>4072040</v>
      </c>
      <c r="C307" s="70">
        <v>45111</v>
      </c>
      <c r="D307" s="70">
        <v>45111</v>
      </c>
      <c r="E307" s="73"/>
      <c r="F307" s="9"/>
      <c r="H307" s="9" t="s">
        <v>1746</v>
      </c>
      <c r="I307" s="7" t="s">
        <v>1174</v>
      </c>
      <c r="J307" s="51" t="s">
        <v>65</v>
      </c>
      <c r="K307" s="7"/>
      <c r="L307" s="10"/>
      <c r="M307" s="10"/>
      <c r="N307" s="10"/>
      <c r="O307" s="10"/>
      <c r="P307" s="10"/>
      <c r="Q307" s="10"/>
      <c r="R307" s="10"/>
      <c r="S307" s="10"/>
      <c r="T307" s="10">
        <v>6270</v>
      </c>
      <c r="U307" s="10"/>
      <c r="V307" s="10"/>
      <c r="W307" s="10"/>
      <c r="X307" s="10"/>
      <c r="Y307" s="10"/>
      <c r="Z307" s="10"/>
      <c r="AA307" s="33"/>
      <c r="AB307" s="10"/>
      <c r="AC307" s="33">
        <v>6270</v>
      </c>
      <c r="AD307" s="10">
        <f t="shared" si="6"/>
        <v>0</v>
      </c>
      <c r="AE307" s="82"/>
    </row>
    <row r="308" spans="1:32" x14ac:dyDescent="0.25">
      <c r="A308" s="7" t="s">
        <v>2718</v>
      </c>
      <c r="B308" s="9">
        <v>4072041</v>
      </c>
      <c r="C308" s="70">
        <v>45111</v>
      </c>
      <c r="D308" s="70">
        <v>45111</v>
      </c>
      <c r="E308" s="73"/>
      <c r="F308" s="9"/>
      <c r="H308" s="9"/>
      <c r="I308" s="7" t="s">
        <v>118</v>
      </c>
      <c r="J308" s="51" t="s">
        <v>1847</v>
      </c>
      <c r="K308" s="7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33">
        <v>20877.87</v>
      </c>
      <c r="AB308" s="10"/>
      <c r="AC308" s="33">
        <v>20877.87</v>
      </c>
      <c r="AD308" s="10">
        <f t="shared" si="6"/>
        <v>0</v>
      </c>
      <c r="AE308" s="82"/>
    </row>
    <row r="309" spans="1:32" x14ac:dyDescent="0.25">
      <c r="A309" s="7" t="s">
        <v>2719</v>
      </c>
      <c r="B309" s="9" t="s">
        <v>2762</v>
      </c>
      <c r="C309" s="70">
        <v>45111</v>
      </c>
      <c r="D309" s="70">
        <v>45111</v>
      </c>
      <c r="E309" s="73"/>
      <c r="F309" s="9"/>
      <c r="H309" s="9"/>
      <c r="I309" s="7" t="s">
        <v>64</v>
      </c>
      <c r="J309" s="51" t="s">
        <v>35</v>
      </c>
      <c r="K309" s="7"/>
      <c r="L309" s="10"/>
      <c r="M309" s="10"/>
      <c r="N309" s="10"/>
      <c r="O309" s="10"/>
      <c r="P309" s="10">
        <v>50000</v>
      </c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33"/>
      <c r="AB309" s="10"/>
      <c r="AC309" s="33">
        <v>50000</v>
      </c>
      <c r="AD309" s="10">
        <f t="shared" si="6"/>
        <v>0</v>
      </c>
      <c r="AE309" s="82"/>
    </row>
    <row r="310" spans="1:32" x14ac:dyDescent="0.25">
      <c r="A310" s="7" t="s">
        <v>2720</v>
      </c>
      <c r="B310" s="9">
        <v>4072042</v>
      </c>
      <c r="C310" s="70">
        <v>45113</v>
      </c>
      <c r="D310" s="70">
        <v>45113</v>
      </c>
      <c r="E310" s="73">
        <v>45112</v>
      </c>
      <c r="F310" s="9" t="s">
        <v>3212</v>
      </c>
      <c r="G310" s="9" t="s">
        <v>2720</v>
      </c>
      <c r="H310" s="9"/>
      <c r="I310" s="7" t="s">
        <v>2751</v>
      </c>
      <c r="J310" s="51" t="s">
        <v>2752</v>
      </c>
      <c r="K310" s="7" t="s">
        <v>2753</v>
      </c>
      <c r="L310" s="10">
        <v>1017.86</v>
      </c>
      <c r="M310" s="10">
        <v>8482.14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33"/>
      <c r="AB310" s="10"/>
      <c r="AC310" s="33">
        <v>9500</v>
      </c>
      <c r="AD310" s="10">
        <f t="shared" si="6"/>
        <v>0</v>
      </c>
      <c r="AE310" s="82"/>
      <c r="AF310" s="17">
        <v>84.82</v>
      </c>
    </row>
    <row r="311" spans="1:32" x14ac:dyDescent="0.25">
      <c r="A311" s="7" t="s">
        <v>2721</v>
      </c>
      <c r="B311" s="9">
        <v>4072043</v>
      </c>
      <c r="C311" s="70">
        <v>45114</v>
      </c>
      <c r="D311" s="70">
        <v>45114</v>
      </c>
      <c r="E311" s="73"/>
      <c r="F311" s="9"/>
      <c r="H311" s="9" t="s">
        <v>1748</v>
      </c>
      <c r="I311" s="7" t="s">
        <v>1174</v>
      </c>
      <c r="J311" s="51" t="s">
        <v>65</v>
      </c>
      <c r="K311" s="7"/>
      <c r="L311" s="10"/>
      <c r="M311" s="10"/>
      <c r="N311" s="10"/>
      <c r="O311" s="10"/>
      <c r="P311" s="10"/>
      <c r="Q311" s="10"/>
      <c r="R311" s="10"/>
      <c r="S311" s="10"/>
      <c r="T311" s="10">
        <v>4549.87</v>
      </c>
      <c r="U311" s="10"/>
      <c r="V311" s="10"/>
      <c r="W311" s="10"/>
      <c r="X311" s="10"/>
      <c r="Y311" s="10"/>
      <c r="Z311" s="10"/>
      <c r="AA311" s="33"/>
      <c r="AB311" s="10"/>
      <c r="AC311" s="33">
        <v>4549.87</v>
      </c>
      <c r="AD311" s="10">
        <f t="shared" si="6"/>
        <v>0</v>
      </c>
      <c r="AE311" s="82"/>
    </row>
    <row r="312" spans="1:32" x14ac:dyDescent="0.25">
      <c r="A312" s="7" t="s">
        <v>2722</v>
      </c>
      <c r="B312" s="9">
        <v>4072044</v>
      </c>
      <c r="C312" s="70">
        <v>45114</v>
      </c>
      <c r="D312" s="70">
        <v>45114</v>
      </c>
      <c r="E312" s="73"/>
      <c r="F312" s="45" t="s">
        <v>48</v>
      </c>
      <c r="H312" s="9"/>
      <c r="I312" s="7" t="s">
        <v>982</v>
      </c>
      <c r="J312" s="51" t="s">
        <v>2758</v>
      </c>
      <c r="K312" s="7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33"/>
      <c r="AB312" s="10"/>
      <c r="AC312" s="33"/>
      <c r="AD312" s="10">
        <f t="shared" si="6"/>
        <v>0</v>
      </c>
      <c r="AE312" s="82"/>
    </row>
    <row r="313" spans="1:32" x14ac:dyDescent="0.25">
      <c r="A313" s="7" t="s">
        <v>2723</v>
      </c>
      <c r="B313" s="9">
        <v>4072045</v>
      </c>
      <c r="C313" s="70">
        <v>45114</v>
      </c>
      <c r="D313" s="70">
        <v>45114</v>
      </c>
      <c r="E313" s="73"/>
      <c r="F313" s="9"/>
      <c r="H313" s="9"/>
      <c r="I313" s="7" t="s">
        <v>2759</v>
      </c>
      <c r="J313" s="51" t="s">
        <v>2463</v>
      </c>
      <c r="K313" s="7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33">
        <v>7857.14</v>
      </c>
      <c r="AB313" s="10"/>
      <c r="AC313" s="33">
        <v>7857.14</v>
      </c>
      <c r="AD313" s="10">
        <f t="shared" si="6"/>
        <v>0</v>
      </c>
      <c r="AE313" s="82"/>
    </row>
    <row r="314" spans="1:32" x14ac:dyDescent="0.25">
      <c r="A314" s="7" t="s">
        <v>2724</v>
      </c>
      <c r="B314" s="9">
        <v>4072046</v>
      </c>
      <c r="C314" s="70">
        <v>45114</v>
      </c>
      <c r="D314" s="70">
        <v>45114</v>
      </c>
      <c r="E314" s="73"/>
      <c r="F314" s="9"/>
      <c r="H314" s="9"/>
      <c r="I314" s="7" t="s">
        <v>2757</v>
      </c>
      <c r="J314" s="51" t="s">
        <v>126</v>
      </c>
      <c r="K314" s="7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33">
        <v>42000</v>
      </c>
      <c r="AB314" s="10"/>
      <c r="AC314" s="33">
        <v>42000</v>
      </c>
      <c r="AD314" s="10">
        <f t="shared" si="6"/>
        <v>0</v>
      </c>
      <c r="AE314" s="82"/>
    </row>
    <row r="315" spans="1:32" x14ac:dyDescent="0.25">
      <c r="A315" s="7" t="s">
        <v>2725</v>
      </c>
      <c r="B315" s="9" t="s">
        <v>2764</v>
      </c>
      <c r="C315" s="70">
        <v>45114</v>
      </c>
      <c r="D315" s="70">
        <v>45114</v>
      </c>
      <c r="E315" s="73"/>
      <c r="F315" s="9"/>
      <c r="H315" s="9"/>
      <c r="I315" s="7" t="s">
        <v>2754</v>
      </c>
      <c r="J315" s="51" t="s">
        <v>39</v>
      </c>
      <c r="K315" s="7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33">
        <v>24873.97</v>
      </c>
      <c r="AB315" s="10"/>
      <c r="AC315" s="33">
        <v>27000</v>
      </c>
      <c r="AD315" s="10">
        <f t="shared" si="6"/>
        <v>2126.0299999999988</v>
      </c>
      <c r="AE315" s="82" t="s">
        <v>2765</v>
      </c>
    </row>
    <row r="316" spans="1:32" x14ac:dyDescent="0.25">
      <c r="A316" s="7" t="s">
        <v>2726</v>
      </c>
      <c r="B316" s="9" t="s">
        <v>2755</v>
      </c>
      <c r="C316" s="70">
        <v>45114</v>
      </c>
      <c r="D316" s="70">
        <v>45114</v>
      </c>
      <c r="E316" s="73"/>
      <c r="F316" s="9"/>
      <c r="H316" s="9"/>
      <c r="I316" s="7" t="s">
        <v>2756</v>
      </c>
      <c r="J316" s="51" t="s">
        <v>694</v>
      </c>
      <c r="K316" s="7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33">
        <v>18670.57</v>
      </c>
      <c r="AB316" s="10"/>
      <c r="AC316" s="33">
        <v>18670.57</v>
      </c>
      <c r="AD316" s="10">
        <f t="shared" si="6"/>
        <v>0</v>
      </c>
      <c r="AE316" s="82"/>
    </row>
    <row r="317" spans="1:32" x14ac:dyDescent="0.25">
      <c r="A317" s="7" t="s">
        <v>2727</v>
      </c>
      <c r="B317" s="9">
        <v>4072047</v>
      </c>
      <c r="C317" s="70">
        <v>45119</v>
      </c>
      <c r="D317" s="70">
        <v>45119</v>
      </c>
      <c r="E317" s="73"/>
      <c r="F317" s="9"/>
      <c r="H317" s="9"/>
      <c r="I317" s="7" t="s">
        <v>2766</v>
      </c>
      <c r="J317" s="51" t="s">
        <v>1235</v>
      </c>
      <c r="K317" s="7"/>
      <c r="L317" s="10">
        <v>32.14</v>
      </c>
      <c r="M317" s="10"/>
      <c r="N317" s="10"/>
      <c r="O317" s="10"/>
      <c r="P317" s="10"/>
      <c r="Q317" s="10"/>
      <c r="R317" s="10"/>
      <c r="S317" s="10">
        <v>267.86</v>
      </c>
      <c r="T317" s="10"/>
      <c r="U317" s="10"/>
      <c r="V317" s="10"/>
      <c r="W317" s="10"/>
      <c r="X317" s="10"/>
      <c r="Y317" s="10"/>
      <c r="Z317" s="10"/>
      <c r="AA317" s="33"/>
      <c r="AB317" s="10"/>
      <c r="AC317" s="33">
        <v>300</v>
      </c>
      <c r="AD317" s="10">
        <f t="shared" si="6"/>
        <v>0</v>
      </c>
      <c r="AE317" s="82"/>
    </row>
    <row r="318" spans="1:32" x14ac:dyDescent="0.25">
      <c r="A318" s="7" t="s">
        <v>2728</v>
      </c>
      <c r="B318" s="9">
        <v>4072048</v>
      </c>
      <c r="C318" s="70">
        <v>45119</v>
      </c>
      <c r="D318" s="70">
        <v>45119</v>
      </c>
      <c r="E318" s="73"/>
      <c r="F318" s="9"/>
      <c r="H318" s="9"/>
      <c r="I318" s="7" t="s">
        <v>2766</v>
      </c>
      <c r="J318" s="51" t="s">
        <v>1235</v>
      </c>
      <c r="K318" s="7"/>
      <c r="L318" s="10">
        <v>32.14</v>
      </c>
      <c r="M318" s="10"/>
      <c r="N318" s="10"/>
      <c r="O318" s="10"/>
      <c r="P318" s="10"/>
      <c r="Q318" s="10"/>
      <c r="R318" s="10"/>
      <c r="S318" s="10">
        <v>267.86</v>
      </c>
      <c r="T318" s="10"/>
      <c r="U318" s="10"/>
      <c r="V318" s="10"/>
      <c r="W318" s="10"/>
      <c r="X318" s="10"/>
      <c r="Y318" s="10"/>
      <c r="Z318" s="10"/>
      <c r="AA318" s="33"/>
      <c r="AB318" s="10"/>
      <c r="AC318" s="33">
        <v>300</v>
      </c>
      <c r="AD318" s="10">
        <f t="shared" si="6"/>
        <v>0</v>
      </c>
      <c r="AE318" s="82"/>
    </row>
    <row r="319" spans="1:32" x14ac:dyDescent="0.25">
      <c r="A319" s="7" t="s">
        <v>2729</v>
      </c>
      <c r="B319" s="9">
        <v>4072050</v>
      </c>
      <c r="C319" s="70">
        <v>45119</v>
      </c>
      <c r="D319" s="70">
        <v>45119</v>
      </c>
      <c r="E319" s="73"/>
      <c r="F319" s="9"/>
      <c r="H319" s="9" t="s">
        <v>1772</v>
      </c>
      <c r="I319" s="7" t="s">
        <v>1174</v>
      </c>
      <c r="J319" s="51" t="s">
        <v>65</v>
      </c>
      <c r="K319" s="7"/>
      <c r="L319" s="10"/>
      <c r="M319" s="10"/>
      <c r="N319" s="10"/>
      <c r="O319" s="10"/>
      <c r="P319" s="10"/>
      <c r="Q319" s="10"/>
      <c r="R319" s="10"/>
      <c r="S319" s="10"/>
      <c r="T319" s="10">
        <v>13990.6</v>
      </c>
      <c r="U319" s="10"/>
      <c r="V319" s="10"/>
      <c r="W319" s="10"/>
      <c r="X319" s="10"/>
      <c r="Y319" s="10"/>
      <c r="Z319" s="10"/>
      <c r="AA319" s="33"/>
      <c r="AB319" s="10"/>
      <c r="AC319" s="33">
        <v>13990.6</v>
      </c>
      <c r="AD319" s="10">
        <f t="shared" si="6"/>
        <v>0</v>
      </c>
      <c r="AE319" s="82"/>
    </row>
    <row r="320" spans="1:32" x14ac:dyDescent="0.25">
      <c r="A320" s="7" t="s">
        <v>2730</v>
      </c>
      <c r="B320" s="9">
        <v>4072051</v>
      </c>
      <c r="C320" s="70">
        <v>45149</v>
      </c>
      <c r="D320" s="70">
        <v>45119</v>
      </c>
      <c r="E320" s="73">
        <v>45142</v>
      </c>
      <c r="F320" s="9" t="s">
        <v>3213</v>
      </c>
      <c r="G320" s="9" t="s">
        <v>2338</v>
      </c>
      <c r="H320" s="9"/>
      <c r="I320" s="7" t="s">
        <v>2767</v>
      </c>
      <c r="J320" s="51" t="s">
        <v>37</v>
      </c>
      <c r="K320" s="7" t="s">
        <v>38</v>
      </c>
      <c r="L320" s="10">
        <v>7746.43</v>
      </c>
      <c r="M320" s="10">
        <v>64553.57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33"/>
      <c r="AB320" s="10"/>
      <c r="AC320" s="33">
        <v>72300</v>
      </c>
      <c r="AD320" s="10">
        <f t="shared" si="6"/>
        <v>0</v>
      </c>
      <c r="AE320" s="82"/>
      <c r="AF320" s="17">
        <v>645.54</v>
      </c>
    </row>
    <row r="321" spans="1:32" x14ac:dyDescent="0.25">
      <c r="A321" s="7" t="s">
        <v>2731</v>
      </c>
      <c r="B321" s="9">
        <v>4072052</v>
      </c>
      <c r="C321" s="70">
        <v>45128</v>
      </c>
      <c r="D321" s="70">
        <v>45128</v>
      </c>
      <c r="E321" s="73"/>
      <c r="F321" s="9"/>
      <c r="H321" s="9"/>
      <c r="I321" s="7" t="s">
        <v>123</v>
      </c>
      <c r="J321" s="51" t="s">
        <v>30</v>
      </c>
      <c r="K321" s="7"/>
      <c r="L321" s="10"/>
      <c r="M321" s="10">
        <v>23000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33"/>
      <c r="AB321" s="10"/>
      <c r="AC321" s="33">
        <v>23000</v>
      </c>
      <c r="AD321" s="10">
        <f t="shared" si="6"/>
        <v>0</v>
      </c>
      <c r="AE321" s="82"/>
    </row>
    <row r="322" spans="1:32" x14ac:dyDescent="0.25">
      <c r="A322" s="7" t="s">
        <v>2768</v>
      </c>
      <c r="B322" s="9">
        <v>4072053</v>
      </c>
      <c r="C322" s="70">
        <v>45128</v>
      </c>
      <c r="D322" s="70">
        <v>45128</v>
      </c>
      <c r="E322" s="73"/>
      <c r="F322" s="9"/>
      <c r="H322" s="9"/>
      <c r="I322" s="7" t="s">
        <v>48</v>
      </c>
      <c r="J322" s="7"/>
      <c r="K322" s="7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33"/>
      <c r="AB322" s="10"/>
      <c r="AC322" s="33"/>
      <c r="AD322" s="10">
        <f t="shared" si="6"/>
        <v>0</v>
      </c>
      <c r="AE322" s="82"/>
    </row>
    <row r="323" spans="1:32" x14ac:dyDescent="0.25">
      <c r="A323" s="7" t="s">
        <v>2769</v>
      </c>
      <c r="B323" s="9">
        <v>4072054</v>
      </c>
      <c r="C323" s="70">
        <v>45128</v>
      </c>
      <c r="D323" s="70">
        <v>45128</v>
      </c>
      <c r="E323" s="73"/>
      <c r="F323" s="9"/>
      <c r="H323" s="9"/>
      <c r="I323" s="7" t="s">
        <v>48</v>
      </c>
      <c r="J323" s="7"/>
      <c r="K323" s="7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33"/>
      <c r="AB323" s="10"/>
      <c r="AC323" s="33"/>
      <c r="AD323" s="10">
        <f t="shared" si="6"/>
        <v>0</v>
      </c>
      <c r="AE323" s="82"/>
    </row>
    <row r="324" spans="1:32" x14ac:dyDescent="0.25">
      <c r="A324" s="7" t="s">
        <v>2770</v>
      </c>
      <c r="B324" s="9">
        <v>4072055</v>
      </c>
      <c r="C324" s="70">
        <v>45128</v>
      </c>
      <c r="D324" s="70">
        <v>45128</v>
      </c>
      <c r="E324" s="73"/>
      <c r="F324" s="9"/>
      <c r="H324" s="9"/>
      <c r="I324" s="7" t="s">
        <v>2776</v>
      </c>
      <c r="J324" s="51" t="s">
        <v>1202</v>
      </c>
      <c r="K324" s="7"/>
      <c r="L324" s="10">
        <v>1224.5</v>
      </c>
      <c r="M324" s="10"/>
      <c r="N324" s="10"/>
      <c r="O324" s="10"/>
      <c r="P324" s="10"/>
      <c r="Q324" s="10"/>
      <c r="R324" s="10"/>
      <c r="S324" s="10">
        <v>10204.200000000001</v>
      </c>
      <c r="T324" s="10"/>
      <c r="U324" s="10"/>
      <c r="V324" s="10"/>
      <c r="W324" s="10"/>
      <c r="X324" s="10"/>
      <c r="Y324" s="10"/>
      <c r="Z324" s="10"/>
      <c r="AA324" s="33"/>
      <c r="AB324" s="10"/>
      <c r="AC324" s="33">
        <v>11428.7</v>
      </c>
      <c r="AD324" s="10">
        <f t="shared" si="6"/>
        <v>0</v>
      </c>
      <c r="AE324" s="82"/>
      <c r="AF324" s="17">
        <v>180.1</v>
      </c>
    </row>
    <row r="325" spans="1:32" x14ac:dyDescent="0.25">
      <c r="A325" s="7" t="s">
        <v>2771</v>
      </c>
      <c r="B325" s="9">
        <v>4072056</v>
      </c>
      <c r="C325" s="70">
        <v>45128</v>
      </c>
      <c r="D325" s="70">
        <v>45128</v>
      </c>
      <c r="E325" s="73"/>
      <c r="F325" s="9"/>
      <c r="H325" s="9"/>
      <c r="I325" s="7" t="s">
        <v>2766</v>
      </c>
      <c r="J325" s="51" t="s">
        <v>43</v>
      </c>
      <c r="K325" s="7"/>
      <c r="L325" s="10">
        <v>64.180000000000007</v>
      </c>
      <c r="M325" s="10"/>
      <c r="N325" s="10"/>
      <c r="O325" s="10"/>
      <c r="P325" s="10"/>
      <c r="Q325" s="10"/>
      <c r="R325" s="10"/>
      <c r="S325" s="10">
        <v>534.82000000000005</v>
      </c>
      <c r="T325" s="10"/>
      <c r="U325" s="10"/>
      <c r="V325" s="10"/>
      <c r="W325" s="10"/>
      <c r="X325" s="10"/>
      <c r="Y325" s="10"/>
      <c r="Z325" s="10"/>
      <c r="AA325" s="33"/>
      <c r="AB325" s="10"/>
      <c r="AC325" s="33">
        <v>599</v>
      </c>
      <c r="AD325" s="10">
        <f t="shared" si="6"/>
        <v>0</v>
      </c>
      <c r="AE325" s="82"/>
    </row>
    <row r="326" spans="1:32" x14ac:dyDescent="0.25">
      <c r="A326" s="7" t="s">
        <v>2772</v>
      </c>
      <c r="B326" s="9">
        <v>4072057</v>
      </c>
      <c r="C326" s="70">
        <v>45128</v>
      </c>
      <c r="D326" s="70">
        <v>45128</v>
      </c>
      <c r="E326" s="73"/>
      <c r="F326" s="9"/>
      <c r="H326" s="9"/>
      <c r="I326" s="7" t="s">
        <v>2799</v>
      </c>
      <c r="J326" s="51" t="s">
        <v>1202</v>
      </c>
      <c r="K326" s="7"/>
      <c r="L326" s="10">
        <v>160.61000000000001</v>
      </c>
      <c r="M326" s="10"/>
      <c r="N326" s="10"/>
      <c r="O326" s="10"/>
      <c r="P326" s="10"/>
      <c r="Q326" s="10"/>
      <c r="R326" s="10">
        <v>1338.39</v>
      </c>
      <c r="S326" s="10"/>
      <c r="T326" s="10"/>
      <c r="U326" s="10"/>
      <c r="V326" s="10"/>
      <c r="W326" s="10"/>
      <c r="X326" s="10"/>
      <c r="Y326" s="10"/>
      <c r="Z326" s="10"/>
      <c r="AA326" s="33"/>
      <c r="AB326" s="10"/>
      <c r="AC326" s="33">
        <v>1499</v>
      </c>
      <c r="AD326" s="10">
        <f t="shared" si="6"/>
        <v>0</v>
      </c>
      <c r="AE326" s="82"/>
    </row>
    <row r="327" spans="1:32" x14ac:dyDescent="0.25">
      <c r="A327" s="7" t="s">
        <v>2773</v>
      </c>
      <c r="B327" s="9">
        <v>4072058</v>
      </c>
      <c r="C327" s="70">
        <v>45128</v>
      </c>
      <c r="D327" s="70">
        <v>45128</v>
      </c>
      <c r="E327" s="73"/>
      <c r="F327" s="9"/>
      <c r="H327" s="9"/>
      <c r="I327" s="7" t="s">
        <v>2799</v>
      </c>
      <c r="J327" s="51" t="s">
        <v>1202</v>
      </c>
      <c r="K327" s="7"/>
      <c r="L327" s="10">
        <v>107.04</v>
      </c>
      <c r="M327" s="10"/>
      <c r="N327" s="10"/>
      <c r="O327" s="10"/>
      <c r="P327" s="10"/>
      <c r="Q327" s="10"/>
      <c r="R327" s="10"/>
      <c r="S327" s="10">
        <v>891.96</v>
      </c>
      <c r="T327" s="10"/>
      <c r="U327" s="10"/>
      <c r="V327" s="10"/>
      <c r="W327" s="10"/>
      <c r="X327" s="10"/>
      <c r="Y327" s="10"/>
      <c r="Z327" s="10"/>
      <c r="AA327" s="33"/>
      <c r="AB327" s="10"/>
      <c r="AC327" s="33">
        <v>999</v>
      </c>
      <c r="AD327" s="10">
        <f t="shared" si="6"/>
        <v>0</v>
      </c>
      <c r="AE327" s="82"/>
    </row>
    <row r="328" spans="1:32" x14ac:dyDescent="0.25">
      <c r="A328" s="7" t="s">
        <v>2774</v>
      </c>
      <c r="B328" s="9">
        <v>4072059</v>
      </c>
      <c r="C328" s="70">
        <v>45128</v>
      </c>
      <c r="D328" s="70">
        <v>45128</v>
      </c>
      <c r="E328" s="73"/>
      <c r="F328" s="9"/>
      <c r="H328" s="9"/>
      <c r="I328" s="7" t="s">
        <v>2800</v>
      </c>
      <c r="J328" s="51" t="s">
        <v>1202</v>
      </c>
      <c r="K328" s="7"/>
      <c r="L328" s="10">
        <v>107.04</v>
      </c>
      <c r="M328" s="10"/>
      <c r="N328" s="10"/>
      <c r="O328" s="10"/>
      <c r="P328" s="10"/>
      <c r="Q328" s="10"/>
      <c r="R328" s="10"/>
      <c r="S328" s="10">
        <v>891.96</v>
      </c>
      <c r="T328" s="10"/>
      <c r="U328" s="10"/>
      <c r="V328" s="10"/>
      <c r="W328" s="10"/>
      <c r="X328" s="10"/>
      <c r="Y328" s="10"/>
      <c r="Z328" s="10"/>
      <c r="AA328" s="33"/>
      <c r="AB328" s="10"/>
      <c r="AC328" s="33">
        <v>999</v>
      </c>
      <c r="AD328" s="10">
        <f t="shared" si="6"/>
        <v>0</v>
      </c>
      <c r="AE328" s="82"/>
    </row>
    <row r="329" spans="1:32" x14ac:dyDescent="0.25">
      <c r="A329" s="7" t="s">
        <v>2775</v>
      </c>
      <c r="B329" s="9">
        <v>4072060</v>
      </c>
      <c r="C329" s="70">
        <v>45128</v>
      </c>
      <c r="D329" s="70">
        <v>45128</v>
      </c>
      <c r="E329" s="73"/>
      <c r="F329" s="9"/>
      <c r="H329" s="9"/>
      <c r="I329" s="7" t="s">
        <v>2800</v>
      </c>
      <c r="J329" s="51" t="s">
        <v>1202</v>
      </c>
      <c r="K329" s="7"/>
      <c r="L329" s="10">
        <v>107.04</v>
      </c>
      <c r="M329" s="10"/>
      <c r="N329" s="10"/>
      <c r="O329" s="10"/>
      <c r="P329" s="10"/>
      <c r="Q329" s="10"/>
      <c r="R329" s="10"/>
      <c r="S329" s="10">
        <v>891.96</v>
      </c>
      <c r="T329" s="10"/>
      <c r="U329" s="10"/>
      <c r="V329" s="10"/>
      <c r="W329" s="10"/>
      <c r="X329" s="10"/>
      <c r="Y329" s="10"/>
      <c r="Z329" s="10"/>
      <c r="AA329" s="33"/>
      <c r="AB329" s="10"/>
      <c r="AC329" s="33">
        <v>999</v>
      </c>
      <c r="AD329" s="10">
        <f t="shared" si="6"/>
        <v>0</v>
      </c>
      <c r="AE329" s="82"/>
    </row>
    <row r="330" spans="1:32" x14ac:dyDescent="0.25">
      <c r="A330" s="7" t="s">
        <v>2777</v>
      </c>
      <c r="B330" s="9">
        <v>4072061</v>
      </c>
      <c r="C330" s="70">
        <v>45166</v>
      </c>
      <c r="D330" s="70">
        <v>45128</v>
      </c>
      <c r="E330" s="73">
        <v>45128</v>
      </c>
      <c r="F330" s="9" t="s">
        <v>3214</v>
      </c>
      <c r="G330" s="9" t="s">
        <v>1137</v>
      </c>
      <c r="H330" s="9"/>
      <c r="I330" s="7" t="s">
        <v>339</v>
      </c>
      <c r="J330" s="51" t="s">
        <v>1226</v>
      </c>
      <c r="K330" s="7" t="s">
        <v>1039</v>
      </c>
      <c r="L330" s="10">
        <v>2732.14</v>
      </c>
      <c r="M330" s="10">
        <v>22767.86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33"/>
      <c r="AB330" s="10"/>
      <c r="AC330" s="33">
        <v>25500</v>
      </c>
      <c r="AD330" s="10">
        <f t="shared" si="6"/>
        <v>0</v>
      </c>
      <c r="AE330" s="82"/>
      <c r="AF330" s="17">
        <v>227.68</v>
      </c>
    </row>
    <row r="331" spans="1:32" x14ac:dyDescent="0.25">
      <c r="A331" s="7" t="s">
        <v>2778</v>
      </c>
      <c r="B331" s="9">
        <v>4072062</v>
      </c>
      <c r="C331" s="70">
        <v>45166</v>
      </c>
      <c r="D331" s="70">
        <v>45128</v>
      </c>
      <c r="E331" s="73">
        <v>45128</v>
      </c>
      <c r="F331" s="9" t="s">
        <v>3215</v>
      </c>
      <c r="G331" s="9" t="s">
        <v>1144</v>
      </c>
      <c r="H331" s="9"/>
      <c r="I331" s="7" t="s">
        <v>2801</v>
      </c>
      <c r="J331" s="51" t="s">
        <v>1226</v>
      </c>
      <c r="K331" s="7" t="s">
        <v>1039</v>
      </c>
      <c r="L331" s="10">
        <v>1821.43</v>
      </c>
      <c r="M331" s="10">
        <v>15178.57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33"/>
      <c r="AB331" s="10"/>
      <c r="AC331" s="33">
        <v>17000</v>
      </c>
      <c r="AD331" s="10">
        <f t="shared" si="6"/>
        <v>0</v>
      </c>
      <c r="AE331" s="82"/>
      <c r="AF331" s="17">
        <v>151.79</v>
      </c>
    </row>
    <row r="332" spans="1:32" x14ac:dyDescent="0.25">
      <c r="A332" s="7" t="s">
        <v>2779</v>
      </c>
      <c r="B332" s="9">
        <v>4072063</v>
      </c>
      <c r="C332" s="70">
        <v>45166</v>
      </c>
      <c r="D332" s="70">
        <v>45128</v>
      </c>
      <c r="E332" s="73">
        <v>45128</v>
      </c>
      <c r="F332" s="9" t="s">
        <v>3216</v>
      </c>
      <c r="G332" s="9" t="s">
        <v>2239</v>
      </c>
      <c r="H332" s="9"/>
      <c r="I332" s="7" t="s">
        <v>1131</v>
      </c>
      <c r="J332" s="51" t="s">
        <v>1226</v>
      </c>
      <c r="K332" s="7" t="s">
        <v>1039</v>
      </c>
      <c r="L332" s="10">
        <v>8035.71</v>
      </c>
      <c r="M332" s="10">
        <v>66964.289999999994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33"/>
      <c r="AB332" s="10"/>
      <c r="AC332" s="33">
        <v>75000</v>
      </c>
      <c r="AD332" s="10">
        <f t="shared" si="6"/>
        <v>0</v>
      </c>
      <c r="AE332" s="82"/>
      <c r="AF332" s="17">
        <v>669.64</v>
      </c>
    </row>
    <row r="333" spans="1:32" x14ac:dyDescent="0.25">
      <c r="A333" s="7" t="s">
        <v>2780</v>
      </c>
      <c r="B333" s="9">
        <v>4072064</v>
      </c>
      <c r="C333" s="70">
        <v>45155</v>
      </c>
      <c r="D333" s="70">
        <v>45128</v>
      </c>
      <c r="E333" s="73">
        <v>45126</v>
      </c>
      <c r="F333" s="9" t="s">
        <v>3217</v>
      </c>
      <c r="G333" s="9" t="s">
        <v>2339</v>
      </c>
      <c r="H333" s="9"/>
      <c r="I333" s="7" t="s">
        <v>2802</v>
      </c>
      <c r="J333" s="51" t="s">
        <v>2687</v>
      </c>
      <c r="K333" s="7" t="s">
        <v>2688</v>
      </c>
      <c r="L333" s="10">
        <v>3428.57</v>
      </c>
      <c r="M333" s="10">
        <v>28571.43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33"/>
      <c r="AB333" s="10"/>
      <c r="AC333" s="33">
        <v>32000</v>
      </c>
      <c r="AD333" s="10">
        <f t="shared" si="6"/>
        <v>0</v>
      </c>
      <c r="AE333" s="82"/>
      <c r="AF333" s="17">
        <v>285.70999999999998</v>
      </c>
    </row>
    <row r="334" spans="1:32" x14ac:dyDescent="0.25">
      <c r="A334" s="7" t="s">
        <v>2781</v>
      </c>
      <c r="B334" s="9">
        <v>4072065</v>
      </c>
      <c r="C334" s="70">
        <v>45166</v>
      </c>
      <c r="D334" s="70">
        <v>45128</v>
      </c>
      <c r="E334" s="73">
        <v>45128</v>
      </c>
      <c r="F334" s="9" t="s">
        <v>3218</v>
      </c>
      <c r="G334" s="9" t="s">
        <v>2340</v>
      </c>
      <c r="H334" s="9"/>
      <c r="I334" s="7" t="s">
        <v>2803</v>
      </c>
      <c r="J334" s="51" t="s">
        <v>1226</v>
      </c>
      <c r="K334" s="7" t="s">
        <v>1039</v>
      </c>
      <c r="L334" s="10">
        <v>5223.21</v>
      </c>
      <c r="M334" s="10">
        <v>43526.79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33"/>
      <c r="AB334" s="10"/>
      <c r="AC334" s="33">
        <v>48750</v>
      </c>
      <c r="AD334" s="10">
        <f t="shared" si="6"/>
        <v>0</v>
      </c>
      <c r="AE334" s="82"/>
      <c r="AF334" s="17">
        <v>435.27</v>
      </c>
    </row>
    <row r="335" spans="1:32" x14ac:dyDescent="0.25">
      <c r="A335" s="7" t="s">
        <v>2782</v>
      </c>
      <c r="B335" s="9">
        <v>4072066</v>
      </c>
      <c r="C335" s="70">
        <v>45125</v>
      </c>
      <c r="D335" s="70">
        <v>45125</v>
      </c>
      <c r="E335" s="73"/>
      <c r="F335" s="9"/>
      <c r="H335" s="9"/>
      <c r="I335" s="7" t="s">
        <v>118</v>
      </c>
      <c r="J335" s="51" t="s">
        <v>1847</v>
      </c>
      <c r="K335" s="7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33">
        <v>17324.189999999999</v>
      </c>
      <c r="AB335" s="10"/>
      <c r="AC335" s="33">
        <v>17324.189999999999</v>
      </c>
      <c r="AD335" s="10">
        <f t="shared" si="6"/>
        <v>0</v>
      </c>
      <c r="AE335" s="82"/>
    </row>
    <row r="336" spans="1:32" x14ac:dyDescent="0.25">
      <c r="A336" s="7" t="s">
        <v>2783</v>
      </c>
      <c r="B336" s="9">
        <v>4072067</v>
      </c>
      <c r="C336" s="70">
        <v>45125</v>
      </c>
      <c r="D336" s="70">
        <v>45125</v>
      </c>
      <c r="E336" s="73"/>
      <c r="F336" s="9"/>
      <c r="H336" s="9" t="s">
        <v>1826</v>
      </c>
      <c r="I336" s="7" t="s">
        <v>2588</v>
      </c>
      <c r="J336" s="51" t="s">
        <v>65</v>
      </c>
      <c r="K336" s="7"/>
      <c r="L336" s="10"/>
      <c r="M336" s="10"/>
      <c r="N336" s="10"/>
      <c r="O336" s="10"/>
      <c r="P336" s="10"/>
      <c r="Q336" s="10"/>
      <c r="R336" s="10"/>
      <c r="S336" s="10"/>
      <c r="T336" s="10">
        <v>8063</v>
      </c>
      <c r="U336" s="10"/>
      <c r="V336" s="10"/>
      <c r="W336" s="10"/>
      <c r="X336" s="10"/>
      <c r="Y336" s="10"/>
      <c r="Z336" s="10"/>
      <c r="AA336" s="33"/>
      <c r="AB336" s="10"/>
      <c r="AC336" s="33">
        <v>8063</v>
      </c>
      <c r="AD336" s="10">
        <f t="shared" si="6"/>
        <v>0</v>
      </c>
      <c r="AE336" s="82"/>
    </row>
    <row r="337" spans="1:32" x14ac:dyDescent="0.25">
      <c r="A337" s="7" t="s">
        <v>2784</v>
      </c>
      <c r="B337" s="9">
        <v>4072068</v>
      </c>
      <c r="C337" s="70">
        <v>45125</v>
      </c>
      <c r="D337" s="70">
        <v>45125</v>
      </c>
      <c r="E337" s="73"/>
      <c r="F337" s="9"/>
      <c r="H337" s="9"/>
      <c r="I337" s="7" t="s">
        <v>2804</v>
      </c>
      <c r="J337" s="51" t="s">
        <v>65</v>
      </c>
      <c r="K337" s="7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33">
        <v>8062.5</v>
      </c>
      <c r="AB337" s="10"/>
      <c r="AC337" s="33">
        <v>8062.5</v>
      </c>
      <c r="AD337" s="10">
        <f t="shared" si="6"/>
        <v>0</v>
      </c>
      <c r="AE337" s="82"/>
    </row>
    <row r="338" spans="1:32" x14ac:dyDescent="0.25">
      <c r="A338" s="7" t="s">
        <v>2785</v>
      </c>
      <c r="B338" s="9" t="s">
        <v>2805</v>
      </c>
      <c r="C338" s="70">
        <v>45128</v>
      </c>
      <c r="D338" s="70">
        <v>45128</v>
      </c>
      <c r="E338" s="73"/>
      <c r="F338" s="9"/>
      <c r="H338" s="9"/>
      <c r="I338" s="7" t="s">
        <v>64</v>
      </c>
      <c r="J338" s="51" t="s">
        <v>1633</v>
      </c>
      <c r="K338" s="7"/>
      <c r="L338" s="10"/>
      <c r="M338" s="10"/>
      <c r="N338" s="10"/>
      <c r="O338" s="10"/>
      <c r="P338" s="10">
        <v>20000</v>
      </c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33"/>
      <c r="AB338" s="10"/>
      <c r="AC338" s="33">
        <v>20000</v>
      </c>
      <c r="AD338" s="10">
        <f t="shared" si="6"/>
        <v>0</v>
      </c>
      <c r="AE338" s="82"/>
    </row>
    <row r="339" spans="1:32" x14ac:dyDescent="0.25">
      <c r="A339" s="7" t="s">
        <v>2786</v>
      </c>
      <c r="B339" s="9" t="s">
        <v>2807</v>
      </c>
      <c r="C339" s="70">
        <v>45131</v>
      </c>
      <c r="D339" s="70">
        <v>45128</v>
      </c>
      <c r="E339" s="73">
        <v>45132</v>
      </c>
      <c r="F339" s="9" t="s">
        <v>3219</v>
      </c>
      <c r="G339" s="9" t="s">
        <v>2342</v>
      </c>
      <c r="H339" s="9"/>
      <c r="I339" s="7" t="s">
        <v>2808</v>
      </c>
      <c r="J339" s="51" t="s">
        <v>1999</v>
      </c>
      <c r="K339" s="7" t="s">
        <v>2297</v>
      </c>
      <c r="L339" s="10">
        <v>13569.64</v>
      </c>
      <c r="M339" s="10">
        <v>113080.36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33"/>
      <c r="AB339" s="10"/>
      <c r="AC339" s="33">
        <v>126650</v>
      </c>
      <c r="AD339" s="10">
        <f t="shared" si="6"/>
        <v>0</v>
      </c>
      <c r="AE339" s="82"/>
      <c r="AF339" s="17">
        <v>1130.8</v>
      </c>
    </row>
    <row r="340" spans="1:32" x14ac:dyDescent="0.25">
      <c r="A340" s="7" t="s">
        <v>2787</v>
      </c>
      <c r="B340" s="9">
        <v>4072069</v>
      </c>
      <c r="C340" s="70">
        <v>45131</v>
      </c>
      <c r="D340" s="70">
        <v>45128</v>
      </c>
      <c r="E340" s="73">
        <v>45133</v>
      </c>
      <c r="F340" s="9" t="s">
        <v>3220</v>
      </c>
      <c r="H340" s="9"/>
      <c r="I340" s="7" t="s">
        <v>2806</v>
      </c>
      <c r="J340" s="51" t="s">
        <v>127</v>
      </c>
      <c r="K340" s="7"/>
      <c r="L340" s="10">
        <v>662.4</v>
      </c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33">
        <v>5520</v>
      </c>
      <c r="AB340" s="10"/>
      <c r="AC340" s="33">
        <v>6182.4</v>
      </c>
      <c r="AD340" s="10">
        <f t="shared" si="6"/>
        <v>0</v>
      </c>
      <c r="AE340" s="82"/>
    </row>
    <row r="341" spans="1:32" x14ac:dyDescent="0.25">
      <c r="A341" s="7" t="s">
        <v>2788</v>
      </c>
      <c r="B341" s="9">
        <v>4072070</v>
      </c>
      <c r="C341" s="70">
        <v>45153</v>
      </c>
      <c r="D341" s="70">
        <v>45128</v>
      </c>
      <c r="E341" s="73"/>
      <c r="F341" s="9"/>
      <c r="H341" s="9"/>
      <c r="I341" s="7" t="s">
        <v>67</v>
      </c>
      <c r="J341" s="51" t="s">
        <v>4</v>
      </c>
      <c r="K341" s="7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33">
        <v>26875</v>
      </c>
      <c r="AB341" s="10"/>
      <c r="AC341" s="33">
        <v>26875</v>
      </c>
      <c r="AD341" s="10">
        <f t="shared" si="6"/>
        <v>0</v>
      </c>
      <c r="AE341" s="82"/>
    </row>
    <row r="342" spans="1:32" x14ac:dyDescent="0.25">
      <c r="A342" s="7" t="s">
        <v>2789</v>
      </c>
      <c r="B342" s="9">
        <v>4072071</v>
      </c>
      <c r="C342" s="70">
        <v>45184</v>
      </c>
      <c r="D342" s="70">
        <v>45128</v>
      </c>
      <c r="E342" s="73"/>
      <c r="F342" s="9"/>
      <c r="H342" s="9"/>
      <c r="I342" s="7" t="s">
        <v>68</v>
      </c>
      <c r="J342" s="51" t="s">
        <v>1849</v>
      </c>
      <c r="K342" s="7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33">
        <v>26875</v>
      </c>
      <c r="AB342" s="10"/>
      <c r="AC342" s="33">
        <v>26875</v>
      </c>
      <c r="AD342" s="10">
        <f t="shared" si="6"/>
        <v>0</v>
      </c>
      <c r="AE342" s="82"/>
    </row>
    <row r="343" spans="1:32" x14ac:dyDescent="0.25">
      <c r="A343" s="7" t="s">
        <v>2790</v>
      </c>
      <c r="B343" s="9">
        <v>4072072</v>
      </c>
      <c r="C343" s="70">
        <v>45214</v>
      </c>
      <c r="D343" s="70">
        <v>45128</v>
      </c>
      <c r="E343" s="73"/>
      <c r="F343" s="9"/>
      <c r="H343" s="9"/>
      <c r="I343" s="7" t="s">
        <v>69</v>
      </c>
      <c r="J343" s="51" t="s">
        <v>1849</v>
      </c>
      <c r="K343" s="7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33">
        <v>26875</v>
      </c>
      <c r="AB343" s="10"/>
      <c r="AC343" s="33">
        <v>26875</v>
      </c>
      <c r="AD343" s="10">
        <f t="shared" si="6"/>
        <v>0</v>
      </c>
      <c r="AE343" s="82"/>
    </row>
    <row r="344" spans="1:32" x14ac:dyDescent="0.25">
      <c r="A344" s="7" t="s">
        <v>2791</v>
      </c>
      <c r="B344" s="9">
        <v>4072073</v>
      </c>
      <c r="C344" s="70">
        <v>45245</v>
      </c>
      <c r="D344" s="70">
        <v>45128</v>
      </c>
      <c r="E344" s="73"/>
      <c r="F344" s="9"/>
      <c r="H344" s="9"/>
      <c r="I344" s="7" t="s">
        <v>70</v>
      </c>
      <c r="J344" s="51" t="s">
        <v>1849</v>
      </c>
      <c r="K344" s="7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33">
        <v>26875</v>
      </c>
      <c r="AB344" s="10"/>
      <c r="AC344" s="33">
        <v>26875</v>
      </c>
      <c r="AD344" s="10">
        <f t="shared" si="6"/>
        <v>0</v>
      </c>
      <c r="AE344" s="82"/>
    </row>
    <row r="345" spans="1:32" x14ac:dyDescent="0.25">
      <c r="A345" s="7" t="s">
        <v>2792</v>
      </c>
      <c r="B345" s="9">
        <v>4072074</v>
      </c>
      <c r="C345" s="70">
        <v>45275</v>
      </c>
      <c r="D345" s="70">
        <v>45128</v>
      </c>
      <c r="E345" s="73"/>
      <c r="F345" s="9"/>
      <c r="H345" s="9"/>
      <c r="I345" s="7" t="s">
        <v>71</v>
      </c>
      <c r="J345" s="51" t="s">
        <v>1849</v>
      </c>
      <c r="K345" s="7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33">
        <v>26875</v>
      </c>
      <c r="AB345" s="10"/>
      <c r="AC345" s="33">
        <v>26875</v>
      </c>
      <c r="AD345" s="10">
        <f t="shared" si="6"/>
        <v>0</v>
      </c>
      <c r="AE345" s="82"/>
    </row>
    <row r="346" spans="1:32" x14ac:dyDescent="0.25">
      <c r="A346" s="7" t="s">
        <v>2793</v>
      </c>
      <c r="B346" s="9">
        <v>4072075</v>
      </c>
      <c r="C346" s="70">
        <v>45306</v>
      </c>
      <c r="D346" s="70">
        <v>45128</v>
      </c>
      <c r="E346" s="73"/>
      <c r="F346" s="9"/>
      <c r="H346" s="9"/>
      <c r="I346" s="7" t="s">
        <v>72</v>
      </c>
      <c r="J346" s="51" t="s">
        <v>1849</v>
      </c>
      <c r="K346" s="7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33">
        <v>26875</v>
      </c>
      <c r="AB346" s="10"/>
      <c r="AC346" s="33">
        <v>26875</v>
      </c>
      <c r="AD346" s="10">
        <f t="shared" si="6"/>
        <v>0</v>
      </c>
      <c r="AE346" s="82"/>
    </row>
    <row r="347" spans="1:32" x14ac:dyDescent="0.25">
      <c r="A347" s="7" t="s">
        <v>2794</v>
      </c>
      <c r="B347" s="9">
        <v>4072076</v>
      </c>
      <c r="C347" s="70">
        <v>45337</v>
      </c>
      <c r="D347" s="70">
        <v>45128</v>
      </c>
      <c r="E347" s="73"/>
      <c r="F347" s="9"/>
      <c r="H347" s="9"/>
      <c r="I347" s="7" t="s">
        <v>73</v>
      </c>
      <c r="J347" s="51" t="s">
        <v>1849</v>
      </c>
      <c r="K347" s="7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33">
        <v>26875</v>
      </c>
      <c r="AB347" s="10"/>
      <c r="AC347" s="33">
        <v>26875</v>
      </c>
      <c r="AD347" s="10">
        <f t="shared" si="6"/>
        <v>0</v>
      </c>
      <c r="AE347" s="82"/>
    </row>
    <row r="348" spans="1:32" x14ac:dyDescent="0.25">
      <c r="A348" s="7" t="s">
        <v>2795</v>
      </c>
      <c r="B348" s="9">
        <v>4072077</v>
      </c>
      <c r="C348" s="70">
        <v>45366</v>
      </c>
      <c r="D348" s="70">
        <v>45128</v>
      </c>
      <c r="E348" s="73"/>
      <c r="F348" s="9"/>
      <c r="H348" s="9"/>
      <c r="I348" s="7" t="s">
        <v>74</v>
      </c>
      <c r="J348" s="51" t="s">
        <v>1849</v>
      </c>
      <c r="K348" s="7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33">
        <v>26875</v>
      </c>
      <c r="AB348" s="10"/>
      <c r="AC348" s="33">
        <v>26875</v>
      </c>
      <c r="AD348" s="10">
        <f t="shared" si="6"/>
        <v>0</v>
      </c>
      <c r="AE348" s="82"/>
    </row>
    <row r="349" spans="1:32" x14ac:dyDescent="0.25">
      <c r="A349" s="7" t="s">
        <v>2796</v>
      </c>
      <c r="B349" s="9">
        <v>4072078</v>
      </c>
      <c r="C349" s="70">
        <v>45397</v>
      </c>
      <c r="D349" s="70">
        <v>45128</v>
      </c>
      <c r="E349" s="73"/>
      <c r="F349" s="9"/>
      <c r="H349" s="9"/>
      <c r="I349" s="7" t="s">
        <v>75</v>
      </c>
      <c r="J349" s="51" t="s">
        <v>1849</v>
      </c>
      <c r="K349" s="7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33">
        <v>26875</v>
      </c>
      <c r="AB349" s="10"/>
      <c r="AC349" s="33">
        <v>26875</v>
      </c>
      <c r="AD349" s="10">
        <f t="shared" si="6"/>
        <v>0</v>
      </c>
      <c r="AE349" s="82"/>
    </row>
    <row r="350" spans="1:32" x14ac:dyDescent="0.25">
      <c r="A350" s="7" t="s">
        <v>2797</v>
      </c>
      <c r="B350" s="9">
        <v>4072079</v>
      </c>
      <c r="C350" s="70">
        <v>45427</v>
      </c>
      <c r="D350" s="70">
        <v>45128</v>
      </c>
      <c r="E350" s="73"/>
      <c r="F350" s="9"/>
      <c r="H350" s="9"/>
      <c r="I350" s="7" t="s">
        <v>76</v>
      </c>
      <c r="J350" s="51" t="s">
        <v>1849</v>
      </c>
      <c r="K350" s="7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33">
        <v>26875</v>
      </c>
      <c r="AB350" s="10"/>
      <c r="AC350" s="33">
        <v>26875</v>
      </c>
      <c r="AD350" s="10">
        <f t="shared" si="6"/>
        <v>0</v>
      </c>
      <c r="AE350" s="82"/>
    </row>
    <row r="351" spans="1:32" x14ac:dyDescent="0.25">
      <c r="A351" s="7" t="s">
        <v>2798</v>
      </c>
      <c r="B351" s="9">
        <v>4072080</v>
      </c>
      <c r="C351" s="70">
        <v>45458</v>
      </c>
      <c r="D351" s="70">
        <v>45128</v>
      </c>
      <c r="E351" s="73"/>
      <c r="F351" s="9"/>
      <c r="H351" s="9"/>
      <c r="I351" s="7" t="s">
        <v>77</v>
      </c>
      <c r="J351" s="51" t="s">
        <v>1849</v>
      </c>
      <c r="K351" s="7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33">
        <v>26875</v>
      </c>
      <c r="AB351" s="10"/>
      <c r="AC351" s="33">
        <v>26875</v>
      </c>
      <c r="AD351" s="10">
        <f t="shared" si="6"/>
        <v>0</v>
      </c>
      <c r="AE351" s="82"/>
    </row>
    <row r="352" spans="1:32" x14ac:dyDescent="0.25">
      <c r="A352" s="7" t="s">
        <v>2809</v>
      </c>
      <c r="B352" s="9">
        <v>4072081</v>
      </c>
      <c r="C352" s="70">
        <v>45488</v>
      </c>
      <c r="D352" s="70">
        <v>45128</v>
      </c>
      <c r="E352" s="73"/>
      <c r="F352" s="9"/>
      <c r="H352" s="9"/>
      <c r="I352" s="7" t="s">
        <v>78</v>
      </c>
      <c r="J352" s="51" t="s">
        <v>1849</v>
      </c>
      <c r="K352" s="7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33">
        <v>26875</v>
      </c>
      <c r="AB352" s="10"/>
      <c r="AC352" s="33">
        <v>26875</v>
      </c>
      <c r="AD352" s="10">
        <f t="shared" si="6"/>
        <v>0</v>
      </c>
      <c r="AE352" s="82"/>
    </row>
    <row r="353" spans="1:32" x14ac:dyDescent="0.25">
      <c r="A353" s="7" t="s">
        <v>2810</v>
      </c>
      <c r="B353" s="9">
        <v>4072082</v>
      </c>
      <c r="C353" s="70">
        <v>45131</v>
      </c>
      <c r="D353" s="70">
        <v>45131</v>
      </c>
      <c r="E353" s="73"/>
      <c r="F353" s="9"/>
      <c r="H353" s="9" t="s">
        <v>1916</v>
      </c>
      <c r="I353" s="7" t="s">
        <v>1174</v>
      </c>
      <c r="J353" s="51" t="s">
        <v>65</v>
      </c>
      <c r="K353" s="7"/>
      <c r="L353" s="10"/>
      <c r="M353" s="10"/>
      <c r="N353" s="10"/>
      <c r="O353" s="10"/>
      <c r="P353" s="10"/>
      <c r="Q353" s="10"/>
      <c r="R353" s="10"/>
      <c r="S353" s="10"/>
      <c r="T353" s="10">
        <v>6380</v>
      </c>
      <c r="U353" s="10"/>
      <c r="V353" s="10"/>
      <c r="W353" s="10"/>
      <c r="X353" s="10"/>
      <c r="Y353" s="10"/>
      <c r="Z353" s="10"/>
      <c r="AA353" s="33"/>
      <c r="AB353" s="10"/>
      <c r="AC353" s="33">
        <v>6380</v>
      </c>
      <c r="AD353" s="10">
        <f t="shared" si="6"/>
        <v>0</v>
      </c>
      <c r="AE353" s="82"/>
    </row>
    <row r="354" spans="1:32" x14ac:dyDescent="0.25">
      <c r="A354" s="7" t="s">
        <v>2811</v>
      </c>
      <c r="B354" s="9">
        <v>4072083</v>
      </c>
      <c r="C354" s="70">
        <v>45164</v>
      </c>
      <c r="D354" s="70">
        <v>45131</v>
      </c>
      <c r="E354" s="73">
        <v>45154</v>
      </c>
      <c r="F354" s="9" t="s">
        <v>3221</v>
      </c>
      <c r="G354" s="9" t="s">
        <v>2344</v>
      </c>
      <c r="H354" s="9"/>
      <c r="I354" s="7" t="s">
        <v>2816</v>
      </c>
      <c r="J354" s="51" t="s">
        <v>2043</v>
      </c>
      <c r="K354" s="7" t="s">
        <v>2138</v>
      </c>
      <c r="L354" s="10">
        <v>2437.5</v>
      </c>
      <c r="M354" s="10">
        <v>20312.5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33"/>
      <c r="AB354" s="10"/>
      <c r="AC354" s="33">
        <v>22750</v>
      </c>
      <c r="AD354" s="10">
        <f t="shared" ref="AD354:AD417" si="7">SUM(AB354:AC354)-SUM(L354:AA354)</f>
        <v>0</v>
      </c>
      <c r="AE354" s="82"/>
      <c r="AF354" s="17">
        <v>203.13</v>
      </c>
    </row>
    <row r="355" spans="1:32" x14ac:dyDescent="0.25">
      <c r="A355" s="7" t="s">
        <v>2812</v>
      </c>
      <c r="B355" s="9">
        <v>4072084</v>
      </c>
      <c r="C355" s="70">
        <v>45132</v>
      </c>
      <c r="D355" s="70">
        <v>45132</v>
      </c>
      <c r="E355" s="73">
        <v>45132</v>
      </c>
      <c r="F355" s="9" t="s">
        <v>3222</v>
      </c>
      <c r="H355" s="9"/>
      <c r="I355" s="7" t="s">
        <v>2817</v>
      </c>
      <c r="J355" s="51" t="s">
        <v>83</v>
      </c>
      <c r="K355" s="7"/>
      <c r="L355" s="10">
        <v>257.14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33">
        <v>2142.86</v>
      </c>
      <c r="AB355" s="10"/>
      <c r="AC355" s="33">
        <v>2400</v>
      </c>
      <c r="AD355" s="10">
        <f t="shared" si="7"/>
        <v>0</v>
      </c>
      <c r="AE355" s="82"/>
      <c r="AF355" s="17">
        <v>34.82</v>
      </c>
    </row>
    <row r="356" spans="1:32" x14ac:dyDescent="0.25">
      <c r="A356" s="7" t="s">
        <v>2813</v>
      </c>
      <c r="B356" s="9" t="s">
        <v>2827</v>
      </c>
      <c r="C356" s="70">
        <v>45132</v>
      </c>
      <c r="D356" s="70">
        <v>45132</v>
      </c>
      <c r="E356" s="73">
        <v>45133</v>
      </c>
      <c r="F356" s="9" t="s">
        <v>3223</v>
      </c>
      <c r="H356" s="9"/>
      <c r="I356" s="7" t="s">
        <v>63</v>
      </c>
      <c r="J356" s="51" t="s">
        <v>109</v>
      </c>
      <c r="K356" s="7"/>
      <c r="L356" s="10"/>
      <c r="M356" s="10"/>
      <c r="N356" s="10">
        <v>149450.70000000001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33"/>
      <c r="AB356" s="10"/>
      <c r="AC356" s="33">
        <v>149450.70000000001</v>
      </c>
      <c r="AD356" s="10">
        <f t="shared" si="7"/>
        <v>0</v>
      </c>
      <c r="AE356" s="82"/>
    </row>
    <row r="357" spans="1:32" x14ac:dyDescent="0.25">
      <c r="A357" s="7" t="s">
        <v>2814</v>
      </c>
      <c r="B357" s="9">
        <v>4072085</v>
      </c>
      <c r="C357" s="70">
        <v>45139</v>
      </c>
      <c r="D357" s="70">
        <v>45133</v>
      </c>
      <c r="E357" s="73"/>
      <c r="F357" s="9"/>
      <c r="H357" s="9"/>
      <c r="I357" s="7" t="s">
        <v>468</v>
      </c>
      <c r="J357" s="51" t="s">
        <v>51</v>
      </c>
      <c r="K357" s="7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33">
        <v>20611.21</v>
      </c>
      <c r="AB357" s="10"/>
      <c r="AC357" s="33">
        <v>20611.21</v>
      </c>
      <c r="AD357" s="10">
        <f t="shared" si="7"/>
        <v>0</v>
      </c>
      <c r="AE357" s="82"/>
    </row>
    <row r="358" spans="1:32" x14ac:dyDescent="0.25">
      <c r="A358" s="7" t="s">
        <v>2815</v>
      </c>
      <c r="B358" s="9">
        <v>4072086</v>
      </c>
      <c r="C358" s="70">
        <v>45138</v>
      </c>
      <c r="D358" s="70">
        <v>45138</v>
      </c>
      <c r="E358" s="73">
        <v>45141</v>
      </c>
      <c r="F358" s="9" t="s">
        <v>3224</v>
      </c>
      <c r="H358" s="9"/>
      <c r="I358" s="7" t="s">
        <v>2830</v>
      </c>
      <c r="J358" s="51" t="s">
        <v>2832</v>
      </c>
      <c r="K358" s="7" t="s">
        <v>2833</v>
      </c>
      <c r="L358" s="10">
        <v>1157.04</v>
      </c>
      <c r="M358" s="10">
        <v>9641.9599999999991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33"/>
      <c r="AB358" s="10"/>
      <c r="AC358" s="33">
        <v>11500</v>
      </c>
      <c r="AD358" s="10">
        <f t="shared" si="7"/>
        <v>701</v>
      </c>
      <c r="AE358" s="82" t="s">
        <v>2834</v>
      </c>
    </row>
    <row r="359" spans="1:32" s="39" customFormat="1" x14ac:dyDescent="0.25">
      <c r="A359" s="20"/>
      <c r="B359" s="19"/>
      <c r="C359" s="72"/>
      <c r="D359" s="72"/>
      <c r="E359" s="77"/>
      <c r="F359" s="19"/>
      <c r="G359" s="19"/>
      <c r="H359" s="19"/>
      <c r="I359" s="20"/>
      <c r="J359" s="20"/>
      <c r="K359" s="20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32"/>
      <c r="AB359" s="22"/>
      <c r="AC359" s="32"/>
      <c r="AD359" s="22"/>
      <c r="AE359" s="96"/>
      <c r="AF359" s="35"/>
    </row>
    <row r="360" spans="1:32" s="39" customFormat="1" x14ac:dyDescent="0.25">
      <c r="A360" s="25">
        <v>45139</v>
      </c>
      <c r="B360" s="19"/>
      <c r="C360" s="72"/>
      <c r="D360" s="72"/>
      <c r="E360" s="77"/>
      <c r="F360" s="19"/>
      <c r="G360" s="19"/>
      <c r="H360" s="19"/>
      <c r="I360" s="20"/>
      <c r="J360" s="20"/>
      <c r="K360" s="20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32"/>
      <c r="AB360" s="22"/>
      <c r="AC360" s="32"/>
      <c r="AD360" s="22"/>
      <c r="AE360" s="96"/>
      <c r="AF360" s="35"/>
    </row>
    <row r="361" spans="1:32" x14ac:dyDescent="0.25">
      <c r="A361" s="7" t="s">
        <v>2818</v>
      </c>
      <c r="B361" s="9">
        <v>4072087</v>
      </c>
      <c r="C361" s="70">
        <v>45139</v>
      </c>
      <c r="D361" s="70">
        <v>45139</v>
      </c>
      <c r="E361" s="73"/>
      <c r="F361" s="9"/>
      <c r="H361" s="9"/>
      <c r="I361" s="7" t="s">
        <v>118</v>
      </c>
      <c r="J361" s="51" t="s">
        <v>1847</v>
      </c>
      <c r="K361" s="7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33">
        <v>15769.45</v>
      </c>
      <c r="AB361" s="10"/>
      <c r="AC361" s="33">
        <v>15769.45</v>
      </c>
      <c r="AD361" s="10">
        <f t="shared" si="7"/>
        <v>0</v>
      </c>
      <c r="AE361" s="82"/>
    </row>
    <row r="362" spans="1:32" x14ac:dyDescent="0.25">
      <c r="A362" s="7" t="s">
        <v>2819</v>
      </c>
      <c r="B362" s="9">
        <v>4072088</v>
      </c>
      <c r="C362" s="70">
        <v>45139</v>
      </c>
      <c r="D362" s="70">
        <v>45139</v>
      </c>
      <c r="E362" s="73"/>
      <c r="F362" s="9"/>
      <c r="H362" s="9"/>
      <c r="I362" s="7" t="s">
        <v>2829</v>
      </c>
      <c r="J362" s="51" t="s">
        <v>65</v>
      </c>
      <c r="K362" s="7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33">
        <v>1000</v>
      </c>
      <c r="AB362" s="10"/>
      <c r="AC362" s="33">
        <v>1000</v>
      </c>
      <c r="AD362" s="10">
        <f t="shared" si="7"/>
        <v>0</v>
      </c>
      <c r="AE362" s="82"/>
    </row>
    <row r="363" spans="1:32" x14ac:dyDescent="0.25">
      <c r="A363" s="7" t="s">
        <v>2820</v>
      </c>
      <c r="B363" s="9">
        <v>4072089</v>
      </c>
      <c r="C363" s="70">
        <v>45169</v>
      </c>
      <c r="D363" s="70">
        <v>45139</v>
      </c>
      <c r="E363" s="73">
        <v>45142</v>
      </c>
      <c r="F363" s="9" t="s">
        <v>3225</v>
      </c>
      <c r="G363" s="9" t="s">
        <v>2347</v>
      </c>
      <c r="H363" s="9"/>
      <c r="I363" s="7" t="s">
        <v>2468</v>
      </c>
      <c r="J363" s="51" t="s">
        <v>37</v>
      </c>
      <c r="K363" s="7" t="s">
        <v>38</v>
      </c>
      <c r="L363" s="10">
        <v>1071.43</v>
      </c>
      <c r="M363" s="10">
        <v>8928.57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33"/>
      <c r="AB363" s="10"/>
      <c r="AC363" s="33">
        <v>10000</v>
      </c>
      <c r="AD363" s="10">
        <f t="shared" si="7"/>
        <v>0</v>
      </c>
      <c r="AE363" s="82"/>
      <c r="AF363" s="17">
        <v>89.29</v>
      </c>
    </row>
    <row r="364" spans="1:32" x14ac:dyDescent="0.25">
      <c r="A364" s="7" t="s">
        <v>2821</v>
      </c>
      <c r="B364" s="9">
        <v>4072090</v>
      </c>
      <c r="C364" s="70">
        <v>45173</v>
      </c>
      <c r="D364" s="70">
        <v>45139</v>
      </c>
      <c r="E364" s="73">
        <v>45152</v>
      </c>
      <c r="F364" s="9" t="s">
        <v>3226</v>
      </c>
      <c r="G364" s="9" t="s">
        <v>2348</v>
      </c>
      <c r="H364" s="9"/>
      <c r="I364" s="7" t="s">
        <v>2831</v>
      </c>
      <c r="J364" s="51" t="s">
        <v>2087</v>
      </c>
      <c r="K364" s="7"/>
      <c r="L364" s="10">
        <v>7875</v>
      </c>
      <c r="M364" s="10">
        <v>65625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33"/>
      <c r="AB364" s="10"/>
      <c r="AC364" s="33">
        <v>73500</v>
      </c>
      <c r="AD364" s="10">
        <f t="shared" si="7"/>
        <v>0</v>
      </c>
      <c r="AE364" s="82"/>
      <c r="AF364" s="17">
        <v>656.25</v>
      </c>
    </row>
    <row r="365" spans="1:32" x14ac:dyDescent="0.25">
      <c r="A365" s="7" t="s">
        <v>2822</v>
      </c>
      <c r="B365" s="9">
        <v>4072091</v>
      </c>
      <c r="C365" s="70">
        <v>45139</v>
      </c>
      <c r="D365" s="70">
        <v>45139</v>
      </c>
      <c r="E365" s="73"/>
      <c r="F365" s="9"/>
      <c r="H365" s="9" t="s">
        <v>1917</v>
      </c>
      <c r="I365" s="7" t="s">
        <v>1174</v>
      </c>
      <c r="J365" s="51" t="s">
        <v>65</v>
      </c>
      <c r="K365" s="7"/>
      <c r="L365" s="10"/>
      <c r="M365" s="10"/>
      <c r="N365" s="10"/>
      <c r="O365" s="10"/>
      <c r="P365" s="10"/>
      <c r="Q365" s="10"/>
      <c r="R365" s="10"/>
      <c r="S365" s="10"/>
      <c r="T365" s="10">
        <v>7909</v>
      </c>
      <c r="U365" s="10"/>
      <c r="V365" s="10"/>
      <c r="W365" s="10"/>
      <c r="X365" s="10"/>
      <c r="Y365" s="10"/>
      <c r="Z365" s="10"/>
      <c r="AA365" s="33"/>
      <c r="AB365" s="10"/>
      <c r="AC365" s="33">
        <v>7909</v>
      </c>
      <c r="AD365" s="10">
        <f t="shared" si="7"/>
        <v>0</v>
      </c>
      <c r="AE365" s="82"/>
    </row>
    <row r="366" spans="1:32" x14ac:dyDescent="0.25">
      <c r="A366" s="7" t="s">
        <v>2823</v>
      </c>
      <c r="B366" s="9">
        <v>4072092</v>
      </c>
      <c r="C366" s="70">
        <v>45142</v>
      </c>
      <c r="D366" s="70">
        <v>45142</v>
      </c>
      <c r="E366" s="73"/>
      <c r="F366" s="9"/>
      <c r="H366" s="9"/>
      <c r="I366" s="7" t="s">
        <v>64</v>
      </c>
      <c r="J366" s="51" t="s">
        <v>47</v>
      </c>
      <c r="K366" s="7"/>
      <c r="L366" s="10"/>
      <c r="M366" s="10"/>
      <c r="N366" s="10"/>
      <c r="O366" s="10"/>
      <c r="P366" s="10">
        <v>10000</v>
      </c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33"/>
      <c r="AB366" s="10"/>
      <c r="AC366" s="33">
        <v>10000</v>
      </c>
      <c r="AD366" s="10">
        <f t="shared" si="7"/>
        <v>0</v>
      </c>
      <c r="AE366" s="82"/>
    </row>
    <row r="367" spans="1:32" x14ac:dyDescent="0.25">
      <c r="A367" s="7" t="s">
        <v>2824</v>
      </c>
      <c r="B367" s="9">
        <v>4072093</v>
      </c>
      <c r="C367" s="70">
        <v>45142</v>
      </c>
      <c r="D367" s="70">
        <v>45142</v>
      </c>
      <c r="E367" s="73"/>
      <c r="F367" s="9"/>
      <c r="H367" s="9"/>
      <c r="I367" s="7" t="s">
        <v>2856</v>
      </c>
      <c r="J367" s="51" t="s">
        <v>44</v>
      </c>
      <c r="K367" s="7"/>
      <c r="L367" s="10">
        <v>678.36</v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>
        <v>5652.96</v>
      </c>
      <c r="Y367" s="10"/>
      <c r="Z367" s="10"/>
      <c r="AA367" s="33"/>
      <c r="AB367" s="10"/>
      <c r="AC367" s="33">
        <v>6331.32</v>
      </c>
      <c r="AD367" s="10">
        <f t="shared" si="7"/>
        <v>0</v>
      </c>
      <c r="AE367" s="82"/>
    </row>
    <row r="368" spans="1:32" x14ac:dyDescent="0.25">
      <c r="A368" s="7" t="s">
        <v>2825</v>
      </c>
      <c r="B368" s="9">
        <v>4072094</v>
      </c>
      <c r="C368" s="70">
        <v>45149</v>
      </c>
      <c r="D368" s="70">
        <v>45145</v>
      </c>
      <c r="E368" s="73"/>
      <c r="F368" s="9"/>
      <c r="H368" s="9"/>
      <c r="I368" s="7" t="s">
        <v>123</v>
      </c>
      <c r="J368" s="51" t="s">
        <v>2855</v>
      </c>
      <c r="K368" s="7"/>
      <c r="L368" s="10"/>
      <c r="M368" s="10">
        <v>23000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33"/>
      <c r="AB368" s="10"/>
      <c r="AC368" s="33">
        <v>23000</v>
      </c>
      <c r="AD368" s="10">
        <f t="shared" si="7"/>
        <v>0</v>
      </c>
      <c r="AE368" s="82"/>
    </row>
    <row r="369" spans="1:32" x14ac:dyDescent="0.25">
      <c r="A369" s="7" t="s">
        <v>2826</v>
      </c>
      <c r="B369" s="9">
        <v>4072095</v>
      </c>
      <c r="C369" s="70">
        <v>45145</v>
      </c>
      <c r="D369" s="70">
        <v>45145</v>
      </c>
      <c r="E369" s="73"/>
      <c r="F369" s="9"/>
      <c r="H369" s="9" t="s">
        <v>1935</v>
      </c>
      <c r="I369" s="7" t="s">
        <v>2588</v>
      </c>
      <c r="J369" s="51" t="s">
        <v>65</v>
      </c>
      <c r="K369" s="7"/>
      <c r="L369" s="10"/>
      <c r="M369" s="10"/>
      <c r="N369" s="10"/>
      <c r="O369" s="10"/>
      <c r="P369" s="10"/>
      <c r="Q369" s="10"/>
      <c r="R369" s="10"/>
      <c r="S369" s="10"/>
      <c r="T369" s="10">
        <v>6573.5</v>
      </c>
      <c r="U369" s="10"/>
      <c r="V369" s="10"/>
      <c r="W369" s="10"/>
      <c r="X369" s="10"/>
      <c r="Y369" s="10"/>
      <c r="Z369" s="10"/>
      <c r="AA369" s="33"/>
      <c r="AB369" s="10"/>
      <c r="AC369" s="33">
        <v>6573.5</v>
      </c>
      <c r="AD369" s="10">
        <f t="shared" si="7"/>
        <v>0</v>
      </c>
      <c r="AE369" s="82"/>
    </row>
    <row r="370" spans="1:32" x14ac:dyDescent="0.25">
      <c r="A370" s="7" t="s">
        <v>2835</v>
      </c>
      <c r="B370" s="9">
        <v>4072096</v>
      </c>
      <c r="C370" s="70">
        <v>45184</v>
      </c>
      <c r="D370" s="70">
        <v>45145</v>
      </c>
      <c r="E370" s="73">
        <v>45149</v>
      </c>
      <c r="F370" s="9" t="s">
        <v>3227</v>
      </c>
      <c r="G370" s="9" t="s">
        <v>2239</v>
      </c>
      <c r="H370" s="9"/>
      <c r="I370" s="7" t="s">
        <v>1987</v>
      </c>
      <c r="J370" s="51" t="s">
        <v>1226</v>
      </c>
      <c r="K370" s="7" t="s">
        <v>1039</v>
      </c>
      <c r="L370" s="10">
        <v>3214.29</v>
      </c>
      <c r="M370" s="10">
        <v>26785.71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33"/>
      <c r="AB370" s="10"/>
      <c r="AC370" s="33">
        <v>30000</v>
      </c>
      <c r="AD370" s="10">
        <f t="shared" si="7"/>
        <v>0</v>
      </c>
      <c r="AE370" s="82"/>
      <c r="AF370" s="17">
        <v>267.86</v>
      </c>
    </row>
    <row r="371" spans="1:32" x14ac:dyDescent="0.25">
      <c r="A371" s="7" t="s">
        <v>2836</v>
      </c>
      <c r="B371" s="9">
        <v>4072097</v>
      </c>
      <c r="C371" s="70">
        <v>45184</v>
      </c>
      <c r="D371" s="70">
        <v>45176</v>
      </c>
      <c r="E371" s="73">
        <v>45149</v>
      </c>
      <c r="F371" s="9" t="s">
        <v>3228</v>
      </c>
      <c r="G371" s="9" t="s">
        <v>2346</v>
      </c>
      <c r="H371" s="9"/>
      <c r="I371" s="7" t="s">
        <v>1737</v>
      </c>
      <c r="J371" s="51" t="s">
        <v>1226</v>
      </c>
      <c r="K371" s="7" t="s">
        <v>1039</v>
      </c>
      <c r="L371" s="10">
        <v>4017.86</v>
      </c>
      <c r="M371" s="10">
        <v>33482.14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33"/>
      <c r="AB371" s="10"/>
      <c r="AC371" s="33">
        <v>37500</v>
      </c>
      <c r="AD371" s="10">
        <f t="shared" si="7"/>
        <v>0</v>
      </c>
      <c r="AE371" s="82"/>
      <c r="AF371" s="17">
        <v>334.82</v>
      </c>
    </row>
    <row r="372" spans="1:32" x14ac:dyDescent="0.25">
      <c r="A372" s="7" t="s">
        <v>2837</v>
      </c>
      <c r="B372" s="9" t="s">
        <v>2857</v>
      </c>
      <c r="C372" s="70">
        <v>45145</v>
      </c>
      <c r="D372" s="70">
        <v>45145</v>
      </c>
      <c r="E372" s="73"/>
      <c r="F372" s="9"/>
      <c r="H372" s="9"/>
      <c r="I372" s="7" t="s">
        <v>64</v>
      </c>
      <c r="J372" s="51" t="s">
        <v>47</v>
      </c>
      <c r="K372" s="7"/>
      <c r="L372" s="10"/>
      <c r="M372" s="10"/>
      <c r="N372" s="10"/>
      <c r="O372" s="10"/>
      <c r="P372" s="10">
        <v>90000</v>
      </c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33"/>
      <c r="AB372" s="10"/>
      <c r="AC372" s="33">
        <v>90000</v>
      </c>
      <c r="AD372" s="10">
        <f t="shared" si="7"/>
        <v>0</v>
      </c>
      <c r="AE372" s="82"/>
    </row>
    <row r="373" spans="1:32" x14ac:dyDescent="0.25">
      <c r="A373" s="7" t="s">
        <v>2838</v>
      </c>
      <c r="B373" s="9" t="s">
        <v>2858</v>
      </c>
      <c r="C373" s="70">
        <v>45145</v>
      </c>
      <c r="D373" s="70">
        <v>45145</v>
      </c>
      <c r="E373" s="73"/>
      <c r="F373" s="9"/>
      <c r="H373" s="9"/>
      <c r="I373" s="7" t="s">
        <v>55</v>
      </c>
      <c r="J373" s="51" t="s">
        <v>54</v>
      </c>
      <c r="K373" s="7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>
        <v>150000</v>
      </c>
      <c r="AA373" s="33"/>
      <c r="AB373" s="10"/>
      <c r="AC373" s="33">
        <v>150000</v>
      </c>
      <c r="AD373" s="10">
        <f t="shared" si="7"/>
        <v>0</v>
      </c>
      <c r="AE373" s="10"/>
      <c r="AF373" s="10"/>
    </row>
    <row r="374" spans="1:32" x14ac:dyDescent="0.25">
      <c r="A374" s="7" t="s">
        <v>2839</v>
      </c>
      <c r="B374" s="9">
        <v>4072098</v>
      </c>
      <c r="C374" s="70">
        <v>45148</v>
      </c>
      <c r="D374" s="70">
        <v>45148</v>
      </c>
      <c r="E374" s="73"/>
      <c r="F374" s="9"/>
      <c r="H374" s="9"/>
      <c r="I374" s="7" t="s">
        <v>64</v>
      </c>
      <c r="J374" s="51" t="s">
        <v>1250</v>
      </c>
      <c r="K374" s="7"/>
      <c r="L374" s="10"/>
      <c r="M374" s="10"/>
      <c r="N374" s="10"/>
      <c r="O374" s="10"/>
      <c r="P374" s="10">
        <v>8000</v>
      </c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33"/>
      <c r="AB374" s="10"/>
      <c r="AC374" s="33">
        <v>8000</v>
      </c>
      <c r="AD374" s="10">
        <f t="shared" si="7"/>
        <v>0</v>
      </c>
      <c r="AE374" s="82"/>
    </row>
    <row r="375" spans="1:32" x14ac:dyDescent="0.25">
      <c r="A375" s="7" t="s">
        <v>2840</v>
      </c>
      <c r="B375" s="9">
        <v>4072099</v>
      </c>
      <c r="C375" s="70">
        <v>45148</v>
      </c>
      <c r="D375" s="70">
        <v>45148</v>
      </c>
      <c r="E375" s="73">
        <v>45150</v>
      </c>
      <c r="F375" s="9" t="s">
        <v>3229</v>
      </c>
      <c r="H375" s="9"/>
      <c r="I375" s="7" t="s">
        <v>661</v>
      </c>
      <c r="J375" s="51" t="s">
        <v>1969</v>
      </c>
      <c r="K375" s="7" t="s">
        <v>1970</v>
      </c>
      <c r="L375" s="10">
        <v>825</v>
      </c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33">
        <v>6875</v>
      </c>
      <c r="AB375" s="10"/>
      <c r="AC375" s="33">
        <v>7700</v>
      </c>
      <c r="AD375" s="10">
        <f t="shared" si="7"/>
        <v>0</v>
      </c>
      <c r="AE375" s="82"/>
    </row>
    <row r="376" spans="1:32" x14ac:dyDescent="0.25">
      <c r="A376" s="7" t="s">
        <v>2841</v>
      </c>
      <c r="B376" s="9">
        <v>4072100</v>
      </c>
      <c r="C376" s="70">
        <v>45148</v>
      </c>
      <c r="D376" s="70">
        <v>45148</v>
      </c>
      <c r="E376" s="73"/>
      <c r="F376" s="9"/>
      <c r="H376" s="9"/>
      <c r="I376" s="7" t="s">
        <v>2804</v>
      </c>
      <c r="J376" s="51" t="s">
        <v>65</v>
      </c>
      <c r="K376" s="7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33">
        <v>13000</v>
      </c>
      <c r="AB376" s="10"/>
      <c r="AC376" s="33">
        <v>13000</v>
      </c>
      <c r="AD376" s="10">
        <f t="shared" si="7"/>
        <v>0</v>
      </c>
      <c r="AE376" s="82"/>
    </row>
    <row r="377" spans="1:32" x14ac:dyDescent="0.25">
      <c r="A377" s="7" t="s">
        <v>2842</v>
      </c>
      <c r="B377" s="9">
        <v>4072101</v>
      </c>
      <c r="C377" s="70">
        <v>45152</v>
      </c>
      <c r="D377" s="70">
        <v>45152</v>
      </c>
      <c r="E377" s="73"/>
      <c r="F377" s="9"/>
      <c r="H377" s="9"/>
      <c r="I377" s="7" t="s">
        <v>2866</v>
      </c>
      <c r="J377" s="51" t="s">
        <v>18</v>
      </c>
      <c r="K377" s="7"/>
      <c r="L377" s="10">
        <v>151.09</v>
      </c>
      <c r="M377" s="10"/>
      <c r="N377" s="10"/>
      <c r="O377" s="10"/>
      <c r="P377" s="10"/>
      <c r="Q377" s="10"/>
      <c r="R377" s="10">
        <v>1259.06</v>
      </c>
      <c r="S377" s="10"/>
      <c r="T377" s="10"/>
      <c r="U377" s="10"/>
      <c r="V377" s="10"/>
      <c r="W377" s="10"/>
      <c r="X377" s="10"/>
      <c r="Y377" s="10"/>
      <c r="Z377" s="10"/>
      <c r="AA377" s="33"/>
      <c r="AB377" s="10"/>
      <c r="AC377" s="33">
        <v>1410.15</v>
      </c>
      <c r="AD377" s="10">
        <f t="shared" si="7"/>
        <v>0</v>
      </c>
      <c r="AE377" s="82"/>
    </row>
    <row r="378" spans="1:32" x14ac:dyDescent="0.25">
      <c r="A378" s="7" t="s">
        <v>2843</v>
      </c>
      <c r="B378" s="9">
        <v>4072103</v>
      </c>
      <c r="C378" s="70">
        <v>45152</v>
      </c>
      <c r="D378" s="70">
        <v>45152</v>
      </c>
      <c r="E378" s="73"/>
      <c r="F378" s="9"/>
      <c r="H378" s="9"/>
      <c r="I378" s="7" t="s">
        <v>2866</v>
      </c>
      <c r="J378" s="51" t="s">
        <v>18</v>
      </c>
      <c r="K378" s="7"/>
      <c r="L378" s="10">
        <v>811.09</v>
      </c>
      <c r="M378" s="10"/>
      <c r="N378" s="10"/>
      <c r="O378" s="10"/>
      <c r="P378" s="10"/>
      <c r="Q378" s="10"/>
      <c r="R378" s="10">
        <v>6759.06</v>
      </c>
      <c r="S378" s="10"/>
      <c r="T378" s="10"/>
      <c r="U378" s="10"/>
      <c r="V378" s="10"/>
      <c r="W378" s="10"/>
      <c r="X378" s="10"/>
      <c r="Y378" s="10"/>
      <c r="Z378" s="10"/>
      <c r="AA378" s="33"/>
      <c r="AB378" s="10"/>
      <c r="AC378" s="33">
        <v>7570.15</v>
      </c>
      <c r="AD378" s="10">
        <f t="shared" si="7"/>
        <v>0</v>
      </c>
      <c r="AE378" s="82"/>
    </row>
    <row r="379" spans="1:32" x14ac:dyDescent="0.25">
      <c r="A379" s="7" t="s">
        <v>2844</v>
      </c>
      <c r="B379" s="9">
        <v>4072104</v>
      </c>
      <c r="C379" s="70">
        <v>45152</v>
      </c>
      <c r="D379" s="70">
        <v>45152</v>
      </c>
      <c r="E379" s="73"/>
      <c r="F379" s="9"/>
      <c r="H379" s="9"/>
      <c r="I379" s="7" t="s">
        <v>2867</v>
      </c>
      <c r="J379" s="51" t="s">
        <v>44</v>
      </c>
      <c r="K379" s="7"/>
      <c r="L379" s="10">
        <v>880.59</v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>
        <v>7338.27</v>
      </c>
      <c r="Y379" s="10"/>
      <c r="Z379" s="10"/>
      <c r="AA379" s="33"/>
      <c r="AB379" s="10"/>
      <c r="AC379" s="33">
        <v>8218.86</v>
      </c>
      <c r="AD379" s="10">
        <f t="shared" si="7"/>
        <v>0</v>
      </c>
      <c r="AE379" s="82"/>
    </row>
    <row r="380" spans="1:32" x14ac:dyDescent="0.25">
      <c r="A380" s="7" t="s">
        <v>2845</v>
      </c>
      <c r="B380" s="9">
        <v>4072105</v>
      </c>
      <c r="C380" s="70">
        <v>45153</v>
      </c>
      <c r="D380" s="70">
        <v>45153</v>
      </c>
      <c r="E380" s="73"/>
      <c r="F380" s="9"/>
      <c r="H380" s="9"/>
      <c r="I380" s="7" t="s">
        <v>2868</v>
      </c>
      <c r="J380" s="51" t="s">
        <v>1202</v>
      </c>
      <c r="K380" s="7"/>
      <c r="L380" s="10">
        <v>160.61000000000001</v>
      </c>
      <c r="M380" s="10"/>
      <c r="N380" s="10"/>
      <c r="O380" s="10"/>
      <c r="P380" s="10"/>
      <c r="Q380" s="10"/>
      <c r="R380" s="10"/>
      <c r="S380" s="10">
        <v>1338.39</v>
      </c>
      <c r="T380" s="10"/>
      <c r="U380" s="10"/>
      <c r="V380" s="10"/>
      <c r="W380" s="10"/>
      <c r="X380" s="10"/>
      <c r="Y380" s="10"/>
      <c r="Z380" s="10"/>
      <c r="AA380" s="33"/>
      <c r="AB380" s="10"/>
      <c r="AC380" s="33">
        <v>1499</v>
      </c>
      <c r="AD380" s="10">
        <f t="shared" si="7"/>
        <v>0</v>
      </c>
      <c r="AE380" s="82"/>
    </row>
    <row r="381" spans="1:32" x14ac:dyDescent="0.25">
      <c r="A381" s="7" t="s">
        <v>2846</v>
      </c>
      <c r="B381" s="9">
        <v>4072106</v>
      </c>
      <c r="C381" s="70">
        <v>45153</v>
      </c>
      <c r="D381" s="70">
        <v>45153</v>
      </c>
      <c r="E381" s="73"/>
      <c r="F381" s="9"/>
      <c r="H381" s="9"/>
      <c r="I381" s="7" t="s">
        <v>2868</v>
      </c>
      <c r="J381" s="51" t="s">
        <v>1202</v>
      </c>
      <c r="K381" s="7"/>
      <c r="L381" s="10">
        <v>107.04</v>
      </c>
      <c r="M381" s="10"/>
      <c r="N381" s="10"/>
      <c r="O381" s="10"/>
      <c r="P381" s="10"/>
      <c r="Q381" s="10"/>
      <c r="R381" s="10"/>
      <c r="S381" s="10">
        <v>891.96</v>
      </c>
      <c r="T381" s="10"/>
      <c r="U381" s="10"/>
      <c r="V381" s="10"/>
      <c r="W381" s="10"/>
      <c r="X381" s="10"/>
      <c r="Y381" s="10"/>
      <c r="Z381" s="10"/>
      <c r="AA381" s="33"/>
      <c r="AB381" s="10"/>
      <c r="AC381" s="33">
        <v>999</v>
      </c>
      <c r="AD381" s="10">
        <f t="shared" si="7"/>
        <v>0</v>
      </c>
      <c r="AE381" s="82"/>
    </row>
    <row r="382" spans="1:32" x14ac:dyDescent="0.25">
      <c r="A382" s="7" t="s">
        <v>2847</v>
      </c>
      <c r="B382" s="9">
        <v>4072107</v>
      </c>
      <c r="C382" s="70">
        <v>45153</v>
      </c>
      <c r="D382" s="70">
        <v>45153</v>
      </c>
      <c r="E382" s="73"/>
      <c r="F382" s="9"/>
      <c r="H382" s="9"/>
      <c r="I382" s="7" t="s">
        <v>2869</v>
      </c>
      <c r="J382" s="51" t="s">
        <v>1202</v>
      </c>
      <c r="K382" s="7"/>
      <c r="L382" s="10">
        <v>107.04</v>
      </c>
      <c r="M382" s="10"/>
      <c r="N382" s="10"/>
      <c r="O382" s="10"/>
      <c r="P382" s="10"/>
      <c r="Q382" s="10"/>
      <c r="R382" s="10"/>
      <c r="S382" s="10">
        <v>891.96</v>
      </c>
      <c r="T382" s="10"/>
      <c r="U382" s="10"/>
      <c r="V382" s="10"/>
      <c r="W382" s="10"/>
      <c r="X382" s="10"/>
      <c r="Y382" s="10"/>
      <c r="Z382" s="10"/>
      <c r="AA382" s="33"/>
      <c r="AB382" s="10"/>
      <c r="AC382" s="33">
        <v>999</v>
      </c>
      <c r="AD382" s="10">
        <f t="shared" si="7"/>
        <v>0</v>
      </c>
      <c r="AE382" s="82"/>
    </row>
    <row r="383" spans="1:32" x14ac:dyDescent="0.25">
      <c r="A383" s="7" t="s">
        <v>2848</v>
      </c>
      <c r="B383" s="9">
        <v>4072108</v>
      </c>
      <c r="C383" s="70">
        <v>45153</v>
      </c>
      <c r="D383" s="70">
        <v>45153</v>
      </c>
      <c r="E383" s="73"/>
      <c r="F383" s="9"/>
      <c r="H383" s="9"/>
      <c r="I383" s="7" t="s">
        <v>2869</v>
      </c>
      <c r="J383" s="51" t="s">
        <v>1202</v>
      </c>
      <c r="K383" s="7"/>
      <c r="L383" s="10">
        <v>107.04</v>
      </c>
      <c r="M383" s="10"/>
      <c r="N383" s="10"/>
      <c r="O383" s="10"/>
      <c r="P383" s="10"/>
      <c r="Q383" s="10"/>
      <c r="R383" s="10"/>
      <c r="S383" s="10">
        <v>891.96</v>
      </c>
      <c r="T383" s="10"/>
      <c r="U383" s="10"/>
      <c r="V383" s="10"/>
      <c r="W383" s="10"/>
      <c r="X383" s="10"/>
      <c r="Y383" s="10"/>
      <c r="Z383" s="10"/>
      <c r="AA383" s="33"/>
      <c r="AB383" s="10"/>
      <c r="AC383" s="33">
        <v>999</v>
      </c>
      <c r="AD383" s="10">
        <f t="shared" si="7"/>
        <v>0</v>
      </c>
      <c r="AE383" s="82"/>
    </row>
    <row r="384" spans="1:32" x14ac:dyDescent="0.25">
      <c r="A384" s="7" t="s">
        <v>2849</v>
      </c>
      <c r="B384" s="9">
        <v>4072109</v>
      </c>
      <c r="C384" s="70">
        <v>45153</v>
      </c>
      <c r="D384" s="70">
        <v>45153</v>
      </c>
      <c r="E384" s="73"/>
      <c r="F384" s="9"/>
      <c r="H384" s="9"/>
      <c r="I384" s="7" t="s">
        <v>2870</v>
      </c>
      <c r="J384" s="51" t="s">
        <v>1235</v>
      </c>
      <c r="K384" s="7"/>
      <c r="L384" s="10">
        <v>32.14</v>
      </c>
      <c r="M384" s="10"/>
      <c r="N384" s="10"/>
      <c r="O384" s="10"/>
      <c r="P384" s="10"/>
      <c r="Q384" s="10"/>
      <c r="R384" s="10"/>
      <c r="S384" s="10">
        <v>267.86</v>
      </c>
      <c r="T384" s="10"/>
      <c r="U384" s="10"/>
      <c r="V384" s="10"/>
      <c r="W384" s="10"/>
      <c r="X384" s="10"/>
      <c r="Y384" s="10"/>
      <c r="Z384" s="10"/>
      <c r="AA384" s="33"/>
      <c r="AB384" s="10"/>
      <c r="AC384" s="33">
        <v>300</v>
      </c>
      <c r="AD384" s="10">
        <f t="shared" si="7"/>
        <v>0</v>
      </c>
      <c r="AE384" s="82"/>
    </row>
    <row r="385" spans="1:32" x14ac:dyDescent="0.25">
      <c r="A385" s="7" t="s">
        <v>2850</v>
      </c>
      <c r="B385" s="9">
        <v>4072110</v>
      </c>
      <c r="C385" s="70">
        <v>45153</v>
      </c>
      <c r="D385" s="70">
        <v>45153</v>
      </c>
      <c r="E385" s="73"/>
      <c r="F385" s="9"/>
      <c r="H385" s="9"/>
      <c r="I385" s="7" t="s">
        <v>2870</v>
      </c>
      <c r="J385" s="51" t="s">
        <v>43</v>
      </c>
      <c r="K385" s="7"/>
      <c r="L385" s="10">
        <v>64.180000000000007</v>
      </c>
      <c r="M385" s="10"/>
      <c r="N385" s="10"/>
      <c r="O385" s="10"/>
      <c r="P385" s="10"/>
      <c r="Q385" s="10"/>
      <c r="R385" s="10"/>
      <c r="S385" s="10">
        <v>534.82000000000005</v>
      </c>
      <c r="T385" s="10"/>
      <c r="U385" s="10"/>
      <c r="V385" s="10"/>
      <c r="W385" s="10"/>
      <c r="X385" s="10"/>
      <c r="Y385" s="10"/>
      <c r="Z385" s="10"/>
      <c r="AA385" s="33"/>
      <c r="AB385" s="10"/>
      <c r="AC385" s="33">
        <v>599</v>
      </c>
      <c r="AD385" s="10">
        <f t="shared" si="7"/>
        <v>0</v>
      </c>
      <c r="AE385" s="82"/>
    </row>
    <row r="386" spans="1:32" x14ac:dyDescent="0.25">
      <c r="A386" s="7" t="s">
        <v>2851</v>
      </c>
      <c r="B386" s="9">
        <v>4072111</v>
      </c>
      <c r="C386" s="70">
        <v>45153</v>
      </c>
      <c r="D386" s="70">
        <v>45153</v>
      </c>
      <c r="E386" s="73"/>
      <c r="F386" s="9"/>
      <c r="H386" s="9" t="s">
        <v>1951</v>
      </c>
      <c r="I386" s="7" t="s">
        <v>1174</v>
      </c>
      <c r="J386" s="51" t="s">
        <v>65</v>
      </c>
      <c r="K386" s="7"/>
      <c r="L386" s="10"/>
      <c r="M386" s="10"/>
      <c r="N386" s="10"/>
      <c r="O386" s="10"/>
      <c r="P386" s="10"/>
      <c r="Q386" s="10"/>
      <c r="R386" s="10"/>
      <c r="S386" s="10"/>
      <c r="T386" s="10">
        <v>10708</v>
      </c>
      <c r="U386" s="10"/>
      <c r="V386" s="10"/>
      <c r="W386" s="10"/>
      <c r="X386" s="10"/>
      <c r="Y386" s="10"/>
      <c r="Z386" s="10"/>
      <c r="AA386" s="33"/>
      <c r="AB386" s="10"/>
      <c r="AC386" s="33">
        <v>10708</v>
      </c>
      <c r="AD386" s="10">
        <f t="shared" si="7"/>
        <v>0</v>
      </c>
      <c r="AE386" s="82"/>
    </row>
    <row r="387" spans="1:32" x14ac:dyDescent="0.25">
      <c r="A387" s="7" t="s">
        <v>2852</v>
      </c>
      <c r="B387" s="9">
        <v>4072112</v>
      </c>
      <c r="C387" s="70">
        <v>45194</v>
      </c>
      <c r="D387" s="70">
        <v>45153</v>
      </c>
      <c r="E387" s="73">
        <v>45163</v>
      </c>
      <c r="F387" s="9" t="s">
        <v>3230</v>
      </c>
      <c r="G387" s="9" t="s">
        <v>2239</v>
      </c>
      <c r="H387" s="9"/>
      <c r="I387" s="7" t="s">
        <v>1131</v>
      </c>
      <c r="J387" s="51" t="s">
        <v>1226</v>
      </c>
      <c r="K387" s="7" t="s">
        <v>1039</v>
      </c>
      <c r="L387" s="10">
        <v>8035.71</v>
      </c>
      <c r="M387" s="10">
        <v>66964.289999999994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33"/>
      <c r="AB387" s="10"/>
      <c r="AC387" s="33">
        <v>75000</v>
      </c>
      <c r="AD387" s="10">
        <f t="shared" si="7"/>
        <v>0</v>
      </c>
      <c r="AE387" s="82"/>
      <c r="AF387" s="17">
        <v>669.64</v>
      </c>
    </row>
    <row r="388" spans="1:32" x14ac:dyDescent="0.25">
      <c r="A388" s="7" t="s">
        <v>2853</v>
      </c>
      <c r="B388" s="9" t="s">
        <v>2871</v>
      </c>
      <c r="C388" s="70">
        <v>45153</v>
      </c>
      <c r="D388" s="70">
        <v>45153</v>
      </c>
      <c r="E388" s="73"/>
      <c r="F388" s="9"/>
      <c r="H388" s="9"/>
      <c r="I388" s="7" t="s">
        <v>55</v>
      </c>
      <c r="J388" s="51" t="s">
        <v>54</v>
      </c>
      <c r="K388" s="7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>
        <v>500000</v>
      </c>
      <c r="AA388" s="33"/>
      <c r="AB388" s="10"/>
      <c r="AC388" s="33">
        <v>500000</v>
      </c>
      <c r="AD388" s="10">
        <f t="shared" si="7"/>
        <v>0</v>
      </c>
      <c r="AE388" s="82"/>
    </row>
    <row r="389" spans="1:32" x14ac:dyDescent="0.25">
      <c r="A389" s="7" t="s">
        <v>2854</v>
      </c>
      <c r="B389" s="9">
        <v>4072113</v>
      </c>
      <c r="C389" s="70">
        <v>45185</v>
      </c>
      <c r="D389" s="70">
        <v>45154</v>
      </c>
      <c r="E389" s="73">
        <v>45184</v>
      </c>
      <c r="F389" s="9" t="s">
        <v>3231</v>
      </c>
      <c r="G389" s="9" t="s">
        <v>2343</v>
      </c>
      <c r="H389" s="9"/>
      <c r="I389" s="7" t="s">
        <v>2872</v>
      </c>
      <c r="J389" s="51" t="s">
        <v>83</v>
      </c>
      <c r="K389" s="7" t="s">
        <v>1336</v>
      </c>
      <c r="L389" s="10">
        <v>37560</v>
      </c>
      <c r="M389" s="10">
        <v>313000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33"/>
      <c r="AB389" s="10"/>
      <c r="AC389" s="33">
        <v>350560</v>
      </c>
      <c r="AD389" s="10">
        <f t="shared" si="7"/>
        <v>0</v>
      </c>
      <c r="AE389" s="82"/>
      <c r="AF389" s="17">
        <v>3130</v>
      </c>
    </row>
    <row r="390" spans="1:32" x14ac:dyDescent="0.25">
      <c r="A390" s="7" t="s">
        <v>2859</v>
      </c>
      <c r="B390" s="9">
        <v>4072114</v>
      </c>
      <c r="C390" s="70">
        <v>45185</v>
      </c>
      <c r="D390" s="70">
        <v>45154</v>
      </c>
      <c r="E390" s="73">
        <v>45184</v>
      </c>
      <c r="F390" s="9" t="s">
        <v>3232</v>
      </c>
      <c r="G390" s="9" t="s">
        <v>2345</v>
      </c>
      <c r="H390" s="9"/>
      <c r="I390" s="7" t="s">
        <v>2873</v>
      </c>
      <c r="J390" s="51" t="s">
        <v>83</v>
      </c>
      <c r="K390" s="7" t="s">
        <v>1336</v>
      </c>
      <c r="L390" s="10">
        <v>1500</v>
      </c>
      <c r="M390" s="10">
        <v>12500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33"/>
      <c r="AB390" s="10"/>
      <c r="AC390" s="33">
        <v>14000</v>
      </c>
      <c r="AD390" s="10">
        <f t="shared" si="7"/>
        <v>0</v>
      </c>
      <c r="AE390" s="82"/>
      <c r="AF390" s="17">
        <v>125</v>
      </c>
    </row>
    <row r="391" spans="1:32" x14ac:dyDescent="0.25">
      <c r="A391" s="7" t="s">
        <v>2860</v>
      </c>
      <c r="B391" s="9">
        <v>4072115</v>
      </c>
      <c r="C391" s="70">
        <v>45185</v>
      </c>
      <c r="D391" s="70">
        <v>45154</v>
      </c>
      <c r="E391" s="73">
        <v>45184</v>
      </c>
      <c r="F391" s="9" t="s">
        <v>3233</v>
      </c>
      <c r="G391" s="9" t="s">
        <v>2350</v>
      </c>
      <c r="H391" s="9"/>
      <c r="I391" s="7" t="s">
        <v>257</v>
      </c>
      <c r="J391" s="51" t="s">
        <v>83</v>
      </c>
      <c r="K391" s="7" t="s">
        <v>1336</v>
      </c>
      <c r="L391" s="10">
        <v>6480</v>
      </c>
      <c r="M391" s="10">
        <v>54000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33"/>
      <c r="AB391" s="10"/>
      <c r="AC391" s="33">
        <v>60480</v>
      </c>
      <c r="AD391" s="10">
        <f t="shared" si="7"/>
        <v>0</v>
      </c>
      <c r="AE391" s="82"/>
      <c r="AF391" s="17">
        <v>540</v>
      </c>
    </row>
    <row r="392" spans="1:32" x14ac:dyDescent="0.25">
      <c r="A392" s="7" t="s">
        <v>2861</v>
      </c>
      <c r="B392" s="9">
        <v>4072116</v>
      </c>
      <c r="C392" s="70">
        <v>45155</v>
      </c>
      <c r="D392" s="70">
        <v>45155</v>
      </c>
      <c r="E392" s="73"/>
      <c r="F392" s="9"/>
      <c r="H392" s="9"/>
      <c r="I392" s="7" t="s">
        <v>118</v>
      </c>
      <c r="J392" s="51" t="s">
        <v>1847</v>
      </c>
      <c r="K392" s="7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33">
        <v>10661.04</v>
      </c>
      <c r="AB392" s="10"/>
      <c r="AC392" s="33">
        <v>10661.04</v>
      </c>
      <c r="AD392" s="10">
        <f t="shared" si="7"/>
        <v>0</v>
      </c>
      <c r="AE392" s="82"/>
    </row>
    <row r="393" spans="1:32" x14ac:dyDescent="0.25">
      <c r="A393" s="7" t="s">
        <v>2862</v>
      </c>
      <c r="B393" s="9">
        <v>4072117</v>
      </c>
      <c r="C393" s="70">
        <v>45156</v>
      </c>
      <c r="D393" s="70">
        <v>45156</v>
      </c>
      <c r="E393" s="73">
        <v>45160</v>
      </c>
      <c r="F393" s="9" t="s">
        <v>3234</v>
      </c>
      <c r="G393" s="9" t="s">
        <v>2349</v>
      </c>
      <c r="H393" s="9"/>
      <c r="I393" s="7" t="s">
        <v>2882</v>
      </c>
      <c r="J393" s="51" t="s">
        <v>109</v>
      </c>
      <c r="K393" s="7"/>
      <c r="L393" s="10"/>
      <c r="M393" s="10">
        <v>5500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33"/>
      <c r="AB393" s="10"/>
      <c r="AC393" s="33">
        <v>5500</v>
      </c>
      <c r="AD393" s="10">
        <f t="shared" si="7"/>
        <v>0</v>
      </c>
      <c r="AE393" s="82"/>
    </row>
    <row r="394" spans="1:32" x14ac:dyDescent="0.25">
      <c r="A394" s="7" t="s">
        <v>2863</v>
      </c>
      <c r="B394" s="9">
        <v>4072118</v>
      </c>
      <c r="C394" s="70">
        <v>45200</v>
      </c>
      <c r="D394" s="70">
        <v>45156</v>
      </c>
      <c r="E394" s="73">
        <v>45163</v>
      </c>
      <c r="F394" s="9" t="s">
        <v>3235</v>
      </c>
      <c r="G394" s="9" t="s">
        <v>2351</v>
      </c>
      <c r="H394" s="9"/>
      <c r="I394" s="7" t="s">
        <v>2883</v>
      </c>
      <c r="J394" s="51" t="s">
        <v>1226</v>
      </c>
      <c r="K394" s="7" t="s">
        <v>1039</v>
      </c>
      <c r="L394" s="10">
        <v>2410.71</v>
      </c>
      <c r="M394" s="10">
        <v>20089.29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33"/>
      <c r="AB394" s="10"/>
      <c r="AC394" s="33">
        <v>22500</v>
      </c>
      <c r="AD394" s="10">
        <f t="shared" si="7"/>
        <v>0</v>
      </c>
      <c r="AE394" s="82"/>
      <c r="AF394" s="17">
        <v>200.89</v>
      </c>
    </row>
    <row r="395" spans="1:32" x14ac:dyDescent="0.25">
      <c r="A395" s="7" t="s">
        <v>2864</v>
      </c>
      <c r="B395" s="9">
        <v>4072119</v>
      </c>
      <c r="C395" s="70">
        <v>45156</v>
      </c>
      <c r="D395" s="70">
        <v>45156</v>
      </c>
      <c r="E395" s="73">
        <v>45160</v>
      </c>
      <c r="F395" s="9" t="s">
        <v>3236</v>
      </c>
      <c r="H395" s="9"/>
      <c r="I395" s="7" t="s">
        <v>2741</v>
      </c>
      <c r="J395" s="51" t="s">
        <v>109</v>
      </c>
      <c r="K395" s="7"/>
      <c r="L395" s="10"/>
      <c r="M395" s="10">
        <v>12892.5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33"/>
      <c r="AB395" s="10"/>
      <c r="AC395" s="33">
        <v>12892.5</v>
      </c>
      <c r="AD395" s="10">
        <f t="shared" si="7"/>
        <v>0</v>
      </c>
      <c r="AE395" s="82"/>
    </row>
    <row r="396" spans="1:32" x14ac:dyDescent="0.25">
      <c r="A396" s="7" t="s">
        <v>2865</v>
      </c>
      <c r="B396" s="9" t="s">
        <v>2884</v>
      </c>
      <c r="C396" s="70">
        <v>45156</v>
      </c>
      <c r="D396" s="70">
        <v>45156</v>
      </c>
      <c r="E396" s="73">
        <v>45160</v>
      </c>
      <c r="F396" s="9" t="s">
        <v>3237</v>
      </c>
      <c r="G396" s="9" t="s">
        <v>2352</v>
      </c>
      <c r="H396" s="9"/>
      <c r="I396" s="7" t="s">
        <v>1988</v>
      </c>
      <c r="J396" s="51" t="s">
        <v>1999</v>
      </c>
      <c r="K396" s="7" t="s">
        <v>2297</v>
      </c>
      <c r="L396" s="10">
        <v>11517.86</v>
      </c>
      <c r="M396" s="10">
        <v>95982.14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33"/>
      <c r="AB396" s="10"/>
      <c r="AC396" s="33">
        <v>107500</v>
      </c>
      <c r="AD396" s="10">
        <f t="shared" si="7"/>
        <v>0</v>
      </c>
      <c r="AE396" s="82"/>
      <c r="AF396" s="17">
        <v>959.82</v>
      </c>
    </row>
    <row r="397" spans="1:32" x14ac:dyDescent="0.25">
      <c r="A397" s="7" t="s">
        <v>2874</v>
      </c>
      <c r="B397" s="9" t="s">
        <v>2885</v>
      </c>
      <c r="C397" s="70">
        <v>45163</v>
      </c>
      <c r="D397" s="70">
        <v>45162</v>
      </c>
      <c r="E397" s="73">
        <v>45167</v>
      </c>
      <c r="F397" s="9" t="s">
        <v>3238</v>
      </c>
      <c r="H397" s="9"/>
      <c r="I397" s="7" t="s">
        <v>63</v>
      </c>
      <c r="J397" s="51" t="s">
        <v>109</v>
      </c>
      <c r="K397" s="7"/>
      <c r="L397" s="10"/>
      <c r="M397" s="10"/>
      <c r="N397" s="10">
        <v>145565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33"/>
      <c r="AB397" s="10"/>
      <c r="AC397" s="33">
        <v>145565</v>
      </c>
      <c r="AD397" s="10">
        <f t="shared" si="7"/>
        <v>0</v>
      </c>
      <c r="AE397" s="82"/>
    </row>
    <row r="398" spans="1:32" x14ac:dyDescent="0.25">
      <c r="A398" s="7" t="s">
        <v>2875</v>
      </c>
      <c r="B398" s="9">
        <v>4072120</v>
      </c>
      <c r="C398" s="70">
        <v>45162</v>
      </c>
      <c r="D398" s="70">
        <v>45162</v>
      </c>
      <c r="E398" s="73"/>
      <c r="F398" s="9"/>
      <c r="H398" s="9" t="s">
        <v>1952</v>
      </c>
      <c r="I398" s="7" t="s">
        <v>1174</v>
      </c>
      <c r="J398" s="51" t="s">
        <v>65</v>
      </c>
      <c r="K398" s="7"/>
      <c r="L398" s="10"/>
      <c r="M398" s="10"/>
      <c r="N398" s="10"/>
      <c r="O398" s="10"/>
      <c r="P398" s="10"/>
      <c r="Q398" s="10"/>
      <c r="R398" s="10"/>
      <c r="S398" s="10"/>
      <c r="T398" s="10">
        <v>8073</v>
      </c>
      <c r="U398" s="10"/>
      <c r="V398" s="10"/>
      <c r="W398" s="10"/>
      <c r="X398" s="10"/>
      <c r="Y398" s="10"/>
      <c r="Z398" s="10"/>
      <c r="AA398" s="33"/>
      <c r="AB398" s="10"/>
      <c r="AC398" s="33">
        <v>8073</v>
      </c>
      <c r="AD398" s="10">
        <f t="shared" si="7"/>
        <v>0</v>
      </c>
      <c r="AE398" s="82"/>
    </row>
    <row r="399" spans="1:32" x14ac:dyDescent="0.25">
      <c r="A399" s="7" t="s">
        <v>2876</v>
      </c>
      <c r="B399" s="9">
        <v>4072121</v>
      </c>
      <c r="C399" s="70">
        <v>45162</v>
      </c>
      <c r="D399" s="70">
        <v>45162</v>
      </c>
      <c r="E399" s="73"/>
      <c r="F399" s="9"/>
      <c r="H399" s="9"/>
      <c r="I399" s="7" t="s">
        <v>2886</v>
      </c>
      <c r="J399" s="51" t="s">
        <v>1202</v>
      </c>
      <c r="K399" s="7"/>
      <c r="L399" s="10">
        <v>1224.01</v>
      </c>
      <c r="M399" s="10"/>
      <c r="N399" s="10"/>
      <c r="O399" s="10"/>
      <c r="P399" s="10"/>
      <c r="Q399" s="10"/>
      <c r="R399" s="10"/>
      <c r="S399" s="10">
        <v>10200.07</v>
      </c>
      <c r="T399" s="10"/>
      <c r="U399" s="10"/>
      <c r="V399" s="10"/>
      <c r="W399" s="10"/>
      <c r="X399" s="10"/>
      <c r="Y399" s="10"/>
      <c r="Z399" s="10"/>
      <c r="AA399" s="33"/>
      <c r="AB399" s="10"/>
      <c r="AC399" s="33">
        <v>11424.08</v>
      </c>
      <c r="AD399" s="10">
        <f t="shared" si="7"/>
        <v>0</v>
      </c>
      <c r="AE399" s="82"/>
    </row>
    <row r="400" spans="1:32" x14ac:dyDescent="0.25">
      <c r="A400" s="7" t="s">
        <v>2877</v>
      </c>
      <c r="B400" s="9">
        <v>4072122</v>
      </c>
      <c r="C400" s="70">
        <v>45162</v>
      </c>
      <c r="D400" s="70">
        <v>45162</v>
      </c>
      <c r="E400" s="73"/>
      <c r="F400" s="9"/>
      <c r="H400" s="9" t="s">
        <v>1995</v>
      </c>
      <c r="I400" s="7" t="s">
        <v>2588</v>
      </c>
      <c r="J400" s="51" t="s">
        <v>65</v>
      </c>
      <c r="K400" s="7"/>
      <c r="L400" s="10"/>
      <c r="M400" s="10"/>
      <c r="N400" s="10"/>
      <c r="O400" s="10"/>
      <c r="P400" s="10"/>
      <c r="Q400" s="10"/>
      <c r="R400" s="10"/>
      <c r="S400" s="10"/>
      <c r="T400" s="10">
        <v>8821.5499999999993</v>
      </c>
      <c r="U400" s="10"/>
      <c r="V400" s="10"/>
      <c r="W400" s="10"/>
      <c r="X400" s="10"/>
      <c r="Y400" s="10"/>
      <c r="Z400" s="10"/>
      <c r="AA400" s="33"/>
      <c r="AB400" s="10"/>
      <c r="AC400" s="33">
        <v>8821.5499999999993</v>
      </c>
      <c r="AD400" s="10">
        <f t="shared" si="7"/>
        <v>0</v>
      </c>
      <c r="AE400" s="82"/>
    </row>
    <row r="401" spans="1:32" x14ac:dyDescent="0.25">
      <c r="A401" s="7" t="s">
        <v>2878</v>
      </c>
      <c r="B401" s="9">
        <v>4072123</v>
      </c>
      <c r="C401" s="70">
        <v>45194</v>
      </c>
      <c r="D401" s="70">
        <v>45167</v>
      </c>
      <c r="E401" s="73">
        <v>45180</v>
      </c>
      <c r="F401" s="9" t="s">
        <v>3239</v>
      </c>
      <c r="G401" s="9" t="s">
        <v>2353</v>
      </c>
      <c r="H401" s="9"/>
      <c r="I401" s="7" t="s">
        <v>2437</v>
      </c>
      <c r="J401" s="51" t="s">
        <v>37</v>
      </c>
      <c r="K401" s="7" t="s">
        <v>38</v>
      </c>
      <c r="L401" s="10">
        <v>4682.1400000000003</v>
      </c>
      <c r="M401" s="10">
        <v>39017.86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33"/>
      <c r="AB401" s="10"/>
      <c r="AC401" s="33">
        <v>43700</v>
      </c>
      <c r="AD401" s="10">
        <f t="shared" si="7"/>
        <v>0</v>
      </c>
      <c r="AE401" s="82"/>
      <c r="AF401" s="17">
        <v>390.18</v>
      </c>
    </row>
    <row r="402" spans="1:32" x14ac:dyDescent="0.25">
      <c r="A402" s="7" t="s">
        <v>2879</v>
      </c>
      <c r="B402" s="9" t="s">
        <v>2926</v>
      </c>
      <c r="C402" s="70">
        <v>45167</v>
      </c>
      <c r="D402" s="70">
        <v>45167</v>
      </c>
      <c r="E402" s="73">
        <v>45168</v>
      </c>
      <c r="F402" s="9" t="s">
        <v>3240</v>
      </c>
      <c r="G402" s="9" t="s">
        <v>2354</v>
      </c>
      <c r="H402" s="9"/>
      <c r="I402" s="7" t="s">
        <v>1988</v>
      </c>
      <c r="J402" s="51" t="s">
        <v>1999</v>
      </c>
      <c r="K402" s="7" t="s">
        <v>2297</v>
      </c>
      <c r="L402" s="10">
        <v>11517.86</v>
      </c>
      <c r="M402" s="10">
        <v>95982.14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33"/>
      <c r="AB402" s="10"/>
      <c r="AC402" s="33">
        <v>107500</v>
      </c>
      <c r="AD402" s="10">
        <f>SUM(AB402:AC402)-SUM(L402:AA402)</f>
        <v>0</v>
      </c>
      <c r="AE402" s="82"/>
      <c r="AF402" s="17">
        <v>959.82</v>
      </c>
    </row>
    <row r="403" spans="1:32" s="39" customFormat="1" x14ac:dyDescent="0.25">
      <c r="A403" s="20"/>
      <c r="B403" s="19"/>
      <c r="C403" s="72"/>
      <c r="D403" s="72"/>
      <c r="E403" s="77"/>
      <c r="F403" s="19"/>
      <c r="G403" s="19"/>
      <c r="H403" s="19"/>
      <c r="I403" s="20"/>
      <c r="J403" s="20"/>
      <c r="K403" s="20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32"/>
      <c r="AB403" s="22"/>
      <c r="AC403" s="32"/>
      <c r="AD403" s="22"/>
      <c r="AE403" s="96"/>
      <c r="AF403" s="35"/>
    </row>
    <row r="404" spans="1:32" s="39" customFormat="1" x14ac:dyDescent="0.25">
      <c r="A404" s="25">
        <v>45170</v>
      </c>
      <c r="B404" s="19"/>
      <c r="C404" s="72"/>
      <c r="D404" s="72"/>
      <c r="E404" s="77"/>
      <c r="F404" s="19"/>
      <c r="G404" s="19"/>
      <c r="H404" s="19"/>
      <c r="I404" s="20"/>
      <c r="J404" s="20"/>
      <c r="K404" s="20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32"/>
      <c r="AB404" s="22"/>
      <c r="AC404" s="32"/>
      <c r="AD404" s="22"/>
      <c r="AE404" s="96"/>
      <c r="AF404" s="35"/>
    </row>
    <row r="405" spans="1:32" x14ac:dyDescent="0.25">
      <c r="A405" s="7" t="s">
        <v>2880</v>
      </c>
      <c r="B405" s="9">
        <v>4072124</v>
      </c>
      <c r="C405" s="70">
        <v>45174</v>
      </c>
      <c r="D405" s="70">
        <v>45174</v>
      </c>
      <c r="E405" s="73"/>
      <c r="F405" s="9"/>
      <c r="H405" s="9" t="s">
        <v>1991</v>
      </c>
      <c r="I405" s="7" t="s">
        <v>1174</v>
      </c>
      <c r="J405" s="51" t="s">
        <v>39</v>
      </c>
      <c r="K405" s="7"/>
      <c r="L405" s="10"/>
      <c r="M405" s="10"/>
      <c r="N405" s="10"/>
      <c r="O405" s="10"/>
      <c r="P405" s="10"/>
      <c r="Q405" s="10"/>
      <c r="R405" s="10"/>
      <c r="S405" s="10"/>
      <c r="T405" s="10">
        <v>8827</v>
      </c>
      <c r="U405" s="10"/>
      <c r="V405" s="10"/>
      <c r="W405" s="10"/>
      <c r="X405" s="10"/>
      <c r="Y405" s="10"/>
      <c r="Z405" s="10"/>
      <c r="AA405" s="33"/>
      <c r="AB405" s="10"/>
      <c r="AC405" s="33">
        <v>8827</v>
      </c>
      <c r="AD405" s="10">
        <f t="shared" si="7"/>
        <v>0</v>
      </c>
      <c r="AE405" s="82"/>
    </row>
    <row r="406" spans="1:32" x14ac:dyDescent="0.25">
      <c r="A406" s="7" t="s">
        <v>2881</v>
      </c>
      <c r="B406" s="9">
        <v>4072126</v>
      </c>
      <c r="C406" s="70">
        <v>45189</v>
      </c>
      <c r="D406" s="70">
        <v>45174</v>
      </c>
      <c r="E406" s="73">
        <v>45184</v>
      </c>
      <c r="F406" s="9" t="s">
        <v>3241</v>
      </c>
      <c r="H406" s="9"/>
      <c r="I406" s="7" t="s">
        <v>2893</v>
      </c>
      <c r="J406" s="51" t="s">
        <v>83</v>
      </c>
      <c r="K406" s="7" t="s">
        <v>1336</v>
      </c>
      <c r="L406" s="10">
        <v>1007.14</v>
      </c>
      <c r="M406" s="10">
        <v>8392.86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33"/>
      <c r="AB406" s="10"/>
      <c r="AC406" s="33">
        <v>9400</v>
      </c>
      <c r="AD406" s="10">
        <f t="shared" si="7"/>
        <v>0</v>
      </c>
      <c r="AE406" s="82"/>
      <c r="AF406" s="17">
        <v>97.32</v>
      </c>
    </row>
    <row r="407" spans="1:32" x14ac:dyDescent="0.25">
      <c r="A407" s="7" t="s">
        <v>2887</v>
      </c>
      <c r="B407" s="9">
        <v>4072127</v>
      </c>
      <c r="C407" s="70">
        <v>45174</v>
      </c>
      <c r="D407" s="70">
        <v>45174</v>
      </c>
      <c r="E407" s="73"/>
      <c r="F407" s="9"/>
      <c r="H407" s="9"/>
      <c r="I407" s="7" t="s">
        <v>2891</v>
      </c>
      <c r="J407" s="51" t="s">
        <v>18</v>
      </c>
      <c r="K407" s="7"/>
      <c r="L407" s="10">
        <v>151.09</v>
      </c>
      <c r="M407" s="10"/>
      <c r="N407" s="10"/>
      <c r="O407" s="10"/>
      <c r="P407" s="10"/>
      <c r="Q407" s="10"/>
      <c r="R407" s="10">
        <v>1259.06</v>
      </c>
      <c r="S407" s="10"/>
      <c r="T407" s="10"/>
      <c r="U407" s="10"/>
      <c r="V407" s="10"/>
      <c r="W407" s="10"/>
      <c r="X407" s="10"/>
      <c r="Y407" s="10"/>
      <c r="Z407" s="10"/>
      <c r="AA407" s="33"/>
      <c r="AB407" s="10"/>
      <c r="AC407" s="33">
        <v>1410.15</v>
      </c>
      <c r="AD407" s="10">
        <f t="shared" si="7"/>
        <v>0</v>
      </c>
      <c r="AE407" s="82"/>
    </row>
    <row r="408" spans="1:32" x14ac:dyDescent="0.25">
      <c r="A408" s="7" t="s">
        <v>2888</v>
      </c>
      <c r="B408" s="9">
        <v>4072128</v>
      </c>
      <c r="C408" s="70">
        <v>45174</v>
      </c>
      <c r="D408" s="70">
        <v>45174</v>
      </c>
      <c r="E408" s="73"/>
      <c r="F408" s="9"/>
      <c r="H408" s="9"/>
      <c r="I408" s="7" t="s">
        <v>2891</v>
      </c>
      <c r="J408" s="51" t="s">
        <v>18</v>
      </c>
      <c r="K408" s="7"/>
      <c r="L408" s="10">
        <v>811.09</v>
      </c>
      <c r="M408" s="10"/>
      <c r="N408" s="10"/>
      <c r="O408" s="10"/>
      <c r="P408" s="10"/>
      <c r="Q408" s="10"/>
      <c r="R408" s="10">
        <v>6759.06</v>
      </c>
      <c r="S408" s="10"/>
      <c r="T408" s="10"/>
      <c r="U408" s="10"/>
      <c r="V408" s="10"/>
      <c r="W408" s="10"/>
      <c r="X408" s="10"/>
      <c r="Y408" s="10"/>
      <c r="Z408" s="10"/>
      <c r="AA408" s="33"/>
      <c r="AB408" s="10"/>
      <c r="AC408" s="33">
        <v>7570.15</v>
      </c>
      <c r="AD408" s="10">
        <f t="shared" si="7"/>
        <v>0</v>
      </c>
      <c r="AE408" s="82"/>
    </row>
    <row r="409" spans="1:32" x14ac:dyDescent="0.25">
      <c r="A409" s="7" t="s">
        <v>2889</v>
      </c>
      <c r="B409" s="9">
        <v>4072129</v>
      </c>
      <c r="C409" s="70">
        <v>45174</v>
      </c>
      <c r="D409" s="70">
        <v>45174</v>
      </c>
      <c r="E409" s="73"/>
      <c r="F409" s="9"/>
      <c r="H409" s="9"/>
      <c r="I409" s="7" t="s">
        <v>123</v>
      </c>
      <c r="J409" s="51" t="s">
        <v>2892</v>
      </c>
      <c r="K409" s="7"/>
      <c r="L409" s="10"/>
      <c r="M409" s="10">
        <v>23000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33"/>
      <c r="AB409" s="10"/>
      <c r="AC409" s="33">
        <v>23000</v>
      </c>
      <c r="AD409" s="10">
        <f t="shared" si="7"/>
        <v>0</v>
      </c>
      <c r="AE409" s="82"/>
    </row>
    <row r="410" spans="1:32" x14ac:dyDescent="0.25">
      <c r="A410" s="7" t="s">
        <v>2890</v>
      </c>
      <c r="B410" s="9">
        <v>4072130</v>
      </c>
      <c r="C410" s="70">
        <v>45174</v>
      </c>
      <c r="D410" s="70">
        <v>45174</v>
      </c>
      <c r="E410" s="73"/>
      <c r="F410" s="9"/>
      <c r="H410" s="9"/>
      <c r="I410" s="7" t="s">
        <v>1222</v>
      </c>
      <c r="J410" s="51" t="s">
        <v>39</v>
      </c>
      <c r="K410" s="7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33">
        <v>14491.25</v>
      </c>
      <c r="AB410" s="10"/>
      <c r="AC410" s="33">
        <v>14491.25</v>
      </c>
      <c r="AD410" s="10">
        <f t="shared" si="7"/>
        <v>0</v>
      </c>
      <c r="AE410" s="82"/>
    </row>
    <row r="411" spans="1:32" x14ac:dyDescent="0.25">
      <c r="A411" s="7" t="s">
        <v>2894</v>
      </c>
      <c r="B411" s="9" t="s">
        <v>2927</v>
      </c>
      <c r="C411" s="70">
        <v>45177</v>
      </c>
      <c r="D411" s="70">
        <v>45177</v>
      </c>
      <c r="E411" s="73"/>
      <c r="F411" s="9"/>
      <c r="H411" s="9"/>
      <c r="I411" s="7" t="s">
        <v>55</v>
      </c>
      <c r="J411" s="51" t="s">
        <v>54</v>
      </c>
      <c r="K411" s="7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>
        <v>500000</v>
      </c>
      <c r="AA411" s="33"/>
      <c r="AB411" s="10"/>
      <c r="AC411" s="33">
        <v>500000</v>
      </c>
      <c r="AD411" s="10">
        <f t="shared" si="7"/>
        <v>0</v>
      </c>
      <c r="AE411" s="82"/>
    </row>
    <row r="412" spans="1:32" x14ac:dyDescent="0.25">
      <c r="A412" s="7" t="s">
        <v>2895</v>
      </c>
      <c r="B412" s="9">
        <v>4072132</v>
      </c>
      <c r="C412" s="70">
        <v>45177</v>
      </c>
      <c r="D412" s="70">
        <v>45177</v>
      </c>
      <c r="E412" s="73">
        <v>45188</v>
      </c>
      <c r="F412" s="9" t="s">
        <v>3242</v>
      </c>
      <c r="H412" s="9"/>
      <c r="I412" s="7" t="s">
        <v>2806</v>
      </c>
      <c r="J412" s="51" t="s">
        <v>187</v>
      </c>
      <c r="K412" s="7"/>
      <c r="L412" s="10">
        <v>604.79999999999995</v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33">
        <v>5040</v>
      </c>
      <c r="AB412" s="10"/>
      <c r="AC412" s="33">
        <v>5644.8</v>
      </c>
      <c r="AD412" s="10">
        <f t="shared" si="7"/>
        <v>0</v>
      </c>
      <c r="AE412" s="82"/>
    </row>
    <row r="413" spans="1:32" x14ac:dyDescent="0.25">
      <c r="A413" s="7" t="s">
        <v>2896</v>
      </c>
      <c r="B413" s="9">
        <v>4072133</v>
      </c>
      <c r="C413" s="70">
        <v>45177</v>
      </c>
      <c r="D413" s="70">
        <v>45177</v>
      </c>
      <c r="E413" s="73"/>
      <c r="F413" s="9"/>
      <c r="H413" s="9"/>
      <c r="I413" s="7" t="s">
        <v>2923</v>
      </c>
      <c r="J413" s="51" t="s">
        <v>43</v>
      </c>
      <c r="K413" s="7"/>
      <c r="L413" s="10">
        <v>32.14</v>
      </c>
      <c r="M413" s="10"/>
      <c r="N413" s="10"/>
      <c r="O413" s="10"/>
      <c r="P413" s="10"/>
      <c r="Q413" s="10"/>
      <c r="R413" s="10"/>
      <c r="S413" s="10">
        <v>267.86</v>
      </c>
      <c r="T413" s="10"/>
      <c r="U413" s="10"/>
      <c r="V413" s="10"/>
      <c r="W413" s="10"/>
      <c r="X413" s="10"/>
      <c r="Y413" s="10"/>
      <c r="Z413" s="10"/>
      <c r="AA413" s="33"/>
      <c r="AB413" s="10"/>
      <c r="AC413" s="33">
        <v>300</v>
      </c>
      <c r="AD413" s="10">
        <f t="shared" si="7"/>
        <v>0</v>
      </c>
      <c r="AE413" s="82"/>
    </row>
    <row r="414" spans="1:32" x14ac:dyDescent="0.25">
      <c r="A414" s="7" t="s">
        <v>2897</v>
      </c>
      <c r="B414" s="9">
        <v>4072134</v>
      </c>
      <c r="C414" s="70">
        <v>45177</v>
      </c>
      <c r="D414" s="70">
        <v>45177</v>
      </c>
      <c r="E414" s="73"/>
      <c r="F414" s="9"/>
      <c r="H414" s="9"/>
      <c r="I414" s="7" t="s">
        <v>2923</v>
      </c>
      <c r="J414" s="51" t="s">
        <v>43</v>
      </c>
      <c r="K414" s="7"/>
      <c r="L414" s="10">
        <v>64.180000000000007</v>
      </c>
      <c r="M414" s="10"/>
      <c r="N414" s="10"/>
      <c r="O414" s="10"/>
      <c r="P414" s="10"/>
      <c r="Q414" s="10"/>
      <c r="R414" s="10"/>
      <c r="S414" s="10">
        <v>534.82000000000005</v>
      </c>
      <c r="T414" s="10"/>
      <c r="U414" s="10"/>
      <c r="V414" s="10"/>
      <c r="W414" s="10"/>
      <c r="X414" s="10"/>
      <c r="Y414" s="10"/>
      <c r="Z414" s="10"/>
      <c r="AA414" s="33"/>
      <c r="AB414" s="10"/>
      <c r="AC414" s="33">
        <v>599</v>
      </c>
      <c r="AD414" s="10">
        <f t="shared" si="7"/>
        <v>0</v>
      </c>
      <c r="AE414" s="82"/>
    </row>
    <row r="415" spans="1:32" x14ac:dyDescent="0.25">
      <c r="A415" s="7" t="s">
        <v>2898</v>
      </c>
      <c r="B415" s="9" t="s">
        <v>2900</v>
      </c>
      <c r="C415" s="70">
        <v>45180</v>
      </c>
      <c r="D415" s="70">
        <v>45180</v>
      </c>
      <c r="E415" s="73"/>
      <c r="F415" s="9"/>
      <c r="H415" s="9"/>
      <c r="I415" s="7" t="s">
        <v>436</v>
      </c>
      <c r="J415" s="51" t="s">
        <v>39</v>
      </c>
      <c r="K415" s="7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33">
        <v>86162.77</v>
      </c>
      <c r="AB415" s="10"/>
      <c r="AC415" s="33">
        <v>86162.77</v>
      </c>
      <c r="AD415" s="10">
        <f t="shared" si="7"/>
        <v>0</v>
      </c>
      <c r="AE415" s="82"/>
    </row>
    <row r="416" spans="1:32" x14ac:dyDescent="0.25">
      <c r="A416" s="7" t="s">
        <v>2899</v>
      </c>
      <c r="B416" s="9">
        <v>4072135</v>
      </c>
      <c r="C416" s="70">
        <v>45180</v>
      </c>
      <c r="D416" s="70">
        <v>45180</v>
      </c>
      <c r="E416" s="73"/>
      <c r="F416" s="9"/>
      <c r="H416" s="9" t="s">
        <v>1992</v>
      </c>
      <c r="I416" s="7" t="s">
        <v>1174</v>
      </c>
      <c r="J416" s="51" t="s">
        <v>65</v>
      </c>
      <c r="K416" s="7"/>
      <c r="L416" s="10"/>
      <c r="M416" s="10"/>
      <c r="N416" s="10"/>
      <c r="O416" s="10"/>
      <c r="P416" s="10"/>
      <c r="Q416" s="10"/>
      <c r="R416" s="10"/>
      <c r="S416" s="10"/>
      <c r="T416" s="10">
        <v>6784</v>
      </c>
      <c r="U416" s="10"/>
      <c r="V416" s="10"/>
      <c r="W416" s="10"/>
      <c r="X416" s="10"/>
      <c r="Y416" s="10"/>
      <c r="Z416" s="10"/>
      <c r="AA416" s="33"/>
      <c r="AB416" s="10"/>
      <c r="AC416" s="33">
        <v>6784</v>
      </c>
      <c r="AD416" s="10">
        <f t="shared" si="7"/>
        <v>0</v>
      </c>
      <c r="AE416" s="82"/>
    </row>
    <row r="417" spans="1:32" x14ac:dyDescent="0.25">
      <c r="A417" s="7" t="s">
        <v>2901</v>
      </c>
      <c r="B417" s="9">
        <v>4072136</v>
      </c>
      <c r="C417" s="70">
        <v>45180</v>
      </c>
      <c r="D417" s="70">
        <v>45180</v>
      </c>
      <c r="E417" s="73"/>
      <c r="F417" s="9"/>
      <c r="H417" s="9" t="s">
        <v>2080</v>
      </c>
      <c r="I417" s="7" t="s">
        <v>2922</v>
      </c>
      <c r="J417" s="51" t="s">
        <v>65</v>
      </c>
      <c r="K417" s="7"/>
      <c r="L417" s="10">
        <v>435.96</v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33">
        <v>3633.04</v>
      </c>
      <c r="AB417" s="10"/>
      <c r="AC417" s="33">
        <v>4069</v>
      </c>
      <c r="AD417" s="10">
        <f t="shared" si="7"/>
        <v>0</v>
      </c>
      <c r="AE417" s="82"/>
    </row>
    <row r="418" spans="1:32" x14ac:dyDescent="0.25">
      <c r="A418" s="7" t="s">
        <v>2902</v>
      </c>
      <c r="B418" s="9">
        <v>4072137</v>
      </c>
      <c r="C418" s="70">
        <v>45181</v>
      </c>
      <c r="D418" s="70">
        <v>45181</v>
      </c>
      <c r="E418" s="73"/>
      <c r="F418" s="9"/>
      <c r="H418" s="9"/>
      <c r="I418" s="7" t="s">
        <v>2916</v>
      </c>
      <c r="J418" s="51" t="s">
        <v>44</v>
      </c>
      <c r="K418" s="7"/>
      <c r="L418" s="10">
        <v>857.04</v>
      </c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>
        <v>7141.96</v>
      </c>
      <c r="Y418" s="10"/>
      <c r="Z418" s="10"/>
      <c r="AA418" s="33"/>
      <c r="AB418" s="10"/>
      <c r="AC418" s="33">
        <v>7999</v>
      </c>
      <c r="AD418" s="10">
        <f t="shared" ref="AD418:AD483" si="8">SUM(AB418:AC418)-SUM(L418:AA418)</f>
        <v>0</v>
      </c>
      <c r="AE418" s="82"/>
    </row>
    <row r="419" spans="1:32" x14ac:dyDescent="0.25">
      <c r="A419" s="7" t="s">
        <v>2903</v>
      </c>
      <c r="B419" s="9">
        <v>4072138</v>
      </c>
      <c r="C419" s="70">
        <v>45181</v>
      </c>
      <c r="D419" s="70">
        <v>45181</v>
      </c>
      <c r="E419" s="73"/>
      <c r="F419" s="9"/>
      <c r="H419" s="9" t="s">
        <v>2073</v>
      </c>
      <c r="I419" s="7" t="s">
        <v>2588</v>
      </c>
      <c r="J419" s="51" t="s">
        <v>65</v>
      </c>
      <c r="K419" s="7"/>
      <c r="L419" s="10"/>
      <c r="M419" s="10"/>
      <c r="N419" s="10"/>
      <c r="O419" s="10"/>
      <c r="P419" s="10"/>
      <c r="Q419" s="10"/>
      <c r="R419" s="10"/>
      <c r="S419" s="10"/>
      <c r="T419" s="10">
        <v>6203.5</v>
      </c>
      <c r="U419" s="10"/>
      <c r="V419" s="10"/>
      <c r="W419" s="10"/>
      <c r="X419" s="10"/>
      <c r="Y419" s="10"/>
      <c r="Z419" s="10"/>
      <c r="AA419" s="33"/>
      <c r="AB419" s="10"/>
      <c r="AC419" s="33">
        <v>6203.5</v>
      </c>
      <c r="AD419" s="10">
        <f t="shared" si="8"/>
        <v>0</v>
      </c>
      <c r="AE419" s="82"/>
    </row>
    <row r="420" spans="1:32" x14ac:dyDescent="0.25">
      <c r="A420" s="7" t="s">
        <v>2904</v>
      </c>
      <c r="B420" s="9">
        <v>4072139</v>
      </c>
      <c r="C420" s="70">
        <v>45181</v>
      </c>
      <c r="D420" s="70">
        <v>45181</v>
      </c>
      <c r="E420" s="73"/>
      <c r="F420" s="9"/>
      <c r="H420" s="9"/>
      <c r="I420" s="7" t="s">
        <v>2920</v>
      </c>
      <c r="J420" s="51" t="s">
        <v>35</v>
      </c>
      <c r="K420" s="7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33">
        <v>5000</v>
      </c>
      <c r="AB420" s="10"/>
      <c r="AC420" s="33">
        <v>5000</v>
      </c>
      <c r="AD420" s="10">
        <f t="shared" si="8"/>
        <v>0</v>
      </c>
      <c r="AE420" s="82"/>
    </row>
    <row r="421" spans="1:32" x14ac:dyDescent="0.25">
      <c r="A421" s="7" t="s">
        <v>2905</v>
      </c>
      <c r="B421" s="9">
        <v>4072140</v>
      </c>
      <c r="C421" s="70">
        <v>45225</v>
      </c>
      <c r="D421" s="70">
        <v>45181</v>
      </c>
      <c r="E421" s="73">
        <v>45190</v>
      </c>
      <c r="F421" s="9" t="s">
        <v>3243</v>
      </c>
      <c r="G421" s="9" t="s">
        <v>1144</v>
      </c>
      <c r="H421" s="9"/>
      <c r="I421" s="7" t="s">
        <v>2921</v>
      </c>
      <c r="J421" s="51" t="s">
        <v>1038</v>
      </c>
      <c r="K421" s="7" t="s">
        <v>2924</v>
      </c>
      <c r="L421" s="10">
        <v>7285.71</v>
      </c>
      <c r="M421" s="10">
        <v>60714.29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33"/>
      <c r="AB421" s="10"/>
      <c r="AC421" s="33">
        <v>68000</v>
      </c>
      <c r="AD421" s="10">
        <f t="shared" si="8"/>
        <v>0</v>
      </c>
      <c r="AE421" s="82"/>
      <c r="AF421" s="17">
        <v>607.14</v>
      </c>
    </row>
    <row r="422" spans="1:32" x14ac:dyDescent="0.25">
      <c r="A422" s="7" t="s">
        <v>2906</v>
      </c>
      <c r="B422" s="9">
        <v>4072141</v>
      </c>
      <c r="C422" s="70">
        <v>45181</v>
      </c>
      <c r="D422" s="70">
        <v>45181</v>
      </c>
      <c r="E422" s="73" t="s">
        <v>2928</v>
      </c>
      <c r="F422" s="9" t="s">
        <v>3244</v>
      </c>
      <c r="H422" s="9"/>
      <c r="I422" s="7" t="s">
        <v>2917</v>
      </c>
      <c r="J422" s="51" t="s">
        <v>109</v>
      </c>
      <c r="K422" s="7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33">
        <v>17500</v>
      </c>
      <c r="AB422" s="10"/>
      <c r="AC422" s="33">
        <v>17500</v>
      </c>
      <c r="AD422" s="10">
        <f t="shared" si="8"/>
        <v>0</v>
      </c>
      <c r="AE422" s="82"/>
    </row>
    <row r="423" spans="1:32" x14ac:dyDescent="0.25">
      <c r="A423" s="7" t="s">
        <v>2907</v>
      </c>
      <c r="B423" s="9">
        <v>4072142</v>
      </c>
      <c r="C423" s="70">
        <v>45181</v>
      </c>
      <c r="D423" s="70">
        <v>45181</v>
      </c>
      <c r="E423" s="73"/>
      <c r="F423" s="9"/>
      <c r="H423" s="9"/>
      <c r="I423" s="7" t="s">
        <v>2918</v>
      </c>
      <c r="J423" s="51" t="s">
        <v>46</v>
      </c>
      <c r="K423" s="7"/>
      <c r="L423" s="10">
        <v>160.61000000000001</v>
      </c>
      <c r="M423" s="10"/>
      <c r="N423" s="10"/>
      <c r="O423" s="10"/>
      <c r="P423" s="10"/>
      <c r="Q423" s="10"/>
      <c r="R423" s="10"/>
      <c r="S423" s="10">
        <v>1338.39</v>
      </c>
      <c r="T423" s="10"/>
      <c r="U423" s="10"/>
      <c r="V423" s="10"/>
      <c r="W423" s="10"/>
      <c r="X423" s="10"/>
      <c r="Y423" s="10"/>
      <c r="Z423" s="10"/>
      <c r="AA423" s="33"/>
      <c r="AB423" s="10"/>
      <c r="AC423" s="33">
        <v>1499</v>
      </c>
      <c r="AD423" s="10">
        <f t="shared" si="8"/>
        <v>0</v>
      </c>
      <c r="AE423" s="82"/>
    </row>
    <row r="424" spans="1:32" x14ac:dyDescent="0.25">
      <c r="A424" s="7" t="s">
        <v>2908</v>
      </c>
      <c r="B424" s="9">
        <v>4072143</v>
      </c>
      <c r="C424" s="70">
        <v>45181</v>
      </c>
      <c r="D424" s="70">
        <v>45181</v>
      </c>
      <c r="E424" s="73"/>
      <c r="F424" s="9"/>
      <c r="H424" s="9"/>
      <c r="I424" s="7" t="s">
        <v>2918</v>
      </c>
      <c r="J424" s="51" t="s">
        <v>1202</v>
      </c>
      <c r="K424" s="7"/>
      <c r="L424" s="10">
        <v>107.04</v>
      </c>
      <c r="M424" s="10"/>
      <c r="N424" s="10"/>
      <c r="O424" s="10"/>
      <c r="P424" s="10"/>
      <c r="Q424" s="10"/>
      <c r="R424" s="10"/>
      <c r="S424" s="10">
        <v>891.96</v>
      </c>
      <c r="T424" s="10"/>
      <c r="U424" s="10"/>
      <c r="V424" s="10"/>
      <c r="W424" s="10"/>
      <c r="X424" s="10"/>
      <c r="Y424" s="10"/>
      <c r="Z424" s="10"/>
      <c r="AA424" s="33"/>
      <c r="AB424" s="10"/>
      <c r="AC424" s="33">
        <v>999</v>
      </c>
      <c r="AD424" s="10">
        <f t="shared" si="8"/>
        <v>0</v>
      </c>
      <c r="AE424" s="82"/>
    </row>
    <row r="425" spans="1:32" x14ac:dyDescent="0.25">
      <c r="A425" s="7" t="s">
        <v>2909</v>
      </c>
      <c r="B425" s="9">
        <v>4072144</v>
      </c>
      <c r="C425" s="70">
        <v>45181</v>
      </c>
      <c r="D425" s="70">
        <v>45181</v>
      </c>
      <c r="E425" s="73"/>
      <c r="F425" s="9"/>
      <c r="H425" s="9"/>
      <c r="I425" s="7" t="s">
        <v>2918</v>
      </c>
      <c r="J425" s="51" t="s">
        <v>1202</v>
      </c>
      <c r="K425" s="7"/>
      <c r="L425" s="10">
        <v>107.04</v>
      </c>
      <c r="M425" s="10"/>
      <c r="N425" s="10"/>
      <c r="O425" s="10"/>
      <c r="P425" s="10"/>
      <c r="Q425" s="10"/>
      <c r="R425" s="10"/>
      <c r="S425" s="10">
        <v>891.96</v>
      </c>
      <c r="T425" s="10"/>
      <c r="U425" s="10"/>
      <c r="V425" s="10"/>
      <c r="W425" s="10"/>
      <c r="X425" s="10"/>
      <c r="Y425" s="10"/>
      <c r="Z425" s="10"/>
      <c r="AA425" s="33"/>
      <c r="AB425" s="10"/>
      <c r="AC425" s="33">
        <v>999</v>
      </c>
      <c r="AD425" s="10">
        <f t="shared" si="8"/>
        <v>0</v>
      </c>
      <c r="AE425" s="82"/>
    </row>
    <row r="426" spans="1:32" x14ac:dyDescent="0.25">
      <c r="A426" s="7" t="s">
        <v>2910</v>
      </c>
      <c r="B426" s="9">
        <v>4072145</v>
      </c>
      <c r="C426" s="70">
        <v>45181</v>
      </c>
      <c r="D426" s="70">
        <v>45181</v>
      </c>
      <c r="E426" s="73"/>
      <c r="F426" s="9"/>
      <c r="H426" s="9"/>
      <c r="I426" s="7" t="s">
        <v>2919</v>
      </c>
      <c r="J426" s="51" t="s">
        <v>1202</v>
      </c>
      <c r="K426" s="7"/>
      <c r="L426" s="10">
        <v>107.04</v>
      </c>
      <c r="M426" s="10"/>
      <c r="N426" s="10"/>
      <c r="O426" s="10"/>
      <c r="P426" s="10"/>
      <c r="Q426" s="10"/>
      <c r="R426" s="10"/>
      <c r="S426" s="10">
        <v>891.96</v>
      </c>
      <c r="T426" s="10"/>
      <c r="U426" s="10"/>
      <c r="V426" s="10"/>
      <c r="W426" s="10"/>
      <c r="X426" s="10"/>
      <c r="Y426" s="10"/>
      <c r="Z426" s="10"/>
      <c r="AA426" s="33"/>
      <c r="AB426" s="10"/>
      <c r="AC426" s="33">
        <v>999</v>
      </c>
      <c r="AD426" s="10">
        <f t="shared" si="8"/>
        <v>0</v>
      </c>
      <c r="AE426" s="82"/>
    </row>
    <row r="427" spans="1:32" x14ac:dyDescent="0.25">
      <c r="A427" s="7" t="s">
        <v>2911</v>
      </c>
      <c r="B427" s="9">
        <v>4072146</v>
      </c>
      <c r="C427" s="70">
        <v>45226</v>
      </c>
      <c r="D427" s="70">
        <v>45182</v>
      </c>
      <c r="E427" s="73">
        <v>45190</v>
      </c>
      <c r="F427" s="9" t="s">
        <v>3245</v>
      </c>
      <c r="G427" s="9" t="s">
        <v>2341</v>
      </c>
      <c r="H427" s="9"/>
      <c r="I427" s="7" t="s">
        <v>1131</v>
      </c>
      <c r="J427" s="51" t="s">
        <v>1038</v>
      </c>
      <c r="K427" s="7" t="s">
        <v>2924</v>
      </c>
      <c r="L427" s="10">
        <v>8035.71</v>
      </c>
      <c r="M427" s="10">
        <v>66964.289999999994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33"/>
      <c r="AB427" s="10"/>
      <c r="AC427" s="33">
        <v>75000</v>
      </c>
      <c r="AD427" s="10">
        <f t="shared" si="8"/>
        <v>0</v>
      </c>
      <c r="AE427" s="82"/>
      <c r="AF427" s="17">
        <v>669.64</v>
      </c>
    </row>
    <row r="428" spans="1:32" x14ac:dyDescent="0.25">
      <c r="A428" s="7" t="s">
        <v>2912</v>
      </c>
      <c r="B428" s="9">
        <v>4072147</v>
      </c>
      <c r="C428" s="70">
        <v>45211</v>
      </c>
      <c r="D428" s="70">
        <v>45182</v>
      </c>
      <c r="E428" s="73">
        <v>45204</v>
      </c>
      <c r="F428" s="9" t="s">
        <v>3246</v>
      </c>
      <c r="G428" s="9" t="s">
        <v>2355</v>
      </c>
      <c r="H428" s="9"/>
      <c r="I428" s="7" t="s">
        <v>2925</v>
      </c>
      <c r="J428" s="51" t="s">
        <v>37</v>
      </c>
      <c r="K428" s="7" t="s">
        <v>38</v>
      </c>
      <c r="L428" s="10">
        <v>2828.57</v>
      </c>
      <c r="M428" s="10">
        <v>23571.43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33"/>
      <c r="AB428" s="10"/>
      <c r="AC428" s="33">
        <v>26400</v>
      </c>
      <c r="AD428" s="10">
        <f t="shared" si="8"/>
        <v>0</v>
      </c>
      <c r="AE428" s="82"/>
      <c r="AF428" s="17">
        <v>235.71</v>
      </c>
    </row>
    <row r="429" spans="1:32" x14ac:dyDescent="0.25">
      <c r="A429" s="7" t="s">
        <v>2913</v>
      </c>
      <c r="B429" s="9">
        <v>4072148</v>
      </c>
      <c r="C429" s="70">
        <v>45184</v>
      </c>
      <c r="D429" s="70">
        <v>45184</v>
      </c>
      <c r="E429" s="73">
        <v>45189</v>
      </c>
      <c r="F429" s="9" t="s">
        <v>3247</v>
      </c>
      <c r="H429" s="9"/>
      <c r="I429" s="7" t="s">
        <v>2936</v>
      </c>
      <c r="J429" s="51" t="s">
        <v>187</v>
      </c>
      <c r="K429" s="7"/>
      <c r="L429" s="10">
        <v>604.79999999999995</v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33">
        <v>5040</v>
      </c>
      <c r="AB429" s="10"/>
      <c r="AC429" s="33">
        <v>5644.8</v>
      </c>
      <c r="AD429" s="10">
        <f t="shared" si="8"/>
        <v>0</v>
      </c>
      <c r="AE429" s="82"/>
    </row>
    <row r="430" spans="1:32" x14ac:dyDescent="0.25">
      <c r="A430" s="7" t="s">
        <v>2914</v>
      </c>
      <c r="B430" s="9">
        <v>4072149</v>
      </c>
      <c r="C430" s="70">
        <v>45212</v>
      </c>
      <c r="D430" s="70">
        <v>45184</v>
      </c>
      <c r="E430" s="73">
        <v>45187</v>
      </c>
      <c r="F430" s="9" t="s">
        <v>3248</v>
      </c>
      <c r="G430" s="9" t="s">
        <v>2357</v>
      </c>
      <c r="H430" s="9"/>
      <c r="I430" s="7" t="s">
        <v>2939</v>
      </c>
      <c r="J430" s="51" t="s">
        <v>2087</v>
      </c>
      <c r="K430" s="7" t="s">
        <v>2088</v>
      </c>
      <c r="L430" s="10">
        <v>11250</v>
      </c>
      <c r="M430" s="10">
        <v>93750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33"/>
      <c r="AB430" s="10"/>
      <c r="AC430" s="33">
        <v>105000</v>
      </c>
      <c r="AD430" s="10">
        <f t="shared" si="8"/>
        <v>0</v>
      </c>
      <c r="AE430" s="82"/>
      <c r="AF430" s="17">
        <v>937.5</v>
      </c>
    </row>
    <row r="431" spans="1:32" x14ac:dyDescent="0.25">
      <c r="A431" s="7" t="s">
        <v>2915</v>
      </c>
      <c r="B431" s="9" t="s">
        <v>2937</v>
      </c>
      <c r="C431" s="70">
        <v>45184</v>
      </c>
      <c r="D431" s="70">
        <v>45184</v>
      </c>
      <c r="E431" s="73">
        <v>45188</v>
      </c>
      <c r="F431" s="9" t="s">
        <v>3249</v>
      </c>
      <c r="G431" s="9" t="s">
        <v>2358</v>
      </c>
      <c r="H431" s="9"/>
      <c r="I431" s="7" t="s">
        <v>2938</v>
      </c>
      <c r="J431" s="51" t="s">
        <v>1999</v>
      </c>
      <c r="K431" s="7" t="s">
        <v>2297</v>
      </c>
      <c r="L431" s="10">
        <v>16125</v>
      </c>
      <c r="M431" s="10">
        <v>134375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33"/>
      <c r="AB431" s="10"/>
      <c r="AC431" s="33">
        <v>150500</v>
      </c>
      <c r="AD431" s="10">
        <f t="shared" si="8"/>
        <v>0</v>
      </c>
      <c r="AE431" s="82"/>
      <c r="AF431" s="17">
        <v>1343.75</v>
      </c>
    </row>
    <row r="432" spans="1:32" x14ac:dyDescent="0.25">
      <c r="A432" s="7" t="s">
        <v>2929</v>
      </c>
      <c r="B432" s="9" t="s">
        <v>2900</v>
      </c>
      <c r="C432" s="70">
        <v>45184</v>
      </c>
      <c r="D432" s="70">
        <v>45184</v>
      </c>
      <c r="E432" s="73"/>
      <c r="F432" s="9"/>
      <c r="H432" s="9"/>
      <c r="I432" s="7" t="s">
        <v>2935</v>
      </c>
      <c r="J432" s="51" t="s">
        <v>39</v>
      </c>
      <c r="K432" s="7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33">
        <v>100000</v>
      </c>
      <c r="AB432" s="10"/>
      <c r="AC432" s="33">
        <v>100000</v>
      </c>
      <c r="AD432" s="10">
        <f t="shared" si="8"/>
        <v>0</v>
      </c>
      <c r="AE432" s="82"/>
    </row>
    <row r="433" spans="1:32" x14ac:dyDescent="0.25">
      <c r="A433" s="7" t="s">
        <v>2930</v>
      </c>
      <c r="B433" s="9">
        <v>4072150</v>
      </c>
      <c r="C433" s="70">
        <v>45188</v>
      </c>
      <c r="D433" s="70">
        <v>45188</v>
      </c>
      <c r="E433" s="73"/>
      <c r="F433" s="9"/>
      <c r="H433" s="9" t="s">
        <v>2079</v>
      </c>
      <c r="I433" s="7" t="s">
        <v>1174</v>
      </c>
      <c r="J433" s="51" t="s">
        <v>65</v>
      </c>
      <c r="K433" s="7"/>
      <c r="L433" s="10"/>
      <c r="M433" s="10"/>
      <c r="N433" s="10"/>
      <c r="O433" s="10"/>
      <c r="P433" s="10"/>
      <c r="Q433" s="10"/>
      <c r="R433" s="10"/>
      <c r="S433" s="10"/>
      <c r="T433" s="10">
        <v>4300</v>
      </c>
      <c r="U433" s="10"/>
      <c r="V433" s="10"/>
      <c r="W433" s="10"/>
      <c r="X433" s="10"/>
      <c r="Y433" s="10"/>
      <c r="Z433" s="10"/>
      <c r="AA433" s="33"/>
      <c r="AB433" s="10"/>
      <c r="AC433" s="33">
        <v>4300</v>
      </c>
      <c r="AD433" s="10">
        <f t="shared" si="8"/>
        <v>0</v>
      </c>
      <c r="AE433" s="82"/>
    </row>
    <row r="434" spans="1:32" x14ac:dyDescent="0.25">
      <c r="A434" s="7" t="s">
        <v>2931</v>
      </c>
      <c r="B434" s="9">
        <v>4134401</v>
      </c>
      <c r="C434" s="70">
        <v>45188</v>
      </c>
      <c r="D434" s="70">
        <v>45188</v>
      </c>
      <c r="E434" s="73"/>
      <c r="F434" s="9"/>
      <c r="H434" s="9"/>
      <c r="I434" s="7" t="s">
        <v>118</v>
      </c>
      <c r="J434" s="51" t="s">
        <v>1847</v>
      </c>
      <c r="K434" s="7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33">
        <v>27096.81</v>
      </c>
      <c r="AB434" s="10"/>
      <c r="AC434" s="33">
        <v>27096.81</v>
      </c>
      <c r="AD434" s="10">
        <f t="shared" si="8"/>
        <v>0</v>
      </c>
      <c r="AE434" s="82"/>
    </row>
    <row r="435" spans="1:32" x14ac:dyDescent="0.25">
      <c r="A435" s="7" t="s">
        <v>2932</v>
      </c>
      <c r="B435" s="9">
        <v>4134402</v>
      </c>
      <c r="C435" s="70">
        <v>45188</v>
      </c>
      <c r="D435" s="70">
        <v>45188</v>
      </c>
      <c r="E435" s="73"/>
      <c r="F435" s="9"/>
      <c r="H435" s="9"/>
      <c r="I435" s="7" t="s">
        <v>2952</v>
      </c>
      <c r="J435" s="51" t="s">
        <v>126</v>
      </c>
      <c r="K435" s="7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33">
        <v>31500</v>
      </c>
      <c r="AB435" s="10"/>
      <c r="AC435" s="33">
        <v>31500</v>
      </c>
      <c r="AD435" s="10">
        <f t="shared" si="8"/>
        <v>0</v>
      </c>
      <c r="AE435" s="82"/>
    </row>
    <row r="436" spans="1:32" x14ac:dyDescent="0.25">
      <c r="A436" s="7" t="s">
        <v>2933</v>
      </c>
      <c r="B436" s="9">
        <v>4134403</v>
      </c>
      <c r="C436" s="70">
        <v>45188</v>
      </c>
      <c r="D436" s="70">
        <v>45188</v>
      </c>
      <c r="E436" s="73"/>
      <c r="F436" s="9"/>
      <c r="H436" s="9"/>
      <c r="I436" s="7" t="s">
        <v>2953</v>
      </c>
      <c r="J436" s="51" t="s">
        <v>35</v>
      </c>
      <c r="K436" s="7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33">
        <v>7922.56</v>
      </c>
      <c r="AB436" s="10"/>
      <c r="AC436" s="33">
        <v>7922.56</v>
      </c>
      <c r="AD436" s="10">
        <f t="shared" si="8"/>
        <v>0</v>
      </c>
      <c r="AE436" s="82"/>
    </row>
    <row r="437" spans="1:32" x14ac:dyDescent="0.25">
      <c r="A437" s="7" t="s">
        <v>2934</v>
      </c>
      <c r="B437" s="9">
        <v>4134404</v>
      </c>
      <c r="C437" s="70">
        <v>45188</v>
      </c>
      <c r="D437" s="70">
        <v>45188</v>
      </c>
      <c r="E437" s="73"/>
      <c r="F437" s="9"/>
      <c r="H437" s="9"/>
      <c r="I437" s="7" t="s">
        <v>2954</v>
      </c>
      <c r="J437" s="51" t="s">
        <v>65</v>
      </c>
      <c r="K437" s="7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33">
        <v>6492</v>
      </c>
      <c r="AB437" s="10"/>
      <c r="AC437" s="33">
        <v>6492</v>
      </c>
      <c r="AD437" s="10">
        <f t="shared" si="8"/>
        <v>0</v>
      </c>
      <c r="AE437" s="82"/>
    </row>
    <row r="438" spans="1:32" x14ac:dyDescent="0.25">
      <c r="A438" s="7" t="s">
        <v>2940</v>
      </c>
      <c r="B438" s="9">
        <v>4134405</v>
      </c>
      <c r="C438" s="70">
        <v>45229</v>
      </c>
      <c r="D438" s="70">
        <v>45188</v>
      </c>
      <c r="E438" s="73">
        <v>45190</v>
      </c>
      <c r="F438" s="9" t="s">
        <v>3250</v>
      </c>
      <c r="G438" s="9" t="s">
        <v>2359</v>
      </c>
      <c r="H438" s="9"/>
      <c r="I438" s="7" t="s">
        <v>2951</v>
      </c>
      <c r="J438" s="51" t="s">
        <v>1226</v>
      </c>
      <c r="K438" s="7" t="s">
        <v>2924</v>
      </c>
      <c r="L438" s="10">
        <v>6428.57</v>
      </c>
      <c r="M438" s="10">
        <v>53571.43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33"/>
      <c r="AB438" s="10"/>
      <c r="AC438" s="33">
        <v>60000</v>
      </c>
      <c r="AD438" s="10">
        <f t="shared" si="8"/>
        <v>0</v>
      </c>
      <c r="AE438" s="82"/>
      <c r="AF438" s="17">
        <v>535.71</v>
      </c>
    </row>
    <row r="439" spans="1:32" x14ac:dyDescent="0.25">
      <c r="A439" s="7" t="s">
        <v>2941</v>
      </c>
      <c r="B439" s="9">
        <v>4134406</v>
      </c>
      <c r="C439" s="70">
        <v>45189</v>
      </c>
      <c r="D439" s="70">
        <v>45189</v>
      </c>
      <c r="E439" s="73"/>
      <c r="F439" s="9"/>
      <c r="H439" s="9"/>
      <c r="I439" s="7" t="s">
        <v>2947</v>
      </c>
      <c r="J439" s="51" t="s">
        <v>46</v>
      </c>
      <c r="K439" s="7"/>
      <c r="L439" s="10">
        <v>1080.32</v>
      </c>
      <c r="M439" s="10"/>
      <c r="N439" s="10"/>
      <c r="O439" s="10"/>
      <c r="P439" s="10"/>
      <c r="Q439" s="10"/>
      <c r="R439" s="10"/>
      <c r="S439" s="10">
        <v>9002.68</v>
      </c>
      <c r="T439" s="10"/>
      <c r="U439" s="10"/>
      <c r="V439" s="10"/>
      <c r="W439" s="10"/>
      <c r="X439" s="10"/>
      <c r="Y439" s="10"/>
      <c r="Z439" s="10"/>
      <c r="AA439" s="33"/>
      <c r="AB439" s="10"/>
      <c r="AC439" s="33">
        <v>10083</v>
      </c>
      <c r="AD439" s="10">
        <f t="shared" si="8"/>
        <v>0</v>
      </c>
      <c r="AE439" s="82"/>
      <c r="AF439" s="17">
        <v>180.1</v>
      </c>
    </row>
    <row r="440" spans="1:32" x14ac:dyDescent="0.25">
      <c r="A440" s="7" t="s">
        <v>2942</v>
      </c>
      <c r="B440" s="9" t="s">
        <v>2948</v>
      </c>
      <c r="C440" s="70">
        <v>45191</v>
      </c>
      <c r="D440" s="70">
        <v>45189</v>
      </c>
      <c r="E440" s="73"/>
      <c r="F440" s="9"/>
      <c r="H440" s="9"/>
      <c r="I440" s="7" t="s">
        <v>2949</v>
      </c>
      <c r="J440" s="51" t="s">
        <v>2950</v>
      </c>
      <c r="K440" s="7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33">
        <v>10000</v>
      </c>
      <c r="AB440" s="10"/>
      <c r="AC440" s="33">
        <v>10000</v>
      </c>
      <c r="AD440" s="10">
        <f t="shared" si="8"/>
        <v>0</v>
      </c>
      <c r="AE440" s="82"/>
    </row>
    <row r="441" spans="1:32" x14ac:dyDescent="0.25">
      <c r="A441" s="7" t="s">
        <v>2943</v>
      </c>
      <c r="B441" s="9" t="s">
        <v>2964</v>
      </c>
      <c r="C441" s="70">
        <v>45194</v>
      </c>
      <c r="D441" s="70">
        <v>45194</v>
      </c>
      <c r="E441" s="73"/>
      <c r="F441" s="9"/>
      <c r="H441" s="9"/>
      <c r="I441" s="7" t="s">
        <v>55</v>
      </c>
      <c r="J441" s="51" t="s">
        <v>54</v>
      </c>
      <c r="K441" s="7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>
        <v>250000</v>
      </c>
      <c r="AA441" s="33"/>
      <c r="AB441" s="10"/>
      <c r="AC441" s="33">
        <v>250000</v>
      </c>
      <c r="AD441" s="10">
        <f t="shared" si="8"/>
        <v>0</v>
      </c>
      <c r="AE441" s="82"/>
    </row>
    <row r="442" spans="1:32" x14ac:dyDescent="0.25">
      <c r="A442" s="7" t="s">
        <v>2944</v>
      </c>
      <c r="B442" s="9">
        <v>4134407</v>
      </c>
      <c r="C442" s="70">
        <v>45194</v>
      </c>
      <c r="D442" s="70">
        <v>45194</v>
      </c>
      <c r="E442" s="73"/>
      <c r="F442" s="9"/>
      <c r="H442" s="9"/>
      <c r="I442" s="7" t="s">
        <v>123</v>
      </c>
      <c r="J442" s="51" t="s">
        <v>2855</v>
      </c>
      <c r="K442" s="7"/>
      <c r="L442" s="10"/>
      <c r="M442" s="10">
        <v>23000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33"/>
      <c r="AB442" s="10"/>
      <c r="AC442" s="33">
        <v>23000</v>
      </c>
      <c r="AD442" s="10">
        <f t="shared" si="8"/>
        <v>0</v>
      </c>
      <c r="AE442" s="82"/>
    </row>
    <row r="443" spans="1:32" x14ac:dyDescent="0.25">
      <c r="A443" s="7" t="s">
        <v>2945</v>
      </c>
      <c r="B443" s="9">
        <v>4134408</v>
      </c>
      <c r="C443" s="70">
        <v>45194</v>
      </c>
      <c r="D443" s="70">
        <v>45194</v>
      </c>
      <c r="E443" s="73"/>
      <c r="F443" s="9"/>
      <c r="H443" s="9" t="s">
        <v>2081</v>
      </c>
      <c r="I443" s="7" t="s">
        <v>1174</v>
      </c>
      <c r="J443" s="51" t="s">
        <v>65</v>
      </c>
      <c r="K443" s="7"/>
      <c r="L443" s="10"/>
      <c r="M443" s="10"/>
      <c r="N443" s="10"/>
      <c r="O443" s="10"/>
      <c r="P443" s="10"/>
      <c r="Q443" s="10"/>
      <c r="R443" s="10"/>
      <c r="S443" s="10"/>
      <c r="T443" s="10">
        <v>5410</v>
      </c>
      <c r="U443" s="10"/>
      <c r="V443" s="10"/>
      <c r="W443" s="10"/>
      <c r="X443" s="10"/>
      <c r="Y443" s="10"/>
      <c r="Z443" s="10"/>
      <c r="AA443" s="33"/>
      <c r="AB443" s="10"/>
      <c r="AC443" s="33">
        <v>5410</v>
      </c>
      <c r="AD443" s="10">
        <f t="shared" si="8"/>
        <v>0</v>
      </c>
      <c r="AE443" s="82"/>
    </row>
    <row r="444" spans="1:32" x14ac:dyDescent="0.25">
      <c r="A444" s="7" t="s">
        <v>2946</v>
      </c>
      <c r="B444" s="9">
        <v>4134409</v>
      </c>
      <c r="C444" s="70">
        <v>45219</v>
      </c>
      <c r="D444" s="70">
        <v>45194</v>
      </c>
      <c r="E444" s="73">
        <v>45218</v>
      </c>
      <c r="F444" s="9" t="s">
        <v>3251</v>
      </c>
      <c r="G444" s="9" t="s">
        <v>2362</v>
      </c>
      <c r="H444" s="9"/>
      <c r="I444" s="7" t="s">
        <v>2965</v>
      </c>
      <c r="J444" s="51" t="s">
        <v>83</v>
      </c>
      <c r="K444" s="7" t="s">
        <v>1336</v>
      </c>
      <c r="L444" s="10">
        <v>2035.71</v>
      </c>
      <c r="M444" s="10">
        <v>16964.29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33"/>
      <c r="AB444" s="10"/>
      <c r="AC444" s="33">
        <v>19000</v>
      </c>
      <c r="AD444" s="10">
        <f t="shared" si="8"/>
        <v>0</v>
      </c>
      <c r="AE444" s="82"/>
      <c r="AF444" s="17">
        <v>169.64</v>
      </c>
    </row>
    <row r="445" spans="1:32" x14ac:dyDescent="0.25">
      <c r="A445" s="7" t="s">
        <v>2955</v>
      </c>
      <c r="B445" s="9">
        <v>4134410</v>
      </c>
      <c r="C445" s="70">
        <v>45194</v>
      </c>
      <c r="D445" s="70">
        <v>45194</v>
      </c>
      <c r="E445" s="73">
        <v>45195</v>
      </c>
      <c r="F445" s="9" t="s">
        <v>3252</v>
      </c>
      <c r="G445" s="9" t="s">
        <v>2364</v>
      </c>
      <c r="H445" s="9"/>
      <c r="I445" s="7" t="s">
        <v>2966</v>
      </c>
      <c r="J445" s="51" t="s">
        <v>1999</v>
      </c>
      <c r="K445" s="7" t="s">
        <v>2297</v>
      </c>
      <c r="L445" s="10">
        <v>3037.5</v>
      </c>
      <c r="M445" s="10">
        <v>25312.5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33"/>
      <c r="AB445" s="10"/>
      <c r="AC445" s="33">
        <v>28350</v>
      </c>
      <c r="AD445" s="10">
        <f t="shared" si="8"/>
        <v>0</v>
      </c>
      <c r="AE445" s="82"/>
      <c r="AF445" s="17">
        <v>253.13</v>
      </c>
    </row>
    <row r="446" spans="1:32" x14ac:dyDescent="0.25">
      <c r="A446" s="7" t="s">
        <v>2956</v>
      </c>
      <c r="B446" s="9">
        <v>4134411</v>
      </c>
      <c r="C446" s="70">
        <v>45241</v>
      </c>
      <c r="D446" s="70">
        <v>45197</v>
      </c>
      <c r="E446" s="73">
        <v>45198</v>
      </c>
      <c r="F446" s="9" t="s">
        <v>3253</v>
      </c>
      <c r="G446" s="9" t="s">
        <v>2341</v>
      </c>
      <c r="H446" s="9"/>
      <c r="I446" s="7" t="s">
        <v>1131</v>
      </c>
      <c r="J446" s="51" t="s">
        <v>1226</v>
      </c>
      <c r="K446" s="7" t="s">
        <v>2924</v>
      </c>
      <c r="L446" s="10">
        <v>8035.71</v>
      </c>
      <c r="M446" s="10">
        <v>66964.289999999994</v>
      </c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33"/>
      <c r="AB446" s="10"/>
      <c r="AC446" s="33">
        <v>75000</v>
      </c>
      <c r="AD446" s="10">
        <f t="shared" si="8"/>
        <v>0</v>
      </c>
      <c r="AE446" s="82"/>
      <c r="AF446" s="17">
        <v>669.64</v>
      </c>
    </row>
    <row r="447" spans="1:32" x14ac:dyDescent="0.25">
      <c r="A447" s="7" t="s">
        <v>2957</v>
      </c>
      <c r="B447" s="9">
        <v>4134412</v>
      </c>
      <c r="C447" s="70">
        <v>45225</v>
      </c>
      <c r="D447" s="70">
        <v>45197</v>
      </c>
      <c r="E447" s="73">
        <v>45198</v>
      </c>
      <c r="F447" s="9" t="s">
        <v>3254</v>
      </c>
      <c r="G447" s="9" t="s">
        <v>2363</v>
      </c>
      <c r="H447" s="9"/>
      <c r="I447" s="7" t="s">
        <v>756</v>
      </c>
      <c r="J447" s="51" t="s">
        <v>37</v>
      </c>
      <c r="K447" s="7" t="s">
        <v>38</v>
      </c>
      <c r="L447" s="10">
        <v>4682.1400000000003</v>
      </c>
      <c r="M447" s="10">
        <v>39017.86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33"/>
      <c r="AB447" s="10"/>
      <c r="AC447" s="33">
        <v>43700</v>
      </c>
      <c r="AD447" s="10">
        <f t="shared" si="8"/>
        <v>0</v>
      </c>
      <c r="AE447" s="82"/>
      <c r="AF447" s="17">
        <v>390.18</v>
      </c>
    </row>
    <row r="448" spans="1:32" x14ac:dyDescent="0.25">
      <c r="A448" s="7" t="s">
        <v>2958</v>
      </c>
      <c r="B448" s="9">
        <v>4134414</v>
      </c>
      <c r="C448" s="70">
        <v>45201</v>
      </c>
      <c r="D448" s="70">
        <v>45197</v>
      </c>
      <c r="E448" s="73">
        <v>45218</v>
      </c>
      <c r="F448" s="9" t="s">
        <v>3255</v>
      </c>
      <c r="G448" s="9" t="s">
        <v>2393</v>
      </c>
      <c r="H448" s="9"/>
      <c r="I448" s="7" t="s">
        <v>2979</v>
      </c>
      <c r="J448" s="51" t="s">
        <v>83</v>
      </c>
      <c r="K448" s="7" t="s">
        <v>1336</v>
      </c>
      <c r="L448" s="10">
        <v>407.14</v>
      </c>
      <c r="M448" s="10">
        <v>3392.86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33"/>
      <c r="AB448" s="10"/>
      <c r="AC448" s="33">
        <v>3800</v>
      </c>
      <c r="AD448" s="10">
        <f t="shared" si="8"/>
        <v>0</v>
      </c>
      <c r="AE448" s="82"/>
      <c r="AF448" s="17">
        <v>33.93</v>
      </c>
    </row>
    <row r="449" spans="1:32" x14ac:dyDescent="0.25">
      <c r="A449" s="7" t="s">
        <v>2959</v>
      </c>
      <c r="B449" s="9">
        <v>4134415</v>
      </c>
      <c r="C449" s="70">
        <v>45241</v>
      </c>
      <c r="D449" s="70">
        <v>45197</v>
      </c>
      <c r="E449" s="73">
        <v>45198</v>
      </c>
      <c r="F449" s="9" t="s">
        <v>3256</v>
      </c>
      <c r="G449" s="9" t="s">
        <v>2394</v>
      </c>
      <c r="H449" s="9"/>
      <c r="I449" s="7" t="s">
        <v>1293</v>
      </c>
      <c r="J449" s="51" t="s">
        <v>1226</v>
      </c>
      <c r="K449" s="7" t="s">
        <v>2924</v>
      </c>
      <c r="L449" s="10">
        <v>803.57</v>
      </c>
      <c r="M449" s="10">
        <v>6696.43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33"/>
      <c r="AB449" s="10"/>
      <c r="AC449" s="33">
        <v>7500</v>
      </c>
      <c r="AD449" s="10">
        <f t="shared" si="8"/>
        <v>0</v>
      </c>
      <c r="AE449" s="82"/>
      <c r="AF449" s="17">
        <v>66.959999999999994</v>
      </c>
    </row>
    <row r="450" spans="1:32" x14ac:dyDescent="0.25">
      <c r="A450" s="7" t="s">
        <v>2960</v>
      </c>
      <c r="B450" s="9">
        <v>4134416</v>
      </c>
      <c r="C450" s="70">
        <v>45227</v>
      </c>
      <c r="D450" s="70">
        <v>45197</v>
      </c>
      <c r="E450" s="73">
        <v>45198</v>
      </c>
      <c r="F450" s="9" t="s">
        <v>3257</v>
      </c>
      <c r="G450" s="9" t="s">
        <v>2395</v>
      </c>
      <c r="H450" s="9"/>
      <c r="I450" s="7" t="s">
        <v>2981</v>
      </c>
      <c r="J450" s="51" t="s">
        <v>2043</v>
      </c>
      <c r="K450" s="7" t="s">
        <v>2138</v>
      </c>
      <c r="L450" s="10">
        <v>4875</v>
      </c>
      <c r="M450" s="10">
        <v>40625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33"/>
      <c r="AB450" s="10"/>
      <c r="AC450" s="33">
        <v>45500</v>
      </c>
      <c r="AD450" s="10">
        <f t="shared" si="8"/>
        <v>0</v>
      </c>
      <c r="AE450" s="82"/>
      <c r="AF450" s="17">
        <v>406.25</v>
      </c>
    </row>
    <row r="451" spans="1:32" x14ac:dyDescent="0.25">
      <c r="A451" s="7" t="s">
        <v>2961</v>
      </c>
      <c r="B451" s="9">
        <v>4134417</v>
      </c>
      <c r="C451" s="70">
        <v>45226</v>
      </c>
      <c r="D451" s="70">
        <v>45197</v>
      </c>
      <c r="E451" s="73">
        <v>45198</v>
      </c>
      <c r="F451" s="9" t="s">
        <v>3258</v>
      </c>
      <c r="G451" s="9" t="s">
        <v>2397</v>
      </c>
      <c r="H451" s="9"/>
      <c r="I451" s="7" t="s">
        <v>2982</v>
      </c>
      <c r="J451" s="51" t="s">
        <v>2687</v>
      </c>
      <c r="K451" s="7" t="s">
        <v>2688</v>
      </c>
      <c r="L451" s="10">
        <v>1714.29</v>
      </c>
      <c r="M451" s="10">
        <v>14285.71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33"/>
      <c r="AB451" s="10"/>
      <c r="AC451" s="33">
        <v>16000</v>
      </c>
      <c r="AD451" s="10">
        <f t="shared" si="8"/>
        <v>0</v>
      </c>
      <c r="AE451" s="82"/>
      <c r="AF451" s="17">
        <v>142.86000000000001</v>
      </c>
    </row>
    <row r="452" spans="1:32" x14ac:dyDescent="0.25">
      <c r="A452" s="7" t="s">
        <v>2962</v>
      </c>
      <c r="B452" s="9">
        <v>4134418</v>
      </c>
      <c r="C452" s="70">
        <v>45198</v>
      </c>
      <c r="D452" s="70">
        <v>45197</v>
      </c>
      <c r="E452" s="73">
        <v>45198</v>
      </c>
      <c r="F452" s="9" t="s">
        <v>3254</v>
      </c>
      <c r="G452" s="9" t="s">
        <v>2399</v>
      </c>
      <c r="H452" s="9"/>
      <c r="I452" s="7" t="s">
        <v>53</v>
      </c>
      <c r="J452" s="51" t="s">
        <v>2977</v>
      </c>
      <c r="K452" s="7" t="s">
        <v>2978</v>
      </c>
      <c r="L452" s="10">
        <v>479.46</v>
      </c>
      <c r="M452" s="10">
        <v>3995.54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33"/>
      <c r="AB452" s="10"/>
      <c r="AC452" s="33">
        <v>4475</v>
      </c>
      <c r="AD452" s="10">
        <f t="shared" si="8"/>
        <v>0</v>
      </c>
      <c r="AE452" s="82"/>
      <c r="AF452" s="17">
        <v>39.96</v>
      </c>
    </row>
    <row r="453" spans="1:32" x14ac:dyDescent="0.25">
      <c r="A453" s="7" t="s">
        <v>2963</v>
      </c>
      <c r="B453" s="9" t="s">
        <v>2980</v>
      </c>
      <c r="C453" s="70">
        <v>45197</v>
      </c>
      <c r="D453" s="70">
        <v>45197</v>
      </c>
      <c r="E453" s="73">
        <v>45198</v>
      </c>
      <c r="F453" s="9" t="s">
        <v>3259</v>
      </c>
      <c r="G453" s="9" t="s">
        <v>2396</v>
      </c>
      <c r="H453" s="9"/>
      <c r="I453" s="7" t="s">
        <v>2938</v>
      </c>
      <c r="J453" s="51" t="s">
        <v>1999</v>
      </c>
      <c r="K453" s="7" t="s">
        <v>2297</v>
      </c>
      <c r="L453" s="10">
        <v>16125</v>
      </c>
      <c r="M453" s="10">
        <v>134375</v>
      </c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33"/>
      <c r="AB453" s="10"/>
      <c r="AC453" s="33">
        <v>150500</v>
      </c>
      <c r="AD453" s="10">
        <f t="shared" si="8"/>
        <v>0</v>
      </c>
      <c r="AE453" s="82"/>
      <c r="AF453" s="17">
        <v>1343.75</v>
      </c>
    </row>
    <row r="454" spans="1:32" x14ac:dyDescent="0.25">
      <c r="A454" s="7" t="s">
        <v>2967</v>
      </c>
      <c r="B454" s="9">
        <v>4134420</v>
      </c>
      <c r="C454" s="70">
        <v>45197</v>
      </c>
      <c r="D454" s="70">
        <v>45197</v>
      </c>
      <c r="E454" s="73"/>
      <c r="F454" s="9"/>
      <c r="H454" s="9"/>
      <c r="I454" s="7" t="s">
        <v>2976</v>
      </c>
      <c r="J454" s="51" t="s">
        <v>35</v>
      </c>
      <c r="K454" s="7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33">
        <v>5000</v>
      </c>
      <c r="AB454" s="10"/>
      <c r="AC454" s="33">
        <v>5000</v>
      </c>
      <c r="AD454" s="10">
        <f t="shared" si="8"/>
        <v>0</v>
      </c>
      <c r="AE454" s="82"/>
    </row>
    <row r="455" spans="1:32" s="39" customFormat="1" x14ac:dyDescent="0.25">
      <c r="A455" s="20"/>
      <c r="B455" s="19"/>
      <c r="C455" s="72"/>
      <c r="D455" s="72"/>
      <c r="E455" s="77"/>
      <c r="F455" s="19"/>
      <c r="G455" s="19"/>
      <c r="H455" s="19"/>
      <c r="I455" s="20"/>
      <c r="J455" s="20"/>
      <c r="K455" s="20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32"/>
      <c r="AB455" s="22"/>
      <c r="AC455" s="32"/>
      <c r="AD455" s="22"/>
      <c r="AE455" s="96"/>
      <c r="AF455" s="35"/>
    </row>
    <row r="456" spans="1:32" s="39" customFormat="1" x14ac:dyDescent="0.25">
      <c r="A456" s="25">
        <v>45200</v>
      </c>
      <c r="B456" s="19"/>
      <c r="C456" s="72"/>
      <c r="D456" s="72"/>
      <c r="E456" s="77"/>
      <c r="F456" s="19"/>
      <c r="G456" s="19"/>
      <c r="H456" s="19"/>
      <c r="I456" s="20"/>
      <c r="J456" s="20"/>
      <c r="K456" s="20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32"/>
      <c r="AB456" s="22"/>
      <c r="AC456" s="32"/>
      <c r="AD456" s="22"/>
      <c r="AE456" s="96"/>
      <c r="AF456" s="35"/>
    </row>
    <row r="457" spans="1:32" x14ac:dyDescent="0.25">
      <c r="A457" s="7" t="s">
        <v>2968</v>
      </c>
      <c r="B457" s="9">
        <v>4134421</v>
      </c>
      <c r="C457" s="70">
        <v>45203</v>
      </c>
      <c r="D457" s="70">
        <v>45203</v>
      </c>
      <c r="E457" s="73"/>
      <c r="F457" s="9"/>
      <c r="H457" s="9"/>
      <c r="I457" s="7" t="s">
        <v>2983</v>
      </c>
      <c r="J457" s="51" t="s">
        <v>2855</v>
      </c>
      <c r="K457" s="7"/>
      <c r="L457" s="10"/>
      <c r="M457" s="10">
        <v>46000</v>
      </c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33"/>
      <c r="AB457" s="10"/>
      <c r="AC457" s="33">
        <v>46000</v>
      </c>
      <c r="AD457" s="10">
        <f t="shared" si="8"/>
        <v>0</v>
      </c>
      <c r="AE457" s="82"/>
    </row>
    <row r="458" spans="1:32" x14ac:dyDescent="0.25">
      <c r="A458" s="7" t="s">
        <v>2969</v>
      </c>
      <c r="B458" s="9">
        <v>4134422</v>
      </c>
      <c r="C458" s="70">
        <v>45203</v>
      </c>
      <c r="D458" s="70">
        <v>45203</v>
      </c>
      <c r="E458" s="73"/>
      <c r="F458" s="9"/>
      <c r="H458" s="9" t="s">
        <v>2089</v>
      </c>
      <c r="I458" s="7" t="s">
        <v>1174</v>
      </c>
      <c r="J458" s="51" t="s">
        <v>65</v>
      </c>
      <c r="K458" s="7"/>
      <c r="L458" s="10"/>
      <c r="M458" s="10"/>
      <c r="N458" s="10"/>
      <c r="O458" s="10"/>
      <c r="P458" s="10"/>
      <c r="Q458" s="10"/>
      <c r="R458" s="10"/>
      <c r="S458" s="10"/>
      <c r="T458" s="10">
        <v>7177</v>
      </c>
      <c r="U458" s="10"/>
      <c r="V458" s="10"/>
      <c r="W458" s="10"/>
      <c r="X458" s="10"/>
      <c r="Y458" s="10"/>
      <c r="Z458" s="10"/>
      <c r="AA458" s="33"/>
      <c r="AB458" s="10"/>
      <c r="AC458" s="33">
        <v>7177</v>
      </c>
      <c r="AD458" s="10">
        <f t="shared" si="8"/>
        <v>0</v>
      </c>
      <c r="AE458" s="82"/>
    </row>
    <row r="459" spans="1:32" x14ac:dyDescent="0.25">
      <c r="A459" s="7" t="s">
        <v>2970</v>
      </c>
      <c r="B459" s="9">
        <v>4134423</v>
      </c>
      <c r="C459" s="70">
        <v>45243</v>
      </c>
      <c r="D459" s="70">
        <v>45203</v>
      </c>
      <c r="E459" s="73">
        <v>45212</v>
      </c>
      <c r="F459" s="9" t="s">
        <v>3260</v>
      </c>
      <c r="G459" s="9" t="s">
        <v>2398</v>
      </c>
      <c r="H459" s="9"/>
      <c r="I459" s="7" t="s">
        <v>2984</v>
      </c>
      <c r="J459" s="51" t="s">
        <v>1226</v>
      </c>
      <c r="K459" s="7" t="s">
        <v>2924</v>
      </c>
      <c r="L459" s="10">
        <v>10446.43</v>
      </c>
      <c r="M459" s="10">
        <v>87053.57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33"/>
      <c r="AB459" s="10"/>
      <c r="AC459" s="33">
        <v>97500</v>
      </c>
      <c r="AD459" s="10">
        <f t="shared" si="8"/>
        <v>0</v>
      </c>
      <c r="AE459" s="82"/>
      <c r="AF459" s="17">
        <v>870.54</v>
      </c>
    </row>
    <row r="460" spans="1:32" x14ac:dyDescent="0.25">
      <c r="A460" s="7" t="s">
        <v>2971</v>
      </c>
      <c r="B460" s="9">
        <v>4134424</v>
      </c>
      <c r="C460" s="70">
        <v>45228</v>
      </c>
      <c r="D460" s="70">
        <v>45203</v>
      </c>
      <c r="E460" s="73">
        <v>45204</v>
      </c>
      <c r="F460" s="9" t="s">
        <v>3261</v>
      </c>
      <c r="G460" s="9" t="s">
        <v>2400</v>
      </c>
      <c r="H460" s="9"/>
      <c r="I460" s="7" t="s">
        <v>2468</v>
      </c>
      <c r="J460" s="51" t="s">
        <v>37</v>
      </c>
      <c r="K460" s="7" t="s">
        <v>38</v>
      </c>
      <c r="L460" s="10">
        <v>857.14</v>
      </c>
      <c r="M460" s="10">
        <v>7142.86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33"/>
      <c r="AB460" s="10"/>
      <c r="AC460" s="33">
        <v>8000</v>
      </c>
      <c r="AD460" s="10">
        <f t="shared" si="8"/>
        <v>0</v>
      </c>
      <c r="AE460" s="82"/>
      <c r="AF460" s="17">
        <v>71.430000000000007</v>
      </c>
    </row>
    <row r="461" spans="1:32" x14ac:dyDescent="0.25">
      <c r="A461" s="7" t="s">
        <v>2972</v>
      </c>
      <c r="B461" s="9">
        <v>4134426</v>
      </c>
      <c r="C461" s="70">
        <v>45203</v>
      </c>
      <c r="D461" s="70">
        <v>45203</v>
      </c>
      <c r="E461" s="73">
        <v>45204</v>
      </c>
      <c r="F461" s="9" t="s">
        <v>3262</v>
      </c>
      <c r="H461" s="9"/>
      <c r="I461" s="7" t="s">
        <v>63</v>
      </c>
      <c r="J461" s="51" t="s">
        <v>109</v>
      </c>
      <c r="K461" s="7"/>
      <c r="L461" s="10"/>
      <c r="M461" s="10"/>
      <c r="N461" s="10">
        <v>48413.75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33"/>
      <c r="AB461" s="10"/>
      <c r="AC461" s="33">
        <v>48413.75</v>
      </c>
      <c r="AD461" s="10">
        <f t="shared" si="8"/>
        <v>0</v>
      </c>
      <c r="AE461" s="82"/>
    </row>
    <row r="462" spans="1:32" x14ac:dyDescent="0.25">
      <c r="A462" s="7" t="s">
        <v>2973</v>
      </c>
      <c r="B462" s="9">
        <v>4134427</v>
      </c>
      <c r="C462" s="70">
        <v>45203</v>
      </c>
      <c r="D462" s="70">
        <v>45203</v>
      </c>
      <c r="E462" s="73">
        <v>45204</v>
      </c>
      <c r="F462" s="9" t="s">
        <v>3263</v>
      </c>
      <c r="H462" s="9"/>
      <c r="I462" s="7" t="s">
        <v>63</v>
      </c>
      <c r="J462" s="51" t="s">
        <v>109</v>
      </c>
      <c r="K462" s="7"/>
      <c r="L462" s="10"/>
      <c r="M462" s="10"/>
      <c r="N462" s="10">
        <v>62777.75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33"/>
      <c r="AB462" s="10"/>
      <c r="AC462" s="33">
        <v>62777.75</v>
      </c>
      <c r="AD462" s="10">
        <f t="shared" si="8"/>
        <v>0</v>
      </c>
      <c r="AE462" s="82"/>
    </row>
    <row r="463" spans="1:32" x14ac:dyDescent="0.25">
      <c r="A463" s="7" t="s">
        <v>2974</v>
      </c>
      <c r="B463" s="9">
        <v>4134429</v>
      </c>
      <c r="C463" s="70">
        <v>45208</v>
      </c>
      <c r="D463" s="70">
        <v>45208</v>
      </c>
      <c r="E463" s="73"/>
      <c r="F463" s="9"/>
      <c r="H463" s="9" t="s">
        <v>2143</v>
      </c>
      <c r="I463" s="7" t="s">
        <v>1174</v>
      </c>
      <c r="J463" s="51" t="s">
        <v>65</v>
      </c>
      <c r="K463" s="7"/>
      <c r="L463" s="10"/>
      <c r="M463" s="10"/>
      <c r="N463" s="10"/>
      <c r="O463" s="10"/>
      <c r="P463" s="10"/>
      <c r="Q463" s="10"/>
      <c r="R463" s="10"/>
      <c r="S463" s="10"/>
      <c r="T463" s="10">
        <v>5983</v>
      </c>
      <c r="U463" s="10"/>
      <c r="V463" s="10"/>
      <c r="W463" s="10"/>
      <c r="X463" s="10"/>
      <c r="Y463" s="10"/>
      <c r="Z463" s="10"/>
      <c r="AA463" s="33"/>
      <c r="AB463" s="10"/>
      <c r="AC463" s="33">
        <v>5983</v>
      </c>
      <c r="AD463" s="10">
        <f t="shared" si="8"/>
        <v>0</v>
      </c>
      <c r="AE463" s="82"/>
    </row>
    <row r="464" spans="1:32" x14ac:dyDescent="0.25">
      <c r="A464" s="7" t="s">
        <v>2975</v>
      </c>
      <c r="B464" s="9">
        <v>4134430</v>
      </c>
      <c r="C464" s="70">
        <v>45209</v>
      </c>
      <c r="D464" s="70">
        <v>45209</v>
      </c>
      <c r="E464" s="73"/>
      <c r="F464" s="9"/>
      <c r="H464" s="9"/>
      <c r="I464" s="7" t="s">
        <v>2990</v>
      </c>
      <c r="J464" s="51" t="s">
        <v>18</v>
      </c>
      <c r="K464" s="7"/>
      <c r="L464" s="10">
        <v>151.09</v>
      </c>
      <c r="M464" s="10"/>
      <c r="N464" s="10"/>
      <c r="O464" s="10"/>
      <c r="P464" s="10"/>
      <c r="Q464" s="10"/>
      <c r="R464" s="10">
        <v>1259.06</v>
      </c>
      <c r="S464" s="10"/>
      <c r="T464" s="10"/>
      <c r="U464" s="10"/>
      <c r="V464" s="10"/>
      <c r="W464" s="10"/>
      <c r="X464" s="10"/>
      <c r="Y464" s="10"/>
      <c r="Z464" s="10"/>
      <c r="AA464" s="33"/>
      <c r="AB464" s="10"/>
      <c r="AC464" s="33">
        <v>1410.15</v>
      </c>
      <c r="AD464" s="10">
        <f t="shared" si="8"/>
        <v>0</v>
      </c>
      <c r="AE464" s="82"/>
    </row>
    <row r="465" spans="1:32" x14ac:dyDescent="0.25">
      <c r="A465" s="7" t="s">
        <v>2985</v>
      </c>
      <c r="B465" s="9">
        <v>4134431</v>
      </c>
      <c r="C465" s="70">
        <v>45209</v>
      </c>
      <c r="D465" s="70">
        <v>45209</v>
      </c>
      <c r="E465" s="73"/>
      <c r="F465" s="9"/>
      <c r="H465" s="9"/>
      <c r="I465" s="7" t="s">
        <v>2990</v>
      </c>
      <c r="J465" s="51" t="s">
        <v>18</v>
      </c>
      <c r="K465" s="7"/>
      <c r="L465" s="10">
        <v>811.09</v>
      </c>
      <c r="M465" s="10"/>
      <c r="N465" s="10"/>
      <c r="O465" s="10"/>
      <c r="P465" s="10"/>
      <c r="Q465" s="10"/>
      <c r="R465" s="10">
        <v>6759.06</v>
      </c>
      <c r="S465" s="10"/>
      <c r="T465" s="10"/>
      <c r="U465" s="10"/>
      <c r="V465" s="10"/>
      <c r="W465" s="10"/>
      <c r="X465" s="10"/>
      <c r="Y465" s="10"/>
      <c r="Z465" s="10"/>
      <c r="AA465" s="33"/>
      <c r="AB465" s="10"/>
      <c r="AC465" s="33">
        <v>7570.15</v>
      </c>
      <c r="AD465" s="10">
        <f t="shared" si="8"/>
        <v>0</v>
      </c>
      <c r="AE465" s="82"/>
    </row>
    <row r="466" spans="1:32" x14ac:dyDescent="0.25">
      <c r="A466" s="7" t="s">
        <v>2986</v>
      </c>
      <c r="B466" s="9">
        <v>4134432</v>
      </c>
      <c r="C466" s="70">
        <v>45209</v>
      </c>
      <c r="D466" s="70">
        <v>45209</v>
      </c>
      <c r="E466" s="73"/>
      <c r="F466" s="9"/>
      <c r="H466" s="9"/>
      <c r="I466" s="7" t="s">
        <v>2991</v>
      </c>
      <c r="J466" s="51" t="s">
        <v>65</v>
      </c>
      <c r="K466" s="7"/>
      <c r="L466" s="10"/>
      <c r="M466" s="10"/>
      <c r="N466" s="10"/>
      <c r="O466" s="10"/>
      <c r="P466" s="10"/>
      <c r="Q466" s="10">
        <v>3215</v>
      </c>
      <c r="R466" s="10"/>
      <c r="S466" s="10"/>
      <c r="T466" s="10"/>
      <c r="U466" s="10"/>
      <c r="V466" s="10"/>
      <c r="W466" s="10"/>
      <c r="X466" s="10"/>
      <c r="Y466" s="10"/>
      <c r="Z466" s="10"/>
      <c r="AA466" s="33"/>
      <c r="AB466" s="10"/>
      <c r="AC466" s="33">
        <v>3215</v>
      </c>
      <c r="AD466" s="10">
        <f t="shared" si="8"/>
        <v>0</v>
      </c>
      <c r="AE466" s="82"/>
    </row>
    <row r="467" spans="1:32" x14ac:dyDescent="0.25">
      <c r="A467" s="7" t="s">
        <v>2987</v>
      </c>
      <c r="B467" s="9">
        <v>4134433</v>
      </c>
      <c r="C467" s="70">
        <v>45209</v>
      </c>
      <c r="D467" s="70">
        <v>45209</v>
      </c>
      <c r="E467" s="73"/>
      <c r="F467" s="9"/>
      <c r="H467" s="9"/>
      <c r="I467" s="7" t="s">
        <v>2992</v>
      </c>
      <c r="J467" s="51" t="s">
        <v>39</v>
      </c>
      <c r="K467" s="7"/>
      <c r="L467" s="10"/>
      <c r="M467" s="10"/>
      <c r="N467" s="10"/>
      <c r="O467" s="10"/>
      <c r="P467" s="10"/>
      <c r="Q467" s="10">
        <v>13366.4</v>
      </c>
      <c r="R467" s="10"/>
      <c r="S467" s="10"/>
      <c r="T467" s="10"/>
      <c r="U467" s="10"/>
      <c r="V467" s="10"/>
      <c r="W467" s="10"/>
      <c r="X467" s="10"/>
      <c r="Y467" s="10"/>
      <c r="Z467" s="10"/>
      <c r="AA467" s="33"/>
      <c r="AB467" s="10"/>
      <c r="AC467" s="33">
        <v>13366.4</v>
      </c>
      <c r="AD467" s="10">
        <f t="shared" si="8"/>
        <v>0</v>
      </c>
      <c r="AE467" s="82"/>
    </row>
    <row r="468" spans="1:32" x14ac:dyDescent="0.25">
      <c r="A468" s="7" t="s">
        <v>2988</v>
      </c>
      <c r="B468" s="9">
        <v>4134434</v>
      </c>
      <c r="C468" s="70">
        <v>45209</v>
      </c>
      <c r="D468" s="70">
        <v>45209</v>
      </c>
      <c r="E468" s="73"/>
      <c r="F468" s="9"/>
      <c r="H468" s="9" t="s">
        <v>2090</v>
      </c>
      <c r="I468" s="7" t="s">
        <v>1174</v>
      </c>
      <c r="J468" s="51" t="s">
        <v>65</v>
      </c>
      <c r="K468" s="7"/>
      <c r="L468" s="10"/>
      <c r="M468" s="10"/>
      <c r="N468" s="10"/>
      <c r="O468" s="10"/>
      <c r="P468" s="10"/>
      <c r="Q468" s="10"/>
      <c r="R468" s="10"/>
      <c r="S468" s="10"/>
      <c r="T468" s="10">
        <v>7638</v>
      </c>
      <c r="U468" s="10"/>
      <c r="V468" s="10"/>
      <c r="W468" s="10"/>
      <c r="X468" s="10"/>
      <c r="Y468" s="10"/>
      <c r="Z468" s="10"/>
      <c r="AA468" s="33"/>
      <c r="AB468" s="10"/>
      <c r="AC468" s="33">
        <v>7638</v>
      </c>
      <c r="AD468" s="10">
        <f t="shared" si="8"/>
        <v>0</v>
      </c>
      <c r="AE468" s="82"/>
    </row>
    <row r="469" spans="1:32" x14ac:dyDescent="0.25">
      <c r="A469" s="7" t="s">
        <v>2993</v>
      </c>
      <c r="B469" s="9">
        <v>4134437</v>
      </c>
      <c r="C469" s="70">
        <v>45209</v>
      </c>
      <c r="D469" s="70">
        <v>45209</v>
      </c>
      <c r="E469" s="73">
        <v>45218</v>
      </c>
      <c r="F469" s="9" t="s">
        <v>3264</v>
      </c>
      <c r="G469" s="9" t="s">
        <v>2404</v>
      </c>
      <c r="H469" s="9"/>
      <c r="I469" s="7" t="s">
        <v>3002</v>
      </c>
      <c r="J469" s="51" t="s">
        <v>83</v>
      </c>
      <c r="K469" s="7" t="s">
        <v>1336</v>
      </c>
      <c r="L469" s="10">
        <v>75</v>
      </c>
      <c r="M469" s="10">
        <v>625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33"/>
      <c r="AB469" s="10"/>
      <c r="AC469" s="33">
        <v>700</v>
      </c>
      <c r="AD469" s="10">
        <f t="shared" si="8"/>
        <v>0</v>
      </c>
      <c r="AE469" s="82"/>
      <c r="AF469" s="17">
        <v>6.25</v>
      </c>
    </row>
    <row r="470" spans="1:32" x14ac:dyDescent="0.25">
      <c r="A470" s="7" t="s">
        <v>2994</v>
      </c>
      <c r="B470" s="9">
        <v>4134436</v>
      </c>
      <c r="C470" s="70">
        <v>45240</v>
      </c>
      <c r="D470" s="70">
        <v>45209</v>
      </c>
      <c r="E470" s="73">
        <v>45209</v>
      </c>
      <c r="F470" s="9" t="s">
        <v>3265</v>
      </c>
      <c r="G470" s="9" t="s">
        <v>2405</v>
      </c>
      <c r="H470" s="9"/>
      <c r="I470" s="7" t="s">
        <v>2939</v>
      </c>
      <c r="J470" s="51" t="s">
        <v>2087</v>
      </c>
      <c r="K470" s="7" t="s">
        <v>2088</v>
      </c>
      <c r="L470" s="10">
        <v>11250</v>
      </c>
      <c r="M470" s="10">
        <v>93750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33"/>
      <c r="AB470" s="10"/>
      <c r="AC470" s="33">
        <v>105000</v>
      </c>
      <c r="AD470" s="10">
        <f t="shared" si="8"/>
        <v>0</v>
      </c>
      <c r="AE470" s="82"/>
      <c r="AF470" s="17">
        <v>937.5</v>
      </c>
    </row>
    <row r="471" spans="1:32" x14ac:dyDescent="0.25">
      <c r="A471" s="7" t="s">
        <v>2995</v>
      </c>
      <c r="B471" s="9">
        <v>4134438</v>
      </c>
      <c r="C471" s="70">
        <v>45240</v>
      </c>
      <c r="D471" s="70">
        <v>45210</v>
      </c>
      <c r="E471" s="73">
        <v>45212</v>
      </c>
      <c r="F471" s="9" t="s">
        <v>3266</v>
      </c>
      <c r="G471" s="9" t="s">
        <v>2402</v>
      </c>
      <c r="H471" s="9"/>
      <c r="I471" s="7" t="s">
        <v>3003</v>
      </c>
      <c r="J471" s="51" t="s">
        <v>2043</v>
      </c>
      <c r="K471" s="7" t="s">
        <v>2138</v>
      </c>
      <c r="L471" s="10">
        <v>4344.6400000000003</v>
      </c>
      <c r="M471" s="10">
        <v>36205.360000000001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33"/>
      <c r="AB471" s="10"/>
      <c r="AC471" s="33">
        <v>40550</v>
      </c>
      <c r="AD471" s="10">
        <f t="shared" si="8"/>
        <v>0</v>
      </c>
      <c r="AE471" s="82"/>
      <c r="AF471" s="17">
        <v>362.05</v>
      </c>
    </row>
    <row r="472" spans="1:32" x14ac:dyDescent="0.25">
      <c r="A472" s="7" t="s">
        <v>2996</v>
      </c>
      <c r="B472" s="9" t="s">
        <v>3000</v>
      </c>
      <c r="C472" s="70">
        <v>45210</v>
      </c>
      <c r="D472" s="70">
        <v>45210</v>
      </c>
      <c r="E472" s="73"/>
      <c r="F472" s="9"/>
      <c r="H472" s="9"/>
      <c r="I472" s="7" t="s">
        <v>3001</v>
      </c>
      <c r="J472" s="51" t="s">
        <v>39</v>
      </c>
      <c r="K472" s="7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>
        <v>50000</v>
      </c>
      <c r="X472" s="10"/>
      <c r="Y472" s="10"/>
      <c r="Z472" s="10"/>
      <c r="AA472" s="33"/>
      <c r="AB472" s="10"/>
      <c r="AC472" s="33">
        <v>50000</v>
      </c>
      <c r="AD472" s="10">
        <f t="shared" si="8"/>
        <v>0</v>
      </c>
      <c r="AE472" s="82"/>
    </row>
    <row r="473" spans="1:32" x14ac:dyDescent="0.25">
      <c r="A473" s="7" t="s">
        <v>2997</v>
      </c>
      <c r="B473" s="9">
        <v>4134439</v>
      </c>
      <c r="C473" s="70">
        <v>45212</v>
      </c>
      <c r="D473" s="70">
        <v>45212</v>
      </c>
      <c r="E473" s="73"/>
      <c r="F473" s="9"/>
      <c r="H473" s="9"/>
      <c r="I473" s="7" t="s">
        <v>3012</v>
      </c>
      <c r="J473" s="51" t="s">
        <v>44</v>
      </c>
      <c r="K473" s="7"/>
      <c r="L473" s="10">
        <v>939.83</v>
      </c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>
        <v>7831.9</v>
      </c>
      <c r="Y473" s="10"/>
      <c r="Z473" s="10"/>
      <c r="AA473" s="33"/>
      <c r="AB473" s="10"/>
      <c r="AC473" s="33">
        <v>8771.73</v>
      </c>
      <c r="AD473" s="10">
        <f t="shared" si="8"/>
        <v>0</v>
      </c>
      <c r="AE473" s="82"/>
    </row>
    <row r="474" spans="1:32" x14ac:dyDescent="0.25">
      <c r="A474" s="7" t="s">
        <v>2998</v>
      </c>
      <c r="B474" s="9">
        <v>4134440</v>
      </c>
      <c r="C474" s="70">
        <v>45257</v>
      </c>
      <c r="D474" s="70">
        <v>45212</v>
      </c>
      <c r="E474" s="73">
        <v>45212</v>
      </c>
      <c r="F474" s="9" t="s">
        <v>3267</v>
      </c>
      <c r="G474" s="9" t="s">
        <v>2341</v>
      </c>
      <c r="H474" s="9"/>
      <c r="I474" s="7" t="s">
        <v>3013</v>
      </c>
      <c r="J474" s="51" t="s">
        <v>1226</v>
      </c>
      <c r="K474" s="7" t="s">
        <v>2924</v>
      </c>
      <c r="L474" s="10">
        <v>16071.43</v>
      </c>
      <c r="M474" s="10">
        <v>133928.57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33"/>
      <c r="AB474" s="10"/>
      <c r="AC474" s="33">
        <v>150000</v>
      </c>
      <c r="AD474" s="10">
        <f t="shared" si="8"/>
        <v>0</v>
      </c>
      <c r="AE474" s="82"/>
      <c r="AF474" s="17">
        <v>1339.29</v>
      </c>
    </row>
    <row r="475" spans="1:32" x14ac:dyDescent="0.25">
      <c r="A475" s="7" t="s">
        <v>2999</v>
      </c>
      <c r="B475" s="9">
        <v>4134441</v>
      </c>
      <c r="C475" s="70">
        <v>45241</v>
      </c>
      <c r="D475" s="70">
        <v>45212</v>
      </c>
      <c r="E475" s="73">
        <v>45218</v>
      </c>
      <c r="F475" s="9" t="s">
        <v>3268</v>
      </c>
      <c r="G475" s="9" t="s">
        <v>2406</v>
      </c>
      <c r="H475" s="9"/>
      <c r="I475" s="7" t="s">
        <v>3014</v>
      </c>
      <c r="J475" s="51" t="s">
        <v>37</v>
      </c>
      <c r="K475" s="7" t="s">
        <v>38</v>
      </c>
      <c r="L475" s="10">
        <v>1414.29</v>
      </c>
      <c r="M475" s="10">
        <v>11785.71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33"/>
      <c r="AB475" s="10"/>
      <c r="AC475" s="33">
        <v>13200</v>
      </c>
      <c r="AD475" s="10">
        <f t="shared" si="8"/>
        <v>0</v>
      </c>
      <c r="AE475" s="82"/>
      <c r="AF475" s="17">
        <v>117.86</v>
      </c>
    </row>
    <row r="476" spans="1:32" x14ac:dyDescent="0.25">
      <c r="A476" s="7" t="s">
        <v>3004</v>
      </c>
      <c r="B476" s="9">
        <v>4134442</v>
      </c>
      <c r="C476" s="70">
        <v>45242</v>
      </c>
      <c r="D476" s="70">
        <v>45212</v>
      </c>
      <c r="E476" s="73">
        <v>45218</v>
      </c>
      <c r="F476" s="9" t="s">
        <v>3269</v>
      </c>
      <c r="G476" s="9" t="s">
        <v>2407</v>
      </c>
      <c r="H476" s="9"/>
      <c r="I476" s="7" t="s">
        <v>3105</v>
      </c>
      <c r="J476" s="51" t="s">
        <v>37</v>
      </c>
      <c r="K476" s="7" t="s">
        <v>38</v>
      </c>
      <c r="L476" s="10">
        <v>1714.29</v>
      </c>
      <c r="M476" s="10">
        <v>14285.71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33"/>
      <c r="AB476" s="10"/>
      <c r="AC476" s="33">
        <v>16000</v>
      </c>
      <c r="AD476" s="10">
        <f t="shared" si="8"/>
        <v>0</v>
      </c>
      <c r="AE476" s="82"/>
      <c r="AF476" s="17">
        <v>142.86000000000001</v>
      </c>
    </row>
    <row r="477" spans="1:32" x14ac:dyDescent="0.25">
      <c r="A477" s="7" t="s">
        <v>3005</v>
      </c>
      <c r="B477" s="9">
        <v>4134443</v>
      </c>
      <c r="C477" s="70">
        <v>45216</v>
      </c>
      <c r="D477" s="70">
        <v>45212</v>
      </c>
      <c r="E477" s="73">
        <v>45223</v>
      </c>
      <c r="F477" s="9" t="s">
        <v>3275</v>
      </c>
      <c r="H477" s="9"/>
      <c r="I477" s="7" t="s">
        <v>3103</v>
      </c>
      <c r="J477" s="51" t="s">
        <v>127</v>
      </c>
      <c r="K477" s="7"/>
      <c r="L477" s="10">
        <v>604.79999999999995</v>
      </c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33">
        <v>5040</v>
      </c>
      <c r="AB477" s="10"/>
      <c r="AC477" s="33">
        <v>5644.8</v>
      </c>
      <c r="AD477" s="10">
        <f t="shared" si="8"/>
        <v>0</v>
      </c>
      <c r="AE477" s="82"/>
    </row>
    <row r="478" spans="1:32" x14ac:dyDescent="0.25">
      <c r="A478" s="7" t="s">
        <v>3006</v>
      </c>
      <c r="B478" s="9" t="s">
        <v>3098</v>
      </c>
      <c r="C478" s="70">
        <v>45216</v>
      </c>
      <c r="D478" s="70">
        <v>45212</v>
      </c>
      <c r="E478" s="73">
        <v>45215</v>
      </c>
      <c r="F478" s="9" t="s">
        <v>3281</v>
      </c>
      <c r="G478" s="9" t="s">
        <v>2410</v>
      </c>
      <c r="H478" s="9"/>
      <c r="I478" s="7" t="s">
        <v>3099</v>
      </c>
      <c r="J478" s="51" t="s">
        <v>3100</v>
      </c>
      <c r="K478" s="7" t="s">
        <v>3101</v>
      </c>
      <c r="L478" s="10">
        <v>149.46</v>
      </c>
      <c r="M478" s="10">
        <v>1245.54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33"/>
      <c r="AB478" s="10"/>
      <c r="AC478" s="33">
        <v>1395</v>
      </c>
      <c r="AD478" s="10">
        <f t="shared" si="8"/>
        <v>0</v>
      </c>
      <c r="AE478" s="82"/>
      <c r="AF478" s="17">
        <v>12.46</v>
      </c>
    </row>
    <row r="479" spans="1:32" x14ac:dyDescent="0.25">
      <c r="A479" s="7" t="s">
        <v>3007</v>
      </c>
      <c r="B479" s="9">
        <v>4134444</v>
      </c>
      <c r="C479" s="70">
        <v>45216</v>
      </c>
      <c r="D479" s="70">
        <v>45216</v>
      </c>
      <c r="E479" s="73"/>
      <c r="F479" s="9"/>
      <c r="H479" s="9"/>
      <c r="I479" s="7" t="s">
        <v>123</v>
      </c>
      <c r="J479" s="51" t="s">
        <v>51</v>
      </c>
      <c r="K479" s="7"/>
      <c r="L479" s="10"/>
      <c r="M479" s="10">
        <v>23000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33"/>
      <c r="AB479" s="10"/>
      <c r="AC479" s="33">
        <v>23000</v>
      </c>
      <c r="AD479" s="10">
        <f t="shared" si="8"/>
        <v>0</v>
      </c>
      <c r="AE479" s="82"/>
    </row>
    <row r="480" spans="1:32" x14ac:dyDescent="0.25">
      <c r="A480" s="7" t="s">
        <v>3008</v>
      </c>
      <c r="B480" s="9" t="s">
        <v>3095</v>
      </c>
      <c r="C480" s="70">
        <v>45216</v>
      </c>
      <c r="D480" s="70">
        <v>45216</v>
      </c>
      <c r="E480" s="73">
        <v>45217</v>
      </c>
      <c r="F480" s="9" t="s">
        <v>3270</v>
      </c>
      <c r="G480" s="9" t="s">
        <v>2409</v>
      </c>
      <c r="H480" s="9"/>
      <c r="I480" s="7" t="s">
        <v>3096</v>
      </c>
      <c r="J480" s="51" t="s">
        <v>1999</v>
      </c>
      <c r="K480" s="7" t="s">
        <v>2297</v>
      </c>
      <c r="L480" s="10">
        <v>198.21</v>
      </c>
      <c r="M480" s="10">
        <v>1651.79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33"/>
      <c r="AB480" s="10"/>
      <c r="AC480" s="33">
        <v>1850</v>
      </c>
      <c r="AD480" s="10">
        <f t="shared" si="8"/>
        <v>0</v>
      </c>
      <c r="AE480" s="82"/>
      <c r="AF480" s="17">
        <v>16.52</v>
      </c>
    </row>
    <row r="481" spans="1:32" x14ac:dyDescent="0.25">
      <c r="A481" s="7" t="s">
        <v>3009</v>
      </c>
      <c r="B481" s="9">
        <v>4134445</v>
      </c>
      <c r="C481" s="70">
        <v>45216</v>
      </c>
      <c r="D481" s="70">
        <v>45216</v>
      </c>
      <c r="E481" s="73"/>
      <c r="F481" s="9"/>
      <c r="H481" s="9"/>
      <c r="I481" s="7" t="s">
        <v>118</v>
      </c>
      <c r="J481" s="51" t="s">
        <v>1847</v>
      </c>
      <c r="K481" s="7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33">
        <v>36779.65</v>
      </c>
      <c r="AB481" s="10"/>
      <c r="AC481" s="33">
        <v>36779.65</v>
      </c>
      <c r="AD481" s="10">
        <f t="shared" si="8"/>
        <v>0</v>
      </c>
      <c r="AE481" s="82"/>
    </row>
    <row r="482" spans="1:32" x14ac:dyDescent="0.25">
      <c r="A482" s="7" t="s">
        <v>3010</v>
      </c>
      <c r="B482" s="9">
        <v>4134446</v>
      </c>
      <c r="C482" s="70">
        <v>45216</v>
      </c>
      <c r="D482" s="70">
        <v>45216</v>
      </c>
      <c r="E482" s="73"/>
      <c r="F482" s="9"/>
      <c r="H482" s="9"/>
      <c r="I482" s="7" t="s">
        <v>3104</v>
      </c>
      <c r="J482" s="51" t="s">
        <v>1847</v>
      </c>
      <c r="K482" s="7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33">
        <v>30000</v>
      </c>
      <c r="AB482" s="10"/>
      <c r="AC482" s="33">
        <v>30000</v>
      </c>
      <c r="AD482" s="10">
        <f t="shared" si="8"/>
        <v>0</v>
      </c>
      <c r="AE482" s="82"/>
    </row>
    <row r="483" spans="1:32" x14ac:dyDescent="0.25">
      <c r="A483" s="7" t="s">
        <v>3011</v>
      </c>
      <c r="B483" s="9">
        <v>4134447</v>
      </c>
      <c r="C483" s="70">
        <v>45216</v>
      </c>
      <c r="D483" s="70">
        <v>45216</v>
      </c>
      <c r="E483" s="73"/>
      <c r="F483" s="9"/>
      <c r="H483" s="9"/>
      <c r="I483" s="7" t="s">
        <v>2918</v>
      </c>
      <c r="J483" s="51" t="s">
        <v>46</v>
      </c>
      <c r="K483" s="7"/>
      <c r="L483" s="10">
        <v>160.61000000000001</v>
      </c>
      <c r="M483" s="10"/>
      <c r="N483" s="10"/>
      <c r="O483" s="10"/>
      <c r="P483" s="10"/>
      <c r="Q483" s="10"/>
      <c r="R483" s="10"/>
      <c r="S483" s="10">
        <v>1338.39</v>
      </c>
      <c r="T483" s="10"/>
      <c r="U483" s="10"/>
      <c r="V483" s="10"/>
      <c r="W483" s="10"/>
      <c r="X483" s="10"/>
      <c r="Y483" s="10"/>
      <c r="Z483" s="10"/>
      <c r="AA483" s="33"/>
      <c r="AB483" s="10"/>
      <c r="AC483" s="33">
        <v>1499</v>
      </c>
      <c r="AD483" s="10">
        <f t="shared" si="8"/>
        <v>0</v>
      </c>
      <c r="AE483" s="82"/>
    </row>
    <row r="484" spans="1:32" x14ac:dyDescent="0.25">
      <c r="A484" s="7" t="s">
        <v>3015</v>
      </c>
      <c r="B484" s="9">
        <v>4134448</v>
      </c>
      <c r="C484" s="70">
        <v>45216</v>
      </c>
      <c r="D484" s="70">
        <v>45216</v>
      </c>
      <c r="E484" s="73"/>
      <c r="F484" s="9"/>
      <c r="H484" s="9"/>
      <c r="I484" s="7" t="s">
        <v>2918</v>
      </c>
      <c r="J484" s="51" t="s">
        <v>1202</v>
      </c>
      <c r="K484" s="7"/>
      <c r="L484" s="10">
        <v>107.04</v>
      </c>
      <c r="M484" s="10"/>
      <c r="N484" s="10"/>
      <c r="O484" s="10"/>
      <c r="P484" s="10"/>
      <c r="Q484" s="10"/>
      <c r="R484" s="10"/>
      <c r="S484" s="10">
        <v>891.96</v>
      </c>
      <c r="T484" s="10"/>
      <c r="U484" s="10"/>
      <c r="V484" s="10"/>
      <c r="W484" s="10"/>
      <c r="X484" s="10"/>
      <c r="Y484" s="10"/>
      <c r="Z484" s="10"/>
      <c r="AA484" s="33"/>
      <c r="AB484" s="10"/>
      <c r="AC484" s="33">
        <v>999</v>
      </c>
      <c r="AD484" s="10">
        <f t="shared" ref="AD484:AD547" si="9">SUM(AB484:AC484)-SUM(L484:AA484)</f>
        <v>0</v>
      </c>
      <c r="AE484" s="82"/>
    </row>
    <row r="485" spans="1:32" x14ac:dyDescent="0.25">
      <c r="A485" s="7" t="s">
        <v>3016</v>
      </c>
      <c r="B485" s="9">
        <v>4134449</v>
      </c>
      <c r="C485" s="70">
        <v>45216</v>
      </c>
      <c r="D485" s="70">
        <v>45216</v>
      </c>
      <c r="E485" s="73"/>
      <c r="F485" s="9"/>
      <c r="H485" s="9"/>
      <c r="I485" s="7" t="s">
        <v>2918</v>
      </c>
      <c r="J485" s="51" t="s">
        <v>1202</v>
      </c>
      <c r="K485" s="7"/>
      <c r="L485" s="10">
        <v>107.04</v>
      </c>
      <c r="M485" s="10"/>
      <c r="N485" s="10"/>
      <c r="O485" s="10"/>
      <c r="P485" s="10"/>
      <c r="Q485" s="10"/>
      <c r="R485" s="10"/>
      <c r="S485" s="10">
        <v>891.96</v>
      </c>
      <c r="T485" s="10"/>
      <c r="U485" s="10"/>
      <c r="V485" s="10"/>
      <c r="W485" s="10"/>
      <c r="X485" s="10"/>
      <c r="Y485" s="10"/>
      <c r="Z485" s="10"/>
      <c r="AA485" s="33"/>
      <c r="AB485" s="10"/>
      <c r="AC485" s="33">
        <v>999</v>
      </c>
      <c r="AD485" s="10">
        <f t="shared" si="9"/>
        <v>0</v>
      </c>
      <c r="AE485" s="82"/>
    </row>
    <row r="486" spans="1:32" x14ac:dyDescent="0.25">
      <c r="A486" s="7" t="s">
        <v>3017</v>
      </c>
      <c r="B486" s="9">
        <v>4134450</v>
      </c>
      <c r="C486" s="70">
        <v>45216</v>
      </c>
      <c r="D486" s="70">
        <v>45216</v>
      </c>
      <c r="E486" s="73"/>
      <c r="F486" s="9"/>
      <c r="H486" s="9"/>
      <c r="I486" s="7" t="s">
        <v>2919</v>
      </c>
      <c r="J486" s="51" t="s">
        <v>1202</v>
      </c>
      <c r="K486" s="7"/>
      <c r="L486" s="10">
        <v>107.04</v>
      </c>
      <c r="M486" s="10"/>
      <c r="N486" s="10"/>
      <c r="O486" s="10"/>
      <c r="P486" s="10"/>
      <c r="Q486" s="10"/>
      <c r="R486" s="10"/>
      <c r="S486" s="10">
        <v>891.96</v>
      </c>
      <c r="T486" s="10"/>
      <c r="U486" s="10"/>
      <c r="V486" s="10"/>
      <c r="W486" s="10"/>
      <c r="X486" s="10"/>
      <c r="Y486" s="10"/>
      <c r="Z486" s="10"/>
      <c r="AA486" s="33"/>
      <c r="AB486" s="10"/>
      <c r="AC486" s="33">
        <v>999</v>
      </c>
      <c r="AD486" s="10">
        <f t="shared" si="9"/>
        <v>0</v>
      </c>
      <c r="AE486" s="82"/>
    </row>
    <row r="487" spans="1:32" x14ac:dyDescent="0.25">
      <c r="A487" s="7" t="s">
        <v>3018</v>
      </c>
      <c r="B487" s="9">
        <v>4134451</v>
      </c>
      <c r="C487" s="70">
        <v>45216</v>
      </c>
      <c r="D487" s="70">
        <v>45216</v>
      </c>
      <c r="E487" s="73"/>
      <c r="F487" s="9"/>
      <c r="H487" s="9"/>
      <c r="I487" s="62" t="s">
        <v>3102</v>
      </c>
      <c r="J487" s="51" t="s">
        <v>43</v>
      </c>
      <c r="K487" s="7"/>
      <c r="L487" s="10">
        <v>32.14</v>
      </c>
      <c r="M487" s="10"/>
      <c r="N487" s="10"/>
      <c r="O487" s="10"/>
      <c r="P487" s="10"/>
      <c r="Q487" s="10"/>
      <c r="R487" s="10"/>
      <c r="S487" s="10">
        <v>267.86</v>
      </c>
      <c r="T487" s="10"/>
      <c r="U487" s="10"/>
      <c r="V487" s="10"/>
      <c r="W487" s="10"/>
      <c r="X487" s="10"/>
      <c r="Y487" s="10"/>
      <c r="Z487" s="10"/>
      <c r="AA487" s="33"/>
      <c r="AB487" s="10"/>
      <c r="AC487" s="33">
        <v>300</v>
      </c>
      <c r="AD487" s="10">
        <f t="shared" si="9"/>
        <v>0</v>
      </c>
      <c r="AE487" s="82"/>
    </row>
    <row r="488" spans="1:32" x14ac:dyDescent="0.25">
      <c r="A488" s="7" t="s">
        <v>3019</v>
      </c>
      <c r="B488" s="9">
        <v>4134452</v>
      </c>
      <c r="C488" s="70">
        <v>45216</v>
      </c>
      <c r="D488" s="70">
        <v>45216</v>
      </c>
      <c r="E488" s="73"/>
      <c r="F488" s="9"/>
      <c r="H488" s="9"/>
      <c r="I488" s="62" t="s">
        <v>3102</v>
      </c>
      <c r="J488" s="51" t="s">
        <v>43</v>
      </c>
      <c r="K488" s="7"/>
      <c r="L488" s="10">
        <v>64.180000000000007</v>
      </c>
      <c r="M488" s="10"/>
      <c r="N488" s="10"/>
      <c r="O488" s="10"/>
      <c r="P488" s="10"/>
      <c r="Q488" s="10"/>
      <c r="R488" s="10"/>
      <c r="S488" s="10">
        <v>534.82000000000005</v>
      </c>
      <c r="T488" s="10"/>
      <c r="U488" s="10"/>
      <c r="V488" s="10"/>
      <c r="W488" s="10"/>
      <c r="X488" s="10"/>
      <c r="Y488" s="10"/>
      <c r="Z488" s="10"/>
      <c r="AA488" s="33"/>
      <c r="AB488" s="10"/>
      <c r="AC488" s="33">
        <v>599</v>
      </c>
      <c r="AD488" s="10">
        <f t="shared" si="9"/>
        <v>0</v>
      </c>
      <c r="AE488" s="82"/>
    </row>
    <row r="489" spans="1:32" x14ac:dyDescent="0.25">
      <c r="A489" s="7" t="s">
        <v>3020</v>
      </c>
      <c r="B489" s="9" t="s">
        <v>3097</v>
      </c>
      <c r="C489" s="70">
        <v>45216</v>
      </c>
      <c r="D489" s="70">
        <v>45216</v>
      </c>
      <c r="E489" s="73"/>
      <c r="F489" s="9"/>
      <c r="H489" s="9"/>
      <c r="I489" s="7" t="s">
        <v>55</v>
      </c>
      <c r="J489" s="51" t="s">
        <v>54</v>
      </c>
      <c r="K489" s="7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>
        <v>400000</v>
      </c>
      <c r="AA489" s="33"/>
      <c r="AB489" s="10"/>
      <c r="AC489" s="33">
        <v>400000</v>
      </c>
      <c r="AD489" s="10">
        <f t="shared" si="9"/>
        <v>0</v>
      </c>
      <c r="AE489" s="82"/>
    </row>
    <row r="490" spans="1:32" x14ac:dyDescent="0.25">
      <c r="A490" s="7" t="s">
        <v>3021</v>
      </c>
      <c r="B490" s="9">
        <v>4134453</v>
      </c>
      <c r="C490" s="70">
        <v>45216</v>
      </c>
      <c r="D490" s="70">
        <v>45216</v>
      </c>
      <c r="E490" s="73"/>
      <c r="F490" s="9"/>
      <c r="H490" s="9"/>
      <c r="I490" s="7" t="s">
        <v>468</v>
      </c>
      <c r="J490" s="51" t="s">
        <v>34</v>
      </c>
      <c r="K490" s="7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33">
        <v>15255.67</v>
      </c>
      <c r="AB490" s="10"/>
      <c r="AC490" s="33">
        <v>15255.67</v>
      </c>
      <c r="AD490" s="10">
        <f t="shared" si="9"/>
        <v>0</v>
      </c>
      <c r="AE490" s="82"/>
    </row>
    <row r="491" spans="1:32" x14ac:dyDescent="0.25">
      <c r="A491" s="7" t="s">
        <v>3022</v>
      </c>
      <c r="B491" s="9">
        <v>4134454</v>
      </c>
      <c r="C491" s="70">
        <v>45218</v>
      </c>
      <c r="D491" s="70">
        <v>45218</v>
      </c>
      <c r="E491" s="73"/>
      <c r="F491" s="9" t="s">
        <v>3271</v>
      </c>
      <c r="H491" s="9"/>
      <c r="I491" s="7" t="s">
        <v>2430</v>
      </c>
      <c r="J491" s="51" t="s">
        <v>2431</v>
      </c>
      <c r="K491" s="7" t="s">
        <v>3106</v>
      </c>
      <c r="L491" s="10">
        <v>1071.43</v>
      </c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33">
        <v>8928.57</v>
      </c>
      <c r="AB491" s="10"/>
      <c r="AC491" s="33">
        <v>10000</v>
      </c>
      <c r="AD491" s="10">
        <f t="shared" si="9"/>
        <v>0</v>
      </c>
      <c r="AE491" s="82"/>
    </row>
    <row r="492" spans="1:32" x14ac:dyDescent="0.25">
      <c r="A492" s="7" t="s">
        <v>3023</v>
      </c>
      <c r="B492" s="9">
        <v>4134455</v>
      </c>
      <c r="C492" s="70">
        <v>45218</v>
      </c>
      <c r="D492" s="70">
        <v>45218</v>
      </c>
      <c r="E492" s="73"/>
      <c r="F492" s="9"/>
      <c r="H492" s="9" t="s">
        <v>2144</v>
      </c>
      <c r="I492" s="7" t="s">
        <v>2588</v>
      </c>
      <c r="J492" s="51" t="s">
        <v>65</v>
      </c>
      <c r="K492" s="7"/>
      <c r="L492" s="10"/>
      <c r="M492" s="10"/>
      <c r="N492" s="10"/>
      <c r="O492" s="10"/>
      <c r="P492" s="10"/>
      <c r="Q492" s="10"/>
      <c r="R492" s="10"/>
      <c r="S492" s="10"/>
      <c r="T492" s="10">
        <v>10840.66</v>
      </c>
      <c r="U492" s="10"/>
      <c r="V492" s="10"/>
      <c r="W492" s="10"/>
      <c r="X492" s="10"/>
      <c r="Y492" s="10"/>
      <c r="Z492" s="10"/>
      <c r="AA492" s="33"/>
      <c r="AB492" s="10"/>
      <c r="AC492" s="33">
        <v>10840.66</v>
      </c>
      <c r="AD492" s="10">
        <f t="shared" si="9"/>
        <v>0</v>
      </c>
      <c r="AE492" s="82"/>
    </row>
    <row r="493" spans="1:32" x14ac:dyDescent="0.25">
      <c r="A493" s="7" t="s">
        <v>3024</v>
      </c>
      <c r="B493" s="9">
        <v>4134456</v>
      </c>
      <c r="C493" s="70">
        <v>45219</v>
      </c>
      <c r="D493" s="70">
        <v>45219</v>
      </c>
      <c r="E493" s="73"/>
      <c r="F493" s="9"/>
      <c r="H493" s="9" t="s">
        <v>2145</v>
      </c>
      <c r="I493" s="7" t="s">
        <v>1174</v>
      </c>
      <c r="J493" s="51" t="s">
        <v>65</v>
      </c>
      <c r="K493" s="7"/>
      <c r="L493" s="10"/>
      <c r="M493" s="10"/>
      <c r="N493" s="10"/>
      <c r="O493" s="10"/>
      <c r="P493" s="10"/>
      <c r="Q493" s="10"/>
      <c r="R493" s="10"/>
      <c r="S493" s="10"/>
      <c r="T493" s="10">
        <v>10502</v>
      </c>
      <c r="U493" s="10"/>
      <c r="V493" s="10"/>
      <c r="W493" s="10"/>
      <c r="X493" s="10"/>
      <c r="Y493" s="10"/>
      <c r="Z493" s="10"/>
      <c r="AA493" s="33"/>
      <c r="AB493" s="10"/>
      <c r="AC493" s="33">
        <v>10502</v>
      </c>
      <c r="AD493" s="10">
        <f t="shared" si="9"/>
        <v>0</v>
      </c>
      <c r="AE493" s="82"/>
    </row>
    <row r="494" spans="1:32" x14ac:dyDescent="0.25">
      <c r="A494" s="7" t="s">
        <v>3025</v>
      </c>
      <c r="B494" s="9">
        <v>4134457</v>
      </c>
      <c r="C494" s="70">
        <v>45219</v>
      </c>
      <c r="D494" s="70">
        <v>45219</v>
      </c>
      <c r="E494" s="73"/>
      <c r="F494" s="9"/>
      <c r="H494" s="9"/>
      <c r="I494" s="7" t="s">
        <v>3107</v>
      </c>
      <c r="J494" s="51" t="s">
        <v>1202</v>
      </c>
      <c r="K494" s="7"/>
      <c r="L494" s="10">
        <v>1116.74</v>
      </c>
      <c r="M494" s="10"/>
      <c r="N494" s="10"/>
      <c r="O494" s="10"/>
      <c r="P494" s="10"/>
      <c r="Q494" s="10"/>
      <c r="R494" s="10"/>
      <c r="S494" s="10">
        <v>9306.1299999999992</v>
      </c>
      <c r="T494" s="10"/>
      <c r="U494" s="10"/>
      <c r="V494" s="10"/>
      <c r="W494" s="10"/>
      <c r="X494" s="10"/>
      <c r="Y494" s="10"/>
      <c r="Z494" s="10"/>
      <c r="AA494" s="33"/>
      <c r="AB494" s="10"/>
      <c r="AC494" s="33">
        <v>10422.870000000001</v>
      </c>
      <c r="AD494" s="10">
        <f t="shared" si="9"/>
        <v>0</v>
      </c>
      <c r="AE494" s="82"/>
      <c r="AF494" s="17">
        <v>186.17</v>
      </c>
    </row>
    <row r="495" spans="1:32" x14ac:dyDescent="0.25">
      <c r="A495" s="7" t="s">
        <v>3026</v>
      </c>
      <c r="B495" s="9" t="s">
        <v>3108</v>
      </c>
      <c r="C495" s="70">
        <v>45219</v>
      </c>
      <c r="D495" s="70">
        <v>45219</v>
      </c>
      <c r="E495" s="73"/>
      <c r="F495" s="9"/>
      <c r="H495" s="9"/>
      <c r="I495" s="7" t="s">
        <v>1047</v>
      </c>
      <c r="J495" s="51" t="s">
        <v>39</v>
      </c>
      <c r="K495" s="7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>
        <v>60696.23</v>
      </c>
      <c r="X495" s="10"/>
      <c r="Y495" s="10"/>
      <c r="Z495" s="10"/>
      <c r="AA495" s="33"/>
      <c r="AB495" s="10"/>
      <c r="AC495" s="33">
        <v>60696.23</v>
      </c>
      <c r="AD495" s="10">
        <f t="shared" si="9"/>
        <v>0</v>
      </c>
      <c r="AE495" s="82"/>
    </row>
    <row r="496" spans="1:32" x14ac:dyDescent="0.25">
      <c r="A496" s="7" t="s">
        <v>3027</v>
      </c>
      <c r="B496" s="9" t="s">
        <v>3109</v>
      </c>
      <c r="C496" s="70">
        <v>45219</v>
      </c>
      <c r="D496" s="70">
        <v>45219</v>
      </c>
      <c r="E496" s="73"/>
      <c r="F496" s="9"/>
      <c r="H496" s="9"/>
      <c r="I496" s="7" t="s">
        <v>64</v>
      </c>
      <c r="J496" s="51" t="s">
        <v>1250</v>
      </c>
      <c r="K496" s="7"/>
      <c r="L496" s="10"/>
      <c r="M496" s="10"/>
      <c r="N496" s="10"/>
      <c r="O496" s="10"/>
      <c r="P496" s="10">
        <v>15000</v>
      </c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33"/>
      <c r="AB496" s="10"/>
      <c r="AC496" s="33">
        <v>15000</v>
      </c>
      <c r="AD496" s="10">
        <f t="shared" si="9"/>
        <v>0</v>
      </c>
      <c r="AE496" s="82"/>
    </row>
    <row r="497" spans="1:32" x14ac:dyDescent="0.25">
      <c r="A497" s="7" t="s">
        <v>3028</v>
      </c>
      <c r="B497" s="9" t="s">
        <v>3113</v>
      </c>
      <c r="C497" s="70">
        <v>45223</v>
      </c>
      <c r="D497" s="70">
        <v>45223</v>
      </c>
      <c r="E497" s="73">
        <v>45223</v>
      </c>
      <c r="F497" s="9" t="s">
        <v>3272</v>
      </c>
      <c r="G497" s="9" t="s">
        <v>2412</v>
      </c>
      <c r="H497" s="9"/>
      <c r="I497" s="7" t="s">
        <v>3114</v>
      </c>
      <c r="J497" s="51" t="s">
        <v>1999</v>
      </c>
      <c r="K497" s="7" t="s">
        <v>2297</v>
      </c>
      <c r="L497" s="10"/>
      <c r="M497" s="10">
        <v>18964.29</v>
      </c>
      <c r="N497" s="10">
        <v>158035.71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33"/>
      <c r="AB497" s="10"/>
      <c r="AC497" s="33">
        <v>177000</v>
      </c>
      <c r="AD497" s="10">
        <f t="shared" si="9"/>
        <v>0</v>
      </c>
      <c r="AE497" s="82"/>
      <c r="AF497" s="17">
        <v>1580.36</v>
      </c>
    </row>
    <row r="498" spans="1:32" x14ac:dyDescent="0.25">
      <c r="A498" s="7" t="s">
        <v>3029</v>
      </c>
      <c r="B498" s="9" t="s">
        <v>3112</v>
      </c>
      <c r="C498" s="70">
        <v>45223</v>
      </c>
      <c r="D498" s="70">
        <v>45223</v>
      </c>
      <c r="E498" s="73"/>
      <c r="F498" s="9"/>
      <c r="H498" s="9"/>
      <c r="I498" s="7" t="s">
        <v>82</v>
      </c>
      <c r="J498" s="51" t="s">
        <v>54</v>
      </c>
      <c r="K498" s="7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>
        <v>400000</v>
      </c>
      <c r="AA498" s="33"/>
      <c r="AB498" s="10"/>
      <c r="AC498" s="33">
        <v>400000</v>
      </c>
      <c r="AD498" s="10">
        <f t="shared" si="9"/>
        <v>0</v>
      </c>
      <c r="AE498" s="82"/>
    </row>
    <row r="499" spans="1:32" x14ac:dyDescent="0.25">
      <c r="A499" s="7" t="s">
        <v>3030</v>
      </c>
      <c r="B499" s="9">
        <v>4134458</v>
      </c>
      <c r="C499" s="70">
        <v>45224</v>
      </c>
      <c r="D499" s="70">
        <v>45224</v>
      </c>
      <c r="E499" s="73"/>
      <c r="F499" s="45" t="s">
        <v>1417</v>
      </c>
      <c r="H499" s="9"/>
      <c r="I499" s="7" t="s">
        <v>253</v>
      </c>
      <c r="J499" s="51" t="s">
        <v>3276</v>
      </c>
      <c r="K499" s="7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33"/>
      <c r="AB499" s="10"/>
      <c r="AC499" s="33"/>
      <c r="AD499" s="10">
        <f t="shared" si="9"/>
        <v>0</v>
      </c>
      <c r="AE499" s="82"/>
    </row>
    <row r="500" spans="1:32" x14ac:dyDescent="0.25">
      <c r="A500" s="7" t="s">
        <v>3031</v>
      </c>
      <c r="B500" s="9">
        <v>4134459</v>
      </c>
      <c r="C500" s="70">
        <v>45223</v>
      </c>
      <c r="D500" s="70">
        <v>45223</v>
      </c>
      <c r="E500" s="73"/>
      <c r="F500" s="9"/>
      <c r="H500" s="9" t="s">
        <v>2180</v>
      </c>
      <c r="I500" s="7" t="s">
        <v>3111</v>
      </c>
      <c r="J500" s="51" t="s">
        <v>39</v>
      </c>
      <c r="K500" s="7"/>
      <c r="L500" s="10">
        <v>187.5</v>
      </c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33">
        <v>4312.5</v>
      </c>
      <c r="AB500" s="10"/>
      <c r="AC500" s="33">
        <v>4500</v>
      </c>
      <c r="AD500" s="10">
        <f t="shared" si="9"/>
        <v>0</v>
      </c>
      <c r="AE500" s="82"/>
    </row>
    <row r="501" spans="1:32" x14ac:dyDescent="0.25">
      <c r="A501" s="7" t="s">
        <v>3032</v>
      </c>
      <c r="B501" s="9">
        <v>4134460</v>
      </c>
      <c r="C501" s="70">
        <v>45223</v>
      </c>
      <c r="D501" s="70">
        <v>45223</v>
      </c>
      <c r="E501" s="73"/>
      <c r="F501" s="9"/>
      <c r="H501" s="9"/>
      <c r="I501" s="7" t="s">
        <v>2544</v>
      </c>
      <c r="J501" s="51" t="s">
        <v>65</v>
      </c>
      <c r="K501" s="7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33">
        <v>8000</v>
      </c>
      <c r="AB501" s="10"/>
      <c r="AC501" s="33">
        <v>8000</v>
      </c>
      <c r="AD501" s="10">
        <f t="shared" si="9"/>
        <v>0</v>
      </c>
      <c r="AE501" s="82"/>
    </row>
    <row r="502" spans="1:32" x14ac:dyDescent="0.25">
      <c r="A502" s="7" t="s">
        <v>3033</v>
      </c>
      <c r="B502" s="9">
        <v>4134461</v>
      </c>
      <c r="C502" s="70">
        <v>45250</v>
      </c>
      <c r="D502" s="70">
        <v>45223</v>
      </c>
      <c r="E502" s="73">
        <v>45239</v>
      </c>
      <c r="F502" s="9" t="s">
        <v>3322</v>
      </c>
      <c r="G502" s="9" t="s">
        <v>2360</v>
      </c>
      <c r="H502" s="9"/>
      <c r="I502" s="7" t="s">
        <v>3110</v>
      </c>
      <c r="J502" s="51" t="s">
        <v>83</v>
      </c>
      <c r="K502" s="7" t="s">
        <v>1336</v>
      </c>
      <c r="L502" s="10">
        <v>16502.36</v>
      </c>
      <c r="M502" s="10">
        <v>137519.64000000001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33"/>
      <c r="AB502" s="10"/>
      <c r="AC502" s="33">
        <v>154022</v>
      </c>
      <c r="AD502" s="10">
        <f t="shared" si="9"/>
        <v>0</v>
      </c>
      <c r="AE502" s="82"/>
      <c r="AF502" s="17">
        <v>1375.2</v>
      </c>
    </row>
    <row r="503" spans="1:32" x14ac:dyDescent="0.25">
      <c r="A503" s="7" t="s">
        <v>3034</v>
      </c>
      <c r="B503" s="9">
        <v>4134462</v>
      </c>
      <c r="C503" s="70">
        <v>45265</v>
      </c>
      <c r="D503" s="70">
        <v>45223</v>
      </c>
      <c r="E503" s="73">
        <v>45252</v>
      </c>
      <c r="F503" s="9" t="s">
        <v>3320</v>
      </c>
      <c r="G503" s="9" t="s">
        <v>2403</v>
      </c>
      <c r="H503" s="9"/>
      <c r="I503" s="7" t="s">
        <v>1131</v>
      </c>
      <c r="J503" s="51" t="s">
        <v>1226</v>
      </c>
      <c r="K503" s="7" t="s">
        <v>2924</v>
      </c>
      <c r="L503" s="10">
        <v>8035.71</v>
      </c>
      <c r="M503" s="10">
        <v>66964.289999999994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33"/>
      <c r="AB503" s="10"/>
      <c r="AC503" s="33">
        <v>75000</v>
      </c>
      <c r="AD503" s="10">
        <f t="shared" si="9"/>
        <v>0</v>
      </c>
      <c r="AE503" s="82"/>
      <c r="AF503" s="17">
        <v>669.64</v>
      </c>
    </row>
    <row r="504" spans="1:32" x14ac:dyDescent="0.25">
      <c r="A504" s="7" t="s">
        <v>3035</v>
      </c>
      <c r="B504" s="9">
        <v>4134463</v>
      </c>
      <c r="C504" s="70">
        <v>45265</v>
      </c>
      <c r="D504" s="70">
        <v>45223</v>
      </c>
      <c r="E504" s="73">
        <v>45252</v>
      </c>
      <c r="F504" s="9" t="s">
        <v>3321</v>
      </c>
      <c r="G504" s="9" t="s">
        <v>2411</v>
      </c>
      <c r="H504" s="9"/>
      <c r="I504" s="7" t="s">
        <v>1318</v>
      </c>
      <c r="J504" s="51" t="s">
        <v>1226</v>
      </c>
      <c r="K504" s="7" t="s">
        <v>2924</v>
      </c>
      <c r="L504" s="10">
        <v>1146.43</v>
      </c>
      <c r="M504" s="10">
        <v>9553.57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33"/>
      <c r="AB504" s="10"/>
      <c r="AC504" s="33">
        <v>10700</v>
      </c>
      <c r="AD504" s="10">
        <f t="shared" si="9"/>
        <v>0</v>
      </c>
      <c r="AE504" s="82"/>
      <c r="AF504" s="17">
        <v>95.54</v>
      </c>
    </row>
    <row r="505" spans="1:32" x14ac:dyDescent="0.25">
      <c r="A505" s="7" t="s">
        <v>3036</v>
      </c>
      <c r="B505" s="9">
        <v>4134464</v>
      </c>
      <c r="C505" s="70">
        <v>45265</v>
      </c>
      <c r="D505" s="70">
        <v>45223</v>
      </c>
      <c r="E505" s="73">
        <v>45252</v>
      </c>
      <c r="F505" s="9" t="s">
        <v>3323</v>
      </c>
      <c r="G505" s="9" t="s">
        <v>2440</v>
      </c>
      <c r="H505" s="9"/>
      <c r="I505" s="7" t="s">
        <v>3274</v>
      </c>
      <c r="J505" s="51" t="s">
        <v>1226</v>
      </c>
      <c r="K505" s="7" t="s">
        <v>2924</v>
      </c>
      <c r="L505" s="10">
        <v>5892.86</v>
      </c>
      <c r="M505" s="10">
        <v>49107.14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33"/>
      <c r="AB505" s="10"/>
      <c r="AC505" s="33">
        <v>55000</v>
      </c>
      <c r="AD505" s="10">
        <f t="shared" si="9"/>
        <v>0</v>
      </c>
      <c r="AE505" s="82"/>
      <c r="AF505" s="17">
        <v>491.07</v>
      </c>
    </row>
    <row r="506" spans="1:32" x14ac:dyDescent="0.25">
      <c r="A506" s="7" t="s">
        <v>3037</v>
      </c>
      <c r="B506" s="9">
        <v>4134465</v>
      </c>
      <c r="C506" s="70">
        <v>45223</v>
      </c>
      <c r="D506" s="70">
        <v>45223</v>
      </c>
      <c r="E506" s="73"/>
      <c r="F506" s="9" t="s">
        <v>3273</v>
      </c>
      <c r="H506" s="9"/>
      <c r="I506" s="7" t="s">
        <v>3115</v>
      </c>
      <c r="J506" s="51" t="s">
        <v>3116</v>
      </c>
      <c r="K506" s="7" t="s">
        <v>3117</v>
      </c>
      <c r="L506" s="10">
        <v>420</v>
      </c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33">
        <v>3500</v>
      </c>
      <c r="AB506" s="10"/>
      <c r="AC506" s="33">
        <v>3920</v>
      </c>
      <c r="AD506" s="10">
        <f t="shared" si="9"/>
        <v>0</v>
      </c>
      <c r="AE506" s="82"/>
    </row>
    <row r="507" spans="1:32" x14ac:dyDescent="0.25">
      <c r="A507" s="7" t="s">
        <v>3038</v>
      </c>
      <c r="B507" s="9">
        <v>4134466</v>
      </c>
      <c r="C507" s="70">
        <v>45223</v>
      </c>
      <c r="D507" s="70">
        <v>45223</v>
      </c>
      <c r="E507" s="73"/>
      <c r="F507" s="9"/>
      <c r="H507" s="9"/>
      <c r="I507" s="7" t="s">
        <v>3279</v>
      </c>
      <c r="J507" s="51" t="s">
        <v>3280</v>
      </c>
      <c r="K507" s="7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33">
        <v>12645.35</v>
      </c>
      <c r="AB507" s="10"/>
      <c r="AC507" s="33">
        <v>12645.35</v>
      </c>
      <c r="AD507" s="10">
        <f t="shared" si="9"/>
        <v>0</v>
      </c>
      <c r="AE507" s="82"/>
    </row>
    <row r="508" spans="1:32" x14ac:dyDescent="0.25">
      <c r="A508" s="7" t="s">
        <v>3039</v>
      </c>
      <c r="B508" s="9">
        <v>4134467</v>
      </c>
      <c r="C508" s="70">
        <v>45225</v>
      </c>
      <c r="D508" s="70">
        <v>45225</v>
      </c>
      <c r="E508" s="73">
        <v>45251</v>
      </c>
      <c r="F508" s="9" t="s">
        <v>3324</v>
      </c>
      <c r="G508" s="9" t="s">
        <v>2408</v>
      </c>
      <c r="H508" s="9"/>
      <c r="I508" s="7" t="s">
        <v>3277</v>
      </c>
      <c r="J508" s="51" t="s">
        <v>37</v>
      </c>
      <c r="K508" s="7" t="s">
        <v>38</v>
      </c>
      <c r="L508" s="10">
        <v>32.14</v>
      </c>
      <c r="M508" s="10">
        <v>267.86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33"/>
      <c r="AB508" s="10"/>
      <c r="AC508" s="33">
        <v>300</v>
      </c>
      <c r="AD508" s="10">
        <f t="shared" si="9"/>
        <v>0</v>
      </c>
      <c r="AE508" s="82"/>
      <c r="AF508" s="17">
        <v>2.68</v>
      </c>
    </row>
    <row r="509" spans="1:32" x14ac:dyDescent="0.25">
      <c r="A509" s="7" t="s">
        <v>3040</v>
      </c>
      <c r="B509" s="9" t="s">
        <v>3278</v>
      </c>
      <c r="C509" s="70">
        <v>45225</v>
      </c>
      <c r="D509" s="70">
        <v>45225</v>
      </c>
      <c r="E509" s="73"/>
      <c r="F509" s="9"/>
      <c r="H509" s="9"/>
      <c r="I509" s="7" t="s">
        <v>64</v>
      </c>
      <c r="J509" s="51" t="s">
        <v>1633</v>
      </c>
      <c r="K509" s="7"/>
      <c r="L509" s="10"/>
      <c r="M509" s="10"/>
      <c r="N509" s="10"/>
      <c r="O509" s="10"/>
      <c r="P509" s="10">
        <v>10000</v>
      </c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33"/>
      <c r="AB509" s="10"/>
      <c r="AC509" s="33">
        <v>10000</v>
      </c>
      <c r="AD509" s="10">
        <f t="shared" si="9"/>
        <v>0</v>
      </c>
      <c r="AE509" s="82"/>
    </row>
    <row r="510" spans="1:32" x14ac:dyDescent="0.25">
      <c r="A510" s="7" t="s">
        <v>3041</v>
      </c>
      <c r="B510" s="9">
        <v>4134468</v>
      </c>
      <c r="C510" s="70">
        <v>45225</v>
      </c>
      <c r="D510" s="70">
        <v>45225</v>
      </c>
      <c r="E510" s="73"/>
      <c r="F510" s="9"/>
      <c r="H510" s="9" t="s">
        <v>2179</v>
      </c>
      <c r="I510" s="7" t="s">
        <v>58</v>
      </c>
      <c r="J510" s="51" t="s">
        <v>65</v>
      </c>
      <c r="K510" s="7"/>
      <c r="L510" s="10"/>
      <c r="M510" s="10"/>
      <c r="N510" s="10"/>
      <c r="O510" s="10"/>
      <c r="P510" s="10"/>
      <c r="Q510" s="10"/>
      <c r="R510" s="10"/>
      <c r="S510" s="10"/>
      <c r="T510" s="10">
        <v>10057.56</v>
      </c>
      <c r="U510" s="10"/>
      <c r="V510" s="10"/>
      <c r="W510" s="10"/>
      <c r="X510" s="10"/>
      <c r="Y510" s="10"/>
      <c r="Z510" s="10"/>
      <c r="AA510" s="33"/>
      <c r="AB510" s="10"/>
      <c r="AC510" s="33">
        <v>10057.56</v>
      </c>
      <c r="AD510" s="10">
        <f t="shared" si="9"/>
        <v>0</v>
      </c>
      <c r="AE510" s="82"/>
    </row>
    <row r="511" spans="1:32" x14ac:dyDescent="0.25">
      <c r="A511" s="7" t="s">
        <v>3042</v>
      </c>
      <c r="B511" s="9">
        <v>4134469</v>
      </c>
      <c r="C511" s="70">
        <v>45257</v>
      </c>
      <c r="D511" s="70">
        <v>45230</v>
      </c>
      <c r="E511" s="73">
        <v>45251</v>
      </c>
      <c r="F511" s="9" t="s">
        <v>3325</v>
      </c>
      <c r="G511" s="9" t="s">
        <v>2442</v>
      </c>
      <c r="H511" s="9"/>
      <c r="I511" s="7" t="s">
        <v>1690</v>
      </c>
      <c r="J511" s="51" t="s">
        <v>37</v>
      </c>
      <c r="K511" s="7" t="s">
        <v>38</v>
      </c>
      <c r="L511" s="10">
        <v>7023.21</v>
      </c>
      <c r="M511" s="10">
        <v>58526.79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33"/>
      <c r="AB511" s="10"/>
      <c r="AC511" s="33">
        <v>65550</v>
      </c>
      <c r="AD511" s="10">
        <f t="shared" si="9"/>
        <v>0</v>
      </c>
      <c r="AE511" s="82"/>
      <c r="AF511" s="17">
        <v>585.27</v>
      </c>
    </row>
    <row r="512" spans="1:32" s="39" customFormat="1" x14ac:dyDescent="0.25">
      <c r="A512" s="20"/>
      <c r="B512" s="19"/>
      <c r="C512" s="72"/>
      <c r="D512" s="72"/>
      <c r="E512" s="77"/>
      <c r="F512" s="19"/>
      <c r="G512" s="19"/>
      <c r="H512" s="19"/>
      <c r="I512" s="20"/>
      <c r="J512" s="20"/>
      <c r="K512" s="20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32"/>
      <c r="AB512" s="22"/>
      <c r="AC512" s="32"/>
      <c r="AD512" s="22"/>
      <c r="AE512" s="96"/>
      <c r="AF512" s="35"/>
    </row>
    <row r="513" spans="1:32" s="39" customFormat="1" x14ac:dyDescent="0.25">
      <c r="A513" s="25">
        <v>45231</v>
      </c>
      <c r="B513" s="19"/>
      <c r="C513" s="72"/>
      <c r="D513" s="72"/>
      <c r="E513" s="77"/>
      <c r="F513" s="19"/>
      <c r="G513" s="19"/>
      <c r="H513" s="19"/>
      <c r="I513" s="20"/>
      <c r="J513" s="20"/>
      <c r="K513" s="20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32"/>
      <c r="AB513" s="22"/>
      <c r="AC513" s="32"/>
      <c r="AD513" s="22"/>
      <c r="AE513" s="96"/>
      <c r="AF513" s="35"/>
    </row>
    <row r="514" spans="1:32" x14ac:dyDescent="0.25">
      <c r="A514" s="7" t="s">
        <v>3043</v>
      </c>
      <c r="B514" s="9">
        <v>4134470</v>
      </c>
      <c r="C514" s="70">
        <v>45233</v>
      </c>
      <c r="D514" s="70">
        <v>45233</v>
      </c>
      <c r="E514" s="73"/>
      <c r="F514" s="9"/>
      <c r="H514" s="9" t="s">
        <v>2219</v>
      </c>
      <c r="I514" s="7" t="s">
        <v>1174</v>
      </c>
      <c r="J514" s="51" t="s">
        <v>65</v>
      </c>
      <c r="K514" s="7"/>
      <c r="L514" s="10"/>
      <c r="M514" s="10"/>
      <c r="N514" s="10"/>
      <c r="O514" s="10"/>
      <c r="P514" s="10"/>
      <c r="Q514" s="10"/>
      <c r="R514" s="10"/>
      <c r="S514" s="10"/>
      <c r="T514" s="10">
        <v>5678</v>
      </c>
      <c r="U514" s="10"/>
      <c r="V514" s="10"/>
      <c r="W514" s="10"/>
      <c r="X514" s="10"/>
      <c r="Y514" s="10"/>
      <c r="Z514" s="10"/>
      <c r="AA514" s="33"/>
      <c r="AB514" s="10"/>
      <c r="AC514" s="33">
        <v>5678</v>
      </c>
      <c r="AD514" s="10">
        <f t="shared" si="9"/>
        <v>0</v>
      </c>
      <c r="AE514" s="82"/>
    </row>
    <row r="515" spans="1:32" x14ac:dyDescent="0.25">
      <c r="A515" s="7" t="s">
        <v>3044</v>
      </c>
      <c r="B515" s="9" t="s">
        <v>3288</v>
      </c>
      <c r="C515" s="70">
        <v>45233</v>
      </c>
      <c r="D515" s="70">
        <v>45233</v>
      </c>
      <c r="E515" s="73"/>
      <c r="F515" s="9"/>
      <c r="H515" s="9"/>
      <c r="I515" s="7" t="s">
        <v>3289</v>
      </c>
      <c r="J515" s="51" t="s">
        <v>65</v>
      </c>
      <c r="K515" s="7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33">
        <v>20306.77</v>
      </c>
      <c r="AB515" s="10"/>
      <c r="AC515" s="33">
        <v>20306.77</v>
      </c>
      <c r="AD515" s="10">
        <f t="shared" si="9"/>
        <v>0</v>
      </c>
      <c r="AE515" s="82"/>
    </row>
    <row r="516" spans="1:32" x14ac:dyDescent="0.25">
      <c r="A516" s="7" t="s">
        <v>3045</v>
      </c>
      <c r="B516" s="9">
        <v>4134471</v>
      </c>
      <c r="C516" s="70">
        <v>45236</v>
      </c>
      <c r="D516" s="70">
        <v>45236</v>
      </c>
      <c r="E516" s="73"/>
      <c r="F516" s="9"/>
      <c r="H516" s="9"/>
      <c r="I516" s="7" t="s">
        <v>3287</v>
      </c>
      <c r="J516" s="51" t="s">
        <v>34</v>
      </c>
      <c r="K516" s="7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33">
        <v>2665.91</v>
      </c>
      <c r="AB516" s="10"/>
      <c r="AC516" s="33">
        <v>2665.91</v>
      </c>
      <c r="AD516" s="10">
        <f t="shared" si="9"/>
        <v>0</v>
      </c>
      <c r="AE516" s="82"/>
    </row>
    <row r="517" spans="1:32" x14ac:dyDescent="0.25">
      <c r="A517" s="7" t="s">
        <v>3046</v>
      </c>
      <c r="B517" s="9">
        <v>4134472</v>
      </c>
      <c r="C517" s="70">
        <v>45236</v>
      </c>
      <c r="D517" s="70">
        <v>45236</v>
      </c>
      <c r="E517" s="73"/>
      <c r="F517" s="9"/>
      <c r="H517" s="9"/>
      <c r="I517" s="7" t="s">
        <v>253</v>
      </c>
      <c r="J517" s="51" t="s">
        <v>3290</v>
      </c>
      <c r="K517" s="7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33">
        <v>10071.43</v>
      </c>
      <c r="AB517" s="10"/>
      <c r="AC517" s="33">
        <v>10071.43</v>
      </c>
      <c r="AD517" s="10">
        <f t="shared" si="9"/>
        <v>0</v>
      </c>
      <c r="AE517" s="82"/>
    </row>
    <row r="518" spans="1:32" x14ac:dyDescent="0.25">
      <c r="A518" s="7" t="s">
        <v>3047</v>
      </c>
      <c r="B518" s="9">
        <v>4134473</v>
      </c>
      <c r="C518" s="70">
        <v>45278</v>
      </c>
      <c r="D518" s="70">
        <v>45236</v>
      </c>
      <c r="E518" s="73"/>
      <c r="F518" s="45" t="s">
        <v>1417</v>
      </c>
      <c r="G518" s="9" t="s">
        <v>2440</v>
      </c>
      <c r="H518" s="9"/>
      <c r="I518" s="7" t="s">
        <v>3274</v>
      </c>
      <c r="J518" s="51" t="s">
        <v>1226</v>
      </c>
      <c r="K518" s="7" t="s">
        <v>2924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33"/>
      <c r="AB518" s="10"/>
      <c r="AC518" s="33"/>
      <c r="AD518" s="10">
        <f t="shared" si="9"/>
        <v>0</v>
      </c>
      <c r="AE518" s="82"/>
      <c r="AF518" s="17">
        <v>491.07</v>
      </c>
    </row>
    <row r="519" spans="1:32" x14ac:dyDescent="0.25">
      <c r="A519" s="7" t="s">
        <v>3048</v>
      </c>
      <c r="B519" s="9">
        <v>4134474</v>
      </c>
      <c r="C519" s="70">
        <v>45237</v>
      </c>
      <c r="D519" s="70">
        <v>45237</v>
      </c>
      <c r="E519" s="73"/>
      <c r="F519" s="9"/>
      <c r="H519" s="9"/>
      <c r="I519" s="7" t="s">
        <v>123</v>
      </c>
      <c r="J519" s="51" t="s">
        <v>47</v>
      </c>
      <c r="K519" s="7"/>
      <c r="L519" s="10"/>
      <c r="M519" s="10">
        <v>23000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33"/>
      <c r="AB519" s="10"/>
      <c r="AC519" s="33">
        <v>23000</v>
      </c>
      <c r="AD519" s="10">
        <f t="shared" si="9"/>
        <v>0</v>
      </c>
      <c r="AE519" s="82"/>
    </row>
    <row r="520" spans="1:32" x14ac:dyDescent="0.25">
      <c r="A520" s="7" t="s">
        <v>3049</v>
      </c>
      <c r="B520" s="9">
        <v>4134475</v>
      </c>
      <c r="C520" s="70">
        <v>45237</v>
      </c>
      <c r="D520" s="70">
        <v>45237</v>
      </c>
      <c r="E520" s="73"/>
      <c r="F520" s="9"/>
      <c r="H520" s="9"/>
      <c r="I520" s="7" t="s">
        <v>3282</v>
      </c>
      <c r="J520" s="51" t="s">
        <v>109</v>
      </c>
      <c r="K520" s="7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33">
        <v>16875</v>
      </c>
      <c r="AB520" s="10"/>
      <c r="AC520" s="33">
        <v>16875</v>
      </c>
      <c r="AD520" s="10">
        <f t="shared" si="9"/>
        <v>0</v>
      </c>
      <c r="AE520" s="82"/>
    </row>
    <row r="521" spans="1:32" x14ac:dyDescent="0.25">
      <c r="A521" s="7" t="s">
        <v>3050</v>
      </c>
      <c r="B521" s="9">
        <v>4134476</v>
      </c>
      <c r="C521" s="70">
        <v>45237</v>
      </c>
      <c r="D521" s="70">
        <v>45237</v>
      </c>
      <c r="E521" s="73">
        <v>45238</v>
      </c>
      <c r="F521" s="9" t="s">
        <v>3298</v>
      </c>
      <c r="H521" s="9"/>
      <c r="I521" s="7" t="s">
        <v>3283</v>
      </c>
      <c r="J521" s="51" t="s">
        <v>3296</v>
      </c>
      <c r="K521" s="7" t="s">
        <v>3297</v>
      </c>
      <c r="L521" s="10">
        <v>1071.43</v>
      </c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33">
        <v>8928.57</v>
      </c>
      <c r="AB521" s="10"/>
      <c r="AC521" s="33">
        <v>10000</v>
      </c>
      <c r="AD521" s="10">
        <f t="shared" si="9"/>
        <v>0</v>
      </c>
      <c r="AE521" s="82"/>
    </row>
    <row r="522" spans="1:32" x14ac:dyDescent="0.25">
      <c r="A522" s="7" t="s">
        <v>3051</v>
      </c>
      <c r="B522" s="9">
        <v>4134477</v>
      </c>
      <c r="C522" s="70">
        <v>45237</v>
      </c>
      <c r="D522" s="70">
        <v>45237</v>
      </c>
      <c r="E522" s="73"/>
      <c r="F522" s="9" t="s">
        <v>3293</v>
      </c>
      <c r="G522" s="45" t="s">
        <v>1417</v>
      </c>
      <c r="H522" s="9"/>
      <c r="I522" s="7" t="s">
        <v>3284</v>
      </c>
      <c r="J522" s="51" t="s">
        <v>109</v>
      </c>
      <c r="K522" s="7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33"/>
      <c r="AB522" s="10"/>
      <c r="AC522" s="33"/>
      <c r="AD522" s="10">
        <f t="shared" si="9"/>
        <v>0</v>
      </c>
      <c r="AE522" s="82"/>
    </row>
    <row r="523" spans="1:32" x14ac:dyDescent="0.25">
      <c r="A523" s="7" t="s">
        <v>3052</v>
      </c>
      <c r="B523" s="9">
        <v>4134478</v>
      </c>
      <c r="C523" s="70">
        <v>45237</v>
      </c>
      <c r="D523" s="70">
        <v>45237</v>
      </c>
      <c r="E523" s="73">
        <v>45239</v>
      </c>
      <c r="F523" s="9" t="s">
        <v>3299</v>
      </c>
      <c r="G523" s="9" t="s">
        <v>2443</v>
      </c>
      <c r="H523" s="9"/>
      <c r="I523" s="7" t="s">
        <v>3002</v>
      </c>
      <c r="J523" s="51" t="s">
        <v>83</v>
      </c>
      <c r="K523" s="7" t="s">
        <v>1336</v>
      </c>
      <c r="L523" s="10">
        <v>75</v>
      </c>
      <c r="M523" s="10">
        <v>625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33"/>
      <c r="AB523" s="10"/>
      <c r="AC523" s="33">
        <v>700</v>
      </c>
      <c r="AD523" s="10">
        <f t="shared" si="9"/>
        <v>0</v>
      </c>
      <c r="AE523" s="82"/>
      <c r="AF523" s="17">
        <v>6.25</v>
      </c>
    </row>
    <row r="524" spans="1:32" x14ac:dyDescent="0.25">
      <c r="A524" s="7" t="s">
        <v>3053</v>
      </c>
      <c r="B524" s="9">
        <v>4134479</v>
      </c>
      <c r="C524" s="70">
        <v>45266</v>
      </c>
      <c r="D524" s="70">
        <v>45237</v>
      </c>
      <c r="E524" s="73">
        <v>45266</v>
      </c>
      <c r="F524" s="9" t="s">
        <v>3419</v>
      </c>
      <c r="G524" s="9" t="s">
        <v>2444</v>
      </c>
      <c r="H524" s="9"/>
      <c r="I524" s="7" t="s">
        <v>3285</v>
      </c>
      <c r="J524" s="51" t="s">
        <v>109</v>
      </c>
      <c r="K524" s="7"/>
      <c r="L524" s="10"/>
      <c r="M524" s="10">
        <v>5500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33"/>
      <c r="AB524" s="10"/>
      <c r="AC524" s="33">
        <v>5500</v>
      </c>
      <c r="AD524" s="10">
        <f t="shared" si="9"/>
        <v>0</v>
      </c>
      <c r="AE524" s="82"/>
    </row>
    <row r="525" spans="1:32" x14ac:dyDescent="0.25">
      <c r="A525" s="7" t="s">
        <v>3054</v>
      </c>
      <c r="B525" s="9">
        <v>4134480</v>
      </c>
      <c r="C525" s="70">
        <v>45266</v>
      </c>
      <c r="D525" s="70">
        <v>45237</v>
      </c>
      <c r="E525" s="73">
        <v>45274</v>
      </c>
      <c r="F525" s="9" t="s">
        <v>3418</v>
      </c>
      <c r="G525" s="9" t="s">
        <v>2445</v>
      </c>
      <c r="H525" s="9"/>
      <c r="I525" s="7" t="s">
        <v>3286</v>
      </c>
      <c r="J525" s="51" t="s">
        <v>83</v>
      </c>
      <c r="K525" s="7" t="s">
        <v>1336</v>
      </c>
      <c r="L525" s="10">
        <v>910.71</v>
      </c>
      <c r="M525" s="10">
        <v>7589.29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33"/>
      <c r="AB525" s="10"/>
      <c r="AC525" s="33">
        <v>8500</v>
      </c>
      <c r="AD525" s="10">
        <f t="shared" si="9"/>
        <v>0</v>
      </c>
      <c r="AE525" s="82"/>
      <c r="AF525" s="17">
        <v>75.89</v>
      </c>
    </row>
    <row r="526" spans="1:32" x14ac:dyDescent="0.25">
      <c r="A526" s="7" t="s">
        <v>3055</v>
      </c>
      <c r="B526" s="9" t="s">
        <v>3291</v>
      </c>
      <c r="C526" s="70">
        <v>45237</v>
      </c>
      <c r="D526" s="70">
        <v>45237</v>
      </c>
      <c r="E526" s="73"/>
      <c r="F526" s="9"/>
      <c r="H526" s="9"/>
      <c r="I526" s="7" t="s">
        <v>55</v>
      </c>
      <c r="J526" s="51" t="s">
        <v>54</v>
      </c>
      <c r="K526" s="7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>
        <v>300000</v>
      </c>
      <c r="AA526" s="33"/>
      <c r="AB526" s="10"/>
      <c r="AC526" s="33">
        <v>300000</v>
      </c>
      <c r="AD526" s="10">
        <f t="shared" si="9"/>
        <v>0</v>
      </c>
      <c r="AE526" s="82"/>
    </row>
    <row r="527" spans="1:32" x14ac:dyDescent="0.25">
      <c r="A527" s="7" t="s">
        <v>3056</v>
      </c>
      <c r="B527" s="9" t="s">
        <v>3292</v>
      </c>
      <c r="C527" s="70">
        <v>45237</v>
      </c>
      <c r="D527" s="70">
        <v>45237</v>
      </c>
      <c r="E527" s="73"/>
      <c r="F527" s="9"/>
      <c r="H527" s="9"/>
      <c r="I527" s="7" t="s">
        <v>55</v>
      </c>
      <c r="J527" s="51" t="s">
        <v>54</v>
      </c>
      <c r="K527" s="7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>
        <v>300000</v>
      </c>
      <c r="AA527" s="33"/>
      <c r="AB527" s="10"/>
      <c r="AC527" s="33">
        <v>300000</v>
      </c>
      <c r="AD527" s="10">
        <f t="shared" si="9"/>
        <v>0</v>
      </c>
      <c r="AE527" s="82"/>
    </row>
    <row r="528" spans="1:32" x14ac:dyDescent="0.25">
      <c r="A528" s="7" t="s">
        <v>3057</v>
      </c>
      <c r="B528" s="9">
        <v>4134481</v>
      </c>
      <c r="C528" s="70">
        <v>45268</v>
      </c>
      <c r="D528" s="70">
        <v>45238</v>
      </c>
      <c r="E528" s="73">
        <v>45261</v>
      </c>
      <c r="F528" s="9" t="s">
        <v>3343</v>
      </c>
      <c r="G528" s="9" t="s">
        <v>2446</v>
      </c>
      <c r="H528" s="9"/>
      <c r="I528" s="7" t="s">
        <v>3294</v>
      </c>
      <c r="J528" s="51" t="s">
        <v>45</v>
      </c>
      <c r="K528" s="7" t="s">
        <v>3295</v>
      </c>
      <c r="L528" s="10">
        <v>1071.43</v>
      </c>
      <c r="M528" s="10">
        <v>8928.57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33"/>
      <c r="AB528" s="10"/>
      <c r="AC528" s="33">
        <v>10000</v>
      </c>
      <c r="AD528" s="10">
        <f t="shared" si="9"/>
        <v>0</v>
      </c>
      <c r="AE528" s="82"/>
      <c r="AF528" s="17">
        <v>89.29</v>
      </c>
    </row>
    <row r="529" spans="1:32" x14ac:dyDescent="0.25">
      <c r="A529" s="7" t="s">
        <v>3058</v>
      </c>
      <c r="B529" s="9" t="s">
        <v>3301</v>
      </c>
      <c r="C529" s="70">
        <v>45240</v>
      </c>
      <c r="D529" s="70">
        <v>45240</v>
      </c>
      <c r="E529" s="73">
        <v>45240</v>
      </c>
      <c r="F529" s="9" t="s">
        <v>3307</v>
      </c>
      <c r="H529" s="9"/>
      <c r="I529" s="7" t="s">
        <v>3364</v>
      </c>
      <c r="J529" s="51" t="s">
        <v>3302</v>
      </c>
      <c r="K529" s="7" t="s">
        <v>3303</v>
      </c>
      <c r="L529" s="10">
        <v>6677.14</v>
      </c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33">
        <v>55642.86</v>
      </c>
      <c r="AB529" s="10"/>
      <c r="AC529" s="33">
        <v>62320</v>
      </c>
      <c r="AD529" s="10">
        <f t="shared" si="9"/>
        <v>0</v>
      </c>
      <c r="AE529" s="82"/>
    </row>
    <row r="530" spans="1:32" x14ac:dyDescent="0.25">
      <c r="A530" s="7" t="s">
        <v>3059</v>
      </c>
      <c r="B530" s="9">
        <v>4134482</v>
      </c>
      <c r="C530" s="70">
        <v>45282</v>
      </c>
      <c r="D530" s="70">
        <v>45240</v>
      </c>
      <c r="E530" s="73">
        <v>45252</v>
      </c>
      <c r="F530" s="9" t="s">
        <v>3326</v>
      </c>
      <c r="G530" s="9" t="s">
        <v>2403</v>
      </c>
      <c r="H530" s="9"/>
      <c r="I530" s="7" t="s">
        <v>3013</v>
      </c>
      <c r="J530" s="51" t="s">
        <v>1226</v>
      </c>
      <c r="K530" s="7" t="s">
        <v>2924</v>
      </c>
      <c r="L530" s="10">
        <v>16071.43</v>
      </c>
      <c r="M530" s="10">
        <v>133928.57</v>
      </c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33"/>
      <c r="AB530" s="10"/>
      <c r="AC530" s="33">
        <v>150000</v>
      </c>
      <c r="AD530" s="10">
        <f t="shared" si="9"/>
        <v>0</v>
      </c>
      <c r="AE530" s="82"/>
      <c r="AF530" s="17">
        <v>1339.29</v>
      </c>
    </row>
    <row r="531" spans="1:32" x14ac:dyDescent="0.25">
      <c r="A531" s="7" t="s">
        <v>3060</v>
      </c>
      <c r="B531" s="9">
        <v>4134484</v>
      </c>
      <c r="C531" s="70">
        <v>45240</v>
      </c>
      <c r="D531" s="70">
        <v>45240</v>
      </c>
      <c r="E531" s="73"/>
      <c r="F531" s="9"/>
      <c r="H531" s="9"/>
      <c r="I531" s="7" t="s">
        <v>3300</v>
      </c>
      <c r="J531" s="51" t="s">
        <v>18</v>
      </c>
      <c r="K531" s="7"/>
      <c r="L531" s="10">
        <v>151.09</v>
      </c>
      <c r="M531" s="10"/>
      <c r="N531" s="10"/>
      <c r="O531" s="10"/>
      <c r="P531" s="10"/>
      <c r="Q531" s="10"/>
      <c r="R531" s="10">
        <v>1259.06</v>
      </c>
      <c r="S531" s="10"/>
      <c r="T531" s="10"/>
      <c r="U531" s="10"/>
      <c r="V531" s="10"/>
      <c r="W531" s="10"/>
      <c r="X531" s="10"/>
      <c r="Y531" s="10"/>
      <c r="Z531" s="10"/>
      <c r="AA531" s="33"/>
      <c r="AB531" s="10"/>
      <c r="AC531" s="33">
        <v>1410.15</v>
      </c>
      <c r="AD531" s="10">
        <f t="shared" si="9"/>
        <v>0</v>
      </c>
      <c r="AE531" s="82"/>
    </row>
    <row r="532" spans="1:32" x14ac:dyDescent="0.25">
      <c r="A532" s="7" t="s">
        <v>3061</v>
      </c>
      <c r="B532" s="9">
        <v>4134485</v>
      </c>
      <c r="C532" s="70">
        <v>45240</v>
      </c>
      <c r="D532" s="70">
        <v>45240</v>
      </c>
      <c r="E532" s="73"/>
      <c r="F532" s="9"/>
      <c r="H532" s="9"/>
      <c r="I532" s="7" t="s">
        <v>3300</v>
      </c>
      <c r="J532" s="51" t="s">
        <v>18</v>
      </c>
      <c r="K532" s="7"/>
      <c r="L532" s="10">
        <v>811.09</v>
      </c>
      <c r="M532" s="10"/>
      <c r="N532" s="10"/>
      <c r="O532" s="10"/>
      <c r="P532" s="10"/>
      <c r="Q532" s="10"/>
      <c r="R532" s="10">
        <v>6759.06</v>
      </c>
      <c r="S532" s="10"/>
      <c r="T532" s="10"/>
      <c r="U532" s="10"/>
      <c r="V532" s="10"/>
      <c r="W532" s="10"/>
      <c r="X532" s="10"/>
      <c r="Y532" s="10"/>
      <c r="Z532" s="10"/>
      <c r="AA532" s="33"/>
      <c r="AB532" s="10"/>
      <c r="AC532" s="33">
        <v>7570.15</v>
      </c>
      <c r="AD532" s="10">
        <f t="shared" si="9"/>
        <v>0</v>
      </c>
      <c r="AE532" s="82"/>
    </row>
    <row r="533" spans="1:32" x14ac:dyDescent="0.25">
      <c r="A533" s="7" t="s">
        <v>3062</v>
      </c>
      <c r="B533" s="9">
        <v>4134486</v>
      </c>
      <c r="C533" s="70">
        <v>45244</v>
      </c>
      <c r="D533" s="70">
        <v>45244</v>
      </c>
      <c r="E533" s="73">
        <v>45253</v>
      </c>
      <c r="F533" s="9" t="s">
        <v>3341</v>
      </c>
      <c r="H533" s="9"/>
      <c r="I533" s="7" t="s">
        <v>63</v>
      </c>
      <c r="J533" s="51" t="s">
        <v>109</v>
      </c>
      <c r="K533" s="7"/>
      <c r="L533" s="10">
        <v>9279.75</v>
      </c>
      <c r="M533" s="10"/>
      <c r="N533" s="10">
        <v>77331.25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33"/>
      <c r="AB533" s="10"/>
      <c r="AC533" s="33">
        <v>86611</v>
      </c>
      <c r="AD533" s="10">
        <f t="shared" si="9"/>
        <v>0</v>
      </c>
      <c r="AE533" s="82"/>
    </row>
    <row r="534" spans="1:32" x14ac:dyDescent="0.25">
      <c r="A534" s="7" t="s">
        <v>3063</v>
      </c>
      <c r="B534" s="9">
        <v>4134487</v>
      </c>
      <c r="C534" s="70">
        <v>45244</v>
      </c>
      <c r="D534" s="70">
        <v>45244</v>
      </c>
      <c r="E534" s="73"/>
      <c r="F534" s="9"/>
      <c r="H534" s="9" t="s">
        <v>2224</v>
      </c>
      <c r="I534" s="7" t="s">
        <v>1174</v>
      </c>
      <c r="J534" s="51" t="s">
        <v>65</v>
      </c>
      <c r="K534" s="7"/>
      <c r="L534" s="10"/>
      <c r="M534" s="10"/>
      <c r="N534" s="10"/>
      <c r="O534" s="10"/>
      <c r="P534" s="10"/>
      <c r="Q534" s="10"/>
      <c r="R534" s="10"/>
      <c r="S534" s="10"/>
      <c r="T534" s="10">
        <v>6537</v>
      </c>
      <c r="U534" s="10"/>
      <c r="V534" s="10"/>
      <c r="W534" s="10"/>
      <c r="X534" s="10"/>
      <c r="Y534" s="10"/>
      <c r="Z534" s="10"/>
      <c r="AA534" s="33"/>
      <c r="AB534" s="10"/>
      <c r="AC534" s="33">
        <v>6537</v>
      </c>
      <c r="AD534" s="10">
        <f t="shared" si="9"/>
        <v>0</v>
      </c>
      <c r="AE534" s="82"/>
    </row>
    <row r="535" spans="1:32" x14ac:dyDescent="0.25">
      <c r="A535" s="7" t="s">
        <v>3064</v>
      </c>
      <c r="B535" s="9">
        <v>4134488</v>
      </c>
      <c r="C535" s="70">
        <v>45244</v>
      </c>
      <c r="D535" s="70">
        <v>45244</v>
      </c>
      <c r="E535" s="73"/>
      <c r="F535" s="9"/>
      <c r="H535" s="9"/>
      <c r="I535" s="7" t="s">
        <v>3304</v>
      </c>
      <c r="J535" s="51" t="s">
        <v>44</v>
      </c>
      <c r="K535" s="7"/>
      <c r="L535" s="10">
        <v>879.06</v>
      </c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>
        <v>7325.49</v>
      </c>
      <c r="Y535" s="10"/>
      <c r="Z535" s="10"/>
      <c r="AA535" s="33"/>
      <c r="AB535" s="10"/>
      <c r="AC535" s="33">
        <v>8204.5499999999993</v>
      </c>
      <c r="AD535" s="10">
        <f t="shared" si="9"/>
        <v>0</v>
      </c>
      <c r="AE535" s="82"/>
    </row>
    <row r="536" spans="1:32" x14ac:dyDescent="0.25">
      <c r="A536" s="7" t="s">
        <v>3065</v>
      </c>
      <c r="B536" s="9">
        <v>4134489</v>
      </c>
      <c r="C536" s="70">
        <v>45244</v>
      </c>
      <c r="D536" s="70">
        <v>45244</v>
      </c>
      <c r="E536" s="73"/>
      <c r="F536" s="9"/>
      <c r="H536" s="9"/>
      <c r="I536" s="7" t="s">
        <v>3305</v>
      </c>
      <c r="J536" s="51" t="s">
        <v>46</v>
      </c>
      <c r="K536" s="7"/>
      <c r="L536" s="10">
        <v>162.43</v>
      </c>
      <c r="M536" s="10"/>
      <c r="N536" s="10"/>
      <c r="O536" s="10"/>
      <c r="P536" s="10"/>
      <c r="Q536" s="10"/>
      <c r="R536" s="10"/>
      <c r="S536" s="10">
        <v>1353.61</v>
      </c>
      <c r="T536" s="10"/>
      <c r="U536" s="10"/>
      <c r="V536" s="10"/>
      <c r="W536" s="10"/>
      <c r="X536" s="10"/>
      <c r="Y536" s="10"/>
      <c r="Z536" s="10"/>
      <c r="AA536" s="33"/>
      <c r="AB536" s="10"/>
      <c r="AC536" s="33">
        <v>1516.04</v>
      </c>
      <c r="AD536" s="10">
        <f t="shared" si="9"/>
        <v>0</v>
      </c>
      <c r="AE536" s="82"/>
    </row>
    <row r="537" spans="1:32" x14ac:dyDescent="0.25">
      <c r="A537" s="7" t="s">
        <v>3066</v>
      </c>
      <c r="B537" s="9">
        <v>4134490</v>
      </c>
      <c r="C537" s="70">
        <v>45244</v>
      </c>
      <c r="D537" s="70">
        <v>45244</v>
      </c>
      <c r="E537" s="73"/>
      <c r="F537" s="9"/>
      <c r="H537" s="9"/>
      <c r="I537" s="7" t="s">
        <v>3305</v>
      </c>
      <c r="J537" s="51" t="s">
        <v>46</v>
      </c>
      <c r="K537" s="7"/>
      <c r="L537" s="10">
        <v>107.04</v>
      </c>
      <c r="M537" s="10"/>
      <c r="N537" s="10"/>
      <c r="O537" s="10"/>
      <c r="P537" s="10"/>
      <c r="Q537" s="10"/>
      <c r="R537" s="10"/>
      <c r="S537" s="10">
        <v>891.96</v>
      </c>
      <c r="T537" s="10"/>
      <c r="U537" s="10"/>
      <c r="V537" s="10"/>
      <c r="W537" s="10"/>
      <c r="X537" s="10"/>
      <c r="Y537" s="10"/>
      <c r="Z537" s="10"/>
      <c r="AA537" s="33"/>
      <c r="AB537" s="10"/>
      <c r="AC537" s="33">
        <v>999</v>
      </c>
      <c r="AD537" s="10">
        <f t="shared" si="9"/>
        <v>0</v>
      </c>
      <c r="AE537" s="82"/>
    </row>
    <row r="538" spans="1:32" x14ac:dyDescent="0.25">
      <c r="A538" s="7" t="s">
        <v>3067</v>
      </c>
      <c r="B538" s="9">
        <v>4134491</v>
      </c>
      <c r="C538" s="70">
        <v>45244</v>
      </c>
      <c r="D538" s="70">
        <v>45244</v>
      </c>
      <c r="E538" s="73"/>
      <c r="F538" s="9"/>
      <c r="H538" s="9"/>
      <c r="I538" s="7" t="s">
        <v>3305</v>
      </c>
      <c r="J538" s="51" t="s">
        <v>46</v>
      </c>
      <c r="K538" s="7"/>
      <c r="L538" s="10">
        <v>107.04</v>
      </c>
      <c r="M538" s="10"/>
      <c r="N538" s="10"/>
      <c r="O538" s="10"/>
      <c r="P538" s="10"/>
      <c r="Q538" s="10"/>
      <c r="R538" s="10"/>
      <c r="S538" s="10">
        <v>891.96</v>
      </c>
      <c r="T538" s="10"/>
      <c r="U538" s="10"/>
      <c r="V538" s="10"/>
      <c r="W538" s="10"/>
      <c r="X538" s="10"/>
      <c r="Y538" s="10"/>
      <c r="Z538" s="10"/>
      <c r="AA538" s="33"/>
      <c r="AB538" s="10"/>
      <c r="AC538" s="33">
        <v>999</v>
      </c>
      <c r="AD538" s="10">
        <f t="shared" si="9"/>
        <v>0</v>
      </c>
      <c r="AE538" s="82"/>
    </row>
    <row r="539" spans="1:32" x14ac:dyDescent="0.25">
      <c r="A539" s="7" t="s">
        <v>3068</v>
      </c>
      <c r="B539" s="9">
        <v>4134492</v>
      </c>
      <c r="C539" s="70">
        <v>45244</v>
      </c>
      <c r="D539" s="70">
        <v>45244</v>
      </c>
      <c r="E539" s="73"/>
      <c r="F539" s="9"/>
      <c r="H539" s="9"/>
      <c r="I539" s="7" t="s">
        <v>3305</v>
      </c>
      <c r="J539" s="51" t="s">
        <v>46</v>
      </c>
      <c r="K539" s="7"/>
      <c r="L539" s="10">
        <v>107.04</v>
      </c>
      <c r="M539" s="10"/>
      <c r="N539" s="10"/>
      <c r="O539" s="10"/>
      <c r="P539" s="10"/>
      <c r="Q539" s="10"/>
      <c r="R539" s="10"/>
      <c r="S539" s="10">
        <v>891.96</v>
      </c>
      <c r="T539" s="10"/>
      <c r="U539" s="10"/>
      <c r="V539" s="10"/>
      <c r="W539" s="10"/>
      <c r="X539" s="10"/>
      <c r="Y539" s="10"/>
      <c r="Z539" s="10"/>
      <c r="AA539" s="33"/>
      <c r="AB539" s="10"/>
      <c r="AC539" s="33">
        <v>999</v>
      </c>
      <c r="AD539" s="10">
        <f t="shared" si="9"/>
        <v>0</v>
      </c>
      <c r="AE539" s="82"/>
    </row>
    <row r="540" spans="1:32" x14ac:dyDescent="0.25">
      <c r="A540" s="7" t="s">
        <v>3069</v>
      </c>
      <c r="B540" s="9">
        <v>4134493</v>
      </c>
      <c r="C540" s="70">
        <v>45244</v>
      </c>
      <c r="D540" s="70">
        <v>45244</v>
      </c>
      <c r="E540" s="73"/>
      <c r="F540" s="9"/>
      <c r="H540" s="9"/>
      <c r="I540" s="7" t="s">
        <v>3306</v>
      </c>
      <c r="J540" s="51" t="s">
        <v>43</v>
      </c>
      <c r="K540" s="7"/>
      <c r="L540" s="10">
        <v>64.290000000000006</v>
      </c>
      <c r="M540" s="10"/>
      <c r="N540" s="10"/>
      <c r="O540" s="10"/>
      <c r="P540" s="10"/>
      <c r="Q540" s="10"/>
      <c r="R540" s="10"/>
      <c r="S540" s="10">
        <v>535.71</v>
      </c>
      <c r="T540" s="10"/>
      <c r="U540" s="10"/>
      <c r="V540" s="10"/>
      <c r="W540" s="10"/>
      <c r="X540" s="10"/>
      <c r="Y540" s="10"/>
      <c r="Z540" s="10"/>
      <c r="AA540" s="33"/>
      <c r="AB540" s="10"/>
      <c r="AC540" s="33">
        <v>600</v>
      </c>
      <c r="AD540" s="10">
        <f t="shared" si="9"/>
        <v>0</v>
      </c>
      <c r="AE540" s="82"/>
    </row>
    <row r="541" spans="1:32" x14ac:dyDescent="0.25">
      <c r="A541" s="7" t="s">
        <v>3070</v>
      </c>
      <c r="B541" s="9">
        <v>4134494</v>
      </c>
      <c r="C541" s="70">
        <v>45244</v>
      </c>
      <c r="D541" s="70">
        <v>45244</v>
      </c>
      <c r="E541" s="73"/>
      <c r="F541" s="9"/>
      <c r="H541" s="9"/>
      <c r="I541" s="7" t="s">
        <v>3306</v>
      </c>
      <c r="J541" s="51" t="s">
        <v>43</v>
      </c>
      <c r="K541" s="7"/>
      <c r="L541" s="10">
        <v>32.14</v>
      </c>
      <c r="M541" s="10"/>
      <c r="N541" s="10"/>
      <c r="O541" s="10"/>
      <c r="P541" s="10"/>
      <c r="Q541" s="10"/>
      <c r="R541" s="10"/>
      <c r="S541" s="10">
        <v>267.86</v>
      </c>
      <c r="T541" s="10"/>
      <c r="U541" s="10"/>
      <c r="V541" s="10"/>
      <c r="W541" s="10"/>
      <c r="X541" s="10"/>
      <c r="Y541" s="10"/>
      <c r="Z541" s="10"/>
      <c r="AA541" s="33"/>
      <c r="AB541" s="10"/>
      <c r="AC541" s="33">
        <v>300</v>
      </c>
      <c r="AD541" s="10">
        <f t="shared" si="9"/>
        <v>0</v>
      </c>
      <c r="AE541" s="82"/>
    </row>
    <row r="542" spans="1:32" x14ac:dyDescent="0.25">
      <c r="A542" s="7" t="s">
        <v>3071</v>
      </c>
      <c r="B542" s="9">
        <v>4134495</v>
      </c>
      <c r="C542" s="70">
        <v>45250</v>
      </c>
      <c r="D542" s="70">
        <v>45244</v>
      </c>
      <c r="E542" s="73"/>
      <c r="F542" s="9"/>
      <c r="H542" s="9"/>
      <c r="I542" s="7" t="s">
        <v>3308</v>
      </c>
      <c r="J542" s="51" t="s">
        <v>39</v>
      </c>
      <c r="K542" s="7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33">
        <v>20000</v>
      </c>
      <c r="AB542" s="10"/>
      <c r="AC542" s="33">
        <v>20000</v>
      </c>
      <c r="AD542" s="10">
        <f t="shared" si="9"/>
        <v>0</v>
      </c>
      <c r="AE542" s="82"/>
    </row>
    <row r="543" spans="1:32" x14ac:dyDescent="0.25">
      <c r="A543" s="7" t="s">
        <v>3072</v>
      </c>
      <c r="B543" s="9">
        <v>4134496</v>
      </c>
      <c r="C543" s="70">
        <v>45247</v>
      </c>
      <c r="D543" s="70">
        <v>45247</v>
      </c>
      <c r="E543" s="73"/>
      <c r="F543" s="9"/>
      <c r="H543" s="9"/>
      <c r="I543" s="7" t="s">
        <v>123</v>
      </c>
      <c r="J543" s="51" t="s">
        <v>2855</v>
      </c>
      <c r="K543" s="7"/>
      <c r="L543" s="10"/>
      <c r="M543" s="10">
        <v>23000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33"/>
      <c r="AB543" s="10"/>
      <c r="AC543" s="33">
        <v>23000</v>
      </c>
      <c r="AD543" s="10">
        <f t="shared" si="9"/>
        <v>0</v>
      </c>
      <c r="AE543" s="82"/>
    </row>
    <row r="544" spans="1:32" x14ac:dyDescent="0.25">
      <c r="A544" s="7" t="s">
        <v>3073</v>
      </c>
      <c r="B544" s="9">
        <v>4134497</v>
      </c>
      <c r="C544" s="70">
        <v>45288</v>
      </c>
      <c r="D544" s="70">
        <v>45247</v>
      </c>
      <c r="E544" s="73">
        <v>45252</v>
      </c>
      <c r="F544" s="9" t="s">
        <v>3327</v>
      </c>
      <c r="G544" s="9" t="s">
        <v>2411</v>
      </c>
      <c r="H544" s="9"/>
      <c r="I544" s="7" t="s">
        <v>1318</v>
      </c>
      <c r="J544" s="51" t="s">
        <v>1226</v>
      </c>
      <c r="K544" s="7" t="s">
        <v>2924</v>
      </c>
      <c r="L544" s="10">
        <v>1146.43</v>
      </c>
      <c r="M544" s="10">
        <v>9553.57</v>
      </c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33"/>
      <c r="AB544" s="10"/>
      <c r="AC544" s="33">
        <v>10700</v>
      </c>
      <c r="AD544" s="10">
        <f t="shared" si="9"/>
        <v>0</v>
      </c>
      <c r="AE544" s="82"/>
      <c r="AF544" s="17">
        <v>95.54</v>
      </c>
    </row>
    <row r="545" spans="1:32" x14ac:dyDescent="0.25">
      <c r="A545" s="7" t="s">
        <v>3074</v>
      </c>
      <c r="B545" s="9" t="s">
        <v>3301</v>
      </c>
      <c r="C545" s="70">
        <v>45247</v>
      </c>
      <c r="D545" s="70">
        <v>45247</v>
      </c>
      <c r="E545" s="73"/>
      <c r="F545" s="9"/>
      <c r="H545" s="9"/>
      <c r="I545" s="7" t="s">
        <v>3309</v>
      </c>
      <c r="J545" s="51" t="s">
        <v>3310</v>
      </c>
      <c r="K545" s="7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33">
        <v>67500</v>
      </c>
      <c r="AB545" s="10"/>
      <c r="AC545" s="33">
        <v>67500</v>
      </c>
      <c r="AD545" s="10">
        <f t="shared" si="9"/>
        <v>0</v>
      </c>
      <c r="AE545" s="82"/>
    </row>
    <row r="546" spans="1:32" x14ac:dyDescent="0.25">
      <c r="A546" s="7" t="s">
        <v>3075</v>
      </c>
      <c r="B546" s="9" t="s">
        <v>3311</v>
      </c>
      <c r="C546" s="70">
        <v>45247</v>
      </c>
      <c r="D546" s="70">
        <v>45247</v>
      </c>
      <c r="E546" s="73">
        <v>45251</v>
      </c>
      <c r="F546" s="9" t="s">
        <v>3328</v>
      </c>
      <c r="G546" s="9" t="s">
        <v>2456</v>
      </c>
      <c r="H546" s="9"/>
      <c r="I546" s="7" t="s">
        <v>3312</v>
      </c>
      <c r="J546" s="51" t="s">
        <v>1999</v>
      </c>
      <c r="K546" s="7" t="s">
        <v>2297</v>
      </c>
      <c r="L546" s="10">
        <v>1075.71</v>
      </c>
      <c r="M546" s="10">
        <v>8964.2900000000009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33"/>
      <c r="AB546" s="10"/>
      <c r="AC546" s="33">
        <v>10040</v>
      </c>
      <c r="AD546" s="10">
        <f t="shared" si="9"/>
        <v>0</v>
      </c>
      <c r="AE546" s="82"/>
      <c r="AF546" s="17">
        <v>89.64</v>
      </c>
    </row>
    <row r="547" spans="1:32" x14ac:dyDescent="0.25">
      <c r="A547" s="7" t="s">
        <v>3076</v>
      </c>
      <c r="B547" s="9" t="s">
        <v>3313</v>
      </c>
      <c r="C547" s="70">
        <v>45250</v>
      </c>
      <c r="D547" s="70">
        <v>45247</v>
      </c>
      <c r="E547" s="73"/>
      <c r="F547" s="9"/>
      <c r="H547" s="9"/>
      <c r="I547" s="7" t="s">
        <v>3314</v>
      </c>
      <c r="J547" s="51" t="s">
        <v>39</v>
      </c>
      <c r="K547" s="7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33">
        <v>116995</v>
      </c>
      <c r="AB547" s="10"/>
      <c r="AC547" s="33">
        <v>120000</v>
      </c>
      <c r="AD547" s="10">
        <f t="shared" si="9"/>
        <v>3005</v>
      </c>
      <c r="AE547" s="82" t="s">
        <v>3428</v>
      </c>
    </row>
    <row r="548" spans="1:32" x14ac:dyDescent="0.25">
      <c r="A548" s="7" t="s">
        <v>3077</v>
      </c>
      <c r="B548" s="9">
        <v>4134498</v>
      </c>
      <c r="C548" s="70">
        <v>45247</v>
      </c>
      <c r="D548" s="70">
        <v>45247</v>
      </c>
      <c r="E548" s="73"/>
      <c r="F548" s="9"/>
      <c r="H548" s="9"/>
      <c r="I548" s="7" t="s">
        <v>3315</v>
      </c>
      <c r="J548" s="51" t="s">
        <v>109</v>
      </c>
      <c r="K548" s="7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33">
        <v>18565.79</v>
      </c>
      <c r="AB548" s="10"/>
      <c r="AC548" s="33">
        <v>18565.79</v>
      </c>
      <c r="AD548" s="10">
        <f t="shared" ref="AD548:AD611" si="10">SUM(AB548:AC548)-SUM(L548:AA548)</f>
        <v>0</v>
      </c>
      <c r="AE548" s="82"/>
    </row>
    <row r="549" spans="1:32" x14ac:dyDescent="0.25">
      <c r="A549" s="7" t="s">
        <v>3078</v>
      </c>
      <c r="B549" s="9">
        <v>4134499</v>
      </c>
      <c r="C549" s="70">
        <v>45250</v>
      </c>
      <c r="D549" s="70">
        <v>45250</v>
      </c>
      <c r="E549" s="73"/>
      <c r="F549" s="9"/>
      <c r="H549" s="9"/>
      <c r="I549" s="7" t="s">
        <v>3365</v>
      </c>
      <c r="J549" s="51" t="s">
        <v>65</v>
      </c>
      <c r="K549" s="7"/>
      <c r="L549" s="10"/>
      <c r="M549" s="10">
        <v>8398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33"/>
      <c r="AB549" s="10"/>
      <c r="AC549" s="33">
        <v>8398</v>
      </c>
      <c r="AD549" s="10">
        <f t="shared" si="10"/>
        <v>0</v>
      </c>
      <c r="AE549" s="82"/>
    </row>
    <row r="550" spans="1:32" x14ac:dyDescent="0.25">
      <c r="A550" s="7" t="s">
        <v>3079</v>
      </c>
      <c r="B550" s="9">
        <v>4134500</v>
      </c>
      <c r="C550" s="70">
        <v>45250</v>
      </c>
      <c r="D550" s="70">
        <v>45250</v>
      </c>
      <c r="E550" s="73"/>
      <c r="F550" s="9"/>
      <c r="H550" s="9"/>
      <c r="I550" s="7" t="s">
        <v>3316</v>
      </c>
      <c r="J550" s="51" t="s">
        <v>46</v>
      </c>
      <c r="K550" s="7"/>
      <c r="L550" s="10">
        <v>1116.74</v>
      </c>
      <c r="M550" s="10"/>
      <c r="N550" s="10"/>
      <c r="O550" s="10"/>
      <c r="P550" s="10"/>
      <c r="Q550" s="10"/>
      <c r="R550" s="10"/>
      <c r="S550" s="10">
        <v>9306.1299999999992</v>
      </c>
      <c r="T550" s="10"/>
      <c r="U550" s="10"/>
      <c r="V550" s="10"/>
      <c r="W550" s="10"/>
      <c r="X550" s="10"/>
      <c r="Y550" s="10"/>
      <c r="Z550" s="10"/>
      <c r="AA550" s="33"/>
      <c r="AB550" s="10"/>
      <c r="AC550" s="33">
        <v>10422.870000000001</v>
      </c>
      <c r="AD550" s="10">
        <f t="shared" si="10"/>
        <v>0</v>
      </c>
      <c r="AE550" s="82"/>
      <c r="AF550" s="17">
        <v>186.17</v>
      </c>
    </row>
    <row r="551" spans="1:32" x14ac:dyDescent="0.25">
      <c r="A551" s="7" t="s">
        <v>3080</v>
      </c>
      <c r="B551" s="9">
        <v>4134501</v>
      </c>
      <c r="C551" s="70">
        <v>45250</v>
      </c>
      <c r="D551" s="70">
        <v>45250</v>
      </c>
      <c r="E551" s="73"/>
      <c r="F551" s="9"/>
      <c r="H551" s="9"/>
      <c r="I551" s="7" t="s">
        <v>3317</v>
      </c>
      <c r="J551" s="51" t="s">
        <v>65</v>
      </c>
      <c r="K551" s="7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33">
        <v>18000</v>
      </c>
      <c r="AB551" s="10"/>
      <c r="AC551" s="33">
        <v>18000</v>
      </c>
      <c r="AD551" s="10">
        <f t="shared" si="10"/>
        <v>0</v>
      </c>
      <c r="AE551" s="82"/>
    </row>
    <row r="552" spans="1:32" x14ac:dyDescent="0.25">
      <c r="A552" s="7" t="s">
        <v>3081</v>
      </c>
      <c r="B552" s="9">
        <v>4134502</v>
      </c>
      <c r="C552" s="70">
        <v>45250</v>
      </c>
      <c r="D552" s="70">
        <v>45250</v>
      </c>
      <c r="E552" s="73">
        <v>45267</v>
      </c>
      <c r="F552" s="9" t="s">
        <v>3402</v>
      </c>
      <c r="H552" s="9"/>
      <c r="I552" s="7" t="s">
        <v>3318</v>
      </c>
      <c r="J552" s="51" t="s">
        <v>127</v>
      </c>
      <c r="K552" s="7"/>
      <c r="L552" s="10">
        <v>604.79999999999995</v>
      </c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33">
        <v>5040</v>
      </c>
      <c r="AB552" s="10"/>
      <c r="AC552" s="33">
        <v>5644.8</v>
      </c>
      <c r="AD552" s="10">
        <f t="shared" si="10"/>
        <v>0</v>
      </c>
      <c r="AE552" s="82"/>
    </row>
    <row r="553" spans="1:32" x14ac:dyDescent="0.25">
      <c r="A553" s="7" t="s">
        <v>3082</v>
      </c>
      <c r="B553" s="9">
        <v>4134503</v>
      </c>
      <c r="C553" s="70">
        <v>45250</v>
      </c>
      <c r="D553" s="70">
        <v>45250</v>
      </c>
      <c r="E553" s="73"/>
      <c r="F553" s="9"/>
      <c r="H553" s="9"/>
      <c r="I553" s="7" t="s">
        <v>3319</v>
      </c>
      <c r="J553" s="51" t="s">
        <v>65</v>
      </c>
      <c r="K553" s="7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33">
        <v>7500</v>
      </c>
      <c r="AB553" s="10"/>
      <c r="AC553" s="33">
        <v>7500</v>
      </c>
      <c r="AD553" s="10">
        <f t="shared" si="10"/>
        <v>0</v>
      </c>
      <c r="AE553" s="82"/>
    </row>
    <row r="554" spans="1:32" x14ac:dyDescent="0.25">
      <c r="A554" s="7" t="s">
        <v>3083</v>
      </c>
      <c r="B554" s="9">
        <v>4134504</v>
      </c>
      <c r="C554" s="70">
        <v>45252</v>
      </c>
      <c r="D554" s="70">
        <v>45252</v>
      </c>
      <c r="E554" s="73"/>
      <c r="F554" s="9"/>
      <c r="H554" s="9" t="s">
        <v>2226</v>
      </c>
      <c r="I554" s="7" t="s">
        <v>1174</v>
      </c>
      <c r="J554" s="51" t="s">
        <v>65</v>
      </c>
      <c r="K554" s="7"/>
      <c r="L554" s="10"/>
      <c r="M554" s="10"/>
      <c r="N554" s="10"/>
      <c r="O554" s="10"/>
      <c r="P554" s="10"/>
      <c r="Q554" s="10"/>
      <c r="R554" s="10"/>
      <c r="S554" s="10"/>
      <c r="T554" s="10">
        <v>8096</v>
      </c>
      <c r="U554" s="10"/>
      <c r="V554" s="10"/>
      <c r="W554" s="10"/>
      <c r="X554" s="10"/>
      <c r="Y554" s="10"/>
      <c r="Z554" s="10"/>
      <c r="AA554" s="33"/>
      <c r="AB554" s="10"/>
      <c r="AC554" s="33">
        <v>8096</v>
      </c>
      <c r="AD554" s="10">
        <f t="shared" si="10"/>
        <v>0</v>
      </c>
      <c r="AE554" s="82"/>
    </row>
    <row r="555" spans="1:32" x14ac:dyDescent="0.25">
      <c r="A555" s="7" t="s">
        <v>3084</v>
      </c>
      <c r="B555" s="9" t="s">
        <v>3329</v>
      </c>
      <c r="C555" s="70">
        <v>45252</v>
      </c>
      <c r="D555" s="70">
        <v>45252</v>
      </c>
      <c r="E555" s="73"/>
      <c r="F555" s="9"/>
      <c r="H555" s="9"/>
      <c r="I555" s="7" t="s">
        <v>55</v>
      </c>
      <c r="J555" s="51" t="s">
        <v>54</v>
      </c>
      <c r="K555" s="7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>
        <v>300000</v>
      </c>
      <c r="AA555" s="33"/>
      <c r="AB555" s="10"/>
      <c r="AC555" s="33">
        <v>300000</v>
      </c>
      <c r="AD555" s="10">
        <f t="shared" si="10"/>
        <v>0</v>
      </c>
      <c r="AE555" s="82"/>
    </row>
    <row r="556" spans="1:32" x14ac:dyDescent="0.25">
      <c r="A556" s="7" t="s">
        <v>3085</v>
      </c>
      <c r="B556" s="9" t="s">
        <v>3330</v>
      </c>
      <c r="C556" s="70">
        <v>45252</v>
      </c>
      <c r="D556" s="70">
        <v>45252</v>
      </c>
      <c r="E556" s="73"/>
      <c r="F556" s="9"/>
      <c r="H556" s="9"/>
      <c r="I556" s="7" t="s">
        <v>55</v>
      </c>
      <c r="J556" s="51" t="s">
        <v>54</v>
      </c>
      <c r="K556" s="7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>
        <v>300000</v>
      </c>
      <c r="AA556" s="33"/>
      <c r="AB556" s="10"/>
      <c r="AC556" s="33">
        <v>300000</v>
      </c>
      <c r="AD556" s="10">
        <f t="shared" si="10"/>
        <v>0</v>
      </c>
      <c r="AE556" s="82"/>
    </row>
    <row r="557" spans="1:32" x14ac:dyDescent="0.25">
      <c r="A557" s="7" t="s">
        <v>3086</v>
      </c>
      <c r="B557" s="9" t="s">
        <v>3331</v>
      </c>
      <c r="C557" s="70">
        <v>45252</v>
      </c>
      <c r="D557" s="70">
        <v>45252</v>
      </c>
      <c r="E557" s="73"/>
      <c r="F557" s="9"/>
      <c r="H557" s="9"/>
      <c r="I557" s="7" t="s">
        <v>3332</v>
      </c>
      <c r="J557" s="51" t="s">
        <v>39</v>
      </c>
      <c r="K557" s="7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33">
        <v>30000</v>
      </c>
      <c r="AB557" s="10"/>
      <c r="AC557" s="33">
        <v>30000</v>
      </c>
      <c r="AD557" s="10">
        <f t="shared" si="10"/>
        <v>0</v>
      </c>
      <c r="AE557" s="82"/>
    </row>
    <row r="558" spans="1:32" x14ac:dyDescent="0.25">
      <c r="A558" s="7" t="s">
        <v>3087</v>
      </c>
      <c r="B558" s="9">
        <v>4134505</v>
      </c>
      <c r="C558" s="70">
        <v>45281</v>
      </c>
      <c r="D558" s="70">
        <v>45253</v>
      </c>
      <c r="E558" s="73">
        <v>45274</v>
      </c>
      <c r="F558" s="9" t="s">
        <v>3422</v>
      </c>
      <c r="G558" s="9" t="s">
        <v>2457</v>
      </c>
      <c r="H558" s="9"/>
      <c r="I558" s="7" t="s">
        <v>3333</v>
      </c>
      <c r="J558" s="51" t="s">
        <v>37</v>
      </c>
      <c r="K558" s="7" t="s">
        <v>38</v>
      </c>
      <c r="L558" s="10">
        <v>433.93</v>
      </c>
      <c r="M558" s="10">
        <v>3616.07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33"/>
      <c r="AB558" s="10"/>
      <c r="AC558" s="33">
        <v>4050</v>
      </c>
      <c r="AD558" s="10">
        <f t="shared" si="10"/>
        <v>0</v>
      </c>
      <c r="AE558" s="82"/>
      <c r="AF558" s="17">
        <v>36.159999999999997</v>
      </c>
    </row>
    <row r="559" spans="1:32" x14ac:dyDescent="0.25">
      <c r="A559" s="7" t="s">
        <v>3088</v>
      </c>
      <c r="B559" s="9">
        <v>4134506</v>
      </c>
      <c r="C559" s="70">
        <v>45283</v>
      </c>
      <c r="D559" s="70">
        <v>45253</v>
      </c>
      <c r="E559" s="73">
        <v>45261</v>
      </c>
      <c r="F559" s="9" t="s">
        <v>3342</v>
      </c>
      <c r="G559" s="9" t="s">
        <v>2458</v>
      </c>
      <c r="H559" s="9"/>
      <c r="I559" s="7" t="s">
        <v>3334</v>
      </c>
      <c r="J559" s="51" t="s">
        <v>2687</v>
      </c>
      <c r="K559" s="7" t="s">
        <v>2688</v>
      </c>
      <c r="L559" s="10">
        <v>2217.86</v>
      </c>
      <c r="M559" s="10">
        <v>18482.14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33"/>
      <c r="AB559" s="10"/>
      <c r="AC559" s="33">
        <v>20700</v>
      </c>
      <c r="AD559" s="10">
        <f t="shared" si="10"/>
        <v>0</v>
      </c>
      <c r="AE559" s="82"/>
      <c r="AF559" s="17">
        <v>184.82</v>
      </c>
    </row>
    <row r="560" spans="1:32" x14ac:dyDescent="0.25">
      <c r="A560" s="7" t="s">
        <v>3089</v>
      </c>
      <c r="B560" s="9">
        <v>4134507</v>
      </c>
      <c r="C560" s="70">
        <v>45283</v>
      </c>
      <c r="D560" s="70">
        <v>45253</v>
      </c>
      <c r="E560" s="73">
        <v>45274</v>
      </c>
      <c r="F560" s="9" t="s">
        <v>3420</v>
      </c>
      <c r="G560" s="9" t="s">
        <v>2459</v>
      </c>
      <c r="H560" s="9"/>
      <c r="I560" s="7" t="s">
        <v>3335</v>
      </c>
      <c r="J560" s="51" t="s">
        <v>37</v>
      </c>
      <c r="K560" s="7" t="s">
        <v>38</v>
      </c>
      <c r="L560" s="10">
        <v>2057.14</v>
      </c>
      <c r="M560" s="10">
        <v>17142.86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33"/>
      <c r="AB560" s="10"/>
      <c r="AC560" s="33">
        <v>19200</v>
      </c>
      <c r="AD560" s="10">
        <f t="shared" si="10"/>
        <v>0</v>
      </c>
      <c r="AE560" s="82"/>
      <c r="AF560" s="17">
        <v>171.43</v>
      </c>
    </row>
    <row r="561" spans="1:32" x14ac:dyDescent="0.25">
      <c r="A561" s="7" t="s">
        <v>3090</v>
      </c>
      <c r="B561" s="9">
        <v>4134508</v>
      </c>
      <c r="C561" s="70">
        <v>45298</v>
      </c>
      <c r="D561" s="70">
        <v>45253</v>
      </c>
      <c r="E561" s="73">
        <v>45655</v>
      </c>
      <c r="F561" s="9" t="s">
        <v>3438</v>
      </c>
      <c r="G561" s="9" t="s">
        <v>2460</v>
      </c>
      <c r="H561" s="9"/>
      <c r="I561" s="7" t="s">
        <v>339</v>
      </c>
      <c r="J561" s="51" t="s">
        <v>1226</v>
      </c>
      <c r="K561" s="7" t="s">
        <v>2924</v>
      </c>
      <c r="L561" s="10">
        <v>2732.14</v>
      </c>
      <c r="M561" s="10">
        <v>22767.86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33"/>
      <c r="AB561" s="10"/>
      <c r="AC561" s="33">
        <v>25500</v>
      </c>
      <c r="AD561" s="10">
        <f t="shared" si="10"/>
        <v>0</v>
      </c>
      <c r="AE561" s="82"/>
      <c r="AF561" s="17">
        <v>227.68</v>
      </c>
    </row>
    <row r="562" spans="1:32" x14ac:dyDescent="0.25">
      <c r="A562" s="7" t="s">
        <v>3091</v>
      </c>
      <c r="B562" s="9">
        <v>4134511</v>
      </c>
      <c r="C562" s="70">
        <v>45254</v>
      </c>
      <c r="D562" s="70">
        <v>45254</v>
      </c>
      <c r="E562" s="73"/>
      <c r="F562" s="9"/>
      <c r="H562" s="9" t="s">
        <v>3366</v>
      </c>
      <c r="I562" s="7" t="s">
        <v>2588</v>
      </c>
      <c r="J562" s="51" t="s">
        <v>65</v>
      </c>
      <c r="K562" s="7"/>
      <c r="L562" s="10"/>
      <c r="M562" s="10"/>
      <c r="N562" s="10"/>
      <c r="O562" s="10"/>
      <c r="P562" s="10"/>
      <c r="Q562" s="10"/>
      <c r="R562" s="10"/>
      <c r="S562" s="10"/>
      <c r="T562" s="10">
        <v>11133.76</v>
      </c>
      <c r="U562" s="10"/>
      <c r="V562" s="10"/>
      <c r="W562" s="10"/>
      <c r="X562" s="10"/>
      <c r="Y562" s="10"/>
      <c r="Z562" s="10"/>
      <c r="AA562" s="33"/>
      <c r="AB562" s="10"/>
      <c r="AC562" s="33">
        <v>11133.76</v>
      </c>
      <c r="AD562" s="10">
        <f t="shared" si="10"/>
        <v>0</v>
      </c>
      <c r="AE562" s="82"/>
    </row>
    <row r="563" spans="1:32" x14ac:dyDescent="0.25">
      <c r="A563" s="7" t="s">
        <v>3092</v>
      </c>
      <c r="B563" s="9">
        <v>4134512</v>
      </c>
      <c r="C563" s="70">
        <v>45258</v>
      </c>
      <c r="D563" s="70">
        <v>45258</v>
      </c>
      <c r="E563" s="73"/>
      <c r="F563" s="9"/>
      <c r="H563" s="9"/>
      <c r="I563" s="7" t="s">
        <v>3344</v>
      </c>
      <c r="J563" s="51" t="s">
        <v>65</v>
      </c>
      <c r="K563" s="7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33">
        <v>1750</v>
      </c>
      <c r="AB563" s="10"/>
      <c r="AC563" s="33">
        <v>1750</v>
      </c>
      <c r="AD563" s="10">
        <f t="shared" si="10"/>
        <v>0</v>
      </c>
      <c r="AE563" s="82"/>
    </row>
    <row r="564" spans="1:32" x14ac:dyDescent="0.25">
      <c r="A564" s="7" t="s">
        <v>3093</v>
      </c>
      <c r="B564" s="9">
        <v>4134514</v>
      </c>
      <c r="C564" s="70">
        <v>45288</v>
      </c>
      <c r="D564" s="70">
        <v>45259</v>
      </c>
      <c r="E564" s="73">
        <v>45260</v>
      </c>
      <c r="F564" s="9" t="s">
        <v>3346</v>
      </c>
      <c r="G564" s="9" t="s">
        <v>2461</v>
      </c>
      <c r="H564" s="9"/>
      <c r="I564" s="7" t="s">
        <v>3345</v>
      </c>
      <c r="J564" s="51" t="s">
        <v>2043</v>
      </c>
      <c r="K564" s="7" t="s">
        <v>2138</v>
      </c>
      <c r="L564" s="10">
        <v>696.43</v>
      </c>
      <c r="M564" s="10">
        <v>5803.57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33"/>
      <c r="AB564" s="10"/>
      <c r="AC564" s="33">
        <v>6500</v>
      </c>
      <c r="AD564" s="10">
        <f t="shared" si="10"/>
        <v>0</v>
      </c>
      <c r="AE564" s="82"/>
      <c r="AF564" s="17">
        <v>58.04</v>
      </c>
    </row>
    <row r="565" spans="1:32" x14ac:dyDescent="0.25">
      <c r="A565" s="7" t="s">
        <v>3094</v>
      </c>
      <c r="B565" s="9" t="s">
        <v>3347</v>
      </c>
      <c r="C565" s="70">
        <v>45260</v>
      </c>
      <c r="D565" s="70">
        <v>45260</v>
      </c>
      <c r="E565" s="73">
        <v>45260</v>
      </c>
      <c r="F565" s="9" t="s">
        <v>3348</v>
      </c>
      <c r="G565" s="9" t="s">
        <v>2470</v>
      </c>
      <c r="H565" s="9"/>
      <c r="I565" s="7" t="s">
        <v>2938</v>
      </c>
      <c r="J565" s="51" t="s">
        <v>1999</v>
      </c>
      <c r="K565" s="7" t="s">
        <v>2297</v>
      </c>
      <c r="L565" s="10">
        <v>16125</v>
      </c>
      <c r="M565" s="10">
        <v>134375</v>
      </c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33"/>
      <c r="AB565" s="10"/>
      <c r="AC565" s="33">
        <v>150500</v>
      </c>
      <c r="AD565" s="10">
        <f t="shared" si="10"/>
        <v>0</v>
      </c>
      <c r="AE565" s="82"/>
      <c r="AF565" s="17">
        <v>1343.75</v>
      </c>
    </row>
    <row r="566" spans="1:32" s="39" customFormat="1" x14ac:dyDescent="0.25">
      <c r="A566" s="20"/>
      <c r="B566" s="19"/>
      <c r="C566" s="72"/>
      <c r="D566" s="72"/>
      <c r="E566" s="77"/>
      <c r="F566" s="19"/>
      <c r="G566" s="19"/>
      <c r="H566" s="19"/>
      <c r="I566" s="20"/>
      <c r="J566" s="20"/>
      <c r="K566" s="20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32"/>
      <c r="AB566" s="22"/>
      <c r="AC566" s="32"/>
      <c r="AD566" s="22"/>
      <c r="AE566" s="96"/>
      <c r="AF566" s="35"/>
    </row>
    <row r="567" spans="1:32" s="39" customFormat="1" x14ac:dyDescent="0.25">
      <c r="A567" s="25">
        <v>45261</v>
      </c>
      <c r="B567" s="19"/>
      <c r="C567" s="72"/>
      <c r="D567" s="72"/>
      <c r="E567" s="77"/>
      <c r="F567" s="19"/>
      <c r="G567" s="19"/>
      <c r="H567" s="19"/>
      <c r="I567" s="20"/>
      <c r="J567" s="20"/>
      <c r="K567" s="20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32"/>
      <c r="AB567" s="22"/>
      <c r="AC567" s="32"/>
      <c r="AD567" s="22"/>
      <c r="AE567" s="96"/>
      <c r="AF567" s="35"/>
    </row>
    <row r="568" spans="1:32" x14ac:dyDescent="0.25">
      <c r="A568" s="7" t="s">
        <v>3336</v>
      </c>
      <c r="B568" s="9">
        <v>4134515</v>
      </c>
      <c r="C568" s="70">
        <v>45261</v>
      </c>
      <c r="D568" s="70">
        <v>45261</v>
      </c>
      <c r="E568" s="73"/>
      <c r="F568" s="9"/>
      <c r="H568" s="9"/>
      <c r="I568" s="7" t="s">
        <v>3349</v>
      </c>
      <c r="J568" s="51" t="s">
        <v>109</v>
      </c>
      <c r="K568" s="7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33">
        <v>10712.71</v>
      </c>
      <c r="AB568" s="10"/>
      <c r="AC568" s="33">
        <v>10712.71</v>
      </c>
      <c r="AD568" s="10">
        <f t="shared" si="10"/>
        <v>0</v>
      </c>
      <c r="AE568" s="82"/>
    </row>
    <row r="569" spans="1:32" x14ac:dyDescent="0.25">
      <c r="A569" s="7" t="s">
        <v>3337</v>
      </c>
      <c r="B569" s="9">
        <v>4134516</v>
      </c>
      <c r="C569" s="70">
        <v>44927</v>
      </c>
      <c r="D569" s="70">
        <v>45264</v>
      </c>
      <c r="E569" s="73">
        <v>45303</v>
      </c>
      <c r="F569" s="9" t="s">
        <v>3516</v>
      </c>
      <c r="G569" s="9" t="s">
        <v>2469</v>
      </c>
      <c r="H569" s="9"/>
      <c r="I569" s="7" t="s">
        <v>3359</v>
      </c>
      <c r="J569" s="51" t="s">
        <v>83</v>
      </c>
      <c r="K569" s="7"/>
      <c r="L569" s="10">
        <v>610.71</v>
      </c>
      <c r="M569" s="10">
        <v>5089.29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33"/>
      <c r="AB569" s="10"/>
      <c r="AC569" s="33">
        <v>5700</v>
      </c>
      <c r="AD569" s="10">
        <f t="shared" si="10"/>
        <v>0</v>
      </c>
      <c r="AE569" s="82"/>
      <c r="AF569" s="17">
        <v>50.89</v>
      </c>
    </row>
    <row r="570" spans="1:32" x14ac:dyDescent="0.25">
      <c r="A570" s="7" t="s">
        <v>3338</v>
      </c>
      <c r="B570" s="9">
        <v>4134517</v>
      </c>
      <c r="C570" s="70">
        <v>44927</v>
      </c>
      <c r="D570" s="70">
        <v>45264</v>
      </c>
      <c r="E570" s="73">
        <v>45303</v>
      </c>
      <c r="F570" s="9" t="s">
        <v>3514</v>
      </c>
      <c r="G570" s="9" t="s">
        <v>2471</v>
      </c>
      <c r="H570" s="9"/>
      <c r="I570" s="7" t="s">
        <v>3360</v>
      </c>
      <c r="J570" s="51" t="s">
        <v>83</v>
      </c>
      <c r="K570" s="7"/>
      <c r="L570" s="10">
        <v>4553.57</v>
      </c>
      <c r="M570" s="10">
        <v>37946.43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33"/>
      <c r="AB570" s="10"/>
      <c r="AC570" s="33">
        <v>42500</v>
      </c>
      <c r="AD570" s="10">
        <f t="shared" si="10"/>
        <v>0</v>
      </c>
      <c r="AE570" s="82"/>
      <c r="AF570" s="17">
        <v>379.46</v>
      </c>
    </row>
    <row r="571" spans="1:32" x14ac:dyDescent="0.25">
      <c r="A571" s="7" t="s">
        <v>3339</v>
      </c>
      <c r="B571" s="9">
        <v>4134518</v>
      </c>
      <c r="C571" s="70">
        <v>44931</v>
      </c>
      <c r="D571" s="70">
        <v>45264</v>
      </c>
      <c r="E571" s="73">
        <v>45303</v>
      </c>
      <c r="F571" s="9" t="s">
        <v>3506</v>
      </c>
      <c r="G571" s="9" t="s">
        <v>2473</v>
      </c>
      <c r="H571" s="9"/>
      <c r="I571" s="7" t="s">
        <v>3361</v>
      </c>
      <c r="J571" s="51" t="s">
        <v>45</v>
      </c>
      <c r="K571" s="7" t="s">
        <v>3295</v>
      </c>
      <c r="L571" s="10">
        <v>2142.86</v>
      </c>
      <c r="M571" s="10">
        <v>17857.14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33"/>
      <c r="AB571" s="10"/>
      <c r="AC571" s="33">
        <v>20000</v>
      </c>
      <c r="AD571" s="10">
        <f t="shared" si="10"/>
        <v>0</v>
      </c>
      <c r="AE571" s="82"/>
      <c r="AF571" s="17">
        <v>178.57</v>
      </c>
    </row>
    <row r="572" spans="1:32" x14ac:dyDescent="0.25">
      <c r="A572" s="7" t="s">
        <v>3340</v>
      </c>
      <c r="B572" s="9">
        <v>4134519</v>
      </c>
      <c r="C572" s="70">
        <v>44941</v>
      </c>
      <c r="D572" s="70">
        <v>44930</v>
      </c>
      <c r="E572" s="73">
        <v>45655</v>
      </c>
      <c r="F572" s="9" t="s">
        <v>3441</v>
      </c>
      <c r="G572" s="9" t="s">
        <v>2474</v>
      </c>
      <c r="H572" s="9"/>
      <c r="I572" s="7" t="s">
        <v>3362</v>
      </c>
      <c r="J572" s="51" t="s">
        <v>1226</v>
      </c>
      <c r="K572" s="7" t="s">
        <v>2924</v>
      </c>
      <c r="L572" s="10">
        <v>4017.86</v>
      </c>
      <c r="M572" s="10">
        <v>33482.14</v>
      </c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33"/>
      <c r="AB572" s="10"/>
      <c r="AC572" s="33">
        <v>37500</v>
      </c>
      <c r="AD572" s="10">
        <f t="shared" si="10"/>
        <v>0</v>
      </c>
      <c r="AE572" s="82"/>
      <c r="AF572" s="17">
        <v>334.82</v>
      </c>
    </row>
    <row r="573" spans="1:32" x14ac:dyDescent="0.25">
      <c r="A573" s="7" t="s">
        <v>3350</v>
      </c>
      <c r="B573" s="9">
        <v>4134520</v>
      </c>
      <c r="C573" s="70">
        <v>44927</v>
      </c>
      <c r="D573" s="70">
        <v>45264</v>
      </c>
      <c r="E573" s="73">
        <v>45303</v>
      </c>
      <c r="F573" s="9" t="s">
        <v>3515</v>
      </c>
      <c r="G573" s="9" t="s">
        <v>2475</v>
      </c>
      <c r="H573" s="9"/>
      <c r="I573" s="7" t="s">
        <v>3363</v>
      </c>
      <c r="J573" s="51" t="s">
        <v>83</v>
      </c>
      <c r="K573" s="7"/>
      <c r="L573" s="10">
        <v>1178.57</v>
      </c>
      <c r="M573" s="10">
        <v>9821.43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33"/>
      <c r="AB573" s="10"/>
      <c r="AC573" s="33">
        <v>11000</v>
      </c>
      <c r="AD573" s="10">
        <f t="shared" si="10"/>
        <v>0</v>
      </c>
      <c r="AE573" s="82"/>
      <c r="AF573" s="17">
        <v>98.21</v>
      </c>
    </row>
    <row r="574" spans="1:32" x14ac:dyDescent="0.25">
      <c r="A574" s="7" t="s">
        <v>3351</v>
      </c>
      <c r="B574" s="9">
        <v>4134521</v>
      </c>
      <c r="C574" s="70">
        <v>45264</v>
      </c>
      <c r="D574" s="70">
        <v>45264</v>
      </c>
      <c r="E574" s="73"/>
      <c r="F574" s="9"/>
      <c r="H574" s="9" t="s">
        <v>3367</v>
      </c>
      <c r="I574" s="7" t="s">
        <v>1174</v>
      </c>
      <c r="J574" s="51" t="s">
        <v>65</v>
      </c>
      <c r="K574" s="7"/>
      <c r="L574" s="10"/>
      <c r="M574" s="10"/>
      <c r="N574" s="10"/>
      <c r="O574" s="10"/>
      <c r="P574" s="10"/>
      <c r="Q574" s="10"/>
      <c r="R574" s="10"/>
      <c r="S574" s="10"/>
      <c r="T574" s="10">
        <v>13049</v>
      </c>
      <c r="U574" s="10"/>
      <c r="V574" s="10"/>
      <c r="W574" s="10"/>
      <c r="X574" s="10"/>
      <c r="Y574" s="10"/>
      <c r="Z574" s="10"/>
      <c r="AA574" s="33"/>
      <c r="AB574" s="10"/>
      <c r="AC574" s="33">
        <v>13049</v>
      </c>
      <c r="AD574" s="10">
        <f t="shared" si="10"/>
        <v>0</v>
      </c>
      <c r="AE574" s="82"/>
    </row>
    <row r="575" spans="1:32" x14ac:dyDescent="0.25">
      <c r="A575" s="7" t="s">
        <v>3352</v>
      </c>
      <c r="B575" s="9">
        <v>4134522</v>
      </c>
      <c r="C575" s="70">
        <v>45264</v>
      </c>
      <c r="D575" s="70">
        <v>45264</v>
      </c>
      <c r="E575" s="73"/>
      <c r="F575" s="9"/>
      <c r="H575" s="9"/>
      <c r="I575" s="7" t="s">
        <v>118</v>
      </c>
      <c r="J575" s="51" t="s">
        <v>125</v>
      </c>
      <c r="K575" s="7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33">
        <v>15000</v>
      </c>
      <c r="AB575" s="10"/>
      <c r="AC575" s="33">
        <v>15000</v>
      </c>
      <c r="AD575" s="10">
        <f t="shared" si="10"/>
        <v>0</v>
      </c>
      <c r="AE575" s="82"/>
    </row>
    <row r="576" spans="1:32" x14ac:dyDescent="0.25">
      <c r="A576" s="7" t="s">
        <v>3353</v>
      </c>
      <c r="B576" s="9">
        <v>4134523</v>
      </c>
      <c r="C576" s="70">
        <v>45265</v>
      </c>
      <c r="D576" s="70">
        <v>45265</v>
      </c>
      <c r="E576" s="73"/>
      <c r="F576" s="9"/>
      <c r="H576" s="9"/>
      <c r="I576" s="7" t="s">
        <v>3368</v>
      </c>
      <c r="J576" s="51" t="s">
        <v>3369</v>
      </c>
      <c r="K576" s="7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33">
        <v>5000</v>
      </c>
      <c r="AB576" s="10"/>
      <c r="AC576" s="33">
        <v>5000</v>
      </c>
      <c r="AD576" s="10">
        <f t="shared" si="10"/>
        <v>0</v>
      </c>
      <c r="AE576" s="82"/>
    </row>
    <row r="577" spans="1:32" x14ac:dyDescent="0.25">
      <c r="A577" s="7" t="s">
        <v>3354</v>
      </c>
      <c r="B577" s="9">
        <v>4134524</v>
      </c>
      <c r="C577" s="70">
        <v>45265</v>
      </c>
      <c r="D577" s="70">
        <v>45265</v>
      </c>
      <c r="E577" s="73"/>
      <c r="F577" s="9"/>
      <c r="H577" s="9"/>
      <c r="I577" s="7" t="s">
        <v>3370</v>
      </c>
      <c r="J577" s="51" t="s">
        <v>3371</v>
      </c>
      <c r="K577" s="7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33">
        <v>8750</v>
      </c>
      <c r="AB577" s="10"/>
      <c r="AC577" s="33">
        <v>8750</v>
      </c>
      <c r="AD577" s="10">
        <f t="shared" si="10"/>
        <v>0</v>
      </c>
      <c r="AE577" s="82"/>
    </row>
    <row r="578" spans="1:32" x14ac:dyDescent="0.25">
      <c r="A578" s="7" t="s">
        <v>3355</v>
      </c>
      <c r="B578" s="9">
        <v>4134525</v>
      </c>
      <c r="C578" s="70">
        <v>44930</v>
      </c>
      <c r="D578" s="70">
        <v>45265</v>
      </c>
      <c r="E578" s="73">
        <v>45274</v>
      </c>
      <c r="F578" s="9" t="s">
        <v>3421</v>
      </c>
      <c r="G578" s="9" t="s">
        <v>2472</v>
      </c>
      <c r="H578" s="9"/>
      <c r="I578" s="7" t="s">
        <v>3372</v>
      </c>
      <c r="J578" s="51" t="s">
        <v>37</v>
      </c>
      <c r="K578" s="7" t="s">
        <v>38</v>
      </c>
      <c r="L578" s="10">
        <v>1178.57</v>
      </c>
      <c r="M578" s="10">
        <v>9821.43</v>
      </c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33"/>
      <c r="AB578" s="10"/>
      <c r="AC578" s="33">
        <v>11000</v>
      </c>
      <c r="AD578" s="10">
        <f t="shared" si="10"/>
        <v>0</v>
      </c>
      <c r="AE578" s="82"/>
      <c r="AF578" s="17">
        <v>98.21</v>
      </c>
    </row>
    <row r="579" spans="1:32" x14ac:dyDescent="0.25">
      <c r="A579" s="7" t="s">
        <v>3356</v>
      </c>
      <c r="B579" s="9">
        <v>4134526</v>
      </c>
      <c r="C579" s="70">
        <v>45266</v>
      </c>
      <c r="D579" s="70">
        <v>45266</v>
      </c>
      <c r="E579" s="73"/>
      <c r="F579" s="9"/>
      <c r="H579" s="9"/>
      <c r="I579" s="7" t="s">
        <v>3384</v>
      </c>
      <c r="J579" s="51" t="s">
        <v>65</v>
      </c>
      <c r="K579" s="7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33">
        <v>2179</v>
      </c>
      <c r="AB579" s="10"/>
      <c r="AC579" s="33">
        <v>2179</v>
      </c>
      <c r="AD579" s="10">
        <f t="shared" si="10"/>
        <v>0</v>
      </c>
      <c r="AE579" s="82"/>
    </row>
    <row r="580" spans="1:32" x14ac:dyDescent="0.25">
      <c r="A580" s="7" t="s">
        <v>3357</v>
      </c>
      <c r="B580" s="9">
        <v>4134527</v>
      </c>
      <c r="C580" s="70">
        <v>45266</v>
      </c>
      <c r="D580" s="70">
        <v>45266</v>
      </c>
      <c r="E580" s="73">
        <v>45271</v>
      </c>
      <c r="F580" s="9" t="s">
        <v>3403</v>
      </c>
      <c r="H580" s="9"/>
      <c r="I580" s="7" t="s">
        <v>3385</v>
      </c>
      <c r="J580" s="51" t="s">
        <v>3302</v>
      </c>
      <c r="K580" s="7" t="s">
        <v>3303</v>
      </c>
      <c r="L580" s="10">
        <v>171.43</v>
      </c>
      <c r="M580" s="10">
        <v>1428.57</v>
      </c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33"/>
      <c r="AB580" s="10"/>
      <c r="AC580" s="33">
        <v>1800</v>
      </c>
      <c r="AD580" s="10">
        <f t="shared" si="10"/>
        <v>200</v>
      </c>
      <c r="AE580" s="82" t="s">
        <v>3404</v>
      </c>
      <c r="AF580" s="17">
        <v>14.29</v>
      </c>
    </row>
    <row r="581" spans="1:32" x14ac:dyDescent="0.25">
      <c r="A581" s="7" t="s">
        <v>3358</v>
      </c>
      <c r="B581" s="9">
        <v>4134528</v>
      </c>
      <c r="C581" s="70">
        <v>45266</v>
      </c>
      <c r="D581" s="70">
        <v>45266</v>
      </c>
      <c r="E581" s="73"/>
      <c r="F581" s="9"/>
      <c r="H581" s="9"/>
      <c r="I581" s="7" t="s">
        <v>147</v>
      </c>
      <c r="J581" s="51" t="s">
        <v>39</v>
      </c>
      <c r="K581" s="7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33">
        <v>11818.75</v>
      </c>
      <c r="AB581" s="10"/>
      <c r="AC581" s="33">
        <v>11818.75</v>
      </c>
      <c r="AD581" s="10">
        <f t="shared" si="10"/>
        <v>0</v>
      </c>
      <c r="AE581" s="82"/>
    </row>
    <row r="582" spans="1:32" x14ac:dyDescent="0.25">
      <c r="A582" s="7" t="s">
        <v>3373</v>
      </c>
      <c r="B582" s="9">
        <v>4134529</v>
      </c>
      <c r="C582" s="70">
        <v>45266</v>
      </c>
      <c r="D582" s="70">
        <v>45266</v>
      </c>
      <c r="E582" s="73"/>
      <c r="F582" s="9"/>
      <c r="H582" s="9"/>
      <c r="I582" s="7" t="s">
        <v>3388</v>
      </c>
      <c r="J582" s="51" t="s">
        <v>65</v>
      </c>
      <c r="K582" s="7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33">
        <v>1353.57</v>
      </c>
      <c r="AB582" s="10"/>
      <c r="AC582" s="33">
        <v>1353.57</v>
      </c>
      <c r="AD582" s="10">
        <f t="shared" si="10"/>
        <v>0</v>
      </c>
      <c r="AE582" s="82"/>
    </row>
    <row r="583" spans="1:32" x14ac:dyDescent="0.25">
      <c r="A583" s="7" t="s">
        <v>3374</v>
      </c>
      <c r="B583" s="9">
        <v>4134530</v>
      </c>
      <c r="C583" s="70">
        <v>45266</v>
      </c>
      <c r="D583" s="70">
        <v>45266</v>
      </c>
      <c r="E583" s="73"/>
      <c r="F583" s="9"/>
      <c r="H583" s="9"/>
      <c r="I583" s="7" t="s">
        <v>3387</v>
      </c>
      <c r="J583" s="51" t="s">
        <v>43</v>
      </c>
      <c r="K583" s="7"/>
      <c r="L583" s="10">
        <v>64.180000000000007</v>
      </c>
      <c r="M583" s="10"/>
      <c r="N583" s="10"/>
      <c r="O583" s="10"/>
      <c r="P583" s="10"/>
      <c r="Q583" s="10"/>
      <c r="R583" s="10"/>
      <c r="S583" s="10">
        <v>534.82000000000005</v>
      </c>
      <c r="T583" s="10"/>
      <c r="U583" s="10"/>
      <c r="V583" s="10"/>
      <c r="W583" s="10"/>
      <c r="X583" s="10"/>
      <c r="Y583" s="10"/>
      <c r="Z583" s="10"/>
      <c r="AA583" s="33"/>
      <c r="AB583" s="10"/>
      <c r="AC583" s="33">
        <v>599</v>
      </c>
      <c r="AD583" s="10">
        <f t="shared" si="10"/>
        <v>0</v>
      </c>
      <c r="AE583" s="82"/>
    </row>
    <row r="584" spans="1:32" x14ac:dyDescent="0.25">
      <c r="A584" s="7" t="s">
        <v>3375</v>
      </c>
      <c r="B584" s="9">
        <v>4134531</v>
      </c>
      <c r="C584" s="70">
        <v>45266</v>
      </c>
      <c r="D584" s="70">
        <v>45266</v>
      </c>
      <c r="E584" s="73"/>
      <c r="F584" s="9"/>
      <c r="H584" s="9"/>
      <c r="I584" s="7" t="s">
        <v>3386</v>
      </c>
      <c r="J584" s="51" t="s">
        <v>18</v>
      </c>
      <c r="K584" s="7"/>
      <c r="L584" s="10">
        <v>151.09</v>
      </c>
      <c r="M584" s="10"/>
      <c r="N584" s="10"/>
      <c r="O584" s="10"/>
      <c r="P584" s="10"/>
      <c r="Q584" s="10"/>
      <c r="R584" s="10">
        <v>1259.06</v>
      </c>
      <c r="S584" s="10"/>
      <c r="T584" s="10"/>
      <c r="U584" s="10"/>
      <c r="V584" s="10"/>
      <c r="W584" s="10"/>
      <c r="X584" s="10"/>
      <c r="Y584" s="10"/>
      <c r="Z584" s="10"/>
      <c r="AA584" s="33"/>
      <c r="AB584" s="10"/>
      <c r="AC584" s="33">
        <v>1410.15</v>
      </c>
      <c r="AD584" s="10">
        <f t="shared" si="10"/>
        <v>0</v>
      </c>
      <c r="AE584" s="82"/>
    </row>
    <row r="585" spans="1:32" x14ac:dyDescent="0.25">
      <c r="A585" s="7" t="s">
        <v>3376</v>
      </c>
      <c r="B585" s="9">
        <v>4134532</v>
      </c>
      <c r="C585" s="70">
        <v>45271</v>
      </c>
      <c r="D585" s="70">
        <v>45271</v>
      </c>
      <c r="E585" s="73"/>
      <c r="F585" s="9"/>
      <c r="H585" s="9"/>
      <c r="I585" s="7" t="s">
        <v>3386</v>
      </c>
      <c r="J585" s="51" t="s">
        <v>18</v>
      </c>
      <c r="K585" s="7"/>
      <c r="L585" s="10">
        <v>811.09</v>
      </c>
      <c r="M585" s="10"/>
      <c r="N585" s="10"/>
      <c r="O585" s="10"/>
      <c r="P585" s="10"/>
      <c r="Q585" s="10"/>
      <c r="R585" s="10">
        <v>6759.06</v>
      </c>
      <c r="S585" s="10"/>
      <c r="T585" s="10"/>
      <c r="U585" s="10"/>
      <c r="V585" s="10"/>
      <c r="W585" s="10"/>
      <c r="X585" s="10"/>
      <c r="Y585" s="10"/>
      <c r="Z585" s="10"/>
      <c r="AA585" s="33"/>
      <c r="AB585" s="10"/>
      <c r="AC585" s="33">
        <v>7570.15</v>
      </c>
      <c r="AD585" s="10">
        <f t="shared" si="10"/>
        <v>0</v>
      </c>
      <c r="AE585" s="82"/>
    </row>
    <row r="586" spans="1:32" x14ac:dyDescent="0.25">
      <c r="A586" s="7" t="s">
        <v>3377</v>
      </c>
      <c r="B586" s="9">
        <v>4134533</v>
      </c>
      <c r="C586" s="70">
        <v>45271</v>
      </c>
      <c r="D586" s="70">
        <v>45271</v>
      </c>
      <c r="E586" s="73">
        <v>45267</v>
      </c>
      <c r="F586" s="9" t="s">
        <v>3401</v>
      </c>
      <c r="H586" s="9"/>
      <c r="I586" s="7" t="s">
        <v>3398</v>
      </c>
      <c r="J586" s="51" t="s">
        <v>3399</v>
      </c>
      <c r="K586" s="7" t="s">
        <v>3400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33">
        <v>3500</v>
      </c>
      <c r="AB586" s="10"/>
      <c r="AC586" s="33">
        <v>3500</v>
      </c>
      <c r="AD586" s="10">
        <f t="shared" si="10"/>
        <v>0</v>
      </c>
      <c r="AE586" s="82"/>
    </row>
    <row r="587" spans="1:32" x14ac:dyDescent="0.25">
      <c r="A587" s="7" t="s">
        <v>3378</v>
      </c>
      <c r="B587" s="9">
        <v>4134534</v>
      </c>
      <c r="C587" s="70">
        <v>45271</v>
      </c>
      <c r="D587" s="70">
        <v>45271</v>
      </c>
      <c r="E587" s="73"/>
      <c r="F587" s="9"/>
      <c r="H587" s="9" t="s">
        <v>3405</v>
      </c>
      <c r="I587" s="7" t="s">
        <v>1174</v>
      </c>
      <c r="J587" s="51" t="s">
        <v>65</v>
      </c>
      <c r="K587" s="7"/>
      <c r="L587" s="10"/>
      <c r="M587" s="10"/>
      <c r="N587" s="10"/>
      <c r="O587" s="10"/>
      <c r="P587" s="10"/>
      <c r="Q587" s="10"/>
      <c r="R587" s="10"/>
      <c r="S587" s="10"/>
      <c r="T587" s="10">
        <v>8921</v>
      </c>
      <c r="U587" s="10"/>
      <c r="V587" s="10"/>
      <c r="W587" s="10"/>
      <c r="X587" s="10"/>
      <c r="Y587" s="10"/>
      <c r="Z587" s="10"/>
      <c r="AA587" s="33"/>
      <c r="AB587" s="10"/>
      <c r="AC587" s="33">
        <v>8921</v>
      </c>
      <c r="AD587" s="10">
        <f t="shared" si="10"/>
        <v>0</v>
      </c>
      <c r="AE587" s="82"/>
    </row>
    <row r="588" spans="1:32" x14ac:dyDescent="0.25">
      <c r="A588" s="7" t="s">
        <v>3379</v>
      </c>
      <c r="B588" s="9">
        <v>4134535</v>
      </c>
      <c r="C588" s="70">
        <v>45271</v>
      </c>
      <c r="D588" s="70">
        <v>45271</v>
      </c>
      <c r="E588" s="73"/>
      <c r="F588" s="9"/>
      <c r="H588" s="9" t="s">
        <v>3406</v>
      </c>
      <c r="I588" s="7" t="s">
        <v>2588</v>
      </c>
      <c r="J588" s="51" t="s">
        <v>65</v>
      </c>
      <c r="K588" s="7"/>
      <c r="L588" s="10"/>
      <c r="M588" s="10"/>
      <c r="N588" s="10"/>
      <c r="O588" s="10"/>
      <c r="P588" s="10"/>
      <c r="Q588" s="10"/>
      <c r="R588" s="10"/>
      <c r="S588" s="10"/>
      <c r="T588" s="10">
        <v>13266.85</v>
      </c>
      <c r="U588" s="10"/>
      <c r="V588" s="10"/>
      <c r="W588" s="10"/>
      <c r="X588" s="10"/>
      <c r="Y588" s="10"/>
      <c r="Z588" s="10"/>
      <c r="AA588" s="33"/>
      <c r="AB588" s="10"/>
      <c r="AC588" s="33">
        <v>13266.85</v>
      </c>
      <c r="AD588" s="10">
        <f t="shared" si="10"/>
        <v>0</v>
      </c>
      <c r="AE588" s="82"/>
    </row>
    <row r="589" spans="1:32" x14ac:dyDescent="0.25">
      <c r="A589" s="7" t="s">
        <v>3380</v>
      </c>
      <c r="B589" s="9">
        <v>4134536</v>
      </c>
      <c r="C589" s="70">
        <v>44947</v>
      </c>
      <c r="D589" s="70">
        <v>45271</v>
      </c>
      <c r="E589" s="73">
        <v>45655</v>
      </c>
      <c r="F589" s="9" t="s">
        <v>3440</v>
      </c>
      <c r="G589" s="9" t="s">
        <v>2476</v>
      </c>
      <c r="H589" s="9"/>
      <c r="I589" s="7" t="s">
        <v>1737</v>
      </c>
      <c r="J589" s="51" t="s">
        <v>1226</v>
      </c>
      <c r="K589" s="7" t="s">
        <v>2924</v>
      </c>
      <c r="L589" s="10">
        <v>4017.86</v>
      </c>
      <c r="M589" s="10">
        <v>33482.14</v>
      </c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33"/>
      <c r="AB589" s="10"/>
      <c r="AC589" s="33">
        <v>37500</v>
      </c>
      <c r="AD589" s="10">
        <f t="shared" si="10"/>
        <v>0</v>
      </c>
      <c r="AE589" s="82"/>
      <c r="AF589" s="17">
        <v>334.82</v>
      </c>
    </row>
    <row r="590" spans="1:32" x14ac:dyDescent="0.25">
      <c r="A590" s="7" t="s">
        <v>3381</v>
      </c>
      <c r="B590" s="9">
        <v>4134537</v>
      </c>
      <c r="C590" s="70">
        <v>44948</v>
      </c>
      <c r="D590" s="70">
        <v>45271</v>
      </c>
      <c r="E590" s="73">
        <v>45655</v>
      </c>
      <c r="F590" s="9" t="s">
        <v>3439</v>
      </c>
      <c r="G590" s="9" t="s">
        <v>2482</v>
      </c>
      <c r="H590" s="9"/>
      <c r="I590" s="7" t="s">
        <v>2682</v>
      </c>
      <c r="J590" s="51" t="s">
        <v>1226</v>
      </c>
      <c r="K590" s="7" t="s">
        <v>2924</v>
      </c>
      <c r="L590" s="10">
        <v>4553.57</v>
      </c>
      <c r="M590" s="10">
        <v>37946.43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33"/>
      <c r="AB590" s="10"/>
      <c r="AC590" s="33">
        <v>42500</v>
      </c>
      <c r="AD590" s="10">
        <f t="shared" si="10"/>
        <v>0</v>
      </c>
      <c r="AE590" s="82"/>
      <c r="AF590" s="17">
        <v>379.46</v>
      </c>
    </row>
    <row r="591" spans="1:32" x14ac:dyDescent="0.25">
      <c r="A591" s="7" t="s">
        <v>3382</v>
      </c>
      <c r="B591" s="9" t="s">
        <v>3389</v>
      </c>
      <c r="C591" s="70">
        <v>45271</v>
      </c>
      <c r="D591" s="70">
        <v>45271</v>
      </c>
      <c r="E591" s="73"/>
      <c r="F591" s="9"/>
      <c r="H591" s="9"/>
      <c r="I591" s="7" t="s">
        <v>55</v>
      </c>
      <c r="J591" s="51" t="s">
        <v>54</v>
      </c>
      <c r="K591" s="7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>
        <v>300000</v>
      </c>
      <c r="AA591" s="33"/>
      <c r="AB591" s="10"/>
      <c r="AC591" s="33">
        <v>300000</v>
      </c>
      <c r="AD591" s="10">
        <f t="shared" si="10"/>
        <v>0</v>
      </c>
      <c r="AE591" s="82"/>
    </row>
    <row r="592" spans="1:32" x14ac:dyDescent="0.25">
      <c r="A592" s="7" t="s">
        <v>3383</v>
      </c>
      <c r="B592" s="9" t="s">
        <v>3397</v>
      </c>
      <c r="C592" s="70">
        <v>45272</v>
      </c>
      <c r="D592" s="70">
        <v>45271</v>
      </c>
      <c r="E592" s="73"/>
      <c r="F592" s="9"/>
      <c r="H592" s="9"/>
      <c r="I592" s="7" t="s">
        <v>55</v>
      </c>
      <c r="J592" s="51" t="s">
        <v>54</v>
      </c>
      <c r="K592" s="7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>
        <v>300000</v>
      </c>
      <c r="AA592" s="33"/>
      <c r="AB592" s="10"/>
      <c r="AC592" s="33">
        <v>300000</v>
      </c>
      <c r="AD592" s="10">
        <f t="shared" si="10"/>
        <v>0</v>
      </c>
      <c r="AE592" s="82"/>
    </row>
    <row r="593" spans="1:32" x14ac:dyDescent="0.25">
      <c r="A593" s="7" t="s">
        <v>3390</v>
      </c>
      <c r="B593" s="9">
        <v>4134538</v>
      </c>
      <c r="C593" s="70">
        <v>45272</v>
      </c>
      <c r="D593" s="70">
        <v>45271</v>
      </c>
      <c r="E593" s="73"/>
      <c r="F593" s="9"/>
      <c r="H593" s="9"/>
      <c r="I593" s="7" t="s">
        <v>3387</v>
      </c>
      <c r="J593" s="51" t="s">
        <v>43</v>
      </c>
      <c r="K593" s="7"/>
      <c r="L593" s="10">
        <v>32.14</v>
      </c>
      <c r="M593" s="10"/>
      <c r="N593" s="10"/>
      <c r="O593" s="10"/>
      <c r="P593" s="10"/>
      <c r="Q593" s="10"/>
      <c r="R593" s="10"/>
      <c r="S593" s="10">
        <v>267.86</v>
      </c>
      <c r="T593" s="10"/>
      <c r="U593" s="10"/>
      <c r="V593" s="10"/>
      <c r="W593" s="10"/>
      <c r="X593" s="10"/>
      <c r="Y593" s="10"/>
      <c r="Z593" s="10"/>
      <c r="AA593" s="33"/>
      <c r="AB593" s="10"/>
      <c r="AC593" s="33">
        <v>300</v>
      </c>
      <c r="AD593" s="10">
        <f t="shared" si="10"/>
        <v>0</v>
      </c>
      <c r="AE593" s="82"/>
    </row>
    <row r="594" spans="1:32" x14ac:dyDescent="0.25">
      <c r="A594" s="7" t="s">
        <v>3391</v>
      </c>
      <c r="B594" s="9" t="s">
        <v>3407</v>
      </c>
      <c r="C594" s="70">
        <v>45272</v>
      </c>
      <c r="D594" s="70">
        <v>45272</v>
      </c>
      <c r="E594" s="73"/>
      <c r="F594" s="9"/>
      <c r="H594" s="9"/>
      <c r="I594" s="7" t="s">
        <v>64</v>
      </c>
      <c r="J594" s="51" t="s">
        <v>2855</v>
      </c>
      <c r="K594" s="7"/>
      <c r="L594" s="10"/>
      <c r="M594" s="10"/>
      <c r="N594" s="10"/>
      <c r="O594" s="10"/>
      <c r="P594" s="10">
        <v>50000</v>
      </c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33"/>
      <c r="AB594" s="10"/>
      <c r="AC594" s="33">
        <v>50000</v>
      </c>
      <c r="AD594" s="10">
        <f t="shared" si="10"/>
        <v>0</v>
      </c>
      <c r="AE594" s="82"/>
    </row>
    <row r="595" spans="1:32" x14ac:dyDescent="0.25">
      <c r="A595" s="7" t="s">
        <v>3392</v>
      </c>
      <c r="B595" s="9">
        <v>4134539</v>
      </c>
      <c r="C595" s="70">
        <v>45272</v>
      </c>
      <c r="D595" s="70">
        <v>45272</v>
      </c>
      <c r="E595" s="73"/>
      <c r="F595" s="9"/>
      <c r="H595" s="9"/>
      <c r="I595" s="7" t="s">
        <v>3408</v>
      </c>
      <c r="J595" s="51" t="s">
        <v>46</v>
      </c>
      <c r="K595" s="7"/>
      <c r="L595" s="10">
        <v>164.89</v>
      </c>
      <c r="M595" s="10"/>
      <c r="N595" s="10"/>
      <c r="O595" s="10"/>
      <c r="P595" s="10"/>
      <c r="Q595" s="10"/>
      <c r="R595" s="10"/>
      <c r="S595" s="10">
        <v>1374.11</v>
      </c>
      <c r="T595" s="10"/>
      <c r="U595" s="10"/>
      <c r="V595" s="10"/>
      <c r="W595" s="10"/>
      <c r="X595" s="10"/>
      <c r="Y595" s="10"/>
      <c r="Z595" s="10"/>
      <c r="AA595" s="33"/>
      <c r="AB595" s="10"/>
      <c r="AC595" s="33">
        <v>1539</v>
      </c>
      <c r="AD595" s="10">
        <f t="shared" si="10"/>
        <v>0</v>
      </c>
      <c r="AE595" s="82"/>
    </row>
    <row r="596" spans="1:32" x14ac:dyDescent="0.25">
      <c r="A596" s="7" t="s">
        <v>3393</v>
      </c>
      <c r="B596" s="9">
        <v>4134540</v>
      </c>
      <c r="C596" s="70">
        <v>45272</v>
      </c>
      <c r="D596" s="70">
        <v>45272</v>
      </c>
      <c r="E596" s="73"/>
      <c r="F596" s="9"/>
      <c r="H596" s="9"/>
      <c r="I596" s="7" t="s">
        <v>3408</v>
      </c>
      <c r="J596" s="51" t="s">
        <v>46</v>
      </c>
      <c r="K596" s="7"/>
      <c r="L596" s="10">
        <v>107.04</v>
      </c>
      <c r="M596" s="10"/>
      <c r="N596" s="10"/>
      <c r="O596" s="10"/>
      <c r="P596" s="10"/>
      <c r="Q596" s="10"/>
      <c r="R596" s="10"/>
      <c r="S596" s="10">
        <v>891.96</v>
      </c>
      <c r="T596" s="10"/>
      <c r="U596" s="10"/>
      <c r="V596" s="10"/>
      <c r="W596" s="10"/>
      <c r="X596" s="10"/>
      <c r="Y596" s="10"/>
      <c r="Z596" s="10"/>
      <c r="AA596" s="33"/>
      <c r="AB596" s="10"/>
      <c r="AC596" s="33">
        <v>999</v>
      </c>
      <c r="AD596" s="10">
        <f t="shared" si="10"/>
        <v>0</v>
      </c>
      <c r="AE596" s="82"/>
    </row>
    <row r="597" spans="1:32" x14ac:dyDescent="0.25">
      <c r="A597" s="7" t="s">
        <v>3394</v>
      </c>
      <c r="B597" s="9">
        <v>4134541</v>
      </c>
      <c r="C597" s="70">
        <v>45272</v>
      </c>
      <c r="D597" s="70">
        <v>45272</v>
      </c>
      <c r="E597" s="73"/>
      <c r="F597" s="9"/>
      <c r="H597" s="9"/>
      <c r="I597" s="7" t="s">
        <v>3416</v>
      </c>
      <c r="J597" s="51" t="s">
        <v>44</v>
      </c>
      <c r="K597" s="7"/>
      <c r="L597" s="10">
        <v>791.61</v>
      </c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>
        <v>6596.78</v>
      </c>
      <c r="Y597" s="10"/>
      <c r="Z597" s="10"/>
      <c r="AA597" s="33"/>
      <c r="AB597" s="10"/>
      <c r="AC597" s="33">
        <v>7388.39</v>
      </c>
      <c r="AD597" s="10">
        <f t="shared" si="10"/>
        <v>0</v>
      </c>
      <c r="AE597" s="82"/>
    </row>
    <row r="598" spans="1:32" x14ac:dyDescent="0.25">
      <c r="A598" s="7" t="s">
        <v>3395</v>
      </c>
      <c r="B598" s="9">
        <v>4134542</v>
      </c>
      <c r="C598" s="70">
        <v>45272</v>
      </c>
      <c r="D598" s="70">
        <v>45272</v>
      </c>
      <c r="E598" s="73"/>
      <c r="F598" s="9"/>
      <c r="H598" s="9"/>
      <c r="I598" s="7" t="s">
        <v>3417</v>
      </c>
      <c r="J598" s="51" t="s">
        <v>43</v>
      </c>
      <c r="K598" s="7"/>
      <c r="L598" s="10">
        <v>64.290000000000006</v>
      </c>
      <c r="M598" s="10"/>
      <c r="N598" s="10"/>
      <c r="O598" s="10"/>
      <c r="P598" s="10"/>
      <c r="Q598" s="10"/>
      <c r="R598" s="10"/>
      <c r="S598" s="10">
        <v>535.71</v>
      </c>
      <c r="T598" s="10"/>
      <c r="U598" s="10"/>
      <c r="V598" s="10"/>
      <c r="W598" s="10"/>
      <c r="X598" s="10"/>
      <c r="Y598" s="10"/>
      <c r="Z598" s="10"/>
      <c r="AA598" s="33"/>
      <c r="AB598" s="10"/>
      <c r="AC598" s="33">
        <v>600</v>
      </c>
      <c r="AD598" s="10">
        <f t="shared" si="10"/>
        <v>0</v>
      </c>
      <c r="AE598" s="82"/>
    </row>
    <row r="599" spans="1:32" x14ac:dyDescent="0.25">
      <c r="A599" s="7" t="s">
        <v>3396</v>
      </c>
      <c r="B599" s="9">
        <v>4134543</v>
      </c>
      <c r="C599" s="70">
        <v>45275</v>
      </c>
      <c r="D599" s="70">
        <v>45275</v>
      </c>
      <c r="E599" s="73"/>
      <c r="F599" s="9"/>
      <c r="H599" s="9"/>
      <c r="I599" s="7" t="s">
        <v>3408</v>
      </c>
      <c r="J599" s="51" t="s">
        <v>46</v>
      </c>
      <c r="K599" s="7"/>
      <c r="L599" s="10">
        <v>107.04</v>
      </c>
      <c r="M599" s="10"/>
      <c r="N599" s="10"/>
      <c r="O599" s="10"/>
      <c r="P599" s="10"/>
      <c r="Q599" s="10"/>
      <c r="R599" s="10"/>
      <c r="S599" s="10">
        <v>891.96</v>
      </c>
      <c r="T599" s="10"/>
      <c r="U599" s="10"/>
      <c r="V599" s="10"/>
      <c r="W599" s="10"/>
      <c r="X599" s="10"/>
      <c r="Y599" s="10"/>
      <c r="Z599" s="10"/>
      <c r="AA599" s="33"/>
      <c r="AB599" s="10"/>
      <c r="AC599" s="33">
        <v>999</v>
      </c>
      <c r="AD599" s="10">
        <f t="shared" si="10"/>
        <v>0</v>
      </c>
      <c r="AE599" s="82"/>
    </row>
    <row r="600" spans="1:32" x14ac:dyDescent="0.25">
      <c r="A600" s="7" t="s">
        <v>3409</v>
      </c>
      <c r="B600" s="9">
        <v>4134544</v>
      </c>
      <c r="C600" s="70">
        <v>45275</v>
      </c>
      <c r="D600" s="70">
        <v>45275</v>
      </c>
      <c r="E600" s="73"/>
      <c r="F600" s="9"/>
      <c r="H600" s="9"/>
      <c r="I600" s="7" t="s">
        <v>3423</v>
      </c>
      <c r="J600" s="51" t="s">
        <v>46</v>
      </c>
      <c r="K600" s="7"/>
      <c r="L600" s="10">
        <v>107.04</v>
      </c>
      <c r="M600" s="10"/>
      <c r="N600" s="10"/>
      <c r="O600" s="10"/>
      <c r="P600" s="10"/>
      <c r="Q600" s="10"/>
      <c r="R600" s="10"/>
      <c r="S600" s="10">
        <v>891.96</v>
      </c>
      <c r="T600" s="10"/>
      <c r="U600" s="10"/>
      <c r="V600" s="10"/>
      <c r="W600" s="10"/>
      <c r="X600" s="10"/>
      <c r="Y600" s="10"/>
      <c r="Z600" s="10"/>
      <c r="AA600" s="33"/>
      <c r="AB600" s="10"/>
      <c r="AC600" s="33">
        <v>999</v>
      </c>
      <c r="AD600" s="10">
        <f t="shared" si="10"/>
        <v>0</v>
      </c>
      <c r="AE600" s="82"/>
    </row>
    <row r="601" spans="1:32" x14ac:dyDescent="0.25">
      <c r="A601" s="7" t="s">
        <v>3410</v>
      </c>
      <c r="B601" s="9">
        <v>4134546</v>
      </c>
      <c r="C601" s="70">
        <v>45310</v>
      </c>
      <c r="D601" s="70">
        <v>45275</v>
      </c>
      <c r="E601" s="73">
        <v>45279</v>
      </c>
      <c r="F601" s="9" t="s">
        <v>3429</v>
      </c>
      <c r="G601" s="9" t="s">
        <v>2477</v>
      </c>
      <c r="H601" s="9"/>
      <c r="I601" s="7" t="s">
        <v>1001</v>
      </c>
      <c r="J601" s="51" t="s">
        <v>2087</v>
      </c>
      <c r="K601" s="7" t="s">
        <v>2088</v>
      </c>
      <c r="L601" s="10">
        <v>11250</v>
      </c>
      <c r="M601" s="10">
        <v>93750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33"/>
      <c r="AB601" s="10"/>
      <c r="AC601" s="33">
        <v>105000</v>
      </c>
      <c r="AD601" s="10">
        <f t="shared" si="10"/>
        <v>0</v>
      </c>
      <c r="AE601" s="82"/>
      <c r="AF601" s="17">
        <v>937.5</v>
      </c>
    </row>
    <row r="602" spans="1:32" x14ac:dyDescent="0.25">
      <c r="A602" s="7" t="s">
        <v>3411</v>
      </c>
      <c r="B602" s="9" t="s">
        <v>3424</v>
      </c>
      <c r="C602" s="70">
        <v>45275</v>
      </c>
      <c r="D602" s="70">
        <v>45275</v>
      </c>
      <c r="E602" s="73"/>
      <c r="F602" s="9"/>
      <c r="H602" s="9"/>
      <c r="I602" s="7" t="s">
        <v>55</v>
      </c>
      <c r="J602" s="51" t="s">
        <v>54</v>
      </c>
      <c r="K602" s="7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>
        <v>200000</v>
      </c>
      <c r="AA602" s="33"/>
      <c r="AB602" s="10"/>
      <c r="AC602" s="33">
        <v>200000</v>
      </c>
      <c r="AD602" s="10">
        <f t="shared" si="10"/>
        <v>0</v>
      </c>
      <c r="AE602" s="82"/>
    </row>
    <row r="603" spans="1:32" x14ac:dyDescent="0.25">
      <c r="A603" s="7" t="s">
        <v>3412</v>
      </c>
      <c r="B603" s="9">
        <v>4134547</v>
      </c>
      <c r="C603" s="70">
        <v>45279</v>
      </c>
      <c r="D603" s="70">
        <v>45279</v>
      </c>
      <c r="E603" s="73"/>
      <c r="F603" s="9"/>
      <c r="H603" s="9" t="s">
        <v>3494</v>
      </c>
      <c r="I603" s="7" t="s">
        <v>1174</v>
      </c>
      <c r="J603" s="51" t="s">
        <v>65</v>
      </c>
      <c r="K603" s="7"/>
      <c r="L603" s="10"/>
      <c r="M603" s="10"/>
      <c r="N603" s="10"/>
      <c r="O603" s="10"/>
      <c r="P603" s="10"/>
      <c r="Q603" s="10"/>
      <c r="R603" s="10"/>
      <c r="S603" s="10"/>
      <c r="T603" s="10">
        <v>5746</v>
      </c>
      <c r="U603" s="10"/>
      <c r="V603" s="10"/>
      <c r="W603" s="10"/>
      <c r="X603" s="10"/>
      <c r="Y603" s="10"/>
      <c r="Z603" s="10"/>
      <c r="AA603" s="33"/>
      <c r="AB603" s="10"/>
      <c r="AC603" s="33">
        <v>5746</v>
      </c>
      <c r="AD603" s="10">
        <f t="shared" si="10"/>
        <v>0</v>
      </c>
      <c r="AE603" s="82"/>
    </row>
    <row r="604" spans="1:32" x14ac:dyDescent="0.25">
      <c r="A604" s="7" t="s">
        <v>3413</v>
      </c>
      <c r="B604" s="9">
        <v>4134548</v>
      </c>
      <c r="C604" s="70">
        <v>45279</v>
      </c>
      <c r="D604" s="70">
        <v>45279</v>
      </c>
      <c r="E604" s="73"/>
      <c r="F604" s="9"/>
      <c r="H604" s="9"/>
      <c r="I604" s="7" t="s">
        <v>3426</v>
      </c>
      <c r="J604" s="51" t="s">
        <v>46</v>
      </c>
      <c r="K604" s="7"/>
      <c r="L604" s="10">
        <v>1051.8399999999999</v>
      </c>
      <c r="M604" s="10"/>
      <c r="N604" s="10"/>
      <c r="O604" s="10"/>
      <c r="P604" s="10"/>
      <c r="Q604" s="10"/>
      <c r="R604" s="10"/>
      <c r="S604" s="10">
        <v>8765.31</v>
      </c>
      <c r="T604" s="10"/>
      <c r="U604" s="10"/>
      <c r="V604" s="10"/>
      <c r="W604" s="10"/>
      <c r="X604" s="10"/>
      <c r="Y604" s="10"/>
      <c r="Z604" s="10"/>
      <c r="AA604" s="33"/>
      <c r="AB604" s="10"/>
      <c r="AC604" s="33">
        <v>9817.15</v>
      </c>
      <c r="AD604" s="10">
        <f t="shared" si="10"/>
        <v>0</v>
      </c>
      <c r="AE604" s="82"/>
      <c r="AF604" s="17">
        <v>175.35</v>
      </c>
    </row>
    <row r="605" spans="1:32" x14ac:dyDescent="0.25">
      <c r="A605" s="7" t="s">
        <v>3414</v>
      </c>
      <c r="B605" s="9">
        <v>4134549</v>
      </c>
      <c r="C605" s="70">
        <v>45279</v>
      </c>
      <c r="D605" s="70">
        <v>45279</v>
      </c>
      <c r="E605" s="73"/>
      <c r="F605" s="9"/>
      <c r="H605" s="9"/>
      <c r="I605" s="7" t="s">
        <v>253</v>
      </c>
      <c r="J605" s="51" t="s">
        <v>3425</v>
      </c>
      <c r="K605" s="7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33">
        <v>7850</v>
      </c>
      <c r="AB605" s="10"/>
      <c r="AC605" s="33">
        <v>7850</v>
      </c>
      <c r="AD605" s="10">
        <f t="shared" si="10"/>
        <v>0</v>
      </c>
      <c r="AE605" s="82"/>
    </row>
    <row r="606" spans="1:32" x14ac:dyDescent="0.25">
      <c r="A606" s="7" t="s">
        <v>3415</v>
      </c>
      <c r="B606" s="9">
        <v>4134550</v>
      </c>
      <c r="C606" s="70">
        <v>45309</v>
      </c>
      <c r="D606" s="70">
        <v>45279</v>
      </c>
      <c r="E606" s="73">
        <v>45309</v>
      </c>
      <c r="F606" s="9" t="s">
        <v>3522</v>
      </c>
      <c r="G606" s="9" t="s">
        <v>2483</v>
      </c>
      <c r="H606" s="9"/>
      <c r="I606" s="7" t="s">
        <v>3427</v>
      </c>
      <c r="J606" s="51" t="s">
        <v>2687</v>
      </c>
      <c r="K606" s="7"/>
      <c r="L606" s="10">
        <v>1028.57</v>
      </c>
      <c r="M606" s="10">
        <v>8571.43</v>
      </c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33"/>
      <c r="AB606" s="10"/>
      <c r="AC606" s="33">
        <v>9600</v>
      </c>
      <c r="AD606" s="10">
        <f t="shared" si="10"/>
        <v>0</v>
      </c>
      <c r="AE606" s="82"/>
      <c r="AF606" s="17">
        <v>85.71</v>
      </c>
    </row>
    <row r="607" spans="1:32" x14ac:dyDescent="0.25">
      <c r="A607" s="7" t="s">
        <v>3430</v>
      </c>
      <c r="B607" s="9">
        <v>4134551</v>
      </c>
      <c r="C607" s="70">
        <v>45646</v>
      </c>
      <c r="D607" s="70">
        <v>45646</v>
      </c>
      <c r="E607" s="73"/>
      <c r="F607" s="9"/>
      <c r="H607" s="9"/>
      <c r="I607" s="7" t="s">
        <v>2544</v>
      </c>
      <c r="J607" s="51" t="s">
        <v>65</v>
      </c>
      <c r="K607" s="7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33">
        <v>7250</v>
      </c>
      <c r="AB607" s="10"/>
      <c r="AC607" s="33">
        <v>7250</v>
      </c>
      <c r="AD607" s="10">
        <f t="shared" si="10"/>
        <v>0</v>
      </c>
      <c r="AE607" s="82"/>
    </row>
    <row r="608" spans="1:32" x14ac:dyDescent="0.25">
      <c r="A608" s="7" t="s">
        <v>3431</v>
      </c>
      <c r="B608" s="9">
        <v>4134552</v>
      </c>
      <c r="C608" s="70">
        <v>45648</v>
      </c>
      <c r="D608" s="70">
        <v>45648</v>
      </c>
      <c r="E608" s="73"/>
      <c r="F608" s="9"/>
      <c r="H608" s="9"/>
      <c r="I608" s="7" t="s">
        <v>2557</v>
      </c>
      <c r="J608" s="51" t="s">
        <v>1847</v>
      </c>
      <c r="K608" s="7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33">
        <v>14294.16</v>
      </c>
      <c r="AB608" s="10"/>
      <c r="AC608" s="33">
        <v>14294.16</v>
      </c>
      <c r="AD608" s="10">
        <f t="shared" si="10"/>
        <v>0</v>
      </c>
      <c r="AE608" s="82"/>
    </row>
    <row r="609" spans="1:32" x14ac:dyDescent="0.25">
      <c r="A609" s="7" t="s">
        <v>3432</v>
      </c>
      <c r="B609" s="9">
        <v>4134553</v>
      </c>
      <c r="C609" s="70">
        <v>45648</v>
      </c>
      <c r="D609" s="70">
        <v>45648</v>
      </c>
      <c r="E609" s="73"/>
      <c r="F609" s="9"/>
      <c r="H609" s="9"/>
      <c r="I609" s="7" t="s">
        <v>3435</v>
      </c>
      <c r="J609" s="51" t="s">
        <v>3436</v>
      </c>
      <c r="K609" s="7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33">
        <v>13000</v>
      </c>
      <c r="AB609" s="10"/>
      <c r="AC609" s="33">
        <v>13000</v>
      </c>
      <c r="AD609" s="10">
        <f t="shared" si="10"/>
        <v>0</v>
      </c>
      <c r="AE609" s="82"/>
    </row>
    <row r="610" spans="1:32" x14ac:dyDescent="0.25">
      <c r="A610" s="7" t="s">
        <v>3433</v>
      </c>
      <c r="B610" s="9">
        <v>4134554</v>
      </c>
      <c r="C610" s="70">
        <v>45648</v>
      </c>
      <c r="D610" s="70">
        <v>45648</v>
      </c>
      <c r="E610" s="73">
        <v>45295</v>
      </c>
      <c r="F610" s="9" t="s">
        <v>3496</v>
      </c>
      <c r="H610" s="9"/>
      <c r="I610" s="7" t="s">
        <v>3437</v>
      </c>
      <c r="J610" s="51" t="s">
        <v>127</v>
      </c>
      <c r="K610" s="7"/>
      <c r="L610" s="10">
        <v>619.20000000000005</v>
      </c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33">
        <v>5160</v>
      </c>
      <c r="AB610" s="10"/>
      <c r="AC610" s="33">
        <v>5779.2</v>
      </c>
      <c r="AD610" s="10">
        <f t="shared" si="10"/>
        <v>0</v>
      </c>
      <c r="AE610" s="82"/>
    </row>
    <row r="611" spans="1:32" x14ac:dyDescent="0.25">
      <c r="A611" s="7" t="s">
        <v>3434</v>
      </c>
      <c r="B611" s="9">
        <v>4134555</v>
      </c>
      <c r="C611" s="70">
        <v>45655</v>
      </c>
      <c r="D611" s="70">
        <v>45655</v>
      </c>
      <c r="E611" s="73"/>
      <c r="F611" s="9"/>
      <c r="H611" s="9" t="s">
        <v>3495</v>
      </c>
      <c r="I611" s="7" t="s">
        <v>1174</v>
      </c>
      <c r="J611" s="51" t="s">
        <v>65</v>
      </c>
      <c r="K611" s="7"/>
      <c r="L611" s="10"/>
      <c r="M611" s="10"/>
      <c r="N611" s="10"/>
      <c r="O611" s="10"/>
      <c r="P611" s="10"/>
      <c r="Q611" s="10"/>
      <c r="R611" s="10"/>
      <c r="S611" s="10"/>
      <c r="T611" s="10">
        <v>4568</v>
      </c>
      <c r="U611" s="10"/>
      <c r="V611" s="10"/>
      <c r="W611" s="10"/>
      <c r="X611" s="10"/>
      <c r="Y611" s="10"/>
      <c r="Z611" s="10"/>
      <c r="AA611" s="33"/>
      <c r="AB611" s="10"/>
      <c r="AC611" s="33"/>
      <c r="AD611" s="10">
        <f t="shared" si="10"/>
        <v>-4568</v>
      </c>
      <c r="AE611" s="82"/>
    </row>
    <row r="612" spans="1:32" ht="15.75" thickBot="1" x14ac:dyDescent="0.3">
      <c r="A612" s="93" t="s">
        <v>8</v>
      </c>
      <c r="B612" s="67"/>
      <c r="C612" s="65"/>
      <c r="D612" s="65"/>
      <c r="E612" s="66"/>
      <c r="F612" s="66"/>
      <c r="G612" s="66"/>
      <c r="H612" s="66"/>
      <c r="I612" s="63"/>
      <c r="J612" s="63"/>
      <c r="K612" s="63"/>
      <c r="L612" s="63" t="e">
        <f>SUM(#REF!)</f>
        <v>#REF!</v>
      </c>
      <c r="M612" s="63" t="e">
        <f>SUM(#REF!)</f>
        <v>#REF!</v>
      </c>
      <c r="N612" s="63" t="e">
        <f>SUM(#REF!)</f>
        <v>#REF!</v>
      </c>
      <c r="O612" s="63" t="e">
        <f>SUM(#REF!)</f>
        <v>#REF!</v>
      </c>
      <c r="P612" s="63" t="e">
        <f>SUM(#REF!)</f>
        <v>#REF!</v>
      </c>
      <c r="Q612" s="63" t="e">
        <f>SUM(#REF!)</f>
        <v>#REF!</v>
      </c>
      <c r="R612" s="63" t="e">
        <f>SUM(#REF!)</f>
        <v>#REF!</v>
      </c>
      <c r="S612" s="63" t="e">
        <f>SUM(#REF!)</f>
        <v>#REF!</v>
      </c>
      <c r="T612" s="63" t="e">
        <f>SUM(#REF!)</f>
        <v>#REF!</v>
      </c>
      <c r="U612" s="63" t="e">
        <f>SUM(#REF!)</f>
        <v>#REF!</v>
      </c>
      <c r="V612" s="63" t="e">
        <f>SUM(#REF!)</f>
        <v>#REF!</v>
      </c>
      <c r="W612" s="63" t="e">
        <f>SUM(#REF!)</f>
        <v>#REF!</v>
      </c>
      <c r="X612" s="63" t="e">
        <f>SUM(#REF!)</f>
        <v>#REF!</v>
      </c>
      <c r="Y612" s="63" t="e">
        <f>SUM(#REF!)</f>
        <v>#REF!</v>
      </c>
      <c r="Z612" s="63" t="e">
        <f>SUM(#REF!)</f>
        <v>#REF!</v>
      </c>
      <c r="AA612" s="63" t="e">
        <f>SUM(#REF!)</f>
        <v>#REF!</v>
      </c>
      <c r="AB612" s="63"/>
      <c r="AC612" s="63" t="e">
        <f>SUM(#REF!)</f>
        <v>#REF!</v>
      </c>
      <c r="AD612" s="63"/>
      <c r="AE612" s="10"/>
      <c r="AF612"/>
    </row>
    <row r="613" spans="1:32" ht="15.75" thickTop="1" x14ac:dyDescent="0.25">
      <c r="A613" s="7"/>
      <c r="C613" s="70"/>
      <c r="D613" s="70"/>
      <c r="E613" s="73"/>
      <c r="F613" s="9"/>
      <c r="H613" s="9"/>
      <c r="I613" s="10"/>
      <c r="J613" s="10"/>
      <c r="K613" s="7"/>
      <c r="L613" s="10"/>
      <c r="M613" s="10"/>
      <c r="N613" s="10"/>
      <c r="O613" s="10"/>
      <c r="P613" s="10"/>
      <c r="Q613" s="10"/>
      <c r="R613" s="10"/>
      <c r="S613" s="10"/>
      <c r="T613" s="14"/>
      <c r="U613" s="10"/>
      <c r="V613" s="10"/>
      <c r="W613" s="10"/>
      <c r="X613" s="7"/>
      <c r="Y613" s="7"/>
      <c r="Z613" s="7"/>
      <c r="AA613" s="34"/>
      <c r="AB613" s="7"/>
      <c r="AC613" s="34"/>
      <c r="AD613" s="10"/>
      <c r="AF613"/>
    </row>
    <row r="614" spans="1:32" x14ac:dyDescent="0.25">
      <c r="A614" s="7"/>
      <c r="C614" s="70"/>
      <c r="D614" s="70"/>
      <c r="E614" s="73"/>
      <c r="F614" s="9"/>
      <c r="H614" s="9"/>
      <c r="I614" s="10"/>
      <c r="J614" s="10"/>
      <c r="K614" s="7"/>
      <c r="L614" s="10"/>
      <c r="M614" s="10"/>
      <c r="N614" s="10"/>
      <c r="O614" s="10"/>
      <c r="P614" s="10"/>
      <c r="Q614" s="10"/>
      <c r="R614" s="10"/>
      <c r="S614" s="10"/>
      <c r="T614" s="14"/>
      <c r="U614" s="10"/>
      <c r="V614" s="10"/>
      <c r="W614" s="10"/>
      <c r="X614" s="7"/>
      <c r="Y614" s="7"/>
      <c r="Z614" s="7"/>
      <c r="AA614" s="34"/>
      <c r="AB614" s="7"/>
      <c r="AC614" s="34"/>
      <c r="AD614" s="10"/>
      <c r="AF614"/>
    </row>
    <row r="615" spans="1:32" x14ac:dyDescent="0.25">
      <c r="A615" s="7"/>
      <c r="C615" s="70"/>
      <c r="D615" s="70"/>
      <c r="E615" s="73"/>
      <c r="F615" s="9"/>
      <c r="H615" s="9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4"/>
      <c r="U615" s="10"/>
      <c r="V615" s="10"/>
      <c r="W615" s="10"/>
      <c r="X615" s="7"/>
      <c r="Y615" s="7"/>
      <c r="Z615" s="7"/>
      <c r="AA615" s="34"/>
      <c r="AB615" s="7"/>
      <c r="AC615" s="34"/>
      <c r="AD615" s="10"/>
      <c r="AF615"/>
    </row>
    <row r="616" spans="1:32" x14ac:dyDescent="0.25">
      <c r="A616" s="7"/>
      <c r="C616" s="70"/>
      <c r="D616" s="70"/>
      <c r="E616" s="73"/>
      <c r="F616" s="9"/>
      <c r="H616" s="9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4"/>
      <c r="U616" s="10"/>
      <c r="V616" s="10"/>
      <c r="W616" s="10"/>
      <c r="X616" s="7"/>
      <c r="Y616" s="7"/>
      <c r="Z616" s="7"/>
      <c r="AA616" s="34"/>
      <c r="AB616" s="7"/>
      <c r="AC616" s="34"/>
      <c r="AD616" s="10"/>
      <c r="AF616"/>
    </row>
    <row r="617" spans="1:32" x14ac:dyDescent="0.25">
      <c r="A617" s="7"/>
      <c r="C617" s="70"/>
      <c r="D617" s="70"/>
      <c r="E617" s="73"/>
      <c r="F617" s="9"/>
      <c r="H617" s="9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4"/>
      <c r="U617" s="10"/>
      <c r="V617" s="10"/>
      <c r="W617" s="10"/>
      <c r="X617" s="7"/>
      <c r="Y617" s="7"/>
      <c r="Z617" s="7"/>
      <c r="AA617" s="34"/>
      <c r="AB617" s="7"/>
      <c r="AC617" s="34"/>
      <c r="AD617" s="10"/>
      <c r="AF617"/>
    </row>
    <row r="618" spans="1:32" x14ac:dyDescent="0.25">
      <c r="A618" s="7"/>
      <c r="C618" s="70"/>
      <c r="D618" s="70"/>
      <c r="E618" s="73"/>
      <c r="F618" s="9"/>
      <c r="H618" s="9"/>
      <c r="I618" s="10"/>
      <c r="J618" s="10"/>
      <c r="K618" s="7"/>
      <c r="L618" s="10"/>
      <c r="M618" s="10"/>
      <c r="N618" s="10"/>
      <c r="O618" s="10"/>
      <c r="P618" s="10"/>
      <c r="Q618" s="10"/>
      <c r="R618" s="10"/>
      <c r="S618" s="10"/>
      <c r="T618" s="14"/>
      <c r="U618" s="10"/>
      <c r="V618" s="10"/>
      <c r="W618" s="10"/>
      <c r="X618" s="7"/>
      <c r="Y618" s="7"/>
      <c r="Z618" s="34"/>
      <c r="AA618" s="34"/>
      <c r="AB618" s="7"/>
      <c r="AC618" s="34"/>
      <c r="AD618" s="10"/>
      <c r="AF618"/>
    </row>
    <row r="619" spans="1:32" x14ac:dyDescent="0.25">
      <c r="A619" s="7"/>
      <c r="C619" s="70"/>
      <c r="D619" s="70"/>
      <c r="E619" s="73"/>
      <c r="F619" s="9"/>
      <c r="H619" s="9"/>
      <c r="I619" s="10"/>
      <c r="J619" s="10"/>
      <c r="K619" s="7"/>
      <c r="L619" s="10"/>
      <c r="M619" s="10"/>
      <c r="N619" s="10"/>
      <c r="O619" s="10"/>
      <c r="P619" s="10"/>
      <c r="Q619" s="10"/>
      <c r="R619" s="10"/>
      <c r="S619" s="10"/>
      <c r="T619" s="14"/>
      <c r="U619" s="10"/>
      <c r="V619" s="10"/>
      <c r="W619" s="10"/>
      <c r="X619" s="7"/>
      <c r="Y619" s="7"/>
      <c r="Z619" s="7"/>
      <c r="AA619" s="34"/>
      <c r="AB619" s="7"/>
      <c r="AC619" s="34"/>
      <c r="AD619" s="10"/>
      <c r="AF619"/>
    </row>
    <row r="620" spans="1:32" x14ac:dyDescent="0.25">
      <c r="A620" s="7"/>
      <c r="C620" s="70"/>
      <c r="D620" s="70"/>
      <c r="E620" s="73"/>
      <c r="F620" s="9"/>
      <c r="H620" s="9"/>
      <c r="I620" s="10"/>
      <c r="J620" s="10"/>
      <c r="K620" s="7"/>
      <c r="L620" s="10"/>
      <c r="M620" s="10"/>
      <c r="N620" s="10"/>
      <c r="O620" s="10"/>
      <c r="P620" s="10"/>
      <c r="Q620" s="10"/>
      <c r="R620" s="10"/>
      <c r="S620" s="10"/>
      <c r="T620" s="14"/>
      <c r="U620" s="10"/>
      <c r="V620" s="10"/>
      <c r="W620" s="10"/>
      <c r="X620" s="7"/>
      <c r="Y620" s="7"/>
      <c r="Z620" s="7"/>
      <c r="AA620" s="34"/>
      <c r="AB620" s="7"/>
      <c r="AC620" s="34"/>
      <c r="AD620" s="10"/>
      <c r="AF620"/>
    </row>
    <row r="621" spans="1:32" x14ac:dyDescent="0.25">
      <c r="A621" s="7"/>
      <c r="C621" s="70"/>
      <c r="D621" s="70"/>
      <c r="E621" s="73"/>
      <c r="F621" s="9"/>
      <c r="H621" s="9"/>
      <c r="I621" s="10"/>
      <c r="J621" s="7"/>
      <c r="K621" s="7"/>
      <c r="L621" s="10"/>
      <c r="M621" s="10"/>
      <c r="N621" s="10"/>
      <c r="O621" s="10"/>
      <c r="P621" s="10"/>
      <c r="Q621" s="10"/>
      <c r="R621" s="10"/>
      <c r="S621" s="10"/>
      <c r="T621" s="14"/>
      <c r="U621" s="10"/>
      <c r="V621" s="10"/>
      <c r="W621" s="10"/>
      <c r="X621" s="7"/>
      <c r="Y621" s="7"/>
      <c r="Z621" s="7"/>
      <c r="AA621" s="34"/>
      <c r="AB621" s="7"/>
      <c r="AC621" s="34"/>
      <c r="AD621" s="10"/>
      <c r="AF621"/>
    </row>
    <row r="622" spans="1:32" x14ac:dyDescent="0.25">
      <c r="A622" s="7"/>
      <c r="C622" s="70"/>
      <c r="D622" s="70"/>
      <c r="E622" s="73"/>
      <c r="F622" s="9"/>
      <c r="H622" s="9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4"/>
      <c r="U622" s="10"/>
      <c r="V622" s="10"/>
      <c r="W622" s="10"/>
      <c r="X622" s="7"/>
      <c r="Y622" s="7"/>
      <c r="Z622" s="7"/>
      <c r="AA622" s="34"/>
      <c r="AB622" s="7"/>
      <c r="AC622" s="34"/>
      <c r="AD622" s="10"/>
      <c r="AF622"/>
    </row>
    <row r="623" spans="1:32" x14ac:dyDescent="0.25">
      <c r="A623" s="7"/>
      <c r="C623" s="70"/>
      <c r="D623" s="70"/>
      <c r="E623" s="73"/>
      <c r="F623" s="9"/>
      <c r="H623" s="9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4"/>
      <c r="U623" s="10"/>
      <c r="V623" s="10"/>
      <c r="W623" s="10"/>
      <c r="X623" s="7"/>
      <c r="Y623" s="7"/>
      <c r="Z623" s="7"/>
      <c r="AA623" s="34"/>
      <c r="AB623" s="7"/>
      <c r="AC623" s="34"/>
      <c r="AD623" s="10"/>
      <c r="AF623"/>
    </row>
    <row r="624" spans="1:32" x14ac:dyDescent="0.25">
      <c r="A624" s="43"/>
      <c r="C624" s="70"/>
      <c r="D624" s="70"/>
      <c r="E624" s="73"/>
      <c r="F624" s="9"/>
      <c r="H624" s="9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4"/>
      <c r="U624" s="10"/>
      <c r="V624" s="10"/>
      <c r="W624" s="10"/>
      <c r="X624" s="7"/>
      <c r="Y624" s="7"/>
      <c r="Z624" s="7"/>
      <c r="AA624" s="34"/>
      <c r="AB624" s="7"/>
      <c r="AC624" s="34"/>
      <c r="AD624" s="10"/>
      <c r="AF624"/>
    </row>
    <row r="625" spans="1:32" x14ac:dyDescent="0.25">
      <c r="A625" s="7"/>
      <c r="C625" s="70"/>
      <c r="D625" s="70"/>
      <c r="E625" s="73"/>
      <c r="F625" s="9"/>
      <c r="H625" s="9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4"/>
      <c r="U625" s="10"/>
      <c r="V625" s="10"/>
      <c r="W625" s="10"/>
      <c r="X625" s="7"/>
      <c r="Y625" s="7"/>
      <c r="Z625" s="34"/>
      <c r="AA625" s="34"/>
      <c r="AB625" s="7"/>
      <c r="AC625" s="34"/>
      <c r="AD625" s="10"/>
      <c r="AF625"/>
    </row>
    <row r="626" spans="1:32" x14ac:dyDescent="0.25">
      <c r="A626" s="7"/>
      <c r="C626" s="70"/>
      <c r="D626" s="70"/>
      <c r="E626" s="73"/>
      <c r="F626" s="9"/>
      <c r="H626" s="9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4"/>
      <c r="U626" s="10"/>
      <c r="V626" s="10"/>
      <c r="W626" s="10"/>
      <c r="X626" s="7"/>
      <c r="Y626" s="7"/>
      <c r="Z626" s="7"/>
      <c r="AA626" s="34"/>
      <c r="AB626" s="7"/>
      <c r="AC626" s="34"/>
      <c r="AD626" s="10"/>
      <c r="AF626"/>
    </row>
    <row r="627" spans="1:32" x14ac:dyDescent="0.25">
      <c r="A627" s="7"/>
      <c r="C627" s="70"/>
      <c r="D627" s="70"/>
      <c r="E627" s="73"/>
      <c r="F627" s="9"/>
      <c r="H627" s="9"/>
      <c r="I627" s="10"/>
      <c r="J627" s="7"/>
      <c r="K627" s="7"/>
      <c r="L627" s="10"/>
      <c r="M627" s="10"/>
      <c r="N627" s="10"/>
      <c r="O627" s="10"/>
      <c r="P627" s="10"/>
      <c r="Q627" s="10"/>
      <c r="R627" s="10"/>
      <c r="S627" s="10"/>
      <c r="T627" s="14"/>
      <c r="U627" s="10"/>
      <c r="V627" s="10"/>
      <c r="W627" s="10"/>
      <c r="X627" s="7"/>
      <c r="Y627" s="7"/>
      <c r="Z627" s="7"/>
      <c r="AA627" s="34"/>
      <c r="AB627" s="7"/>
      <c r="AC627" s="34"/>
      <c r="AD627" s="10"/>
      <c r="AF627"/>
    </row>
    <row r="628" spans="1:32" x14ac:dyDescent="0.25">
      <c r="A628" s="7"/>
      <c r="C628" s="70"/>
      <c r="D628" s="70"/>
      <c r="E628" s="73"/>
      <c r="F628" s="45"/>
      <c r="H628" s="9"/>
      <c r="I628" s="10"/>
      <c r="J628" s="7"/>
      <c r="K628" s="7"/>
      <c r="L628" s="10"/>
      <c r="M628" s="10"/>
      <c r="N628" s="10"/>
      <c r="O628" s="10"/>
      <c r="P628" s="10"/>
      <c r="Q628" s="10"/>
      <c r="R628" s="10"/>
      <c r="S628" s="10"/>
      <c r="T628" s="14"/>
      <c r="U628" s="10"/>
      <c r="V628" s="10"/>
      <c r="W628" s="10"/>
      <c r="X628" s="7"/>
      <c r="Y628" s="34"/>
      <c r="Z628" s="7"/>
      <c r="AA628" s="34"/>
      <c r="AB628" s="7"/>
      <c r="AC628" s="34"/>
      <c r="AD628" s="10"/>
      <c r="AF628"/>
    </row>
    <row r="629" spans="1:32" x14ac:dyDescent="0.25">
      <c r="A629" s="7"/>
      <c r="C629" s="70"/>
      <c r="D629" s="70"/>
      <c r="E629" s="73"/>
      <c r="F629" s="9"/>
      <c r="H629" s="9"/>
      <c r="I629" s="10"/>
      <c r="J629" s="7"/>
      <c r="K629" s="7"/>
      <c r="L629" s="10"/>
      <c r="M629" s="10"/>
      <c r="N629" s="10"/>
      <c r="O629" s="10"/>
      <c r="P629" s="10"/>
      <c r="Q629" s="10"/>
      <c r="R629" s="10"/>
      <c r="S629" s="10"/>
      <c r="T629" s="14"/>
      <c r="U629" s="10"/>
      <c r="V629" s="10"/>
      <c r="W629" s="10"/>
      <c r="X629" s="7"/>
      <c r="Y629" s="7"/>
      <c r="Z629" s="7"/>
      <c r="AA629" s="34"/>
      <c r="AB629" s="7"/>
      <c r="AC629" s="34"/>
      <c r="AD629" s="10"/>
      <c r="AF629"/>
    </row>
    <row r="630" spans="1:32" x14ac:dyDescent="0.25">
      <c r="A630" s="7"/>
      <c r="C630" s="70"/>
      <c r="D630" s="70"/>
      <c r="E630" s="73"/>
      <c r="F630" s="9"/>
      <c r="H630" s="9"/>
      <c r="I630" s="10"/>
      <c r="J630" s="7"/>
      <c r="K630" s="7"/>
      <c r="L630" s="10"/>
      <c r="M630" s="10"/>
      <c r="N630" s="10"/>
      <c r="O630" s="10"/>
      <c r="P630" s="10"/>
      <c r="Q630" s="10"/>
      <c r="R630" s="10"/>
      <c r="S630" s="10"/>
      <c r="T630" s="14"/>
      <c r="U630" s="10"/>
      <c r="V630" s="10"/>
      <c r="W630" s="10"/>
      <c r="X630" s="7"/>
      <c r="Y630" s="7"/>
      <c r="Z630" s="7"/>
      <c r="AA630" s="34"/>
      <c r="AB630" s="7"/>
      <c r="AC630" s="34"/>
      <c r="AD630" s="10"/>
      <c r="AF630"/>
    </row>
    <row r="631" spans="1:32" x14ac:dyDescent="0.25">
      <c r="A631" s="7"/>
      <c r="C631" s="70"/>
      <c r="D631" s="70"/>
      <c r="E631" s="73"/>
      <c r="F631" s="9"/>
      <c r="H631" s="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4"/>
      <c r="U631" s="10"/>
      <c r="V631" s="10"/>
      <c r="W631" s="10"/>
      <c r="X631" s="7"/>
      <c r="Y631" s="7"/>
      <c r="Z631" s="7"/>
      <c r="AA631" s="34"/>
      <c r="AB631" s="7"/>
      <c r="AC631" s="34"/>
      <c r="AD631" s="10"/>
      <c r="AF631"/>
    </row>
    <row r="632" spans="1:32" x14ac:dyDescent="0.25">
      <c r="A632" s="7"/>
      <c r="C632" s="70"/>
      <c r="D632" s="70"/>
      <c r="E632" s="73"/>
      <c r="F632" s="9"/>
      <c r="H632" s="9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4"/>
      <c r="U632" s="10"/>
      <c r="V632" s="10"/>
      <c r="W632" s="10"/>
      <c r="X632" s="7"/>
      <c r="Y632" s="7"/>
      <c r="Z632" s="34"/>
      <c r="AA632" s="34"/>
      <c r="AB632" s="7"/>
      <c r="AC632" s="34"/>
      <c r="AD632" s="10"/>
      <c r="AF632"/>
    </row>
    <row r="633" spans="1:32" x14ac:dyDescent="0.25">
      <c r="A633" s="7"/>
      <c r="C633" s="70"/>
      <c r="D633" s="70"/>
      <c r="E633" s="73"/>
      <c r="F633" s="9"/>
      <c r="H633" s="9"/>
      <c r="I633" s="10"/>
      <c r="J633" s="7"/>
      <c r="K633" s="7"/>
      <c r="L633" s="10"/>
      <c r="M633" s="10"/>
      <c r="N633" s="10"/>
      <c r="O633" s="10"/>
      <c r="P633" s="10"/>
      <c r="Q633" s="10"/>
      <c r="R633" s="10"/>
      <c r="S633" s="10"/>
      <c r="T633" s="14"/>
      <c r="U633" s="10"/>
      <c r="V633" s="10"/>
      <c r="W633" s="10"/>
      <c r="X633" s="7"/>
      <c r="Y633" s="7"/>
      <c r="Z633" s="7"/>
      <c r="AA633" s="34"/>
      <c r="AB633" s="7"/>
      <c r="AC633" s="34"/>
      <c r="AD633" s="10"/>
      <c r="AF633"/>
    </row>
    <row r="634" spans="1:32" x14ac:dyDescent="0.25">
      <c r="A634" s="7"/>
      <c r="C634" s="70"/>
      <c r="D634" s="70"/>
      <c r="E634" s="73"/>
      <c r="F634" s="9"/>
      <c r="H634" s="9"/>
      <c r="I634" s="10"/>
      <c r="J634" s="7"/>
      <c r="K634" s="7"/>
      <c r="L634" s="10"/>
      <c r="M634" s="10"/>
      <c r="N634" s="10"/>
      <c r="O634" s="10"/>
      <c r="P634" s="10"/>
      <c r="Q634" s="10"/>
      <c r="R634" s="10"/>
      <c r="S634" s="10"/>
      <c r="T634" s="14"/>
      <c r="U634" s="10"/>
      <c r="V634" s="10"/>
      <c r="W634" s="10"/>
      <c r="X634" s="7"/>
      <c r="Y634" s="7"/>
      <c r="Z634" s="7"/>
      <c r="AA634" s="34"/>
      <c r="AB634" s="7"/>
      <c r="AC634" s="34"/>
      <c r="AD634" s="10"/>
      <c r="AF634"/>
    </row>
    <row r="635" spans="1:32" x14ac:dyDescent="0.25">
      <c r="A635" s="7"/>
      <c r="C635" s="70"/>
      <c r="D635" s="70"/>
      <c r="E635" s="73"/>
      <c r="F635" s="45"/>
      <c r="H635" s="9"/>
      <c r="I635" s="10"/>
      <c r="J635" s="7"/>
      <c r="K635" s="7"/>
      <c r="L635" s="10"/>
      <c r="M635" s="10"/>
      <c r="N635" s="10"/>
      <c r="O635" s="10"/>
      <c r="P635" s="10"/>
      <c r="Q635" s="10"/>
      <c r="R635" s="10"/>
      <c r="S635" s="10"/>
      <c r="T635" s="14"/>
      <c r="U635" s="10"/>
      <c r="V635" s="10"/>
      <c r="W635" s="10"/>
      <c r="X635" s="7"/>
      <c r="Y635" s="34"/>
      <c r="Z635" s="7"/>
      <c r="AA635" s="34"/>
      <c r="AB635" s="7"/>
      <c r="AC635" s="34"/>
      <c r="AD635" s="10"/>
      <c r="AF635"/>
    </row>
    <row r="636" spans="1:32" x14ac:dyDescent="0.25">
      <c r="A636" s="7"/>
      <c r="C636" s="70"/>
      <c r="D636" s="70"/>
      <c r="E636" s="73"/>
      <c r="F636" s="9"/>
      <c r="H636" s="9"/>
      <c r="I636" s="10"/>
      <c r="J636" s="7"/>
      <c r="K636" s="7"/>
      <c r="L636" s="10"/>
      <c r="M636" s="10"/>
      <c r="N636" s="10"/>
      <c r="O636" s="10"/>
      <c r="P636" s="10"/>
      <c r="Q636" s="10"/>
      <c r="R636" s="10"/>
      <c r="S636" s="10"/>
      <c r="T636" s="14"/>
      <c r="U636" s="10"/>
      <c r="V636" s="10"/>
      <c r="W636" s="10"/>
      <c r="X636" s="7"/>
      <c r="Y636" s="7"/>
      <c r="Z636" s="7"/>
      <c r="AA636" s="34"/>
      <c r="AB636" s="7"/>
      <c r="AC636" s="34"/>
      <c r="AD636" s="10"/>
      <c r="AF636"/>
    </row>
    <row r="637" spans="1:32" x14ac:dyDescent="0.25">
      <c r="A637" s="7"/>
      <c r="C637" s="70"/>
      <c r="D637" s="70"/>
      <c r="E637" s="73"/>
      <c r="F637" s="9"/>
      <c r="H637" s="9"/>
      <c r="I637" s="10"/>
      <c r="J637" s="7"/>
      <c r="K637" s="7"/>
      <c r="L637" s="10"/>
      <c r="M637" s="10"/>
      <c r="N637" s="10"/>
      <c r="O637" s="10"/>
      <c r="P637" s="10"/>
      <c r="Q637" s="10"/>
      <c r="R637" s="10"/>
      <c r="S637" s="10"/>
      <c r="T637" s="14"/>
      <c r="U637" s="10"/>
      <c r="V637" s="10"/>
      <c r="W637" s="10"/>
      <c r="X637" s="7"/>
      <c r="Y637" s="7"/>
      <c r="Z637" s="7"/>
      <c r="AA637" s="34"/>
      <c r="AB637" s="7"/>
      <c r="AC637" s="34"/>
      <c r="AD637" s="10"/>
      <c r="AF637"/>
    </row>
    <row r="638" spans="1:32" x14ac:dyDescent="0.25">
      <c r="A638" s="7"/>
      <c r="C638" s="70"/>
      <c r="D638" s="70"/>
      <c r="E638" s="73"/>
      <c r="F638" s="9"/>
      <c r="H638" s="9"/>
      <c r="I638" s="10"/>
      <c r="J638" s="7"/>
      <c r="K638" s="7"/>
      <c r="L638" s="10"/>
      <c r="M638" s="10"/>
      <c r="N638" s="10"/>
      <c r="O638" s="10"/>
      <c r="P638" s="10"/>
      <c r="Q638" s="10"/>
      <c r="R638" s="10"/>
      <c r="S638" s="10"/>
      <c r="T638" s="14"/>
      <c r="U638" s="10"/>
      <c r="V638" s="10"/>
      <c r="W638" s="10"/>
      <c r="X638" s="7"/>
      <c r="Y638" s="7"/>
      <c r="Z638" s="7"/>
      <c r="AA638" s="34"/>
      <c r="AB638" s="7"/>
      <c r="AC638" s="34"/>
      <c r="AD638" s="10"/>
      <c r="AF638"/>
    </row>
    <row r="639" spans="1:32" x14ac:dyDescent="0.25">
      <c r="A639" s="7"/>
      <c r="C639" s="70"/>
      <c r="D639" s="70"/>
      <c r="E639" s="73"/>
      <c r="F639" s="9"/>
      <c r="H639" s="9"/>
      <c r="I639" s="10"/>
      <c r="J639" s="7"/>
      <c r="K639" s="24"/>
      <c r="L639" s="10"/>
      <c r="M639" s="10"/>
      <c r="N639" s="10"/>
      <c r="O639" s="10"/>
      <c r="P639" s="10"/>
      <c r="Q639" s="10"/>
      <c r="R639" s="10"/>
      <c r="S639" s="10"/>
      <c r="T639" s="14"/>
      <c r="U639" s="10"/>
      <c r="V639" s="10"/>
      <c r="W639" s="10"/>
      <c r="X639" s="7"/>
      <c r="Y639" s="7"/>
      <c r="Z639" s="7"/>
      <c r="AA639" s="34"/>
      <c r="AB639" s="7"/>
      <c r="AC639" s="34"/>
      <c r="AD639" s="10"/>
      <c r="AF639"/>
    </row>
    <row r="640" spans="1:32" x14ac:dyDescent="0.25">
      <c r="A640" s="7"/>
      <c r="C640" s="70"/>
      <c r="D640" s="70"/>
      <c r="E640" s="73"/>
      <c r="F640" s="9"/>
      <c r="H640" s="9"/>
      <c r="I640" s="10"/>
      <c r="J640" s="7"/>
      <c r="K640" s="7"/>
      <c r="L640" s="10"/>
      <c r="M640" s="10"/>
      <c r="N640" s="10"/>
      <c r="O640" s="10"/>
      <c r="P640" s="10"/>
      <c r="Q640" s="10"/>
      <c r="R640" s="10"/>
      <c r="S640" s="10"/>
      <c r="T640" s="14"/>
      <c r="U640" s="10"/>
      <c r="V640" s="10"/>
      <c r="W640" s="10"/>
      <c r="X640" s="7"/>
      <c r="Y640" s="7"/>
      <c r="Z640" s="7"/>
      <c r="AA640" s="34"/>
      <c r="AB640" s="7"/>
      <c r="AC640" s="34"/>
      <c r="AD640" s="10"/>
      <c r="AF640"/>
    </row>
    <row r="641" spans="1:32" x14ac:dyDescent="0.25">
      <c r="A641" s="7"/>
      <c r="C641" s="70"/>
      <c r="D641" s="70"/>
      <c r="E641" s="73"/>
      <c r="F641" s="9"/>
      <c r="H641" s="9"/>
      <c r="I641" s="10"/>
      <c r="J641" s="7"/>
      <c r="K641" s="24"/>
      <c r="L641" s="10"/>
      <c r="M641" s="10"/>
      <c r="N641" s="10"/>
      <c r="O641" s="10"/>
      <c r="P641" s="10"/>
      <c r="Q641" s="10"/>
      <c r="R641" s="10"/>
      <c r="S641" s="10"/>
      <c r="T641" s="14"/>
      <c r="U641" s="10"/>
      <c r="V641" s="10"/>
      <c r="W641" s="10"/>
      <c r="X641" s="7"/>
      <c r="Y641" s="7"/>
      <c r="Z641" s="7"/>
      <c r="AA641" s="34"/>
      <c r="AB641" s="7"/>
      <c r="AC641" s="34"/>
      <c r="AD641" s="10"/>
      <c r="AF641"/>
    </row>
    <row r="642" spans="1:32" x14ac:dyDescent="0.25">
      <c r="A642" s="7"/>
      <c r="C642" s="70"/>
      <c r="D642" s="70"/>
      <c r="E642" s="73"/>
      <c r="F642" s="9"/>
      <c r="H642" s="9"/>
      <c r="I642" s="10"/>
      <c r="J642" s="7"/>
      <c r="K642" s="7"/>
      <c r="L642" s="10"/>
      <c r="M642" s="10"/>
      <c r="N642" s="10"/>
      <c r="O642" s="10"/>
      <c r="P642" s="10"/>
      <c r="Q642" s="10"/>
      <c r="R642" s="10"/>
      <c r="S642" s="10"/>
      <c r="T642" s="14"/>
      <c r="U642" s="10"/>
      <c r="V642" s="10"/>
      <c r="W642" s="10"/>
      <c r="X642" s="7"/>
      <c r="Y642" s="7"/>
      <c r="Z642" s="7"/>
      <c r="AA642" s="34"/>
      <c r="AB642" s="7"/>
      <c r="AC642" s="34"/>
      <c r="AD642" s="10"/>
      <c r="AF642"/>
    </row>
    <row r="643" spans="1:32" x14ac:dyDescent="0.25">
      <c r="A643" s="7"/>
      <c r="C643" s="70"/>
      <c r="D643" s="70"/>
      <c r="E643" s="73"/>
      <c r="F643" s="9"/>
      <c r="H643" s="9"/>
      <c r="I643" s="10"/>
      <c r="J643" s="7"/>
      <c r="K643" s="7"/>
      <c r="L643" s="10"/>
      <c r="M643" s="10"/>
      <c r="N643" s="10"/>
      <c r="O643" s="10"/>
      <c r="P643" s="10"/>
      <c r="Q643" s="10"/>
      <c r="R643" s="10"/>
      <c r="S643" s="10"/>
      <c r="T643" s="14"/>
      <c r="U643" s="10"/>
      <c r="V643" s="10"/>
      <c r="W643" s="10"/>
      <c r="X643" s="7"/>
      <c r="Y643" s="7"/>
      <c r="Z643" s="7"/>
      <c r="AA643" s="34"/>
      <c r="AB643" s="7"/>
      <c r="AC643" s="34"/>
      <c r="AD643" s="10"/>
      <c r="AF643"/>
    </row>
    <row r="644" spans="1:32" x14ac:dyDescent="0.25">
      <c r="A644" s="7"/>
      <c r="C644" s="70"/>
      <c r="D644" s="70"/>
      <c r="E644" s="73"/>
      <c r="F644" s="9"/>
      <c r="H644" s="9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4"/>
      <c r="U644" s="10"/>
      <c r="V644" s="10"/>
      <c r="W644" s="10"/>
      <c r="X644" s="7"/>
      <c r="Y644" s="7"/>
      <c r="Z644" s="34"/>
      <c r="AA644" s="34"/>
      <c r="AB644" s="7"/>
      <c r="AC644" s="34"/>
      <c r="AD644" s="10"/>
      <c r="AF644"/>
    </row>
    <row r="645" spans="1:32" x14ac:dyDescent="0.25">
      <c r="A645" s="7"/>
      <c r="C645" s="70"/>
      <c r="D645" s="70"/>
      <c r="E645" s="73"/>
      <c r="F645" s="9"/>
      <c r="H645" s="9"/>
      <c r="I645" s="10"/>
      <c r="J645" s="60"/>
      <c r="K645" s="42"/>
      <c r="L645" s="10"/>
      <c r="M645" s="10"/>
      <c r="N645" s="10"/>
      <c r="O645" s="10"/>
      <c r="P645" s="10"/>
      <c r="Q645" s="10"/>
      <c r="R645" s="10"/>
      <c r="S645" s="10"/>
      <c r="T645" s="14"/>
      <c r="U645" s="10"/>
      <c r="V645" s="10"/>
      <c r="W645" s="10"/>
      <c r="X645" s="7"/>
      <c r="Y645" s="7"/>
      <c r="Z645" s="34"/>
      <c r="AA645" s="34"/>
      <c r="AB645" s="7"/>
      <c r="AC645" s="34"/>
      <c r="AD645" s="10"/>
      <c r="AF645"/>
    </row>
    <row r="646" spans="1:32" x14ac:dyDescent="0.25">
      <c r="A646" s="7"/>
      <c r="C646" s="70"/>
      <c r="D646" s="70"/>
      <c r="E646" s="73"/>
      <c r="F646" s="9"/>
      <c r="H646" s="9"/>
      <c r="I646" s="10"/>
      <c r="J646" s="7"/>
      <c r="K646" s="7"/>
      <c r="L646" s="10"/>
      <c r="M646" s="10"/>
      <c r="N646" s="10"/>
      <c r="O646" s="10"/>
      <c r="P646" s="10"/>
      <c r="Q646" s="10"/>
      <c r="R646" s="10"/>
      <c r="S646" s="10"/>
      <c r="T646" s="14"/>
      <c r="U646" s="10"/>
      <c r="V646" s="10"/>
      <c r="W646" s="10"/>
      <c r="X646" s="7"/>
      <c r="Y646" s="7"/>
      <c r="Z646" s="7"/>
      <c r="AA646" s="34"/>
      <c r="AB646" s="7"/>
      <c r="AC646" s="34"/>
      <c r="AD646" s="10"/>
      <c r="AF646"/>
    </row>
    <row r="647" spans="1:32" x14ac:dyDescent="0.25">
      <c r="A647" s="7"/>
      <c r="C647" s="70"/>
      <c r="D647" s="70"/>
      <c r="E647" s="73"/>
      <c r="F647" s="9"/>
      <c r="H647" s="9"/>
      <c r="I647" s="10"/>
      <c r="J647" s="7"/>
      <c r="K647" s="7"/>
      <c r="L647" s="10"/>
      <c r="M647" s="10"/>
      <c r="N647" s="10"/>
      <c r="O647" s="10"/>
      <c r="P647" s="10"/>
      <c r="Q647" s="10"/>
      <c r="R647" s="10"/>
      <c r="S647" s="10"/>
      <c r="T647" s="14"/>
      <c r="U647" s="10"/>
      <c r="V647" s="10"/>
      <c r="W647" s="10"/>
      <c r="X647" s="7"/>
      <c r="Y647" s="7"/>
      <c r="Z647" s="7"/>
      <c r="AA647" s="34"/>
      <c r="AB647" s="7"/>
      <c r="AC647" s="34"/>
      <c r="AD647" s="10"/>
      <c r="AF647"/>
    </row>
    <row r="648" spans="1:32" x14ac:dyDescent="0.25">
      <c r="A648" s="7"/>
      <c r="C648" s="70"/>
      <c r="D648" s="70"/>
      <c r="E648" s="73"/>
      <c r="F648" s="9"/>
      <c r="H648" s="9"/>
      <c r="I648" s="10"/>
      <c r="J648" s="7"/>
      <c r="K648" s="10"/>
      <c r="L648" s="10"/>
      <c r="M648" s="10"/>
      <c r="N648" s="10"/>
      <c r="O648" s="10"/>
      <c r="P648" s="10"/>
      <c r="Q648" s="10"/>
      <c r="R648" s="10"/>
      <c r="S648" s="10"/>
      <c r="T648" s="14"/>
      <c r="U648" s="10"/>
      <c r="V648" s="10"/>
      <c r="W648" s="10"/>
      <c r="X648" s="7"/>
      <c r="Y648" s="7"/>
      <c r="Z648" s="7"/>
      <c r="AA648" s="34"/>
      <c r="AB648" s="7"/>
      <c r="AC648" s="34"/>
      <c r="AD648" s="10"/>
      <c r="AF648"/>
    </row>
    <row r="649" spans="1:32" x14ac:dyDescent="0.25">
      <c r="A649" s="7"/>
      <c r="C649" s="70"/>
      <c r="D649" s="70"/>
      <c r="E649" s="73"/>
      <c r="F649" s="9"/>
      <c r="H649" s="9"/>
      <c r="I649" s="10"/>
      <c r="J649" s="7"/>
      <c r="K649" s="7"/>
      <c r="L649" s="10"/>
      <c r="M649" s="10"/>
      <c r="N649" s="10"/>
      <c r="O649" s="10"/>
      <c r="P649" s="10"/>
      <c r="Q649" s="10"/>
      <c r="R649" s="10"/>
      <c r="S649" s="10"/>
      <c r="T649" s="14"/>
      <c r="U649" s="10"/>
      <c r="V649" s="10"/>
      <c r="W649" s="10"/>
      <c r="X649" s="7"/>
      <c r="Y649" s="7"/>
      <c r="Z649" s="7"/>
      <c r="AA649" s="34"/>
      <c r="AB649" s="7"/>
      <c r="AC649" s="34"/>
      <c r="AD649" s="10"/>
      <c r="AF649"/>
    </row>
    <row r="650" spans="1:32" x14ac:dyDescent="0.25">
      <c r="A650" s="7"/>
      <c r="C650" s="70"/>
      <c r="D650" s="70"/>
      <c r="E650" s="73"/>
      <c r="F650" s="9"/>
      <c r="H650" s="9"/>
      <c r="I650" s="10"/>
      <c r="J650" s="7"/>
      <c r="K650" s="7"/>
      <c r="L650" s="10"/>
      <c r="M650" s="10"/>
      <c r="N650" s="10"/>
      <c r="O650" s="10"/>
      <c r="P650" s="10"/>
      <c r="Q650" s="10"/>
      <c r="R650" s="10"/>
      <c r="S650" s="10"/>
      <c r="T650" s="14"/>
      <c r="U650" s="10"/>
      <c r="V650" s="10"/>
      <c r="W650" s="10"/>
      <c r="X650" s="7"/>
      <c r="Y650" s="7"/>
      <c r="Z650" s="7"/>
      <c r="AA650" s="34"/>
      <c r="AB650" s="7"/>
      <c r="AC650" s="34"/>
      <c r="AD650" s="10"/>
      <c r="AF650"/>
    </row>
    <row r="651" spans="1:32" x14ac:dyDescent="0.25">
      <c r="A651" s="7"/>
      <c r="C651" s="70"/>
      <c r="D651" s="70"/>
      <c r="E651" s="73"/>
      <c r="F651" s="9"/>
      <c r="H651" s="9"/>
      <c r="I651" s="10"/>
      <c r="J651" s="7"/>
      <c r="K651" s="7"/>
      <c r="L651" s="10"/>
      <c r="M651" s="10"/>
      <c r="N651" s="10"/>
      <c r="O651" s="10"/>
      <c r="P651" s="10"/>
      <c r="Q651" s="10"/>
      <c r="R651" s="10"/>
      <c r="S651" s="10"/>
      <c r="T651" s="14"/>
      <c r="U651" s="10"/>
      <c r="V651" s="10"/>
      <c r="W651" s="10"/>
      <c r="X651" s="7"/>
      <c r="Y651" s="7"/>
      <c r="Z651" s="7"/>
      <c r="AA651" s="34"/>
      <c r="AB651" s="7"/>
      <c r="AC651" s="34"/>
      <c r="AD651" s="10"/>
      <c r="AF651"/>
    </row>
    <row r="652" spans="1:32" x14ac:dyDescent="0.25">
      <c r="A652" s="7"/>
      <c r="C652" s="70"/>
      <c r="D652" s="70"/>
      <c r="E652" s="73"/>
      <c r="F652" s="9"/>
      <c r="H652" s="9"/>
      <c r="I652" s="10"/>
      <c r="J652" s="7"/>
      <c r="K652" s="7"/>
      <c r="L652" s="10"/>
      <c r="M652" s="10"/>
      <c r="N652" s="10"/>
      <c r="O652" s="10"/>
      <c r="P652" s="10"/>
      <c r="Q652" s="10"/>
      <c r="R652" s="10"/>
      <c r="S652" s="10"/>
      <c r="T652" s="14"/>
      <c r="U652" s="10"/>
      <c r="V652" s="10"/>
      <c r="W652" s="10"/>
      <c r="X652" s="7"/>
      <c r="Y652" s="7"/>
      <c r="Z652" s="7"/>
      <c r="AA652" s="34"/>
      <c r="AB652" s="7"/>
      <c r="AC652" s="34"/>
      <c r="AD652" s="10"/>
      <c r="AF652"/>
    </row>
    <row r="653" spans="1:32" x14ac:dyDescent="0.25">
      <c r="A653" s="7"/>
      <c r="C653" s="70"/>
      <c r="D653" s="70"/>
      <c r="E653" s="73"/>
      <c r="F653" s="9"/>
      <c r="H653" s="9"/>
      <c r="I653" s="10"/>
      <c r="J653" s="7"/>
      <c r="K653" s="24"/>
      <c r="L653" s="10"/>
      <c r="M653" s="10"/>
      <c r="N653" s="10"/>
      <c r="O653" s="10"/>
      <c r="P653" s="10"/>
      <c r="Q653" s="10"/>
      <c r="R653" s="10"/>
      <c r="S653" s="10"/>
      <c r="T653" s="14"/>
      <c r="U653" s="10"/>
      <c r="V653" s="10"/>
      <c r="W653" s="10"/>
      <c r="X653" s="7"/>
      <c r="Y653" s="7"/>
      <c r="Z653" s="34"/>
      <c r="AA653" s="34"/>
      <c r="AB653" s="7"/>
      <c r="AC653" s="34"/>
      <c r="AD653" s="10"/>
      <c r="AF653"/>
    </row>
    <row r="654" spans="1:32" x14ac:dyDescent="0.25">
      <c r="A654" s="7"/>
      <c r="C654" s="70"/>
      <c r="D654" s="70"/>
      <c r="E654" s="73"/>
      <c r="F654" s="9"/>
      <c r="H654" s="9"/>
      <c r="I654" s="10"/>
      <c r="J654" s="10"/>
      <c r="K654" s="10"/>
      <c r="L654" s="34"/>
      <c r="M654" s="10"/>
      <c r="N654" s="10"/>
      <c r="O654" s="10"/>
      <c r="P654" s="10"/>
      <c r="Q654" s="10"/>
      <c r="R654" s="10"/>
      <c r="S654" s="10"/>
      <c r="T654" s="14"/>
      <c r="U654" s="10"/>
      <c r="V654" s="10"/>
      <c r="W654" s="10"/>
      <c r="X654" s="34"/>
      <c r="Y654" s="7"/>
      <c r="Z654" s="34"/>
      <c r="AA654" s="34"/>
      <c r="AB654" s="7"/>
      <c r="AC654" s="34"/>
      <c r="AD654" s="10"/>
      <c r="AF654"/>
    </row>
    <row r="655" spans="1:32" x14ac:dyDescent="0.25">
      <c r="A655" s="7"/>
      <c r="C655" s="70"/>
      <c r="D655" s="70"/>
      <c r="E655" s="73"/>
      <c r="F655" s="9"/>
      <c r="H655" s="9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4"/>
      <c r="U655" s="10"/>
      <c r="V655" s="10"/>
      <c r="W655" s="10"/>
      <c r="X655" s="7"/>
      <c r="Y655" s="7"/>
      <c r="Z655" s="7"/>
      <c r="AA655" s="34"/>
      <c r="AB655" s="7"/>
      <c r="AC655" s="34"/>
      <c r="AD655" s="10"/>
      <c r="AF655"/>
    </row>
    <row r="656" spans="1:32" x14ac:dyDescent="0.25">
      <c r="A656" s="7"/>
      <c r="C656" s="70"/>
      <c r="D656" s="70"/>
      <c r="E656" s="73"/>
      <c r="F656" s="9"/>
      <c r="H656" s="9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4"/>
      <c r="U656" s="10"/>
      <c r="V656" s="10"/>
      <c r="W656" s="10"/>
      <c r="X656" s="7"/>
      <c r="Y656" s="7"/>
      <c r="Z656" s="7"/>
      <c r="AA656" s="34"/>
      <c r="AB656" s="7"/>
      <c r="AC656" s="34"/>
      <c r="AD656" s="10"/>
      <c r="AF656"/>
    </row>
    <row r="657" spans="1:32" x14ac:dyDescent="0.25">
      <c r="A657" s="7"/>
      <c r="C657" s="70"/>
      <c r="D657" s="70"/>
      <c r="E657" s="73"/>
      <c r="F657" s="9"/>
      <c r="H657" s="9"/>
      <c r="I657" s="10"/>
      <c r="J657" s="7"/>
      <c r="K657" s="7"/>
      <c r="L657" s="10"/>
      <c r="M657" s="10"/>
      <c r="N657" s="10"/>
      <c r="O657" s="10"/>
      <c r="P657" s="10"/>
      <c r="Q657" s="10"/>
      <c r="R657" s="10"/>
      <c r="S657" s="10"/>
      <c r="T657" s="14"/>
      <c r="U657" s="10"/>
      <c r="V657" s="10"/>
      <c r="W657" s="10"/>
      <c r="X657" s="7"/>
      <c r="Y657" s="7"/>
      <c r="Z657" s="7"/>
      <c r="AA657" s="34"/>
      <c r="AB657" s="7"/>
      <c r="AC657" s="34"/>
      <c r="AD657" s="10"/>
      <c r="AF657"/>
    </row>
    <row r="658" spans="1:32" x14ac:dyDescent="0.25">
      <c r="A658" s="7"/>
      <c r="C658" s="70"/>
      <c r="D658" s="70"/>
      <c r="E658" s="73"/>
      <c r="F658" s="9"/>
      <c r="H658" s="9"/>
      <c r="I658" s="10"/>
      <c r="J658" s="7"/>
      <c r="K658" s="7"/>
      <c r="L658" s="10"/>
      <c r="M658" s="10"/>
      <c r="N658" s="10"/>
      <c r="O658" s="10"/>
      <c r="P658" s="10"/>
      <c r="Q658" s="10"/>
      <c r="R658" s="10"/>
      <c r="S658" s="10"/>
      <c r="T658" s="14"/>
      <c r="U658" s="10"/>
      <c r="V658" s="10"/>
      <c r="W658" s="10"/>
      <c r="X658" s="7"/>
      <c r="Y658" s="7"/>
      <c r="Z658" s="34"/>
      <c r="AA658" s="34"/>
      <c r="AB658" s="7"/>
      <c r="AC658" s="34"/>
      <c r="AD658" s="10"/>
      <c r="AF658"/>
    </row>
    <row r="659" spans="1:32" x14ac:dyDescent="0.25">
      <c r="A659" s="7"/>
      <c r="C659" s="70"/>
      <c r="D659" s="70"/>
      <c r="E659" s="73"/>
      <c r="F659" s="9"/>
      <c r="H659" s="9"/>
      <c r="I659" s="10"/>
      <c r="J659" s="7"/>
      <c r="K659" s="7"/>
      <c r="L659" s="10"/>
      <c r="M659" s="10"/>
      <c r="N659" s="10"/>
      <c r="O659" s="10"/>
      <c r="P659" s="10"/>
      <c r="Q659" s="10"/>
      <c r="R659" s="10"/>
      <c r="S659" s="10"/>
      <c r="T659" s="14"/>
      <c r="U659" s="10"/>
      <c r="V659" s="10"/>
      <c r="W659" s="10"/>
      <c r="X659" s="7"/>
      <c r="Y659" s="7"/>
      <c r="Z659" s="34"/>
      <c r="AA659" s="34"/>
      <c r="AB659" s="7"/>
      <c r="AC659" s="34"/>
      <c r="AD659" s="10"/>
      <c r="AF659"/>
    </row>
    <row r="660" spans="1:32" x14ac:dyDescent="0.25">
      <c r="A660" s="7"/>
      <c r="C660" s="70"/>
      <c r="D660" s="70"/>
      <c r="E660" s="73"/>
      <c r="F660" s="9"/>
      <c r="H660" s="9"/>
      <c r="I660" s="10"/>
      <c r="J660" s="7"/>
      <c r="K660" s="7"/>
      <c r="L660" s="10"/>
      <c r="M660" s="10"/>
      <c r="N660" s="10"/>
      <c r="O660" s="10"/>
      <c r="P660" s="10"/>
      <c r="Q660" s="10"/>
      <c r="R660" s="10"/>
      <c r="S660" s="10"/>
      <c r="T660" s="14"/>
      <c r="U660" s="10"/>
      <c r="V660" s="10"/>
      <c r="W660" s="10"/>
      <c r="X660" s="7"/>
      <c r="Y660" s="7"/>
      <c r="Z660" s="7"/>
      <c r="AA660" s="34"/>
      <c r="AB660" s="7"/>
      <c r="AC660" s="34"/>
      <c r="AD660" s="10"/>
      <c r="AF660"/>
    </row>
    <row r="661" spans="1:32" x14ac:dyDescent="0.25">
      <c r="A661" s="7"/>
      <c r="C661" s="70"/>
      <c r="D661" s="70"/>
      <c r="E661" s="73"/>
      <c r="F661" s="9"/>
      <c r="H661" s="9"/>
      <c r="I661" s="10"/>
      <c r="J661" s="7"/>
      <c r="K661" s="7"/>
      <c r="L661" s="10"/>
      <c r="M661" s="10"/>
      <c r="N661" s="10"/>
      <c r="O661" s="10"/>
      <c r="P661" s="10"/>
      <c r="Q661" s="10"/>
      <c r="R661" s="10"/>
      <c r="S661" s="10"/>
      <c r="T661" s="14"/>
      <c r="U661" s="10"/>
      <c r="V661" s="10"/>
      <c r="W661" s="10"/>
      <c r="X661" s="7"/>
      <c r="Y661" s="7"/>
      <c r="Z661" s="7"/>
      <c r="AA661" s="34"/>
      <c r="AB661" s="7"/>
      <c r="AC661" s="34"/>
      <c r="AD661" s="10"/>
      <c r="AF661"/>
    </row>
    <row r="662" spans="1:32" x14ac:dyDescent="0.25">
      <c r="A662" s="7"/>
      <c r="C662" s="70"/>
      <c r="D662" s="70"/>
      <c r="E662" s="73"/>
      <c r="F662" s="9"/>
      <c r="H662" s="9"/>
      <c r="I662" s="10"/>
      <c r="J662" s="7"/>
      <c r="K662" s="7"/>
      <c r="L662" s="10"/>
      <c r="M662" s="10"/>
      <c r="N662" s="10"/>
      <c r="O662" s="10"/>
      <c r="P662" s="10"/>
      <c r="Q662" s="10"/>
      <c r="R662" s="10"/>
      <c r="S662" s="10"/>
      <c r="T662" s="14"/>
      <c r="U662" s="10"/>
      <c r="V662" s="10"/>
      <c r="W662" s="10"/>
      <c r="X662" s="7"/>
      <c r="Y662" s="7"/>
      <c r="Z662" s="7"/>
      <c r="AA662" s="34"/>
      <c r="AB662" s="7"/>
      <c r="AC662" s="34"/>
      <c r="AD662" s="10"/>
      <c r="AF662"/>
    </row>
    <row r="663" spans="1:32" x14ac:dyDescent="0.25">
      <c r="A663" s="7"/>
      <c r="C663" s="70"/>
      <c r="D663" s="70"/>
      <c r="E663" s="73"/>
      <c r="F663" s="9"/>
      <c r="H663" s="9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4"/>
      <c r="U663" s="10"/>
      <c r="V663" s="10"/>
      <c r="W663" s="10"/>
      <c r="X663" s="7"/>
      <c r="Y663" s="7"/>
      <c r="Z663" s="7"/>
      <c r="AA663" s="34"/>
      <c r="AB663" s="7"/>
      <c r="AC663" s="34"/>
      <c r="AD663" s="10"/>
      <c r="AF663"/>
    </row>
    <row r="664" spans="1:32" x14ac:dyDescent="0.25">
      <c r="A664" s="7"/>
      <c r="C664" s="70"/>
      <c r="D664" s="70"/>
      <c r="E664" s="73"/>
      <c r="F664" s="9"/>
      <c r="H664" s="9"/>
      <c r="I664" s="10"/>
      <c r="J664" s="7"/>
      <c r="K664" s="24"/>
      <c r="L664" s="10"/>
      <c r="M664" s="10"/>
      <c r="N664" s="10"/>
      <c r="O664" s="10"/>
      <c r="P664" s="10"/>
      <c r="Q664" s="10"/>
      <c r="R664" s="10"/>
      <c r="S664" s="10"/>
      <c r="T664" s="14"/>
      <c r="U664" s="10"/>
      <c r="V664" s="10"/>
      <c r="W664" s="10"/>
      <c r="X664" s="7"/>
      <c r="Y664" s="7"/>
      <c r="Z664" s="7"/>
      <c r="AA664" s="34"/>
      <c r="AB664" s="7"/>
      <c r="AC664" s="34"/>
      <c r="AD664" s="10"/>
      <c r="AF664"/>
    </row>
    <row r="665" spans="1:32" x14ac:dyDescent="0.25">
      <c r="A665" s="7"/>
      <c r="C665" s="70"/>
      <c r="D665" s="70"/>
      <c r="E665" s="73"/>
      <c r="F665" s="48"/>
      <c r="H665" s="9"/>
      <c r="I665" s="10"/>
      <c r="J665" s="7"/>
      <c r="K665" s="24"/>
      <c r="L665" s="10"/>
      <c r="M665" s="10"/>
      <c r="N665" s="10"/>
      <c r="O665" s="10"/>
      <c r="P665" s="10"/>
      <c r="Q665" s="10"/>
      <c r="R665" s="10"/>
      <c r="S665" s="10"/>
      <c r="T665" s="14"/>
      <c r="U665" s="10"/>
      <c r="V665" s="10"/>
      <c r="W665" s="10"/>
      <c r="X665" s="7"/>
      <c r="Y665" s="34"/>
      <c r="Z665" s="7"/>
      <c r="AA665" s="34"/>
      <c r="AB665" s="7"/>
      <c r="AC665" s="34"/>
      <c r="AD665" s="10"/>
      <c r="AF665"/>
    </row>
    <row r="666" spans="1:32" x14ac:dyDescent="0.25">
      <c r="A666" s="7"/>
      <c r="C666" s="70"/>
      <c r="D666" s="70"/>
      <c r="E666" s="73"/>
      <c r="F666" s="9"/>
      <c r="H666" s="9"/>
      <c r="I666" s="10"/>
      <c r="J666" s="7"/>
      <c r="K666" s="24"/>
      <c r="L666" s="10"/>
      <c r="M666" s="10"/>
      <c r="N666" s="10"/>
      <c r="O666" s="10"/>
      <c r="P666" s="10"/>
      <c r="Q666" s="10"/>
      <c r="R666" s="10"/>
      <c r="S666" s="10"/>
      <c r="T666" s="14"/>
      <c r="U666" s="10"/>
      <c r="V666" s="10"/>
      <c r="W666" s="10"/>
      <c r="X666" s="7"/>
      <c r="Y666" s="7"/>
      <c r="Z666" s="7"/>
      <c r="AA666" s="34"/>
      <c r="AB666" s="7"/>
      <c r="AC666" s="34"/>
      <c r="AD666" s="10"/>
      <c r="AF666"/>
    </row>
    <row r="667" spans="1:32" x14ac:dyDescent="0.25">
      <c r="A667" s="7"/>
      <c r="C667" s="70"/>
      <c r="D667" s="70"/>
      <c r="E667" s="73"/>
      <c r="F667" s="9"/>
      <c r="H667" s="9"/>
      <c r="I667" s="10"/>
      <c r="J667" s="7"/>
      <c r="K667" s="7"/>
      <c r="L667" s="10"/>
      <c r="M667" s="10"/>
      <c r="N667" s="10"/>
      <c r="O667" s="10"/>
      <c r="P667" s="10"/>
      <c r="Q667" s="10"/>
      <c r="R667" s="10"/>
      <c r="S667" s="10"/>
      <c r="T667" s="14"/>
      <c r="U667" s="10"/>
      <c r="V667" s="10"/>
      <c r="W667" s="10"/>
      <c r="X667" s="7"/>
      <c r="Y667" s="7"/>
      <c r="Z667" s="7"/>
      <c r="AA667" s="34"/>
      <c r="AB667" s="7"/>
      <c r="AC667" s="34"/>
      <c r="AD667" s="10"/>
      <c r="AF667"/>
    </row>
    <row r="668" spans="1:32" x14ac:dyDescent="0.25">
      <c r="A668" s="7"/>
      <c r="C668" s="70"/>
      <c r="D668" s="70"/>
      <c r="E668" s="73"/>
      <c r="F668" s="9"/>
      <c r="H668" s="9"/>
      <c r="I668" s="10"/>
      <c r="J668" s="10"/>
      <c r="K668" s="7"/>
      <c r="L668" s="10"/>
      <c r="M668" s="10"/>
      <c r="N668" s="10"/>
      <c r="O668" s="10"/>
      <c r="P668" s="10"/>
      <c r="Q668" s="10"/>
      <c r="R668" s="10"/>
      <c r="S668" s="10"/>
      <c r="T668" s="14"/>
      <c r="U668" s="10"/>
      <c r="V668" s="10"/>
      <c r="W668" s="10"/>
      <c r="X668" s="7"/>
      <c r="Y668" s="7"/>
      <c r="Z668" s="34"/>
      <c r="AA668" s="34"/>
      <c r="AB668" s="7"/>
      <c r="AC668" s="34"/>
      <c r="AD668" s="10"/>
      <c r="AF668"/>
    </row>
    <row r="669" spans="1:32" x14ac:dyDescent="0.25">
      <c r="A669" s="7"/>
      <c r="C669" s="70"/>
      <c r="D669" s="70"/>
      <c r="E669" s="73"/>
      <c r="F669" s="9"/>
      <c r="H669" s="9"/>
      <c r="I669" s="10"/>
      <c r="J669" s="7"/>
      <c r="K669" s="24"/>
      <c r="L669" s="10"/>
      <c r="M669" s="10"/>
      <c r="N669" s="10"/>
      <c r="O669" s="10"/>
      <c r="P669" s="10"/>
      <c r="Q669" s="10"/>
      <c r="R669" s="10"/>
      <c r="S669" s="10"/>
      <c r="T669" s="14"/>
      <c r="U669" s="10"/>
      <c r="V669" s="10"/>
      <c r="W669" s="10"/>
      <c r="X669" s="7"/>
      <c r="Y669" s="7"/>
      <c r="Z669" s="34"/>
      <c r="AA669" s="34"/>
      <c r="AB669" s="7"/>
      <c r="AC669" s="34"/>
      <c r="AD669" s="10"/>
      <c r="AF669"/>
    </row>
    <row r="670" spans="1:32" x14ac:dyDescent="0.25">
      <c r="A670" s="7"/>
      <c r="C670" s="70"/>
      <c r="D670" s="70"/>
      <c r="E670" s="73"/>
      <c r="F670" s="9"/>
      <c r="H670" s="9"/>
      <c r="I670" s="10"/>
      <c r="J670" s="7"/>
      <c r="K670" s="7"/>
      <c r="L670" s="10"/>
      <c r="M670" s="10"/>
      <c r="N670" s="10"/>
      <c r="O670" s="10"/>
      <c r="P670" s="10"/>
      <c r="Q670" s="10"/>
      <c r="R670" s="10"/>
      <c r="S670" s="10"/>
      <c r="T670" s="14"/>
      <c r="U670" s="10"/>
      <c r="V670" s="10"/>
      <c r="W670" s="10"/>
      <c r="X670" s="7"/>
      <c r="Y670" s="7"/>
      <c r="Z670" s="7"/>
      <c r="AA670" s="34"/>
      <c r="AB670" s="7"/>
      <c r="AC670" s="34"/>
      <c r="AD670" s="10"/>
      <c r="AF670"/>
    </row>
    <row r="671" spans="1:32" x14ac:dyDescent="0.25">
      <c r="A671" s="7"/>
      <c r="C671" s="70"/>
      <c r="D671" s="70"/>
      <c r="E671" s="73"/>
      <c r="F671" s="9"/>
      <c r="H671" s="9"/>
      <c r="I671" s="10"/>
      <c r="J671" s="7"/>
      <c r="K671" s="7"/>
      <c r="L671" s="10"/>
      <c r="M671" s="10"/>
      <c r="N671" s="10"/>
      <c r="O671" s="10"/>
      <c r="P671" s="10"/>
      <c r="Q671" s="10"/>
      <c r="R671" s="10"/>
      <c r="S671" s="10"/>
      <c r="T671" s="14"/>
      <c r="U671" s="10"/>
      <c r="V671" s="10"/>
      <c r="W671" s="10"/>
      <c r="X671" s="7"/>
      <c r="Y671" s="7"/>
      <c r="Z671" s="7"/>
      <c r="AA671" s="34"/>
      <c r="AB671" s="7"/>
      <c r="AC671" s="34"/>
      <c r="AD671" s="10"/>
      <c r="AF671"/>
    </row>
    <row r="672" spans="1:32" x14ac:dyDescent="0.25">
      <c r="A672" s="7"/>
      <c r="C672" s="70"/>
      <c r="D672" s="70"/>
      <c r="E672" s="73"/>
      <c r="F672" s="9"/>
      <c r="H672" s="9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4"/>
      <c r="U672" s="10"/>
      <c r="V672" s="10"/>
      <c r="W672" s="10"/>
      <c r="X672" s="34"/>
      <c r="Y672" s="7"/>
      <c r="Z672" s="7"/>
      <c r="AA672" s="34"/>
      <c r="AB672" s="7"/>
      <c r="AC672" s="34"/>
      <c r="AD672" s="10"/>
      <c r="AF672"/>
    </row>
    <row r="673" spans="1:32" x14ac:dyDescent="0.25">
      <c r="A673" s="7"/>
      <c r="C673" s="70"/>
      <c r="D673" s="70"/>
      <c r="E673" s="73"/>
      <c r="F673" s="9"/>
      <c r="H673" s="9"/>
      <c r="I673" s="10"/>
      <c r="J673" s="10"/>
      <c r="K673" s="7"/>
      <c r="L673" s="10"/>
      <c r="M673" s="10"/>
      <c r="N673" s="10"/>
      <c r="O673" s="10"/>
      <c r="P673" s="10"/>
      <c r="Q673" s="10"/>
      <c r="R673" s="10"/>
      <c r="S673" s="10"/>
      <c r="T673" s="14"/>
      <c r="U673" s="10"/>
      <c r="V673" s="10"/>
      <c r="W673" s="10"/>
      <c r="X673" s="7"/>
      <c r="Y673" s="7"/>
      <c r="Z673" s="7"/>
      <c r="AA673" s="34"/>
      <c r="AB673" s="7"/>
      <c r="AC673" s="34"/>
      <c r="AD673" s="10"/>
      <c r="AF673"/>
    </row>
    <row r="674" spans="1:32" x14ac:dyDescent="0.25">
      <c r="A674" s="7"/>
      <c r="C674" s="70"/>
      <c r="D674" s="70"/>
      <c r="E674" s="73"/>
      <c r="F674" s="9"/>
      <c r="H674" s="9"/>
      <c r="I674" s="10"/>
      <c r="J674" s="7"/>
      <c r="K674" s="7"/>
      <c r="L674" s="10"/>
      <c r="M674" s="10"/>
      <c r="N674" s="10"/>
      <c r="O674" s="10"/>
      <c r="P674" s="10"/>
      <c r="Q674" s="10"/>
      <c r="R674" s="10"/>
      <c r="S674" s="10"/>
      <c r="T674" s="14"/>
      <c r="U674" s="10"/>
      <c r="V674" s="10"/>
      <c r="W674" s="10"/>
      <c r="X674" s="7"/>
      <c r="Y674" s="7"/>
      <c r="Z674" s="7"/>
      <c r="AA674" s="34"/>
      <c r="AB674" s="7"/>
      <c r="AC674" s="34"/>
      <c r="AD674" s="10"/>
      <c r="AF674"/>
    </row>
    <row r="675" spans="1:32" x14ac:dyDescent="0.25">
      <c r="A675" s="7"/>
      <c r="C675" s="70"/>
      <c r="D675" s="70"/>
      <c r="E675" s="73"/>
      <c r="F675" s="9"/>
      <c r="H675" s="9"/>
      <c r="I675" s="10"/>
      <c r="J675" s="7"/>
      <c r="K675" s="7"/>
      <c r="L675" s="10"/>
      <c r="M675" s="10"/>
      <c r="N675" s="10"/>
      <c r="O675" s="10"/>
      <c r="P675" s="10"/>
      <c r="Q675" s="10"/>
      <c r="R675" s="10"/>
      <c r="S675" s="10"/>
      <c r="T675" s="14"/>
      <c r="U675" s="10"/>
      <c r="V675" s="10"/>
      <c r="W675" s="10"/>
      <c r="X675" s="7"/>
      <c r="Y675" s="7"/>
      <c r="Z675" s="7"/>
      <c r="AA675" s="34"/>
      <c r="AB675" s="7"/>
      <c r="AC675" s="34"/>
      <c r="AD675" s="10"/>
      <c r="AF675"/>
    </row>
    <row r="676" spans="1:32" x14ac:dyDescent="0.25">
      <c r="A676" s="7"/>
      <c r="C676" s="70"/>
      <c r="D676" s="70"/>
      <c r="E676" s="73"/>
      <c r="F676" s="9"/>
      <c r="H676" s="9"/>
      <c r="I676" s="10"/>
      <c r="J676" s="7"/>
      <c r="K676" s="7"/>
      <c r="L676" s="10"/>
      <c r="M676" s="10"/>
      <c r="N676" s="10"/>
      <c r="O676" s="10"/>
      <c r="P676" s="10"/>
      <c r="Q676" s="10"/>
      <c r="R676" s="10"/>
      <c r="S676" s="10"/>
      <c r="T676" s="14"/>
      <c r="U676" s="10"/>
      <c r="V676" s="10"/>
      <c r="W676" s="10"/>
      <c r="X676" s="34"/>
      <c r="Y676" s="7"/>
      <c r="Z676" s="7"/>
      <c r="AA676" s="34"/>
      <c r="AB676" s="7"/>
      <c r="AC676" s="34"/>
      <c r="AD676" s="10"/>
      <c r="AF676"/>
    </row>
    <row r="677" spans="1:32" x14ac:dyDescent="0.25">
      <c r="A677" s="7"/>
      <c r="C677" s="70"/>
      <c r="D677" s="70"/>
      <c r="E677" s="73"/>
      <c r="F677" s="9"/>
      <c r="H677" s="9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4"/>
      <c r="U677" s="10"/>
      <c r="V677" s="10"/>
      <c r="W677" s="10"/>
      <c r="X677" s="7"/>
      <c r="Y677" s="7"/>
      <c r="Z677" s="7"/>
      <c r="AA677" s="34"/>
      <c r="AB677" s="7"/>
      <c r="AC677" s="34"/>
      <c r="AD677" s="10"/>
      <c r="AF677"/>
    </row>
    <row r="678" spans="1:32" x14ac:dyDescent="0.25">
      <c r="A678" s="7"/>
      <c r="C678" s="70"/>
      <c r="D678" s="70"/>
      <c r="E678" s="73"/>
      <c r="F678" s="9"/>
      <c r="H678" s="9"/>
      <c r="I678" s="10"/>
      <c r="J678" s="7"/>
      <c r="K678" s="7"/>
      <c r="L678" s="10"/>
      <c r="M678" s="10"/>
      <c r="N678" s="10"/>
      <c r="O678" s="10"/>
      <c r="P678" s="10"/>
      <c r="Q678" s="10"/>
      <c r="R678" s="10"/>
      <c r="S678" s="10"/>
      <c r="T678" s="14"/>
      <c r="U678" s="10"/>
      <c r="V678" s="10"/>
      <c r="W678" s="10"/>
      <c r="X678" s="7"/>
      <c r="Y678" s="7"/>
      <c r="Z678" s="34"/>
      <c r="AA678" s="34"/>
      <c r="AB678" s="7"/>
      <c r="AC678" s="34"/>
      <c r="AD678" s="10"/>
      <c r="AF678"/>
    </row>
    <row r="679" spans="1:32" x14ac:dyDescent="0.25">
      <c r="A679" s="7"/>
      <c r="C679" s="70"/>
      <c r="D679" s="70"/>
      <c r="E679" s="73"/>
      <c r="F679" s="9"/>
      <c r="H679" s="9"/>
      <c r="I679" s="10"/>
      <c r="J679" s="7"/>
      <c r="K679" s="7"/>
      <c r="L679" s="10"/>
      <c r="M679" s="10"/>
      <c r="N679" s="10"/>
      <c r="O679" s="10"/>
      <c r="P679" s="10"/>
      <c r="Q679" s="10"/>
      <c r="R679" s="10"/>
      <c r="S679" s="10"/>
      <c r="T679" s="14"/>
      <c r="U679" s="10"/>
      <c r="V679" s="10"/>
      <c r="W679" s="10"/>
      <c r="X679" s="7"/>
      <c r="Y679" s="7"/>
      <c r="Z679" s="7"/>
      <c r="AA679" s="34"/>
      <c r="AB679" s="7"/>
      <c r="AC679" s="34"/>
      <c r="AD679" s="10"/>
      <c r="AF679"/>
    </row>
    <row r="680" spans="1:32" x14ac:dyDescent="0.25">
      <c r="A680" s="7"/>
      <c r="C680" s="70"/>
      <c r="D680" s="70"/>
      <c r="E680" s="73"/>
      <c r="F680" s="9"/>
      <c r="H680" s="9"/>
      <c r="I680" s="10"/>
      <c r="J680" s="7"/>
      <c r="K680" s="10"/>
      <c r="L680" s="10"/>
      <c r="M680" s="10"/>
      <c r="N680" s="10"/>
      <c r="O680" s="10"/>
      <c r="P680" s="10"/>
      <c r="Q680" s="10"/>
      <c r="R680" s="10"/>
      <c r="S680" s="10"/>
      <c r="T680" s="14"/>
      <c r="U680" s="10"/>
      <c r="V680" s="10"/>
      <c r="W680" s="10"/>
      <c r="X680" s="7"/>
      <c r="Y680" s="7"/>
      <c r="Z680" s="7"/>
      <c r="AA680" s="34"/>
      <c r="AB680" s="7"/>
      <c r="AC680" s="34"/>
      <c r="AD680" s="10"/>
      <c r="AF680"/>
    </row>
    <row r="681" spans="1:32" x14ac:dyDescent="0.25">
      <c r="A681" s="7"/>
      <c r="C681" s="70"/>
      <c r="D681" s="70"/>
      <c r="E681" s="73"/>
      <c r="F681" s="9"/>
      <c r="H681" s="9"/>
      <c r="I681" s="10"/>
      <c r="J681" s="7"/>
      <c r="K681" s="24"/>
      <c r="L681" s="10"/>
      <c r="M681" s="10"/>
      <c r="N681" s="10"/>
      <c r="O681" s="10"/>
      <c r="P681" s="10"/>
      <c r="Q681" s="10"/>
      <c r="R681" s="10"/>
      <c r="S681" s="10"/>
      <c r="T681" s="14"/>
      <c r="U681" s="10"/>
      <c r="V681" s="10"/>
      <c r="W681" s="10"/>
      <c r="X681" s="7"/>
      <c r="Y681" s="7"/>
      <c r="Z681" s="7"/>
      <c r="AA681" s="34"/>
      <c r="AB681" s="7"/>
      <c r="AC681" s="34"/>
      <c r="AD681" s="10"/>
      <c r="AF681"/>
    </row>
    <row r="682" spans="1:32" x14ac:dyDescent="0.25">
      <c r="A682" s="7"/>
      <c r="C682" s="70"/>
      <c r="D682" s="70"/>
      <c r="E682" s="73"/>
      <c r="F682" s="9"/>
      <c r="H682" s="9"/>
      <c r="I682" s="10"/>
      <c r="J682" s="7"/>
      <c r="K682" s="7"/>
      <c r="L682" s="10"/>
      <c r="M682" s="10"/>
      <c r="N682" s="10"/>
      <c r="O682" s="10"/>
      <c r="P682" s="10"/>
      <c r="Q682" s="10"/>
      <c r="R682" s="10"/>
      <c r="S682" s="10"/>
      <c r="T682" s="14"/>
      <c r="U682" s="10"/>
      <c r="V682" s="10"/>
      <c r="W682" s="10"/>
      <c r="X682" s="7"/>
      <c r="Y682" s="7"/>
      <c r="Z682" s="7"/>
      <c r="AA682" s="34"/>
      <c r="AB682" s="7"/>
      <c r="AC682" s="34"/>
      <c r="AD682" s="10"/>
      <c r="AF682"/>
    </row>
    <row r="683" spans="1:32" x14ac:dyDescent="0.25">
      <c r="A683" s="7"/>
      <c r="C683" s="70"/>
      <c r="D683" s="70"/>
      <c r="E683" s="73"/>
      <c r="F683" s="9"/>
      <c r="H683" s="9"/>
      <c r="I683" s="10"/>
      <c r="J683" s="60"/>
      <c r="K683" s="42"/>
      <c r="L683" s="10"/>
      <c r="M683" s="10"/>
      <c r="N683" s="10"/>
      <c r="O683" s="10"/>
      <c r="P683" s="10"/>
      <c r="Q683" s="10"/>
      <c r="R683" s="10"/>
      <c r="S683" s="10"/>
      <c r="T683" s="14"/>
      <c r="U683" s="10"/>
      <c r="V683" s="10"/>
      <c r="W683" s="10"/>
      <c r="X683" s="7"/>
      <c r="Y683" s="7"/>
      <c r="Z683" s="34"/>
      <c r="AA683" s="34"/>
      <c r="AB683" s="7"/>
      <c r="AC683" s="34"/>
      <c r="AD683" s="10"/>
      <c r="AF683"/>
    </row>
    <row r="684" spans="1:32" x14ac:dyDescent="0.25">
      <c r="A684" s="7"/>
      <c r="C684" s="70"/>
      <c r="D684" s="70"/>
      <c r="E684" s="73"/>
      <c r="F684" s="9"/>
      <c r="H684" s="9"/>
      <c r="I684" s="10"/>
      <c r="J684" s="7"/>
      <c r="K684" s="7"/>
      <c r="L684" s="10"/>
      <c r="M684" s="10"/>
      <c r="N684" s="10"/>
      <c r="O684" s="10"/>
      <c r="P684" s="10"/>
      <c r="Q684" s="10"/>
      <c r="R684" s="10"/>
      <c r="S684" s="10"/>
      <c r="T684" s="14"/>
      <c r="U684" s="10"/>
      <c r="V684" s="10"/>
      <c r="W684" s="10"/>
      <c r="X684" s="7"/>
      <c r="Y684" s="7"/>
      <c r="Z684" s="7"/>
      <c r="AA684" s="34"/>
      <c r="AB684" s="7"/>
      <c r="AC684" s="34"/>
      <c r="AD684" s="10"/>
      <c r="AF684"/>
    </row>
    <row r="685" spans="1:32" x14ac:dyDescent="0.25">
      <c r="A685" s="7"/>
      <c r="C685" s="70"/>
      <c r="D685" s="70"/>
      <c r="E685" s="73"/>
      <c r="F685" s="9"/>
      <c r="H685" s="9"/>
      <c r="I685" s="10"/>
      <c r="J685" s="10"/>
      <c r="K685" s="7"/>
      <c r="L685" s="10"/>
      <c r="M685" s="10"/>
      <c r="N685" s="10"/>
      <c r="O685" s="10"/>
      <c r="P685" s="10"/>
      <c r="Q685" s="10"/>
      <c r="R685" s="10"/>
      <c r="S685" s="10"/>
      <c r="T685" s="14"/>
      <c r="U685" s="10"/>
      <c r="V685" s="10"/>
      <c r="W685" s="10"/>
      <c r="X685" s="7"/>
      <c r="Y685" s="7"/>
      <c r="Z685" s="7"/>
      <c r="AA685" s="34"/>
      <c r="AB685" s="7"/>
      <c r="AC685" s="34"/>
      <c r="AD685" s="10"/>
      <c r="AF685"/>
    </row>
    <row r="686" spans="1:32" x14ac:dyDescent="0.25">
      <c r="A686" s="7"/>
      <c r="C686" s="70"/>
      <c r="D686" s="70"/>
      <c r="E686" s="73"/>
      <c r="F686" s="9"/>
      <c r="H686" s="9"/>
      <c r="I686" s="10"/>
      <c r="J686" s="7"/>
      <c r="K686" s="7"/>
      <c r="L686" s="10"/>
      <c r="M686" s="10"/>
      <c r="N686" s="10"/>
      <c r="O686" s="10"/>
      <c r="P686" s="10"/>
      <c r="Q686" s="10"/>
      <c r="R686" s="10"/>
      <c r="S686" s="10"/>
      <c r="T686" s="14"/>
      <c r="U686" s="10"/>
      <c r="V686" s="10"/>
      <c r="W686" s="10"/>
      <c r="X686" s="7"/>
      <c r="Y686" s="7"/>
      <c r="Z686" s="7"/>
      <c r="AA686" s="34"/>
      <c r="AB686" s="7"/>
      <c r="AC686" s="34"/>
      <c r="AD686" s="10"/>
      <c r="AF686"/>
    </row>
    <row r="687" spans="1:32" x14ac:dyDescent="0.25">
      <c r="A687" s="7"/>
      <c r="C687" s="70"/>
      <c r="D687" s="70"/>
      <c r="E687" s="73"/>
      <c r="F687" s="9"/>
      <c r="H687" s="9"/>
      <c r="I687" s="10"/>
      <c r="J687" s="10"/>
      <c r="K687" s="7"/>
      <c r="L687" s="10"/>
      <c r="M687" s="10"/>
      <c r="N687" s="10"/>
      <c r="O687" s="10"/>
      <c r="P687" s="10"/>
      <c r="Q687" s="10"/>
      <c r="R687" s="10"/>
      <c r="S687" s="10"/>
      <c r="T687" s="14"/>
      <c r="U687" s="10"/>
      <c r="V687" s="10"/>
      <c r="W687" s="10"/>
      <c r="X687" s="7"/>
      <c r="Y687" s="7"/>
      <c r="Z687" s="7"/>
      <c r="AA687" s="34"/>
      <c r="AB687" s="7"/>
      <c r="AC687" s="34"/>
      <c r="AD687" s="10"/>
      <c r="AF687"/>
    </row>
    <row r="688" spans="1:32" x14ac:dyDescent="0.25">
      <c r="A688" s="7"/>
      <c r="C688" s="70"/>
      <c r="D688" s="70"/>
      <c r="E688" s="73"/>
      <c r="F688" s="9"/>
      <c r="H688" s="9"/>
      <c r="I688" s="10"/>
      <c r="J688" s="7"/>
      <c r="K688" s="7"/>
      <c r="L688" s="10"/>
      <c r="M688" s="10"/>
      <c r="N688" s="10"/>
      <c r="O688" s="10"/>
      <c r="P688" s="10"/>
      <c r="Q688" s="10"/>
      <c r="R688" s="10"/>
      <c r="S688" s="10"/>
      <c r="T688" s="14"/>
      <c r="U688" s="10"/>
      <c r="V688" s="10"/>
      <c r="W688" s="10"/>
      <c r="X688" s="7"/>
      <c r="Y688" s="34"/>
      <c r="Z688" s="7"/>
      <c r="AA688" s="34"/>
      <c r="AB688" s="7"/>
      <c r="AC688" s="34"/>
      <c r="AD688" s="10"/>
      <c r="AF688"/>
    </row>
    <row r="689" spans="1:32" x14ac:dyDescent="0.25">
      <c r="A689" s="7"/>
      <c r="C689" s="70"/>
      <c r="D689" s="70"/>
      <c r="E689" s="73"/>
      <c r="F689" s="9"/>
      <c r="H689" s="9"/>
      <c r="I689" s="10"/>
      <c r="J689" s="7"/>
      <c r="K689" s="7"/>
      <c r="L689" s="10"/>
      <c r="M689" s="10"/>
      <c r="N689" s="10"/>
      <c r="O689" s="10"/>
      <c r="P689" s="10"/>
      <c r="Q689" s="10"/>
      <c r="R689" s="10"/>
      <c r="S689" s="10"/>
      <c r="T689" s="14"/>
      <c r="U689" s="10"/>
      <c r="V689" s="10"/>
      <c r="W689" s="10"/>
      <c r="X689" s="7"/>
      <c r="Y689" s="7"/>
      <c r="Z689" s="7"/>
      <c r="AA689" s="34"/>
      <c r="AB689" s="7"/>
      <c r="AC689" s="34"/>
      <c r="AD689" s="10"/>
      <c r="AF689"/>
    </row>
    <row r="690" spans="1:32" x14ac:dyDescent="0.25">
      <c r="A690" s="7"/>
      <c r="C690" s="70"/>
      <c r="D690" s="70"/>
      <c r="E690" s="73"/>
      <c r="F690" s="9"/>
      <c r="H690" s="9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4"/>
      <c r="U690" s="10"/>
      <c r="V690" s="10"/>
      <c r="W690" s="10"/>
      <c r="X690" s="7"/>
      <c r="Y690" s="7"/>
      <c r="Z690" s="7"/>
      <c r="AA690" s="34"/>
      <c r="AB690" s="7"/>
      <c r="AC690" s="34"/>
      <c r="AD690" s="10"/>
      <c r="AF690"/>
    </row>
    <row r="691" spans="1:32" x14ac:dyDescent="0.25">
      <c r="A691" s="7"/>
      <c r="C691" s="70"/>
      <c r="D691" s="70"/>
      <c r="E691" s="73"/>
      <c r="F691" s="9"/>
      <c r="H691" s="9"/>
      <c r="I691" s="10"/>
      <c r="J691" s="7"/>
      <c r="K691" s="7"/>
      <c r="L691" s="10"/>
      <c r="M691" s="10"/>
      <c r="N691" s="10"/>
      <c r="O691" s="10"/>
      <c r="P691" s="10"/>
      <c r="Q691" s="10"/>
      <c r="R691" s="10"/>
      <c r="S691" s="10"/>
      <c r="T691" s="14"/>
      <c r="U691" s="10"/>
      <c r="V691" s="10"/>
      <c r="W691" s="10"/>
      <c r="X691" s="7"/>
      <c r="Y691" s="7"/>
      <c r="Z691" s="7"/>
      <c r="AA691" s="34"/>
      <c r="AB691" s="7"/>
      <c r="AC691" s="34"/>
      <c r="AD691" s="10"/>
      <c r="AF691"/>
    </row>
    <row r="692" spans="1:32" x14ac:dyDescent="0.25">
      <c r="A692" s="7"/>
      <c r="C692" s="70"/>
      <c r="D692" s="70"/>
      <c r="E692" s="73"/>
      <c r="F692" s="9"/>
      <c r="H692" s="9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4"/>
      <c r="U692" s="10"/>
      <c r="V692" s="10"/>
      <c r="W692" s="10"/>
      <c r="X692" s="7"/>
      <c r="Y692" s="7"/>
      <c r="Z692" s="7"/>
      <c r="AA692" s="34"/>
      <c r="AB692" s="7"/>
      <c r="AC692" s="34"/>
      <c r="AD692" s="10"/>
      <c r="AF692"/>
    </row>
    <row r="693" spans="1:32" x14ac:dyDescent="0.25">
      <c r="A693" s="7"/>
      <c r="C693" s="70"/>
      <c r="D693" s="70"/>
      <c r="E693" s="73"/>
      <c r="F693" s="9"/>
      <c r="H693" s="9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4"/>
      <c r="U693" s="10"/>
      <c r="V693" s="10"/>
      <c r="W693" s="10"/>
      <c r="X693" s="7"/>
      <c r="Y693" s="7"/>
      <c r="Z693" s="34"/>
      <c r="AA693" s="34"/>
      <c r="AB693" s="7"/>
      <c r="AC693" s="34"/>
      <c r="AD693" s="10"/>
      <c r="AF693"/>
    </row>
    <row r="694" spans="1:32" x14ac:dyDescent="0.25">
      <c r="A694" s="7"/>
      <c r="C694" s="70"/>
      <c r="D694" s="70"/>
      <c r="E694" s="73"/>
      <c r="F694" s="9"/>
      <c r="H694" s="9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4"/>
      <c r="U694" s="10"/>
      <c r="V694" s="10"/>
      <c r="W694" s="10"/>
      <c r="X694" s="7"/>
      <c r="Y694" s="7"/>
      <c r="Z694" s="7"/>
      <c r="AA694" s="34"/>
      <c r="AB694" s="7"/>
      <c r="AC694" s="34"/>
      <c r="AD694" s="10"/>
      <c r="AF694"/>
    </row>
    <row r="695" spans="1:32" x14ac:dyDescent="0.25">
      <c r="A695" s="7"/>
      <c r="C695" s="70"/>
      <c r="D695" s="70"/>
      <c r="E695" s="73"/>
      <c r="F695" s="9"/>
      <c r="H695" s="9"/>
      <c r="I695" s="10"/>
      <c r="J695" s="7"/>
      <c r="K695" s="7"/>
      <c r="L695" s="10"/>
      <c r="M695" s="10"/>
      <c r="N695" s="10"/>
      <c r="O695" s="10"/>
      <c r="P695" s="10"/>
      <c r="Q695" s="10"/>
      <c r="R695" s="10"/>
      <c r="S695" s="10"/>
      <c r="T695" s="14"/>
      <c r="U695" s="10"/>
      <c r="V695" s="10"/>
      <c r="W695" s="10"/>
      <c r="X695" s="7"/>
      <c r="Y695" s="7"/>
      <c r="Z695" s="7"/>
      <c r="AA695" s="34"/>
      <c r="AB695" s="7"/>
      <c r="AC695" s="34"/>
      <c r="AD695" s="10"/>
      <c r="AF695"/>
    </row>
    <row r="696" spans="1:32" x14ac:dyDescent="0.25">
      <c r="A696" s="7"/>
      <c r="C696" s="70"/>
      <c r="D696" s="70"/>
      <c r="E696" s="73"/>
      <c r="F696" s="48"/>
      <c r="H696" s="9"/>
      <c r="I696" s="10"/>
      <c r="J696" s="10"/>
      <c r="K696" s="7"/>
      <c r="L696" s="10"/>
      <c r="M696" s="10"/>
      <c r="N696" s="10"/>
      <c r="O696" s="10"/>
      <c r="P696" s="10"/>
      <c r="Q696" s="10"/>
      <c r="R696" s="10"/>
      <c r="S696" s="10"/>
      <c r="T696" s="14"/>
      <c r="U696" s="10"/>
      <c r="V696" s="10"/>
      <c r="W696" s="10"/>
      <c r="X696" s="7"/>
      <c r="Y696" s="34"/>
      <c r="Z696" s="7"/>
      <c r="AA696" s="34"/>
      <c r="AB696" s="7"/>
      <c r="AC696" s="34"/>
      <c r="AD696" s="10"/>
      <c r="AF696"/>
    </row>
    <row r="697" spans="1:32" x14ac:dyDescent="0.25">
      <c r="A697" s="7"/>
      <c r="C697" s="70"/>
      <c r="D697" s="70"/>
      <c r="E697" s="73"/>
      <c r="F697" s="9"/>
      <c r="H697" s="9"/>
      <c r="I697" s="10"/>
      <c r="J697" s="10"/>
      <c r="K697" s="7"/>
      <c r="L697" s="10"/>
      <c r="M697" s="10"/>
      <c r="N697" s="10"/>
      <c r="O697" s="10"/>
      <c r="P697" s="10"/>
      <c r="Q697" s="10"/>
      <c r="R697" s="10"/>
      <c r="S697" s="10"/>
      <c r="T697" s="14"/>
      <c r="U697" s="10"/>
      <c r="V697" s="10"/>
      <c r="W697" s="10"/>
      <c r="X697" s="7"/>
      <c r="Y697" s="7"/>
      <c r="Z697" s="7"/>
      <c r="AA697" s="34"/>
      <c r="AB697" s="7"/>
      <c r="AC697" s="34"/>
      <c r="AD697" s="10"/>
      <c r="AF697"/>
    </row>
    <row r="698" spans="1:32" x14ac:dyDescent="0.25">
      <c r="A698" s="7"/>
      <c r="C698" s="70"/>
      <c r="D698" s="70"/>
      <c r="E698" s="73"/>
      <c r="F698" s="9"/>
      <c r="H698" s="9"/>
      <c r="I698" s="10"/>
      <c r="J698" s="10"/>
      <c r="K698" s="7"/>
      <c r="L698" s="10"/>
      <c r="M698" s="10"/>
      <c r="N698" s="10"/>
      <c r="O698" s="10"/>
      <c r="P698" s="10"/>
      <c r="Q698" s="10"/>
      <c r="R698" s="10"/>
      <c r="S698" s="10"/>
      <c r="T698" s="14"/>
      <c r="U698" s="10"/>
      <c r="V698" s="10"/>
      <c r="W698" s="10"/>
      <c r="X698" s="7"/>
      <c r="Y698" s="7"/>
      <c r="Z698" s="7"/>
      <c r="AA698" s="34"/>
      <c r="AB698" s="7"/>
      <c r="AC698" s="34"/>
      <c r="AD698" s="10"/>
      <c r="AF698"/>
    </row>
    <row r="699" spans="1:32" x14ac:dyDescent="0.25">
      <c r="A699" s="7"/>
      <c r="C699" s="70"/>
      <c r="D699" s="70"/>
      <c r="E699" s="73"/>
      <c r="F699" s="9"/>
      <c r="H699" s="9"/>
      <c r="I699" s="10"/>
      <c r="J699" s="7"/>
      <c r="K699" s="7"/>
      <c r="L699" s="10"/>
      <c r="M699" s="10"/>
      <c r="N699" s="10"/>
      <c r="O699" s="10"/>
      <c r="P699" s="10"/>
      <c r="Q699" s="10"/>
      <c r="R699" s="10"/>
      <c r="S699" s="10"/>
      <c r="T699" s="14"/>
      <c r="U699" s="10"/>
      <c r="V699" s="10"/>
      <c r="W699" s="10"/>
      <c r="X699" s="7"/>
      <c r="Y699" s="7"/>
      <c r="Z699" s="7"/>
      <c r="AA699" s="34"/>
      <c r="AB699" s="7"/>
      <c r="AC699" s="34"/>
      <c r="AD699" s="10"/>
      <c r="AF699"/>
    </row>
    <row r="700" spans="1:32" x14ac:dyDescent="0.25">
      <c r="A700" s="7"/>
      <c r="C700" s="70"/>
      <c r="D700" s="70"/>
      <c r="E700" s="73"/>
      <c r="F700" s="9"/>
      <c r="H700" s="9"/>
      <c r="I700" s="10"/>
      <c r="J700" s="7"/>
      <c r="K700" s="7"/>
      <c r="L700" s="10"/>
      <c r="M700" s="10"/>
      <c r="N700" s="10"/>
      <c r="O700" s="10"/>
      <c r="P700" s="10"/>
      <c r="Q700" s="10"/>
      <c r="R700" s="10"/>
      <c r="S700" s="10"/>
      <c r="T700" s="14"/>
      <c r="U700" s="10"/>
      <c r="V700" s="10"/>
      <c r="W700" s="10"/>
      <c r="X700" s="7"/>
      <c r="Y700" s="7"/>
      <c r="Z700" s="34"/>
      <c r="AA700" s="34"/>
      <c r="AB700" s="7"/>
      <c r="AC700" s="34"/>
      <c r="AD700" s="10"/>
      <c r="AF700"/>
    </row>
    <row r="701" spans="1:32" x14ac:dyDescent="0.25">
      <c r="A701" s="7"/>
      <c r="C701" s="70"/>
      <c r="D701" s="70"/>
      <c r="E701" s="73"/>
      <c r="F701" s="9"/>
      <c r="H701" s="9"/>
      <c r="I701" s="10"/>
      <c r="J701" s="7"/>
      <c r="K701" s="7"/>
      <c r="L701" s="10"/>
      <c r="M701" s="10"/>
      <c r="N701" s="10"/>
      <c r="O701" s="10"/>
      <c r="P701" s="10"/>
      <c r="Q701" s="10"/>
      <c r="R701" s="10"/>
      <c r="S701" s="10"/>
      <c r="T701" s="14"/>
      <c r="U701" s="10"/>
      <c r="V701" s="10"/>
      <c r="W701" s="10"/>
      <c r="X701" s="7"/>
      <c r="Y701" s="7"/>
      <c r="Z701" s="34"/>
      <c r="AA701" s="34"/>
      <c r="AB701" s="7"/>
      <c r="AC701" s="34"/>
      <c r="AD701" s="10"/>
      <c r="AF701"/>
    </row>
    <row r="702" spans="1:32" x14ac:dyDescent="0.25">
      <c r="A702" s="7"/>
      <c r="C702" s="70"/>
      <c r="D702" s="70"/>
      <c r="E702" s="73"/>
      <c r="F702" s="9"/>
      <c r="H702" s="9"/>
      <c r="I702" s="10"/>
      <c r="J702" s="7"/>
      <c r="K702" s="7"/>
      <c r="L702" s="10"/>
      <c r="M702" s="10"/>
      <c r="N702" s="10"/>
      <c r="O702" s="10"/>
      <c r="P702" s="10"/>
      <c r="Q702" s="10"/>
      <c r="R702" s="10"/>
      <c r="S702" s="10"/>
      <c r="T702" s="14"/>
      <c r="U702" s="10"/>
      <c r="V702" s="10"/>
      <c r="W702" s="10"/>
      <c r="X702" s="7"/>
      <c r="Y702" s="7"/>
      <c r="Z702" s="7"/>
      <c r="AA702" s="34"/>
      <c r="AB702" s="7"/>
      <c r="AC702" s="34"/>
      <c r="AD702" s="10"/>
      <c r="AF702"/>
    </row>
    <row r="703" spans="1:32" x14ac:dyDescent="0.25">
      <c r="A703" s="7"/>
      <c r="C703" s="70"/>
      <c r="D703" s="70"/>
      <c r="E703" s="73"/>
      <c r="F703" s="9"/>
      <c r="H703" s="9"/>
      <c r="I703" s="10"/>
      <c r="J703" s="7"/>
      <c r="K703" s="7"/>
      <c r="L703" s="10"/>
      <c r="M703" s="10"/>
      <c r="N703" s="10"/>
      <c r="O703" s="10"/>
      <c r="P703" s="10"/>
      <c r="Q703" s="10"/>
      <c r="R703" s="10"/>
      <c r="S703" s="10"/>
      <c r="T703" s="14"/>
      <c r="U703" s="10"/>
      <c r="V703" s="10"/>
      <c r="W703" s="10"/>
      <c r="X703" s="7"/>
      <c r="Y703" s="7"/>
      <c r="Z703" s="34"/>
      <c r="AA703" s="34"/>
      <c r="AB703" s="7"/>
      <c r="AC703" s="34"/>
      <c r="AD703" s="10"/>
      <c r="AF703"/>
    </row>
    <row r="704" spans="1:32" x14ac:dyDescent="0.25">
      <c r="A704" s="7"/>
      <c r="C704" s="70"/>
      <c r="D704" s="70"/>
      <c r="E704" s="73"/>
      <c r="F704" s="9"/>
      <c r="H704" s="9"/>
      <c r="I704" s="10"/>
      <c r="J704" s="7"/>
      <c r="K704" s="7"/>
      <c r="L704" s="10"/>
      <c r="M704" s="10"/>
      <c r="N704" s="10"/>
      <c r="O704" s="10"/>
      <c r="P704" s="10"/>
      <c r="Q704" s="10"/>
      <c r="R704" s="10"/>
      <c r="S704" s="10"/>
      <c r="T704" s="14"/>
      <c r="U704" s="10"/>
      <c r="V704" s="10"/>
      <c r="W704" s="10"/>
      <c r="X704" s="7"/>
      <c r="Y704" s="7"/>
      <c r="Z704" s="7"/>
      <c r="AA704" s="34"/>
      <c r="AB704" s="7"/>
      <c r="AC704" s="34"/>
      <c r="AD704" s="10"/>
      <c r="AF704"/>
    </row>
    <row r="705" spans="1:32" x14ac:dyDescent="0.25">
      <c r="A705" s="7"/>
      <c r="C705" s="70"/>
      <c r="D705" s="70"/>
      <c r="E705" s="73"/>
      <c r="F705" s="9"/>
      <c r="H705" s="9"/>
      <c r="I705" s="10"/>
      <c r="J705" s="7"/>
      <c r="K705" s="7"/>
      <c r="L705" s="10"/>
      <c r="M705" s="10"/>
      <c r="N705" s="10"/>
      <c r="O705" s="10"/>
      <c r="P705" s="10"/>
      <c r="Q705" s="10"/>
      <c r="R705" s="10"/>
      <c r="S705" s="10"/>
      <c r="T705" s="14"/>
      <c r="U705" s="10"/>
      <c r="V705" s="10"/>
      <c r="W705" s="10"/>
      <c r="X705" s="7"/>
      <c r="Y705" s="7"/>
      <c r="Z705" s="7"/>
      <c r="AA705" s="34"/>
      <c r="AB705" s="7"/>
      <c r="AC705" s="34"/>
      <c r="AD705" s="10"/>
      <c r="AF705"/>
    </row>
    <row r="706" spans="1:32" x14ac:dyDescent="0.25">
      <c r="A706" s="7"/>
      <c r="C706" s="70"/>
      <c r="D706" s="70"/>
      <c r="E706" s="73"/>
      <c r="F706" s="9"/>
      <c r="H706" s="9"/>
      <c r="I706" s="10"/>
      <c r="J706" s="7"/>
      <c r="K706" s="7"/>
      <c r="L706" s="10"/>
      <c r="M706" s="10"/>
      <c r="N706" s="10"/>
      <c r="O706" s="10"/>
      <c r="P706" s="10"/>
      <c r="Q706" s="10"/>
      <c r="R706" s="10"/>
      <c r="S706" s="10"/>
      <c r="T706" s="14"/>
      <c r="U706" s="10"/>
      <c r="V706" s="10"/>
      <c r="W706" s="10"/>
      <c r="X706" s="7"/>
      <c r="Y706" s="7"/>
      <c r="Z706" s="7"/>
      <c r="AA706" s="34"/>
      <c r="AB706" s="7"/>
      <c r="AC706" s="34"/>
      <c r="AD706" s="10"/>
      <c r="AF706"/>
    </row>
    <row r="707" spans="1:32" x14ac:dyDescent="0.25">
      <c r="A707" s="7"/>
      <c r="C707" s="70"/>
      <c r="D707" s="70"/>
      <c r="E707" s="73"/>
      <c r="F707" s="9"/>
      <c r="H707" s="9"/>
      <c r="I707" s="10"/>
      <c r="J707" s="7"/>
      <c r="K707" s="24"/>
      <c r="L707" s="10"/>
      <c r="M707" s="10"/>
      <c r="N707" s="10"/>
      <c r="O707" s="10"/>
      <c r="P707" s="10"/>
      <c r="Q707" s="10"/>
      <c r="R707" s="10"/>
      <c r="S707" s="10"/>
      <c r="T707" s="14"/>
      <c r="U707" s="10"/>
      <c r="V707" s="10"/>
      <c r="W707" s="10"/>
      <c r="X707" s="7"/>
      <c r="Y707" s="7"/>
      <c r="Z707" s="7"/>
      <c r="AA707" s="34"/>
      <c r="AB707" s="7"/>
      <c r="AC707" s="34"/>
      <c r="AD707" s="10"/>
      <c r="AF707"/>
    </row>
    <row r="708" spans="1:32" x14ac:dyDescent="0.25">
      <c r="A708" s="7"/>
      <c r="C708" s="70"/>
      <c r="D708" s="70"/>
      <c r="E708" s="73"/>
      <c r="F708" s="9"/>
      <c r="H708" s="9"/>
      <c r="I708" s="10"/>
      <c r="J708" s="10"/>
      <c r="K708" s="7"/>
      <c r="L708" s="10"/>
      <c r="M708" s="10"/>
      <c r="N708" s="10"/>
      <c r="O708" s="10"/>
      <c r="P708" s="10"/>
      <c r="Q708" s="10"/>
      <c r="R708" s="10"/>
      <c r="S708" s="10"/>
      <c r="T708" s="14"/>
      <c r="U708" s="10"/>
      <c r="V708" s="10"/>
      <c r="W708" s="10"/>
      <c r="X708" s="7"/>
      <c r="Y708" s="7"/>
      <c r="Z708" s="34"/>
      <c r="AA708" s="34"/>
      <c r="AB708" s="7"/>
      <c r="AC708" s="34"/>
      <c r="AD708" s="10"/>
      <c r="AF708"/>
    </row>
    <row r="709" spans="1:32" x14ac:dyDescent="0.25">
      <c r="A709" s="7"/>
      <c r="C709" s="70"/>
      <c r="D709" s="70"/>
      <c r="E709" s="73"/>
      <c r="F709" s="9"/>
      <c r="H709" s="9"/>
      <c r="I709" s="10"/>
      <c r="J709" s="7"/>
      <c r="K709" s="7"/>
      <c r="L709" s="10"/>
      <c r="M709" s="10"/>
      <c r="N709" s="10"/>
      <c r="O709" s="10"/>
      <c r="P709" s="10"/>
      <c r="Q709" s="10"/>
      <c r="R709" s="10"/>
      <c r="S709" s="10"/>
      <c r="T709" s="14"/>
      <c r="U709" s="10"/>
      <c r="V709" s="10"/>
      <c r="W709" s="10"/>
      <c r="X709" s="7"/>
      <c r="Y709" s="7"/>
      <c r="Z709" s="7"/>
      <c r="AA709" s="34"/>
      <c r="AB709" s="7"/>
      <c r="AC709" s="34"/>
      <c r="AD709" s="10"/>
      <c r="AF709"/>
    </row>
    <row r="710" spans="1:32" x14ac:dyDescent="0.25">
      <c r="A710" s="7"/>
      <c r="C710" s="70"/>
      <c r="D710" s="70"/>
      <c r="E710" s="73"/>
      <c r="F710" s="45"/>
      <c r="H710" s="9"/>
      <c r="I710" s="10"/>
      <c r="J710" s="7"/>
      <c r="K710" s="7"/>
      <c r="L710" s="10"/>
      <c r="M710" s="10"/>
      <c r="N710" s="10"/>
      <c r="O710" s="10"/>
      <c r="P710" s="10"/>
      <c r="Q710" s="10"/>
      <c r="R710" s="10"/>
      <c r="S710" s="10"/>
      <c r="T710" s="14"/>
      <c r="U710" s="10"/>
      <c r="V710" s="10"/>
      <c r="W710" s="10"/>
      <c r="X710" s="7"/>
      <c r="Y710" s="34"/>
      <c r="Z710" s="7"/>
      <c r="AA710" s="34"/>
      <c r="AB710" s="7"/>
      <c r="AC710" s="34"/>
      <c r="AD710" s="10"/>
      <c r="AF710"/>
    </row>
    <row r="711" spans="1:32" x14ac:dyDescent="0.25">
      <c r="A711" s="7"/>
      <c r="C711" s="70"/>
      <c r="D711" s="70"/>
      <c r="E711" s="73"/>
      <c r="F711" s="9"/>
      <c r="H711" s="9"/>
      <c r="I711" s="10"/>
      <c r="J711" s="7"/>
      <c r="K711" s="24"/>
      <c r="L711" s="10"/>
      <c r="M711" s="10"/>
      <c r="N711" s="10"/>
      <c r="O711" s="10"/>
      <c r="P711" s="10"/>
      <c r="Q711" s="10"/>
      <c r="R711" s="10"/>
      <c r="S711" s="10"/>
      <c r="T711" s="14"/>
      <c r="U711" s="10"/>
      <c r="V711" s="10"/>
      <c r="W711" s="10"/>
      <c r="X711" s="7"/>
      <c r="Y711" s="7"/>
      <c r="Z711" s="7"/>
      <c r="AA711" s="34"/>
      <c r="AB711" s="7"/>
      <c r="AC711" s="34"/>
      <c r="AD711" s="10"/>
      <c r="AF711"/>
    </row>
    <row r="712" spans="1:32" x14ac:dyDescent="0.25">
      <c r="A712" s="7"/>
      <c r="C712" s="70"/>
      <c r="D712" s="70"/>
      <c r="E712" s="73"/>
      <c r="F712" s="9"/>
      <c r="H712" s="9"/>
      <c r="I712" s="10"/>
      <c r="J712" s="7"/>
      <c r="K712" s="7"/>
      <c r="L712" s="10"/>
      <c r="M712" s="10"/>
      <c r="N712" s="10"/>
      <c r="O712" s="10"/>
      <c r="P712" s="10"/>
      <c r="Q712" s="10"/>
      <c r="R712" s="10"/>
      <c r="S712" s="10"/>
      <c r="T712" s="14"/>
      <c r="U712" s="10"/>
      <c r="V712" s="10"/>
      <c r="W712" s="10"/>
      <c r="X712" s="7"/>
      <c r="Y712" s="7"/>
      <c r="Z712" s="7"/>
      <c r="AA712" s="34"/>
      <c r="AB712" s="7"/>
      <c r="AC712" s="34"/>
      <c r="AD712" s="10"/>
      <c r="AF712"/>
    </row>
    <row r="713" spans="1:32" x14ac:dyDescent="0.25">
      <c r="A713" s="7"/>
      <c r="C713" s="70"/>
      <c r="D713" s="70"/>
      <c r="E713" s="73"/>
      <c r="F713" s="9"/>
      <c r="H713" s="9"/>
      <c r="I713" s="10"/>
      <c r="J713" s="7"/>
      <c r="K713" s="7"/>
      <c r="L713" s="10"/>
      <c r="M713" s="10"/>
      <c r="N713" s="10"/>
      <c r="O713" s="10"/>
      <c r="P713" s="10"/>
      <c r="Q713" s="10"/>
      <c r="R713" s="10"/>
      <c r="S713" s="10"/>
      <c r="T713" s="14"/>
      <c r="U713" s="10"/>
      <c r="V713" s="10"/>
      <c r="W713" s="10"/>
      <c r="X713" s="7"/>
      <c r="Y713" s="7"/>
      <c r="Z713" s="7"/>
      <c r="AA713" s="34"/>
      <c r="AB713" s="7"/>
      <c r="AC713" s="34"/>
      <c r="AD713" s="10"/>
      <c r="AF713"/>
    </row>
    <row r="714" spans="1:32" x14ac:dyDescent="0.25">
      <c r="A714" s="7"/>
      <c r="C714" s="70"/>
      <c r="D714" s="70"/>
      <c r="E714" s="78"/>
      <c r="F714" s="48"/>
      <c r="H714" s="9"/>
      <c r="I714" s="10"/>
      <c r="J714" s="7"/>
      <c r="K714" s="7"/>
      <c r="L714" s="10"/>
      <c r="M714" s="10"/>
      <c r="N714" s="10"/>
      <c r="O714" s="10"/>
      <c r="P714" s="10"/>
      <c r="Q714" s="10"/>
      <c r="R714" s="10"/>
      <c r="S714" s="10"/>
      <c r="T714" s="14"/>
      <c r="U714" s="10"/>
      <c r="V714" s="10"/>
      <c r="W714" s="10"/>
      <c r="X714" s="7"/>
      <c r="Y714" s="34"/>
      <c r="Z714" s="7"/>
      <c r="AA714" s="34"/>
      <c r="AB714" s="7"/>
      <c r="AC714" s="34"/>
      <c r="AD714" s="10"/>
      <c r="AF714"/>
    </row>
    <row r="715" spans="1:32" x14ac:dyDescent="0.25">
      <c r="A715" s="7"/>
      <c r="C715" s="70"/>
      <c r="D715" s="70"/>
      <c r="E715" s="73"/>
      <c r="F715" s="9"/>
      <c r="G715" s="48"/>
      <c r="H715" s="9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4"/>
      <c r="U715" s="10"/>
      <c r="V715" s="10"/>
      <c r="W715" s="10"/>
      <c r="X715" s="7"/>
      <c r="Y715" s="7"/>
      <c r="Z715" s="7"/>
      <c r="AA715" s="34"/>
      <c r="AB715" s="7"/>
      <c r="AC715" s="34"/>
      <c r="AD715" s="10"/>
      <c r="AF715"/>
    </row>
    <row r="716" spans="1:32" x14ac:dyDescent="0.25">
      <c r="A716" s="7"/>
      <c r="C716" s="70"/>
      <c r="D716" s="70"/>
      <c r="E716" s="73"/>
      <c r="F716" s="9"/>
      <c r="H716" s="9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4"/>
      <c r="U716" s="10"/>
      <c r="V716" s="10"/>
      <c r="W716" s="10"/>
      <c r="X716" s="7"/>
      <c r="Y716" s="34"/>
      <c r="Z716" s="7"/>
      <c r="AA716" s="34"/>
      <c r="AB716" s="7"/>
      <c r="AC716" s="34"/>
      <c r="AD716" s="10"/>
      <c r="AF716"/>
    </row>
    <row r="717" spans="1:32" x14ac:dyDescent="0.25">
      <c r="A717" s="7"/>
      <c r="C717" s="70"/>
      <c r="D717" s="70"/>
      <c r="E717" s="73"/>
      <c r="F717" s="9"/>
      <c r="H717" s="9"/>
      <c r="I717" s="10"/>
      <c r="J717" s="10"/>
      <c r="K717" s="7"/>
      <c r="L717" s="10"/>
      <c r="M717" s="10"/>
      <c r="N717" s="10"/>
      <c r="O717" s="10"/>
      <c r="P717" s="10"/>
      <c r="Q717" s="10"/>
      <c r="R717" s="10"/>
      <c r="S717" s="10"/>
      <c r="T717" s="14"/>
      <c r="U717" s="10"/>
      <c r="V717" s="10"/>
      <c r="W717" s="10"/>
      <c r="X717" s="7"/>
      <c r="Y717" s="34"/>
      <c r="Z717" s="7"/>
      <c r="AA717" s="34"/>
      <c r="AB717" s="7"/>
      <c r="AC717" s="34"/>
      <c r="AD717" s="10"/>
      <c r="AF717"/>
    </row>
    <row r="718" spans="1:32" x14ac:dyDescent="0.25">
      <c r="A718" s="7"/>
      <c r="C718" s="70"/>
      <c r="D718" s="70"/>
      <c r="E718" s="73"/>
      <c r="F718" s="9"/>
      <c r="H718" s="9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4"/>
      <c r="U718" s="10"/>
      <c r="V718" s="10"/>
      <c r="W718" s="10"/>
      <c r="X718" s="7"/>
      <c r="Y718" s="7"/>
      <c r="Z718" s="7"/>
      <c r="AA718" s="34"/>
      <c r="AB718" s="7"/>
      <c r="AC718" s="34"/>
      <c r="AD718" s="10"/>
      <c r="AF718"/>
    </row>
    <row r="719" spans="1:32" x14ac:dyDescent="0.25">
      <c r="A719" s="7"/>
      <c r="C719" s="70"/>
      <c r="D719" s="70"/>
      <c r="E719" s="73"/>
      <c r="F719" s="9"/>
      <c r="H719" s="9"/>
      <c r="I719" s="10"/>
      <c r="J719" s="7"/>
      <c r="K719" s="7"/>
      <c r="L719" s="10"/>
      <c r="M719" s="10"/>
      <c r="N719" s="10"/>
      <c r="O719" s="10"/>
      <c r="P719" s="10"/>
      <c r="Q719" s="10"/>
      <c r="R719" s="10"/>
      <c r="S719" s="10"/>
      <c r="T719" s="14"/>
      <c r="U719" s="10"/>
      <c r="V719" s="10"/>
      <c r="W719" s="10"/>
      <c r="X719" s="7"/>
      <c r="Y719" s="7"/>
      <c r="Z719" s="7"/>
      <c r="AA719" s="34"/>
      <c r="AB719" s="7"/>
      <c r="AC719" s="34"/>
      <c r="AD719" s="10"/>
      <c r="AF719"/>
    </row>
    <row r="720" spans="1:32" x14ac:dyDescent="0.25">
      <c r="A720" s="7"/>
      <c r="C720" s="70"/>
      <c r="D720" s="70"/>
      <c r="E720" s="73"/>
      <c r="F720" s="9"/>
      <c r="H720" s="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4"/>
      <c r="U720" s="10"/>
      <c r="V720" s="10"/>
      <c r="W720" s="10"/>
      <c r="X720" s="7"/>
      <c r="Y720" s="7"/>
      <c r="Z720" s="34"/>
      <c r="AA720" s="34"/>
      <c r="AB720" s="7"/>
      <c r="AC720" s="34"/>
      <c r="AD720" s="10"/>
      <c r="AF720"/>
    </row>
    <row r="721" spans="1:32" x14ac:dyDescent="0.25">
      <c r="A721" s="7"/>
      <c r="C721" s="70"/>
      <c r="D721" s="70"/>
      <c r="E721" s="73"/>
      <c r="F721" s="9"/>
      <c r="H721" s="9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4"/>
      <c r="U721" s="10"/>
      <c r="V721" s="10"/>
      <c r="W721" s="10"/>
      <c r="X721" s="7"/>
      <c r="Y721" s="7"/>
      <c r="Z721" s="7"/>
      <c r="AA721" s="34"/>
      <c r="AB721" s="7"/>
      <c r="AC721" s="34"/>
      <c r="AD721" s="10"/>
      <c r="AF721"/>
    </row>
    <row r="722" spans="1:32" x14ac:dyDescent="0.25">
      <c r="A722" s="7"/>
      <c r="C722" s="70"/>
      <c r="D722" s="70"/>
      <c r="E722" s="73"/>
      <c r="F722" s="9"/>
      <c r="H722" s="9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4"/>
      <c r="U722" s="10"/>
      <c r="V722" s="10"/>
      <c r="W722" s="10"/>
      <c r="X722" s="7"/>
      <c r="Y722" s="7"/>
      <c r="Z722" s="7"/>
      <c r="AA722" s="34"/>
      <c r="AB722" s="7"/>
      <c r="AC722" s="34"/>
      <c r="AD722" s="10"/>
      <c r="AF722"/>
    </row>
    <row r="723" spans="1:32" x14ac:dyDescent="0.25">
      <c r="A723" s="43"/>
      <c r="C723" s="70"/>
      <c r="D723" s="70"/>
      <c r="E723" s="73"/>
      <c r="F723" s="9"/>
      <c r="H723" s="9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4"/>
      <c r="U723" s="10"/>
      <c r="V723" s="10"/>
      <c r="W723" s="10"/>
      <c r="X723" s="7"/>
      <c r="Y723" s="7"/>
      <c r="Z723" s="7"/>
      <c r="AA723" s="34"/>
      <c r="AB723" s="7"/>
      <c r="AC723" s="34"/>
      <c r="AD723" s="10"/>
      <c r="AF723"/>
    </row>
    <row r="724" spans="1:32" x14ac:dyDescent="0.25">
      <c r="A724" s="7"/>
      <c r="C724" s="70"/>
      <c r="D724" s="70"/>
      <c r="E724" s="73"/>
      <c r="F724" s="9"/>
      <c r="H724" s="9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4"/>
      <c r="U724" s="10"/>
      <c r="V724" s="10"/>
      <c r="W724" s="10"/>
      <c r="X724" s="7"/>
      <c r="Y724" s="7"/>
      <c r="Z724" s="7"/>
      <c r="AA724" s="34"/>
      <c r="AB724" s="7"/>
      <c r="AC724" s="34"/>
      <c r="AD724" s="10"/>
      <c r="AF724"/>
    </row>
    <row r="725" spans="1:32" x14ac:dyDescent="0.25">
      <c r="A725" s="7"/>
      <c r="C725" s="70"/>
      <c r="D725" s="70"/>
      <c r="E725" s="73"/>
      <c r="F725" s="9"/>
      <c r="H725" s="9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4"/>
      <c r="U725" s="10"/>
      <c r="V725" s="10"/>
      <c r="W725" s="10"/>
      <c r="X725" s="7"/>
      <c r="Y725" s="7"/>
      <c r="Z725" s="7"/>
      <c r="AA725" s="34"/>
      <c r="AB725" s="7"/>
      <c r="AC725" s="34"/>
      <c r="AD725" s="10"/>
      <c r="AF725"/>
    </row>
    <row r="726" spans="1:32" x14ac:dyDescent="0.25">
      <c r="A726" s="7"/>
      <c r="C726" s="70"/>
      <c r="D726" s="70"/>
      <c r="E726" s="73"/>
      <c r="F726" s="9"/>
      <c r="H726" s="9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4"/>
      <c r="U726" s="10"/>
      <c r="V726" s="10"/>
      <c r="W726" s="10"/>
      <c r="X726" s="7"/>
      <c r="Y726" s="7"/>
      <c r="Z726" s="7"/>
      <c r="AA726" s="34"/>
      <c r="AB726" s="7"/>
      <c r="AC726" s="34"/>
      <c r="AD726" s="10"/>
      <c r="AF726"/>
    </row>
    <row r="727" spans="1:32" x14ac:dyDescent="0.25">
      <c r="A727" s="7"/>
      <c r="C727" s="70"/>
      <c r="D727" s="70"/>
      <c r="E727" s="73"/>
      <c r="F727" s="9"/>
      <c r="H727" s="9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4"/>
      <c r="U727" s="10"/>
      <c r="V727" s="10"/>
      <c r="W727" s="10"/>
      <c r="X727" s="7"/>
      <c r="Y727" s="7"/>
      <c r="Z727" s="34"/>
      <c r="AA727" s="34"/>
      <c r="AB727" s="7"/>
      <c r="AC727" s="34"/>
      <c r="AD727" s="10"/>
      <c r="AF727"/>
    </row>
    <row r="728" spans="1:32" x14ac:dyDescent="0.25">
      <c r="A728" s="7"/>
      <c r="C728" s="70"/>
      <c r="D728" s="70"/>
      <c r="E728" s="73"/>
      <c r="F728" s="9"/>
      <c r="H728" s="9"/>
      <c r="I728" s="10"/>
      <c r="J728" s="7"/>
      <c r="K728" s="7"/>
      <c r="L728" s="10"/>
      <c r="M728" s="10"/>
      <c r="N728" s="10"/>
      <c r="O728" s="10"/>
      <c r="P728" s="10"/>
      <c r="Q728" s="10"/>
      <c r="R728" s="10"/>
      <c r="S728" s="10"/>
      <c r="T728" s="14"/>
      <c r="U728" s="10"/>
      <c r="V728" s="10"/>
      <c r="W728" s="10"/>
      <c r="X728" s="7"/>
      <c r="Y728" s="7"/>
      <c r="Z728" s="7"/>
      <c r="AA728" s="34"/>
      <c r="AB728" s="7"/>
      <c r="AC728" s="34"/>
      <c r="AD728" s="10"/>
      <c r="AF728"/>
    </row>
    <row r="729" spans="1:32" x14ac:dyDescent="0.25">
      <c r="A729" s="7"/>
      <c r="C729" s="70"/>
      <c r="D729" s="70"/>
      <c r="E729" s="73"/>
      <c r="F729" s="45"/>
      <c r="H729" s="9"/>
      <c r="I729" s="10"/>
      <c r="J729" s="10"/>
      <c r="K729" s="7"/>
      <c r="L729" s="10"/>
      <c r="M729" s="10"/>
      <c r="N729" s="10"/>
      <c r="O729" s="10"/>
      <c r="P729" s="10"/>
      <c r="Q729" s="10"/>
      <c r="R729" s="10"/>
      <c r="S729" s="10"/>
      <c r="T729" s="14"/>
      <c r="U729" s="10"/>
      <c r="V729" s="10"/>
      <c r="W729" s="10"/>
      <c r="X729" s="7"/>
      <c r="Y729" s="34"/>
      <c r="Z729" s="7"/>
      <c r="AA729" s="34"/>
      <c r="AB729" s="7"/>
      <c r="AC729" s="34"/>
      <c r="AD729" s="10"/>
      <c r="AF729"/>
    </row>
    <row r="730" spans="1:32" x14ac:dyDescent="0.25">
      <c r="A730" s="7"/>
      <c r="C730" s="70"/>
      <c r="D730" s="70"/>
      <c r="E730" s="73"/>
      <c r="F730" s="9"/>
      <c r="H730" s="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4"/>
      <c r="U730" s="10"/>
      <c r="V730" s="10"/>
      <c r="W730" s="10"/>
      <c r="X730" s="7"/>
      <c r="Y730" s="7"/>
      <c r="Z730" s="34"/>
      <c r="AA730" s="34"/>
      <c r="AB730" s="7"/>
      <c r="AC730" s="34"/>
      <c r="AD730" s="10"/>
      <c r="AF730"/>
    </row>
    <row r="731" spans="1:32" x14ac:dyDescent="0.25">
      <c r="A731" s="7"/>
      <c r="C731" s="70"/>
      <c r="D731" s="70"/>
      <c r="E731" s="73"/>
      <c r="F731" s="9"/>
      <c r="H731" s="9"/>
      <c r="I731" s="10"/>
      <c r="J731" s="7"/>
      <c r="K731" s="7"/>
      <c r="L731" s="10"/>
      <c r="M731" s="10"/>
      <c r="N731" s="10"/>
      <c r="O731" s="10"/>
      <c r="P731" s="10"/>
      <c r="Q731" s="10"/>
      <c r="R731" s="10"/>
      <c r="S731" s="10"/>
      <c r="T731" s="14"/>
      <c r="U731" s="10"/>
      <c r="V731" s="10"/>
      <c r="W731" s="10"/>
      <c r="X731" s="7"/>
      <c r="Y731" s="7"/>
      <c r="Z731" s="7"/>
      <c r="AA731" s="34"/>
      <c r="AB731" s="7"/>
      <c r="AC731" s="34"/>
      <c r="AD731" s="10"/>
      <c r="AF731"/>
    </row>
    <row r="732" spans="1:32" x14ac:dyDescent="0.25">
      <c r="A732" s="7"/>
      <c r="C732" s="70"/>
      <c r="D732" s="70"/>
      <c r="E732" s="73"/>
      <c r="F732" s="9"/>
      <c r="H732" s="9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4"/>
      <c r="U732" s="10"/>
      <c r="V732" s="10"/>
      <c r="W732" s="10"/>
      <c r="X732" s="7"/>
      <c r="Y732" s="7"/>
      <c r="Z732" s="7"/>
      <c r="AA732" s="34"/>
      <c r="AB732" s="7"/>
      <c r="AC732" s="34"/>
      <c r="AD732" s="10"/>
      <c r="AF732"/>
    </row>
    <row r="733" spans="1:32" x14ac:dyDescent="0.25">
      <c r="A733" s="7"/>
      <c r="C733" s="70"/>
      <c r="D733" s="70"/>
      <c r="E733" s="73"/>
      <c r="F733" s="9"/>
      <c r="H733" s="9"/>
      <c r="I733" s="10"/>
      <c r="J733" s="10"/>
      <c r="K733" s="10"/>
      <c r="L733" s="10"/>
      <c r="M733" s="10"/>
      <c r="N733" s="10"/>
      <c r="O733" s="34"/>
      <c r="P733" s="10"/>
      <c r="Q733" s="10"/>
      <c r="R733" s="10"/>
      <c r="S733" s="10"/>
      <c r="T733" s="14"/>
      <c r="U733" s="10"/>
      <c r="V733" s="10"/>
      <c r="W733" s="10"/>
      <c r="X733" s="7"/>
      <c r="Y733" s="7"/>
      <c r="Z733" s="7"/>
      <c r="AA733"/>
      <c r="AB733" s="7"/>
      <c r="AC733" s="34"/>
      <c r="AD733" s="10"/>
      <c r="AF733"/>
    </row>
    <row r="734" spans="1:32" x14ac:dyDescent="0.25">
      <c r="A734" s="7"/>
      <c r="C734" s="70"/>
      <c r="D734" s="70"/>
      <c r="E734" s="73"/>
      <c r="F734" s="9"/>
      <c r="H734" s="9"/>
      <c r="I734" s="10"/>
      <c r="J734" s="10"/>
      <c r="K734" s="10"/>
      <c r="L734" s="10"/>
      <c r="M734" s="10"/>
      <c r="N734" s="10"/>
      <c r="O734" s="34"/>
      <c r="P734" s="10"/>
      <c r="Q734" s="10"/>
      <c r="R734" s="10"/>
      <c r="S734" s="10"/>
      <c r="T734" s="14"/>
      <c r="U734" s="10"/>
      <c r="V734" s="10"/>
      <c r="W734" s="10"/>
      <c r="X734" s="7"/>
      <c r="Y734" s="7"/>
      <c r="Z734" s="7"/>
      <c r="AA734"/>
      <c r="AB734" s="7"/>
      <c r="AC734" s="34"/>
      <c r="AD734" s="10"/>
      <c r="AF734"/>
    </row>
    <row r="735" spans="1:32" x14ac:dyDescent="0.25">
      <c r="A735" s="7"/>
      <c r="C735" s="70"/>
      <c r="D735" s="70"/>
      <c r="E735" s="73"/>
      <c r="F735" s="9"/>
      <c r="H735" s="9"/>
      <c r="I735" s="10"/>
      <c r="J735" s="10"/>
      <c r="K735" s="7"/>
      <c r="L735" s="10"/>
      <c r="M735" s="10"/>
      <c r="N735" s="10"/>
      <c r="O735" s="34"/>
      <c r="P735" s="10"/>
      <c r="Q735" s="10"/>
      <c r="R735" s="10"/>
      <c r="S735" s="10"/>
      <c r="T735" s="14"/>
      <c r="U735" s="10"/>
      <c r="V735" s="10"/>
      <c r="W735" s="10"/>
      <c r="X735" s="7"/>
      <c r="Y735" s="7"/>
      <c r="Z735" s="7"/>
      <c r="AA735"/>
      <c r="AB735" s="7"/>
      <c r="AC735" s="34"/>
      <c r="AD735" s="10"/>
      <c r="AF735"/>
    </row>
    <row r="736" spans="1:32" x14ac:dyDescent="0.25">
      <c r="A736" s="7"/>
      <c r="C736" s="70"/>
      <c r="D736" s="70"/>
      <c r="E736" s="73"/>
      <c r="F736" s="9"/>
      <c r="H736" s="9"/>
      <c r="I736" s="10"/>
      <c r="J736" s="7"/>
      <c r="K736" s="7"/>
      <c r="L736" s="10"/>
      <c r="M736" s="10"/>
      <c r="N736" s="10"/>
      <c r="O736" s="34"/>
      <c r="P736" s="10"/>
      <c r="Q736" s="10"/>
      <c r="R736" s="10"/>
      <c r="S736" s="10"/>
      <c r="T736" s="14"/>
      <c r="U736" s="10"/>
      <c r="V736" s="10"/>
      <c r="W736" s="10"/>
      <c r="X736" s="7"/>
      <c r="Y736" s="7"/>
      <c r="Z736" s="7"/>
      <c r="AA736"/>
      <c r="AB736" s="7"/>
      <c r="AC736" s="34"/>
      <c r="AD736" s="10"/>
      <c r="AF736"/>
    </row>
    <row r="737" spans="1:32" x14ac:dyDescent="0.25">
      <c r="A737" s="7"/>
      <c r="C737" s="70"/>
      <c r="D737" s="70"/>
      <c r="E737" s="73"/>
      <c r="F737" s="9"/>
      <c r="H737" s="9"/>
      <c r="I737" s="10"/>
      <c r="J737" s="7"/>
      <c r="K737" s="24"/>
      <c r="L737" s="10"/>
      <c r="M737" s="10"/>
      <c r="N737" s="10"/>
      <c r="O737" s="34"/>
      <c r="P737" s="10"/>
      <c r="Q737" s="10"/>
      <c r="R737" s="10"/>
      <c r="S737" s="10"/>
      <c r="T737" s="14"/>
      <c r="U737" s="10"/>
      <c r="V737" s="10"/>
      <c r="W737" s="10"/>
      <c r="X737" s="7"/>
      <c r="Y737" s="7"/>
      <c r="Z737" s="7"/>
      <c r="AA737"/>
      <c r="AB737" s="7"/>
      <c r="AC737" s="34"/>
      <c r="AD737" s="10"/>
      <c r="AF737"/>
    </row>
    <row r="738" spans="1:32" x14ac:dyDescent="0.25">
      <c r="A738" s="7"/>
      <c r="C738" s="70"/>
      <c r="D738" s="70"/>
      <c r="E738" s="73"/>
      <c r="F738" s="9"/>
      <c r="H738" s="9"/>
      <c r="I738" s="10"/>
      <c r="J738" s="7"/>
      <c r="K738" s="7"/>
      <c r="L738" s="10"/>
      <c r="M738" s="10"/>
      <c r="N738" s="10"/>
      <c r="O738" s="34"/>
      <c r="P738" s="10"/>
      <c r="Q738" s="10"/>
      <c r="R738" s="10"/>
      <c r="S738" s="10"/>
      <c r="T738" s="14"/>
      <c r="U738" s="10"/>
      <c r="V738" s="10"/>
      <c r="W738" s="10"/>
      <c r="X738" s="7"/>
      <c r="Y738" s="7"/>
      <c r="Z738" s="34"/>
      <c r="AA738"/>
      <c r="AB738" s="7"/>
      <c r="AC738" s="34"/>
      <c r="AD738" s="10"/>
      <c r="AF738"/>
    </row>
    <row r="739" spans="1:32" x14ac:dyDescent="0.25">
      <c r="A739" s="7"/>
      <c r="C739" s="70"/>
      <c r="D739" s="70"/>
      <c r="E739" s="73"/>
      <c r="F739" s="9"/>
      <c r="H739" s="9"/>
      <c r="I739" s="10"/>
      <c r="J739" s="7"/>
      <c r="K739" s="7"/>
      <c r="L739" s="10"/>
      <c r="M739" s="10"/>
      <c r="N739" s="10"/>
      <c r="O739" s="34"/>
      <c r="P739" s="10"/>
      <c r="Q739" s="10"/>
      <c r="R739" s="10"/>
      <c r="S739" s="10"/>
      <c r="T739" s="14"/>
      <c r="U739" s="10"/>
      <c r="V739" s="10"/>
      <c r="W739" s="10"/>
      <c r="X739" s="7"/>
      <c r="Y739" s="7"/>
      <c r="Z739" s="7"/>
      <c r="AA739"/>
      <c r="AB739" s="7"/>
      <c r="AC739" s="34"/>
      <c r="AD739" s="10"/>
      <c r="AF739"/>
    </row>
    <row r="740" spans="1:32" x14ac:dyDescent="0.25">
      <c r="A740" s="7"/>
      <c r="C740" s="70"/>
      <c r="D740" s="70"/>
      <c r="E740" s="73"/>
      <c r="F740" s="9"/>
      <c r="H740" s="9"/>
      <c r="I740" s="10"/>
      <c r="J740" s="10"/>
      <c r="K740" s="10"/>
      <c r="L740" s="10"/>
      <c r="M740" s="10"/>
      <c r="N740" s="10"/>
      <c r="O740" s="34"/>
      <c r="P740" s="10"/>
      <c r="Q740" s="10"/>
      <c r="R740" s="10"/>
      <c r="S740" s="10"/>
      <c r="T740" s="14"/>
      <c r="U740" s="10"/>
      <c r="V740" s="10"/>
      <c r="W740" s="10"/>
      <c r="X740" s="7"/>
      <c r="Y740" s="7"/>
      <c r="Z740" s="7"/>
      <c r="AA740" s="34"/>
      <c r="AB740" s="7"/>
      <c r="AC740" s="34"/>
      <c r="AD740" s="10"/>
      <c r="AF740"/>
    </row>
    <row r="741" spans="1:32" x14ac:dyDescent="0.25">
      <c r="A741" s="7"/>
      <c r="C741" s="70"/>
      <c r="D741" s="70"/>
      <c r="E741" s="73"/>
      <c r="F741" s="45"/>
      <c r="H741" s="9"/>
      <c r="I741" s="10"/>
      <c r="J741" s="10"/>
      <c r="K741" s="10"/>
      <c r="L741" s="10"/>
      <c r="M741" s="10"/>
      <c r="N741" s="10"/>
      <c r="O741" s="34"/>
      <c r="P741" s="10"/>
      <c r="Q741" s="10"/>
      <c r="R741" s="10"/>
      <c r="S741" s="10"/>
      <c r="T741" s="14"/>
      <c r="U741" s="10"/>
      <c r="V741" s="10"/>
      <c r="W741" s="10"/>
      <c r="X741" s="7"/>
      <c r="Y741" s="34"/>
      <c r="Z741" s="34"/>
      <c r="AA741"/>
      <c r="AB741" s="7"/>
      <c r="AC741" s="34"/>
      <c r="AD741" s="10"/>
      <c r="AF741"/>
    </row>
    <row r="742" spans="1:32" x14ac:dyDescent="0.25">
      <c r="A742" s="7"/>
      <c r="C742" s="70"/>
      <c r="D742" s="70"/>
      <c r="E742" s="73"/>
      <c r="F742" s="9"/>
      <c r="H742" s="9"/>
      <c r="I742" s="10"/>
      <c r="J742" s="10"/>
      <c r="K742" s="10"/>
      <c r="L742" s="10"/>
      <c r="M742" s="10"/>
      <c r="N742" s="10"/>
      <c r="O742" s="34"/>
      <c r="P742" s="10"/>
      <c r="Q742" s="10"/>
      <c r="R742" s="10"/>
      <c r="S742" s="10"/>
      <c r="T742" s="14"/>
      <c r="U742" s="10"/>
      <c r="V742" s="10"/>
      <c r="W742" s="10"/>
      <c r="X742" s="7"/>
      <c r="Y742" s="7"/>
      <c r="Z742" s="7"/>
      <c r="AA742"/>
      <c r="AB742" s="7"/>
      <c r="AC742" s="34"/>
      <c r="AD742" s="10"/>
      <c r="AF742"/>
    </row>
    <row r="743" spans="1:32" x14ac:dyDescent="0.25">
      <c r="A743" s="7"/>
      <c r="C743" s="70"/>
      <c r="D743" s="70"/>
      <c r="E743" s="73"/>
      <c r="F743" s="9"/>
      <c r="H743" s="9"/>
      <c r="I743" s="10"/>
      <c r="J743" s="10"/>
      <c r="K743" s="7"/>
      <c r="L743" s="10"/>
      <c r="M743" s="10"/>
      <c r="N743" s="10"/>
      <c r="O743" s="34"/>
      <c r="P743" s="10"/>
      <c r="Q743" s="10"/>
      <c r="R743" s="10"/>
      <c r="S743" s="10"/>
      <c r="T743" s="14"/>
      <c r="U743" s="10"/>
      <c r="V743" s="10"/>
      <c r="W743" s="10"/>
      <c r="X743" s="7"/>
      <c r="Y743" s="7"/>
      <c r="Z743" s="7"/>
      <c r="AA743" s="34"/>
      <c r="AB743" s="7"/>
      <c r="AC743" s="34"/>
      <c r="AD743" s="10"/>
      <c r="AF743"/>
    </row>
    <row r="744" spans="1:32" x14ac:dyDescent="0.25">
      <c r="A744" s="7"/>
      <c r="C744" s="70"/>
      <c r="D744" s="70"/>
      <c r="E744" s="73"/>
      <c r="F744" s="9"/>
      <c r="H744" s="9"/>
      <c r="I744" s="10"/>
      <c r="J744" s="10"/>
      <c r="K744" s="10"/>
      <c r="L744" s="10"/>
      <c r="M744" s="10"/>
      <c r="N744" s="10"/>
      <c r="O744" s="34"/>
      <c r="P744" s="10"/>
      <c r="Q744" s="10"/>
      <c r="R744" s="10"/>
      <c r="S744" s="10"/>
      <c r="T744" s="14"/>
      <c r="U744" s="10"/>
      <c r="V744" s="10"/>
      <c r="W744" s="10"/>
      <c r="X744" s="7"/>
      <c r="Y744" s="7"/>
      <c r="Z744" s="7"/>
      <c r="AA744"/>
      <c r="AB744" s="7"/>
      <c r="AC744" s="34"/>
      <c r="AD744" s="10"/>
      <c r="AF744"/>
    </row>
    <row r="745" spans="1:32" x14ac:dyDescent="0.25">
      <c r="A745" s="7"/>
      <c r="C745" s="70"/>
      <c r="D745" s="70"/>
      <c r="E745" s="73"/>
      <c r="F745" s="9"/>
      <c r="H745" s="9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4"/>
      <c r="U745" s="10"/>
      <c r="V745" s="10"/>
      <c r="W745" s="10"/>
      <c r="X745" s="7"/>
      <c r="Y745" s="7"/>
      <c r="Z745" s="7"/>
      <c r="AA745" s="34"/>
      <c r="AB745" s="7"/>
      <c r="AC745" s="34"/>
      <c r="AD745" s="10"/>
      <c r="AF745"/>
    </row>
    <row r="746" spans="1:32" x14ac:dyDescent="0.25">
      <c r="A746" s="7"/>
      <c r="C746" s="70"/>
      <c r="D746" s="70"/>
      <c r="E746" s="73"/>
      <c r="F746" s="9"/>
      <c r="H746" s="9"/>
      <c r="I746" s="10"/>
      <c r="J746" s="7"/>
      <c r="K746" s="24"/>
      <c r="L746" s="10"/>
      <c r="M746" s="10"/>
      <c r="N746" s="10"/>
      <c r="O746" s="10"/>
      <c r="P746" s="10"/>
      <c r="Q746" s="10"/>
      <c r="R746" s="10"/>
      <c r="S746" s="10"/>
      <c r="T746" s="14"/>
      <c r="U746" s="10"/>
      <c r="V746" s="10"/>
      <c r="W746" s="10"/>
      <c r="X746" s="7"/>
      <c r="Y746" s="7"/>
      <c r="Z746" s="7"/>
      <c r="AA746" s="34"/>
      <c r="AB746" s="7"/>
      <c r="AC746" s="34"/>
      <c r="AD746" s="10"/>
      <c r="AF746"/>
    </row>
    <row r="747" spans="1:32" x14ac:dyDescent="0.25">
      <c r="A747" s="7"/>
      <c r="C747" s="70"/>
      <c r="D747" s="70"/>
      <c r="E747" s="73"/>
      <c r="F747" s="9"/>
      <c r="H747" s="9"/>
      <c r="I747" s="10"/>
      <c r="J747" s="7"/>
      <c r="K747" s="24"/>
      <c r="L747" s="10"/>
      <c r="M747" s="10"/>
      <c r="N747" s="10"/>
      <c r="O747" s="10"/>
      <c r="P747" s="10"/>
      <c r="Q747" s="10"/>
      <c r="R747" s="10"/>
      <c r="S747" s="10"/>
      <c r="T747" s="14"/>
      <c r="U747" s="10"/>
      <c r="V747" s="10"/>
      <c r="W747" s="10"/>
      <c r="X747" s="7"/>
      <c r="Y747" s="7"/>
      <c r="Z747" s="7"/>
      <c r="AA747" s="34"/>
      <c r="AB747" s="7"/>
      <c r="AC747" s="34"/>
      <c r="AD747" s="10"/>
      <c r="AF747"/>
    </row>
    <row r="748" spans="1:32" x14ac:dyDescent="0.25">
      <c r="A748" s="7"/>
      <c r="C748" s="70"/>
      <c r="D748" s="70"/>
      <c r="E748" s="73"/>
      <c r="F748" s="9"/>
      <c r="H748" s="9"/>
      <c r="I748" s="10"/>
      <c r="J748" s="7"/>
      <c r="K748" s="7"/>
      <c r="L748" s="10"/>
      <c r="M748" s="10"/>
      <c r="N748" s="10"/>
      <c r="O748" s="10"/>
      <c r="P748" s="10"/>
      <c r="Q748" s="10"/>
      <c r="R748" s="10"/>
      <c r="S748" s="10"/>
      <c r="T748" s="14"/>
      <c r="U748" s="10"/>
      <c r="V748" s="10"/>
      <c r="W748" s="10"/>
      <c r="X748" s="7"/>
      <c r="Y748" s="7"/>
      <c r="Z748" s="7"/>
      <c r="AA748" s="34"/>
      <c r="AB748" s="7"/>
      <c r="AC748" s="34"/>
      <c r="AD748" s="10"/>
      <c r="AF748"/>
    </row>
    <row r="749" spans="1:32" x14ac:dyDescent="0.25">
      <c r="A749" s="7"/>
      <c r="C749" s="70"/>
      <c r="D749" s="70"/>
      <c r="E749" s="73"/>
      <c r="F749" s="9"/>
      <c r="H749" s="9"/>
      <c r="I749" s="10"/>
      <c r="J749" s="7"/>
      <c r="K749" s="7"/>
      <c r="L749" s="10"/>
      <c r="M749" s="10"/>
      <c r="N749" s="10"/>
      <c r="O749" s="10"/>
      <c r="P749" s="10"/>
      <c r="Q749" s="10"/>
      <c r="R749" s="10"/>
      <c r="S749" s="10"/>
      <c r="T749" s="14"/>
      <c r="U749" s="10"/>
      <c r="V749" s="10"/>
      <c r="W749" s="10"/>
      <c r="X749" s="7"/>
      <c r="Y749" s="7"/>
      <c r="Z749" s="7"/>
      <c r="AA749" s="34"/>
      <c r="AB749" s="7"/>
      <c r="AC749" s="34"/>
      <c r="AD749" s="10"/>
      <c r="AF749"/>
    </row>
    <row r="750" spans="1:32" x14ac:dyDescent="0.25">
      <c r="A750" s="7"/>
      <c r="C750" s="70"/>
      <c r="D750" s="70"/>
      <c r="E750" s="73"/>
      <c r="F750" s="9"/>
      <c r="H750" s="9"/>
      <c r="I750" s="10"/>
      <c r="J750" s="7"/>
      <c r="K750" s="7"/>
      <c r="L750" s="10"/>
      <c r="M750" s="10"/>
      <c r="N750" s="10"/>
      <c r="O750" s="10"/>
      <c r="P750" s="10"/>
      <c r="Q750" s="10"/>
      <c r="R750" s="10"/>
      <c r="S750" s="10"/>
      <c r="T750" s="14"/>
      <c r="U750" s="10"/>
      <c r="V750" s="10"/>
      <c r="W750" s="10"/>
      <c r="X750" s="7"/>
      <c r="Y750" s="7"/>
      <c r="Z750" s="7"/>
      <c r="AA750" s="34"/>
      <c r="AB750" s="7"/>
      <c r="AC750" s="34"/>
      <c r="AD750" s="10"/>
      <c r="AF750"/>
    </row>
    <row r="751" spans="1:32" x14ac:dyDescent="0.25">
      <c r="A751" s="7"/>
      <c r="C751" s="70"/>
      <c r="D751" s="70"/>
      <c r="E751" s="73"/>
      <c r="F751" s="45"/>
      <c r="H751" s="9"/>
      <c r="I751" s="10"/>
      <c r="J751" s="7"/>
      <c r="K751" s="7"/>
      <c r="L751" s="10"/>
      <c r="M751" s="10"/>
      <c r="N751" s="10"/>
      <c r="O751" s="10"/>
      <c r="P751" s="10"/>
      <c r="Q751" s="10"/>
      <c r="R751" s="10"/>
      <c r="S751" s="10"/>
      <c r="T751" s="14"/>
      <c r="U751" s="10"/>
      <c r="V751" s="10"/>
      <c r="W751" s="10"/>
      <c r="X751" s="7"/>
      <c r="Y751" s="34"/>
      <c r="Z751" s="7"/>
      <c r="AA751" s="34"/>
      <c r="AB751" s="7"/>
      <c r="AC751" s="34"/>
      <c r="AD751" s="10"/>
      <c r="AF751"/>
    </row>
    <row r="752" spans="1:32" x14ac:dyDescent="0.25">
      <c r="A752" s="7"/>
      <c r="C752" s="70"/>
      <c r="D752" s="70"/>
      <c r="E752" s="73"/>
      <c r="F752" s="9"/>
      <c r="H752" s="9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4"/>
      <c r="U752" s="10"/>
      <c r="V752" s="10"/>
      <c r="W752" s="10"/>
      <c r="X752" s="7"/>
      <c r="Y752" s="7"/>
      <c r="Z752" s="7"/>
      <c r="AA752" s="34"/>
      <c r="AB752" s="7"/>
      <c r="AC752" s="34"/>
      <c r="AD752" s="10"/>
      <c r="AF752"/>
    </row>
    <row r="753" spans="1:32" x14ac:dyDescent="0.25">
      <c r="A753" s="7"/>
      <c r="C753" s="70"/>
      <c r="D753" s="70"/>
      <c r="E753" s="73"/>
      <c r="F753" s="9"/>
      <c r="H753" s="9"/>
      <c r="I753" s="10"/>
      <c r="J753" s="7"/>
      <c r="K753" s="7"/>
      <c r="L753" s="10"/>
      <c r="M753" s="10"/>
      <c r="N753" s="10"/>
      <c r="O753" s="10"/>
      <c r="P753" s="10"/>
      <c r="Q753" s="10"/>
      <c r="R753" s="10"/>
      <c r="S753" s="10"/>
      <c r="T753" s="14"/>
      <c r="U753" s="10"/>
      <c r="V753" s="10"/>
      <c r="W753" s="10"/>
      <c r="X753" s="7"/>
      <c r="Y753" s="7"/>
      <c r="Z753" s="7"/>
      <c r="AA753" s="34"/>
      <c r="AB753" s="7"/>
      <c r="AC753" s="34"/>
      <c r="AD753" s="10"/>
      <c r="AF753"/>
    </row>
    <row r="754" spans="1:32" x14ac:dyDescent="0.25">
      <c r="A754" s="7"/>
      <c r="C754" s="70"/>
      <c r="D754" s="70"/>
      <c r="E754" s="73"/>
      <c r="F754" s="9"/>
      <c r="H754" s="9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4"/>
      <c r="U754" s="10"/>
      <c r="V754" s="10"/>
      <c r="W754" s="10"/>
      <c r="X754" s="7"/>
      <c r="Y754" s="34"/>
      <c r="Z754" s="34"/>
      <c r="AA754" s="34"/>
      <c r="AB754" s="7"/>
      <c r="AC754" s="34"/>
      <c r="AD754" s="10"/>
      <c r="AF754"/>
    </row>
    <row r="755" spans="1:32" x14ac:dyDescent="0.25">
      <c r="A755" s="7"/>
      <c r="C755" s="70"/>
      <c r="D755" s="70"/>
      <c r="E755" s="73"/>
      <c r="F755" s="9"/>
      <c r="H755" s="9"/>
      <c r="I755" s="10"/>
      <c r="J755" s="7"/>
      <c r="K755" s="24"/>
      <c r="L755" s="10"/>
      <c r="M755" s="10"/>
      <c r="N755" s="10"/>
      <c r="O755" s="10"/>
      <c r="P755" s="10"/>
      <c r="Q755" s="10"/>
      <c r="R755" s="10"/>
      <c r="S755" s="10"/>
      <c r="T755" s="14"/>
      <c r="U755" s="10"/>
      <c r="V755" s="10"/>
      <c r="W755" s="10"/>
      <c r="X755" s="7"/>
      <c r="Y755" s="7"/>
      <c r="Z755" s="7"/>
      <c r="AA755" s="34"/>
      <c r="AB755" s="7"/>
      <c r="AC755" s="34"/>
      <c r="AD755" s="10"/>
      <c r="AF755"/>
    </row>
    <row r="756" spans="1:32" x14ac:dyDescent="0.25">
      <c r="A756" s="7"/>
      <c r="C756" s="70"/>
      <c r="D756" s="70"/>
      <c r="E756" s="73"/>
      <c r="F756" s="9"/>
      <c r="H756" s="9"/>
      <c r="I756" s="10"/>
      <c r="J756" s="10"/>
      <c r="K756" s="7"/>
      <c r="L756" s="10"/>
      <c r="M756" s="10"/>
      <c r="N756" s="10"/>
      <c r="O756" s="10"/>
      <c r="P756" s="10"/>
      <c r="Q756" s="10"/>
      <c r="R756" s="10"/>
      <c r="S756" s="10"/>
      <c r="T756" s="14"/>
      <c r="U756" s="10"/>
      <c r="V756" s="10"/>
      <c r="W756" s="10"/>
      <c r="X756" s="7"/>
      <c r="Y756" s="7"/>
      <c r="Z756" s="34"/>
      <c r="AA756" s="34"/>
      <c r="AB756" s="7"/>
      <c r="AC756" s="34"/>
      <c r="AD756" s="10"/>
      <c r="AF756"/>
    </row>
    <row r="757" spans="1:32" x14ac:dyDescent="0.25">
      <c r="A757" s="7"/>
      <c r="C757" s="70"/>
      <c r="D757" s="70"/>
      <c r="E757" s="73"/>
      <c r="F757" s="9"/>
      <c r="H757" s="9"/>
      <c r="I757" s="10"/>
      <c r="J757" s="7"/>
      <c r="K757" s="7"/>
      <c r="L757" s="10"/>
      <c r="M757" s="10"/>
      <c r="N757" s="10"/>
      <c r="O757" s="10"/>
      <c r="P757" s="10"/>
      <c r="Q757" s="10"/>
      <c r="R757" s="10"/>
      <c r="S757" s="10"/>
      <c r="T757" s="14"/>
      <c r="U757" s="10"/>
      <c r="V757" s="10"/>
      <c r="W757" s="10"/>
      <c r="X757" s="7"/>
      <c r="Y757" s="7"/>
      <c r="Z757" s="7"/>
      <c r="AA757" s="34"/>
      <c r="AB757" s="7"/>
      <c r="AC757" s="34"/>
      <c r="AD757" s="10"/>
      <c r="AF757"/>
    </row>
    <row r="758" spans="1:32" x14ac:dyDescent="0.25">
      <c r="A758" s="7"/>
      <c r="C758" s="70"/>
      <c r="D758" s="70"/>
      <c r="E758" s="73"/>
      <c r="F758" s="9"/>
      <c r="H758" s="9"/>
      <c r="I758" s="10"/>
      <c r="J758" s="7"/>
      <c r="K758" s="24"/>
      <c r="L758" s="10"/>
      <c r="M758" s="10"/>
      <c r="N758" s="10"/>
      <c r="O758" s="10"/>
      <c r="P758" s="10"/>
      <c r="Q758" s="10"/>
      <c r="R758" s="10"/>
      <c r="S758" s="10"/>
      <c r="T758" s="14"/>
      <c r="U758" s="10"/>
      <c r="V758" s="10"/>
      <c r="W758" s="10"/>
      <c r="X758" s="7"/>
      <c r="Y758" s="7"/>
      <c r="Z758" s="7"/>
      <c r="AA758" s="34"/>
      <c r="AB758" s="7"/>
      <c r="AC758" s="34"/>
      <c r="AD758" s="10"/>
      <c r="AF758"/>
    </row>
    <row r="759" spans="1:32" x14ac:dyDescent="0.25">
      <c r="A759" s="7"/>
      <c r="C759" s="70"/>
      <c r="D759" s="70"/>
      <c r="E759" s="73"/>
      <c r="F759" s="9"/>
      <c r="H759" s="9"/>
      <c r="I759" s="10"/>
      <c r="J759" s="10"/>
      <c r="K759" s="7"/>
      <c r="L759" s="10"/>
      <c r="M759" s="10"/>
      <c r="N759" s="10"/>
      <c r="O759" s="10"/>
      <c r="P759" s="10"/>
      <c r="Q759" s="10"/>
      <c r="R759" s="10"/>
      <c r="S759" s="10"/>
      <c r="T759" s="14"/>
      <c r="U759" s="10"/>
      <c r="V759" s="10"/>
      <c r="W759" s="10"/>
      <c r="X759" s="7"/>
      <c r="Y759" s="7"/>
      <c r="Z759" s="7"/>
      <c r="AA759" s="34"/>
      <c r="AB759" s="7"/>
      <c r="AC759" s="34"/>
      <c r="AD759" s="10"/>
      <c r="AF759"/>
    </row>
    <row r="760" spans="1:32" x14ac:dyDescent="0.25">
      <c r="A760" s="7"/>
      <c r="C760" s="70"/>
      <c r="D760" s="70"/>
      <c r="E760" s="73"/>
      <c r="F760" s="9"/>
      <c r="H760" s="9"/>
      <c r="I760" s="10"/>
      <c r="J760" s="10"/>
      <c r="K760" s="7"/>
      <c r="L760" s="10"/>
      <c r="M760" s="10"/>
      <c r="N760" s="10"/>
      <c r="O760" s="10"/>
      <c r="P760" s="10"/>
      <c r="Q760" s="10"/>
      <c r="R760" s="10"/>
      <c r="S760" s="10"/>
      <c r="T760" s="14"/>
      <c r="U760" s="10"/>
      <c r="V760" s="10"/>
      <c r="W760" s="10"/>
      <c r="X760" s="7"/>
      <c r="Y760" s="7"/>
      <c r="Z760" s="7"/>
      <c r="AA760" s="34"/>
      <c r="AB760" s="7"/>
      <c r="AC760" s="34"/>
      <c r="AD760" s="10"/>
      <c r="AF760"/>
    </row>
    <row r="761" spans="1:32" x14ac:dyDescent="0.25">
      <c r="A761" s="7"/>
      <c r="C761" s="70"/>
      <c r="D761" s="70"/>
      <c r="E761" s="73"/>
      <c r="F761" s="9"/>
      <c r="H761" s="9"/>
      <c r="I761" s="10"/>
      <c r="J761" s="7"/>
      <c r="K761" s="7"/>
      <c r="L761" s="10"/>
      <c r="M761" s="10"/>
      <c r="N761" s="10"/>
      <c r="O761" s="10"/>
      <c r="P761" s="10"/>
      <c r="Q761" s="10"/>
      <c r="R761" s="10"/>
      <c r="S761" s="10"/>
      <c r="T761" s="14"/>
      <c r="U761" s="10"/>
      <c r="V761" s="10"/>
      <c r="W761" s="10"/>
      <c r="X761" s="7"/>
      <c r="Y761" s="7"/>
      <c r="Z761" s="7"/>
      <c r="AA761" s="34"/>
      <c r="AB761" s="7"/>
      <c r="AC761" s="34"/>
      <c r="AD761" s="10"/>
      <c r="AF761"/>
    </row>
    <row r="762" spans="1:32" x14ac:dyDescent="0.25">
      <c r="A762" s="7"/>
      <c r="C762" s="70"/>
      <c r="D762" s="70"/>
      <c r="E762" s="73"/>
      <c r="F762" s="9"/>
      <c r="H762" s="9"/>
      <c r="I762" s="10"/>
      <c r="J762" s="7"/>
      <c r="K762" s="24"/>
      <c r="L762" s="10"/>
      <c r="M762" s="10"/>
      <c r="N762" s="10"/>
      <c r="O762" s="10"/>
      <c r="P762" s="10"/>
      <c r="Q762" s="10"/>
      <c r="R762" s="10"/>
      <c r="S762" s="10"/>
      <c r="T762" s="14"/>
      <c r="U762" s="10"/>
      <c r="V762" s="10"/>
      <c r="W762" s="10"/>
      <c r="X762" s="7"/>
      <c r="Y762" s="7"/>
      <c r="Z762" s="7"/>
      <c r="AA762" s="34"/>
      <c r="AB762" s="7"/>
      <c r="AC762" s="34"/>
      <c r="AD762" s="10"/>
      <c r="AF762"/>
    </row>
    <row r="763" spans="1:32" x14ac:dyDescent="0.25">
      <c r="A763" s="7"/>
      <c r="C763" s="70"/>
      <c r="D763" s="70"/>
      <c r="E763" s="73"/>
      <c r="F763" s="9"/>
      <c r="H763" s="9"/>
      <c r="I763" s="10"/>
      <c r="J763" s="7"/>
      <c r="K763" s="7"/>
      <c r="L763" s="10"/>
      <c r="M763" s="10"/>
      <c r="N763" s="10"/>
      <c r="O763" s="10"/>
      <c r="P763" s="10"/>
      <c r="Q763" s="10"/>
      <c r="R763" s="10"/>
      <c r="S763" s="10"/>
      <c r="T763" s="14"/>
      <c r="U763" s="10"/>
      <c r="V763" s="10"/>
      <c r="W763" s="10"/>
      <c r="X763" s="7"/>
      <c r="Y763" s="7"/>
      <c r="Z763" s="7"/>
      <c r="AA763" s="34"/>
      <c r="AB763" s="7"/>
      <c r="AC763" s="34"/>
      <c r="AD763" s="10"/>
      <c r="AF763"/>
    </row>
    <row r="764" spans="1:32" x14ac:dyDescent="0.25">
      <c r="A764" s="7"/>
      <c r="C764" s="70"/>
      <c r="D764" s="70"/>
      <c r="E764" s="73"/>
      <c r="F764" s="9"/>
      <c r="H764" s="9"/>
      <c r="I764" s="10"/>
      <c r="J764" s="7"/>
      <c r="K764" s="7"/>
      <c r="L764" s="10"/>
      <c r="M764" s="10"/>
      <c r="N764" s="10"/>
      <c r="O764" s="10"/>
      <c r="P764" s="10"/>
      <c r="Q764" s="10"/>
      <c r="R764" s="10"/>
      <c r="S764" s="10"/>
      <c r="T764" s="14"/>
      <c r="U764" s="10"/>
      <c r="V764" s="10"/>
      <c r="W764" s="10"/>
      <c r="X764" s="7"/>
      <c r="Y764" s="7"/>
      <c r="Z764" s="7"/>
      <c r="AA764" s="34"/>
      <c r="AB764" s="7"/>
      <c r="AC764" s="34"/>
      <c r="AD764" s="10"/>
      <c r="AF764"/>
    </row>
    <row r="765" spans="1:32" x14ac:dyDescent="0.25">
      <c r="A765" s="7"/>
      <c r="C765" s="70"/>
      <c r="D765" s="70"/>
      <c r="E765" s="73"/>
      <c r="F765" s="45"/>
      <c r="H765" s="9"/>
      <c r="I765" s="10"/>
      <c r="J765" s="7"/>
      <c r="K765" s="7"/>
      <c r="L765" s="10"/>
      <c r="M765" s="10"/>
      <c r="N765" s="10"/>
      <c r="O765" s="10"/>
      <c r="P765" s="10"/>
      <c r="Q765" s="10"/>
      <c r="R765" s="10"/>
      <c r="S765" s="10"/>
      <c r="T765" s="14"/>
      <c r="U765" s="10"/>
      <c r="V765" s="10"/>
      <c r="W765" s="10"/>
      <c r="X765" s="7"/>
      <c r="Y765" s="34"/>
      <c r="Z765" s="7"/>
      <c r="AA765" s="34"/>
      <c r="AB765" s="7"/>
      <c r="AC765" s="34"/>
      <c r="AD765" s="10"/>
      <c r="AF765"/>
    </row>
    <row r="766" spans="1:32" x14ac:dyDescent="0.25">
      <c r="A766" s="7"/>
      <c r="C766" s="70"/>
      <c r="D766" s="70"/>
      <c r="E766" s="73"/>
      <c r="F766" s="9"/>
      <c r="H766" s="9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4"/>
      <c r="U766" s="10"/>
      <c r="V766" s="10"/>
      <c r="W766" s="10"/>
      <c r="X766" s="34"/>
      <c r="Y766" s="7"/>
      <c r="Z766" s="7"/>
      <c r="AA766" s="34"/>
      <c r="AB766" s="7"/>
      <c r="AC766" s="34"/>
      <c r="AD766" s="10"/>
      <c r="AF766"/>
    </row>
    <row r="767" spans="1:32" x14ac:dyDescent="0.25">
      <c r="A767" s="7"/>
      <c r="C767" s="70"/>
      <c r="D767" s="70"/>
      <c r="E767" s="73"/>
      <c r="F767" s="9"/>
      <c r="H767" s="9"/>
      <c r="I767" s="10"/>
      <c r="J767" s="7"/>
      <c r="K767" s="24"/>
      <c r="L767" s="10"/>
      <c r="M767" s="10"/>
      <c r="N767" s="10"/>
      <c r="O767" s="10"/>
      <c r="P767" s="10"/>
      <c r="Q767" s="10"/>
      <c r="R767" s="10"/>
      <c r="S767" s="10"/>
      <c r="T767" s="14"/>
      <c r="U767" s="10"/>
      <c r="V767" s="10"/>
      <c r="W767" s="10"/>
      <c r="X767" s="7"/>
      <c r="Y767" s="7"/>
      <c r="Z767" s="7"/>
      <c r="AA767" s="34"/>
      <c r="AB767" s="7"/>
      <c r="AC767" s="34"/>
      <c r="AD767" s="10"/>
      <c r="AF767"/>
    </row>
    <row r="768" spans="1:32" x14ac:dyDescent="0.25">
      <c r="A768" s="7"/>
      <c r="C768" s="70"/>
      <c r="D768" s="70"/>
      <c r="E768" s="73"/>
      <c r="F768" s="9"/>
      <c r="H768" s="9"/>
      <c r="I768" s="10"/>
      <c r="J768" s="7"/>
      <c r="K768" s="7"/>
      <c r="L768" s="10"/>
      <c r="M768" s="10"/>
      <c r="N768" s="10"/>
      <c r="O768" s="10"/>
      <c r="P768" s="10"/>
      <c r="Q768" s="10"/>
      <c r="R768" s="10"/>
      <c r="S768" s="10"/>
      <c r="T768" s="14"/>
      <c r="U768" s="10"/>
      <c r="V768" s="10"/>
      <c r="W768" s="10"/>
      <c r="X768" s="7"/>
      <c r="Y768" s="7"/>
      <c r="Z768" s="7"/>
      <c r="AA768" s="34"/>
      <c r="AB768" s="7"/>
      <c r="AC768" s="34"/>
      <c r="AD768" s="10"/>
      <c r="AF768"/>
    </row>
    <row r="769" spans="1:32" x14ac:dyDescent="0.25">
      <c r="A769" s="7"/>
      <c r="C769" s="70"/>
      <c r="D769" s="70"/>
      <c r="E769" s="73"/>
      <c r="F769" s="9"/>
      <c r="H769" s="9"/>
      <c r="I769" s="10"/>
      <c r="J769" s="7"/>
      <c r="K769" s="7"/>
      <c r="L769" s="10"/>
      <c r="M769" s="10"/>
      <c r="N769" s="10"/>
      <c r="O769" s="10"/>
      <c r="P769" s="10"/>
      <c r="Q769" s="10"/>
      <c r="R769" s="10"/>
      <c r="S769" s="10"/>
      <c r="T769" s="14"/>
      <c r="U769" s="10"/>
      <c r="V769" s="10"/>
      <c r="W769" s="10"/>
      <c r="X769" s="34"/>
      <c r="Y769" s="7"/>
      <c r="Z769" s="7"/>
      <c r="AA769" s="34"/>
      <c r="AB769" s="7"/>
      <c r="AC769" s="34"/>
      <c r="AD769" s="10"/>
      <c r="AF769"/>
    </row>
    <row r="770" spans="1:32" x14ac:dyDescent="0.25">
      <c r="A770" s="7"/>
      <c r="C770" s="70"/>
      <c r="D770" s="70"/>
      <c r="E770" s="73"/>
      <c r="F770" s="9"/>
      <c r="H770" s="9"/>
      <c r="I770" s="10"/>
      <c r="J770" s="10"/>
      <c r="K770" s="7"/>
      <c r="L770" s="10"/>
      <c r="M770" s="10"/>
      <c r="N770" s="10"/>
      <c r="O770" s="10"/>
      <c r="P770" s="10"/>
      <c r="Q770" s="10"/>
      <c r="R770" s="10"/>
      <c r="S770" s="10"/>
      <c r="T770" s="14"/>
      <c r="U770" s="10"/>
      <c r="V770" s="10"/>
      <c r="W770" s="10"/>
      <c r="X770" s="7"/>
      <c r="Y770" s="7"/>
      <c r="Z770" s="7"/>
      <c r="AA770" s="34"/>
      <c r="AB770" s="7"/>
      <c r="AC770" s="34"/>
      <c r="AD770" s="10"/>
      <c r="AF770"/>
    </row>
    <row r="771" spans="1:32" x14ac:dyDescent="0.25">
      <c r="A771" s="7"/>
      <c r="C771" s="70"/>
      <c r="D771" s="70"/>
      <c r="E771" s="73"/>
      <c r="F771" s="9"/>
      <c r="H771" s="9"/>
      <c r="I771" s="10"/>
      <c r="J771" s="7"/>
      <c r="K771" s="24"/>
      <c r="L771" s="10"/>
      <c r="M771" s="10"/>
      <c r="N771" s="10"/>
      <c r="O771" s="10"/>
      <c r="P771" s="10"/>
      <c r="Q771" s="10"/>
      <c r="R771" s="10"/>
      <c r="S771" s="10"/>
      <c r="T771" s="14"/>
      <c r="U771" s="10"/>
      <c r="V771" s="10"/>
      <c r="W771" s="10"/>
      <c r="X771" s="7"/>
      <c r="Y771" s="7"/>
      <c r="Z771" s="7"/>
      <c r="AA771" s="34"/>
      <c r="AB771" s="7"/>
      <c r="AC771" s="34"/>
      <c r="AD771" s="10"/>
      <c r="AF771"/>
    </row>
    <row r="772" spans="1:32" x14ac:dyDescent="0.25">
      <c r="A772" s="7"/>
      <c r="C772" s="70"/>
      <c r="D772" s="70"/>
      <c r="E772" s="73"/>
      <c r="F772" s="48"/>
      <c r="H772" s="9"/>
      <c r="I772" s="10"/>
      <c r="J772" s="10"/>
      <c r="K772" s="7"/>
      <c r="L772" s="10"/>
      <c r="M772" s="10"/>
      <c r="N772" s="10"/>
      <c r="O772" s="10"/>
      <c r="P772" s="10"/>
      <c r="Q772" s="10"/>
      <c r="R772" s="10"/>
      <c r="S772" s="10"/>
      <c r="T772" s="14"/>
      <c r="U772" s="10"/>
      <c r="V772" s="10"/>
      <c r="W772" s="10"/>
      <c r="X772" s="7"/>
      <c r="Y772" s="7"/>
      <c r="Z772" s="7"/>
      <c r="AA772" s="34"/>
      <c r="AB772" s="7"/>
      <c r="AC772" s="34"/>
      <c r="AD772" s="10"/>
      <c r="AF772"/>
    </row>
    <row r="773" spans="1:32" x14ac:dyDescent="0.25">
      <c r="A773" s="7"/>
      <c r="C773" s="70"/>
      <c r="D773" s="70"/>
      <c r="E773" s="73"/>
      <c r="F773" s="45"/>
      <c r="H773" s="9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4"/>
      <c r="U773" s="10"/>
      <c r="V773" s="10"/>
      <c r="W773" s="10"/>
      <c r="X773" s="7"/>
      <c r="Y773" s="7"/>
      <c r="Z773" s="7"/>
      <c r="AA773" s="34"/>
      <c r="AB773" s="7"/>
      <c r="AC773" s="34"/>
      <c r="AD773" s="10"/>
      <c r="AF773"/>
    </row>
    <row r="774" spans="1:32" x14ac:dyDescent="0.25">
      <c r="A774" s="7"/>
      <c r="C774" s="70"/>
      <c r="D774" s="70"/>
      <c r="E774" s="73"/>
      <c r="F774" s="45"/>
      <c r="H774" s="9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4"/>
      <c r="U774" s="10"/>
      <c r="V774" s="10"/>
      <c r="W774" s="10"/>
      <c r="X774" s="7"/>
      <c r="Y774" s="7"/>
      <c r="Z774" s="7"/>
      <c r="AA774" s="34"/>
      <c r="AB774" s="7"/>
      <c r="AC774" s="34"/>
      <c r="AD774" s="10"/>
      <c r="AF774"/>
    </row>
    <row r="775" spans="1:32" x14ac:dyDescent="0.25">
      <c r="A775" s="7"/>
      <c r="C775" s="70"/>
      <c r="D775" s="70"/>
      <c r="E775" s="73"/>
      <c r="F775" s="9"/>
      <c r="H775" s="9"/>
      <c r="I775" s="10"/>
      <c r="J775" s="7"/>
      <c r="K775" s="7"/>
      <c r="L775" s="10"/>
      <c r="M775" s="10"/>
      <c r="N775" s="10"/>
      <c r="O775" s="10"/>
      <c r="P775" s="10"/>
      <c r="Q775" s="10"/>
      <c r="R775" s="10"/>
      <c r="S775" s="10"/>
      <c r="T775" s="14"/>
      <c r="U775" s="10"/>
      <c r="V775" s="10"/>
      <c r="W775" s="10"/>
      <c r="X775" s="7"/>
      <c r="Y775" s="7"/>
      <c r="Z775" s="34"/>
      <c r="AA775" s="34"/>
      <c r="AB775" s="7"/>
      <c r="AC775" s="34"/>
      <c r="AD775" s="10"/>
      <c r="AF775"/>
    </row>
    <row r="776" spans="1:32" x14ac:dyDescent="0.25">
      <c r="A776" s="7"/>
      <c r="C776" s="70"/>
      <c r="D776" s="70"/>
      <c r="E776" s="73"/>
      <c r="F776" s="9"/>
      <c r="H776" s="9"/>
      <c r="I776" s="10"/>
      <c r="J776" s="7"/>
      <c r="K776" s="7"/>
      <c r="L776" s="10"/>
      <c r="M776" s="10"/>
      <c r="N776" s="10"/>
      <c r="O776" s="10"/>
      <c r="P776" s="10"/>
      <c r="Q776" s="10"/>
      <c r="R776" s="10"/>
      <c r="S776" s="10"/>
      <c r="T776" s="14"/>
      <c r="U776" s="10"/>
      <c r="V776" s="10"/>
      <c r="W776" s="10"/>
      <c r="X776" s="7"/>
      <c r="Y776" s="7"/>
      <c r="Z776" s="7"/>
      <c r="AA776" s="34"/>
      <c r="AB776" s="7"/>
      <c r="AC776" s="34"/>
      <c r="AD776" s="10"/>
      <c r="AF776"/>
    </row>
    <row r="777" spans="1:32" x14ac:dyDescent="0.25">
      <c r="A777" s="7"/>
      <c r="C777" s="70"/>
      <c r="D777" s="70"/>
      <c r="E777" s="73"/>
      <c r="F777" s="9"/>
      <c r="H777" s="9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4"/>
      <c r="U777" s="10"/>
      <c r="V777" s="10"/>
      <c r="W777" s="10"/>
      <c r="X777" s="7"/>
      <c r="Y777" s="7"/>
      <c r="Z777" s="7"/>
      <c r="AA777" s="34"/>
      <c r="AB777" s="7"/>
      <c r="AC777" s="34"/>
      <c r="AD777" s="10"/>
      <c r="AF777"/>
    </row>
    <row r="778" spans="1:32" x14ac:dyDescent="0.25">
      <c r="A778" s="7"/>
      <c r="C778" s="70"/>
      <c r="D778" s="70"/>
      <c r="E778" s="73"/>
      <c r="F778" s="9"/>
      <c r="H778" s="9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4"/>
      <c r="U778" s="10"/>
      <c r="V778" s="10"/>
      <c r="W778" s="10"/>
      <c r="X778" s="7"/>
      <c r="Y778" s="7"/>
      <c r="Z778" s="7"/>
      <c r="AA778" s="34"/>
      <c r="AB778" s="7"/>
      <c r="AC778" s="34"/>
      <c r="AD778" s="10"/>
      <c r="AF778"/>
    </row>
    <row r="779" spans="1:32" x14ac:dyDescent="0.25">
      <c r="A779" s="7"/>
      <c r="C779" s="70"/>
      <c r="D779" s="70"/>
      <c r="E779" s="73"/>
      <c r="F779" s="9"/>
      <c r="H779" s="9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4"/>
      <c r="U779" s="10"/>
      <c r="V779" s="10"/>
      <c r="W779" s="10"/>
      <c r="X779" s="34"/>
      <c r="Y779" s="7"/>
      <c r="Z779" s="7"/>
      <c r="AA779" s="34"/>
      <c r="AB779" s="7"/>
      <c r="AC779" s="34"/>
      <c r="AD779" s="10"/>
      <c r="AF779"/>
    </row>
    <row r="780" spans="1:32" x14ac:dyDescent="0.25">
      <c r="A780" s="7"/>
      <c r="C780" s="70"/>
      <c r="D780" s="70"/>
      <c r="E780" s="73"/>
      <c r="F780" s="9"/>
      <c r="H780" s="9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4"/>
      <c r="U780" s="10"/>
      <c r="V780" s="10"/>
      <c r="W780" s="10"/>
      <c r="X780" s="7"/>
      <c r="Y780" s="7"/>
      <c r="Z780" s="34"/>
      <c r="AA780" s="34"/>
      <c r="AB780" s="7"/>
      <c r="AC780" s="34"/>
      <c r="AD780" s="10"/>
      <c r="AF780"/>
    </row>
    <row r="781" spans="1:32" x14ac:dyDescent="0.25">
      <c r="A781" s="7"/>
      <c r="C781" s="70"/>
      <c r="D781" s="70"/>
      <c r="E781" s="73"/>
      <c r="F781" s="9"/>
      <c r="H781" s="9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4"/>
      <c r="U781" s="10"/>
      <c r="V781" s="10"/>
      <c r="W781" s="10"/>
      <c r="X781" s="7"/>
      <c r="Y781" s="7"/>
      <c r="Z781" s="7"/>
      <c r="AA781" s="34"/>
      <c r="AB781" s="7"/>
      <c r="AC781" s="34"/>
      <c r="AD781" s="10"/>
      <c r="AF781"/>
    </row>
    <row r="782" spans="1:32" x14ac:dyDescent="0.25">
      <c r="A782" s="7"/>
      <c r="C782" s="70"/>
      <c r="D782" s="70"/>
      <c r="E782" s="73"/>
      <c r="F782" s="9"/>
      <c r="H782" s="9"/>
      <c r="I782" s="10"/>
      <c r="J782" s="10"/>
      <c r="K782" s="7"/>
      <c r="L782" s="10"/>
      <c r="M782" s="10"/>
      <c r="N782" s="10"/>
      <c r="O782" s="10"/>
      <c r="P782" s="10"/>
      <c r="Q782" s="10"/>
      <c r="R782" s="10"/>
      <c r="S782" s="10"/>
      <c r="T782" s="14"/>
      <c r="U782" s="10"/>
      <c r="V782" s="10"/>
      <c r="W782" s="10"/>
      <c r="X782" s="7"/>
      <c r="Y782" s="7"/>
      <c r="Z782" s="7"/>
      <c r="AA782" s="34"/>
      <c r="AB782" s="7"/>
      <c r="AC782" s="34"/>
      <c r="AD782" s="10"/>
      <c r="AF782"/>
    </row>
    <row r="783" spans="1:32" x14ac:dyDescent="0.25">
      <c r="A783" s="7"/>
      <c r="C783" s="70"/>
      <c r="D783" s="70"/>
      <c r="E783" s="73"/>
      <c r="F783" s="9"/>
      <c r="H783" s="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4"/>
      <c r="U783" s="10"/>
      <c r="V783" s="10"/>
      <c r="W783" s="10"/>
      <c r="X783" s="7"/>
      <c r="Y783" s="7"/>
      <c r="Z783" s="34"/>
      <c r="AA783" s="34"/>
      <c r="AB783" s="7"/>
      <c r="AC783" s="34"/>
      <c r="AD783" s="10"/>
      <c r="AF783"/>
    </row>
    <row r="784" spans="1:32" x14ac:dyDescent="0.25">
      <c r="A784" s="7"/>
      <c r="C784" s="70"/>
      <c r="D784" s="70"/>
      <c r="E784" s="73"/>
      <c r="F784" s="9"/>
      <c r="H784" s="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4"/>
      <c r="U784" s="10"/>
      <c r="V784" s="10"/>
      <c r="W784" s="10"/>
      <c r="X784" s="7"/>
      <c r="Y784" s="7"/>
      <c r="Z784" s="34"/>
      <c r="AA784" s="34"/>
      <c r="AB784" s="7"/>
      <c r="AC784" s="34"/>
      <c r="AD784" s="10"/>
      <c r="AF784"/>
    </row>
    <row r="785" spans="1:32" x14ac:dyDescent="0.25">
      <c r="A785" s="7"/>
      <c r="C785" s="70"/>
      <c r="D785" s="70"/>
      <c r="E785" s="73"/>
      <c r="F785" s="9"/>
      <c r="H785" s="9"/>
      <c r="I785" s="10"/>
      <c r="J785" s="10"/>
      <c r="K785" s="24"/>
      <c r="L785" s="10"/>
      <c r="M785" s="10"/>
      <c r="N785" s="10"/>
      <c r="O785" s="10"/>
      <c r="P785" s="10"/>
      <c r="Q785" s="10"/>
      <c r="R785" s="10"/>
      <c r="S785" s="10"/>
      <c r="T785" s="14"/>
      <c r="U785" s="10"/>
      <c r="V785" s="10"/>
      <c r="W785" s="10"/>
      <c r="X785" s="7"/>
      <c r="Y785" s="7"/>
      <c r="Z785" s="7"/>
      <c r="AA785" s="34"/>
      <c r="AB785" s="7"/>
      <c r="AC785" s="34"/>
      <c r="AD785" s="10"/>
      <c r="AF785"/>
    </row>
    <row r="786" spans="1:32" x14ac:dyDescent="0.25">
      <c r="A786" s="7"/>
      <c r="C786" s="70"/>
      <c r="D786" s="70"/>
      <c r="E786" s="73"/>
      <c r="F786" s="9"/>
      <c r="H786" s="9"/>
      <c r="I786" s="10"/>
      <c r="J786" s="7"/>
      <c r="K786" s="7"/>
      <c r="L786" s="10"/>
      <c r="M786" s="10"/>
      <c r="N786" s="10"/>
      <c r="O786" s="10"/>
      <c r="P786" s="10"/>
      <c r="Q786" s="10"/>
      <c r="R786" s="10"/>
      <c r="S786" s="10"/>
      <c r="T786" s="14"/>
      <c r="U786" s="10"/>
      <c r="V786" s="10"/>
      <c r="W786" s="10"/>
      <c r="X786" s="7"/>
      <c r="Y786" s="7"/>
      <c r="Z786" s="34"/>
      <c r="AA786" s="34"/>
      <c r="AB786" s="7"/>
      <c r="AC786" s="34"/>
      <c r="AD786" s="10"/>
      <c r="AF786"/>
    </row>
    <row r="787" spans="1:32" x14ac:dyDescent="0.25">
      <c r="A787" s="7"/>
      <c r="C787" s="70"/>
      <c r="D787" s="70"/>
      <c r="E787" s="73"/>
      <c r="F787" s="9"/>
      <c r="H787" s="9"/>
      <c r="I787" s="10"/>
      <c r="J787" s="7"/>
      <c r="K787" s="7"/>
      <c r="L787" s="10"/>
      <c r="M787" s="10"/>
      <c r="N787" s="10"/>
      <c r="O787" s="10"/>
      <c r="P787" s="10"/>
      <c r="Q787" s="10"/>
      <c r="R787" s="10"/>
      <c r="S787" s="10"/>
      <c r="T787" s="14"/>
      <c r="U787" s="10"/>
      <c r="V787" s="10"/>
      <c r="W787" s="10"/>
      <c r="X787" s="7"/>
      <c r="Y787" s="7"/>
      <c r="Z787" s="7"/>
      <c r="AA787" s="34"/>
      <c r="AB787" s="7"/>
      <c r="AC787" s="34"/>
      <c r="AD787" s="10"/>
      <c r="AF787"/>
    </row>
    <row r="788" spans="1:32" x14ac:dyDescent="0.25">
      <c r="A788" s="7"/>
      <c r="C788" s="70"/>
      <c r="D788" s="70"/>
      <c r="E788" s="73"/>
      <c r="F788" s="9"/>
      <c r="H788" s="9"/>
      <c r="I788" s="10"/>
      <c r="J788" s="7"/>
      <c r="K788" s="7"/>
      <c r="L788" s="10"/>
      <c r="M788" s="10"/>
      <c r="N788" s="10"/>
      <c r="O788" s="10"/>
      <c r="P788" s="10"/>
      <c r="Q788" s="10"/>
      <c r="R788" s="10"/>
      <c r="S788" s="10"/>
      <c r="T788" s="14"/>
      <c r="U788" s="10"/>
      <c r="V788" s="10"/>
      <c r="W788" s="10"/>
      <c r="X788" s="7"/>
      <c r="Y788" s="7"/>
      <c r="Z788" s="7"/>
      <c r="AA788" s="34"/>
      <c r="AB788" s="7"/>
      <c r="AC788" s="34"/>
      <c r="AD788" s="10"/>
      <c r="AF788"/>
    </row>
    <row r="789" spans="1:32" x14ac:dyDescent="0.25">
      <c r="A789" s="7"/>
      <c r="C789" s="70"/>
      <c r="D789" s="70"/>
      <c r="E789" s="73"/>
      <c r="F789" s="9"/>
      <c r="H789" s="9"/>
      <c r="I789" s="10"/>
      <c r="J789" s="7"/>
      <c r="K789" s="7"/>
      <c r="L789" s="10"/>
      <c r="M789" s="10"/>
      <c r="N789" s="10"/>
      <c r="O789" s="10"/>
      <c r="P789" s="10"/>
      <c r="Q789" s="10"/>
      <c r="R789" s="10"/>
      <c r="S789" s="10"/>
      <c r="T789" s="14"/>
      <c r="U789" s="10"/>
      <c r="V789" s="10"/>
      <c r="W789" s="10"/>
      <c r="X789" s="7"/>
      <c r="Y789" s="7"/>
      <c r="Z789" s="7"/>
      <c r="AA789" s="34"/>
      <c r="AB789" s="7"/>
      <c r="AC789" s="34"/>
      <c r="AD789" s="10"/>
      <c r="AF789"/>
    </row>
    <row r="790" spans="1:32" x14ac:dyDescent="0.25">
      <c r="A790" s="7"/>
      <c r="C790" s="70"/>
      <c r="D790" s="70"/>
      <c r="E790" s="73"/>
      <c r="F790" s="9"/>
      <c r="H790" s="9"/>
      <c r="I790" s="10"/>
      <c r="J790" s="7"/>
      <c r="K790" s="7"/>
      <c r="L790" s="10"/>
      <c r="M790" s="10"/>
      <c r="N790" s="10"/>
      <c r="O790" s="10"/>
      <c r="P790" s="10"/>
      <c r="Q790" s="10"/>
      <c r="R790" s="10"/>
      <c r="S790" s="10"/>
      <c r="T790" s="14"/>
      <c r="U790" s="10"/>
      <c r="V790" s="10"/>
      <c r="W790" s="10"/>
      <c r="X790" s="7"/>
      <c r="Y790" s="7"/>
      <c r="Z790" s="7"/>
      <c r="AA790" s="34"/>
      <c r="AB790" s="7"/>
      <c r="AC790" s="34"/>
      <c r="AD790" s="10"/>
      <c r="AF790"/>
    </row>
    <row r="791" spans="1:32" x14ac:dyDescent="0.25">
      <c r="A791" s="43"/>
      <c r="C791" s="70"/>
      <c r="D791" s="70"/>
      <c r="E791" s="73"/>
      <c r="F791" s="9"/>
      <c r="H791" s="9"/>
      <c r="I791" s="10"/>
      <c r="J791" s="7"/>
      <c r="K791" s="7"/>
      <c r="L791" s="10"/>
      <c r="M791" s="10"/>
      <c r="N791" s="10"/>
      <c r="O791" s="10"/>
      <c r="P791" s="10"/>
      <c r="Q791" s="10"/>
      <c r="R791" s="10"/>
      <c r="S791" s="10"/>
      <c r="T791" s="14"/>
      <c r="U791" s="10"/>
      <c r="V791" s="10"/>
      <c r="W791" s="10"/>
      <c r="X791" s="7"/>
      <c r="Y791" s="7"/>
      <c r="Z791" s="7"/>
      <c r="AA791" s="34"/>
      <c r="AB791" s="7"/>
      <c r="AC791" s="34"/>
      <c r="AD791" s="10"/>
      <c r="AF791"/>
    </row>
    <row r="792" spans="1:32" x14ac:dyDescent="0.25">
      <c r="A792" s="7"/>
      <c r="C792" s="70"/>
      <c r="D792" s="70"/>
      <c r="E792" s="73"/>
      <c r="F792" s="9"/>
      <c r="H792" s="9"/>
      <c r="I792" s="10"/>
      <c r="J792" s="10"/>
      <c r="K792" s="7"/>
      <c r="L792" s="10"/>
      <c r="M792" s="10"/>
      <c r="N792" s="10"/>
      <c r="O792" s="10"/>
      <c r="P792" s="10"/>
      <c r="Q792" s="10"/>
      <c r="R792" s="10"/>
      <c r="S792" s="10"/>
      <c r="T792" s="14"/>
      <c r="U792" s="10"/>
      <c r="V792" s="10"/>
      <c r="W792" s="10"/>
      <c r="X792" s="7"/>
      <c r="Y792" s="7"/>
      <c r="Z792" s="7"/>
      <c r="AA792" s="34"/>
      <c r="AB792" s="7"/>
      <c r="AC792" s="34"/>
      <c r="AD792" s="10"/>
      <c r="AF792"/>
    </row>
    <row r="793" spans="1:32" x14ac:dyDescent="0.25">
      <c r="A793" s="7"/>
      <c r="C793" s="70"/>
      <c r="D793" s="70"/>
      <c r="E793" s="78"/>
      <c r="F793" s="48"/>
      <c r="H793" s="9"/>
      <c r="I793" s="10"/>
      <c r="J793" s="7"/>
      <c r="K793" s="7"/>
      <c r="L793" s="10"/>
      <c r="M793" s="10"/>
      <c r="N793" s="10"/>
      <c r="O793" s="10"/>
      <c r="P793" s="10"/>
      <c r="Q793" s="10"/>
      <c r="R793" s="10"/>
      <c r="S793" s="10"/>
      <c r="T793" s="14"/>
      <c r="U793" s="10"/>
      <c r="V793" s="10"/>
      <c r="W793" s="10"/>
      <c r="X793" s="7"/>
      <c r="Y793" s="7"/>
      <c r="Z793" s="7"/>
      <c r="AA793" s="34"/>
      <c r="AB793" s="7"/>
      <c r="AC793" s="34"/>
      <c r="AD793" s="10"/>
      <c r="AF793"/>
    </row>
    <row r="794" spans="1:32" x14ac:dyDescent="0.25">
      <c r="A794" s="7"/>
      <c r="C794" s="70"/>
      <c r="D794" s="70"/>
      <c r="E794" s="73"/>
      <c r="F794" s="9"/>
      <c r="H794" s="9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4"/>
      <c r="U794" s="10"/>
      <c r="V794" s="10"/>
      <c r="W794" s="10"/>
      <c r="X794" s="7"/>
      <c r="Y794" s="7"/>
      <c r="Z794" s="7"/>
      <c r="AA794" s="34"/>
      <c r="AB794" s="7"/>
      <c r="AC794" s="34"/>
      <c r="AD794" s="10"/>
      <c r="AF794"/>
    </row>
    <row r="795" spans="1:32" x14ac:dyDescent="0.25">
      <c r="A795" s="7"/>
      <c r="C795" s="70"/>
      <c r="D795" s="70"/>
      <c r="E795" s="73"/>
      <c r="F795" s="9"/>
      <c r="H795" s="9"/>
      <c r="I795" s="10"/>
      <c r="J795" s="7"/>
      <c r="K795" s="7"/>
      <c r="L795" s="10"/>
      <c r="M795" s="10"/>
      <c r="N795" s="10"/>
      <c r="O795" s="10"/>
      <c r="P795" s="10"/>
      <c r="Q795" s="10"/>
      <c r="R795" s="10"/>
      <c r="S795" s="10"/>
      <c r="T795" s="14"/>
      <c r="U795" s="10"/>
      <c r="V795" s="10"/>
      <c r="W795" s="10"/>
      <c r="X795" s="7"/>
      <c r="Y795" s="7"/>
      <c r="Z795" s="7"/>
      <c r="AA795" s="34"/>
      <c r="AB795" s="7"/>
      <c r="AC795" s="34"/>
      <c r="AD795" s="10"/>
      <c r="AF795"/>
    </row>
    <row r="796" spans="1:32" x14ac:dyDescent="0.25">
      <c r="A796" s="7"/>
      <c r="C796" s="70"/>
      <c r="D796" s="70"/>
      <c r="E796" s="73"/>
      <c r="F796" s="9"/>
      <c r="H796" s="9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4"/>
      <c r="U796" s="10"/>
      <c r="V796" s="10"/>
      <c r="W796" s="10"/>
      <c r="X796" s="7"/>
      <c r="Y796" s="7"/>
      <c r="Z796" s="7"/>
      <c r="AA796" s="34"/>
      <c r="AB796" s="7"/>
      <c r="AC796" s="34"/>
      <c r="AD796" s="10"/>
      <c r="AF796"/>
    </row>
    <row r="797" spans="1:32" x14ac:dyDescent="0.25">
      <c r="A797" s="7"/>
      <c r="C797" s="70"/>
      <c r="D797" s="70"/>
      <c r="E797" s="73"/>
      <c r="F797" s="45"/>
      <c r="H797" s="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4"/>
      <c r="U797" s="10"/>
      <c r="V797" s="10"/>
      <c r="W797" s="10"/>
      <c r="X797" s="7"/>
      <c r="Y797" s="7"/>
      <c r="Z797" s="7"/>
      <c r="AA797" s="34"/>
      <c r="AB797" s="7"/>
      <c r="AC797" s="34"/>
      <c r="AD797" s="10"/>
      <c r="AF797"/>
    </row>
    <row r="798" spans="1:32" x14ac:dyDescent="0.25">
      <c r="A798" s="7"/>
      <c r="C798" s="70"/>
      <c r="D798" s="70"/>
      <c r="E798" s="73"/>
      <c r="F798" s="9"/>
      <c r="H798" s="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4"/>
      <c r="U798" s="10"/>
      <c r="V798" s="10"/>
      <c r="W798" s="10"/>
      <c r="X798" s="7"/>
      <c r="Y798" s="34"/>
      <c r="Z798" s="7"/>
      <c r="AA798" s="34"/>
      <c r="AB798" s="7"/>
      <c r="AC798" s="34"/>
      <c r="AD798" s="10"/>
      <c r="AF798"/>
    </row>
    <row r="799" spans="1:32" x14ac:dyDescent="0.25">
      <c r="A799" s="7"/>
      <c r="C799" s="70"/>
      <c r="D799" s="70"/>
      <c r="E799" s="73"/>
      <c r="F799" s="9"/>
      <c r="H799" s="9"/>
      <c r="I799" s="10"/>
      <c r="J799" s="10"/>
      <c r="K799" s="7"/>
      <c r="L799" s="10"/>
      <c r="M799" s="10"/>
      <c r="N799" s="10"/>
      <c r="O799" s="10"/>
      <c r="P799" s="10"/>
      <c r="Q799" s="10"/>
      <c r="R799" s="10"/>
      <c r="S799" s="10"/>
      <c r="T799" s="14"/>
      <c r="U799" s="10"/>
      <c r="V799" s="10"/>
      <c r="W799" s="10"/>
      <c r="X799" s="7"/>
      <c r="Y799" s="7"/>
      <c r="Z799" s="7"/>
      <c r="AA799" s="34"/>
      <c r="AB799" s="7"/>
      <c r="AC799" s="34"/>
      <c r="AD799" s="10"/>
      <c r="AF799"/>
    </row>
    <row r="800" spans="1:32" x14ac:dyDescent="0.25">
      <c r="A800" s="7"/>
      <c r="C800" s="70"/>
      <c r="D800" s="70"/>
      <c r="E800" s="73"/>
      <c r="F800" s="9"/>
      <c r="H800" s="9"/>
      <c r="I800" s="10"/>
      <c r="J800" s="10"/>
      <c r="K800" s="24"/>
      <c r="L800" s="10"/>
      <c r="M800" s="10"/>
      <c r="N800" s="10"/>
      <c r="O800" s="10"/>
      <c r="P800" s="10"/>
      <c r="Q800" s="10"/>
      <c r="R800" s="10"/>
      <c r="S800" s="10"/>
      <c r="T800" s="14"/>
      <c r="U800" s="10"/>
      <c r="V800" s="10"/>
      <c r="W800" s="10"/>
      <c r="X800" s="7"/>
      <c r="Y800" s="7"/>
      <c r="Z800" s="7"/>
      <c r="AA800" s="34"/>
      <c r="AB800" s="7"/>
      <c r="AC800" s="34"/>
      <c r="AD800" s="10"/>
      <c r="AF800"/>
    </row>
    <row r="801" spans="1:32" x14ac:dyDescent="0.25">
      <c r="A801" s="7"/>
      <c r="C801" s="70"/>
      <c r="D801" s="70"/>
      <c r="E801" s="73"/>
      <c r="F801" s="45"/>
      <c r="H801" s="9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4"/>
      <c r="U801" s="10"/>
      <c r="V801" s="10"/>
      <c r="W801" s="10"/>
      <c r="X801" s="7"/>
      <c r="Y801" s="34"/>
      <c r="Z801" s="34"/>
      <c r="AA801" s="34"/>
      <c r="AB801" s="7"/>
      <c r="AC801" s="34"/>
      <c r="AD801" s="10"/>
      <c r="AF801"/>
    </row>
    <row r="802" spans="1:32" x14ac:dyDescent="0.25">
      <c r="A802" s="7"/>
      <c r="C802" s="70"/>
      <c r="D802" s="70"/>
      <c r="E802" s="73"/>
      <c r="F802" s="45"/>
      <c r="H802" s="9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4"/>
      <c r="U802" s="10"/>
      <c r="V802" s="10"/>
      <c r="W802" s="10"/>
      <c r="X802" s="7"/>
      <c r="Y802" s="34"/>
      <c r="Z802" s="7"/>
      <c r="AA802" s="34"/>
      <c r="AB802" s="7"/>
      <c r="AC802" s="34"/>
      <c r="AD802" s="10"/>
      <c r="AF802"/>
    </row>
    <row r="803" spans="1:32" x14ac:dyDescent="0.25">
      <c r="A803" s="7"/>
      <c r="C803" s="70"/>
      <c r="D803" s="70"/>
      <c r="E803" s="73"/>
      <c r="F803" s="45"/>
      <c r="H803" s="9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4"/>
      <c r="U803" s="10"/>
      <c r="V803" s="10"/>
      <c r="W803" s="10"/>
      <c r="X803" s="7"/>
      <c r="Y803" s="34"/>
      <c r="Z803" s="7"/>
      <c r="AA803" s="34"/>
      <c r="AB803" s="7"/>
      <c r="AC803" s="34"/>
      <c r="AD803" s="10"/>
      <c r="AF803"/>
    </row>
    <row r="804" spans="1:32" x14ac:dyDescent="0.25">
      <c r="A804" s="7"/>
      <c r="C804" s="70"/>
      <c r="D804" s="70"/>
      <c r="E804" s="73"/>
      <c r="F804" s="9"/>
      <c r="H804" s="9"/>
      <c r="I804" s="10"/>
      <c r="J804" s="7"/>
      <c r="K804" s="7"/>
      <c r="L804" s="10"/>
      <c r="M804" s="10"/>
      <c r="N804" s="10"/>
      <c r="O804" s="10"/>
      <c r="P804" s="10"/>
      <c r="Q804" s="10"/>
      <c r="R804" s="10"/>
      <c r="S804" s="10"/>
      <c r="T804" s="14"/>
      <c r="U804" s="10"/>
      <c r="V804" s="10"/>
      <c r="W804" s="10"/>
      <c r="X804" s="7"/>
      <c r="Y804" s="7"/>
      <c r="Z804" s="7"/>
      <c r="AA804" s="34"/>
      <c r="AB804" s="7"/>
      <c r="AC804" s="34"/>
      <c r="AD804" s="10"/>
      <c r="AF804"/>
    </row>
    <row r="805" spans="1:32" x14ac:dyDescent="0.25">
      <c r="A805" s="7"/>
      <c r="C805" s="70"/>
      <c r="D805" s="70"/>
      <c r="E805" s="73"/>
      <c r="F805" s="9"/>
      <c r="H805" s="9"/>
      <c r="I805" s="10"/>
      <c r="J805" s="7"/>
      <c r="K805" s="7"/>
      <c r="L805" s="10"/>
      <c r="M805" s="10"/>
      <c r="N805" s="10"/>
      <c r="O805" s="10"/>
      <c r="P805" s="10"/>
      <c r="Q805" s="10"/>
      <c r="R805" s="10"/>
      <c r="S805" s="10"/>
      <c r="T805" s="14"/>
      <c r="U805" s="10"/>
      <c r="V805" s="10"/>
      <c r="W805" s="10"/>
      <c r="X805" s="7"/>
      <c r="Y805" s="7"/>
      <c r="Z805" s="34"/>
      <c r="AA805" s="34"/>
      <c r="AB805" s="7"/>
      <c r="AC805" s="34"/>
      <c r="AD805" s="10"/>
      <c r="AF805"/>
    </row>
    <row r="806" spans="1:32" x14ac:dyDescent="0.25">
      <c r="A806" s="7"/>
      <c r="C806" s="70"/>
      <c r="D806" s="70"/>
      <c r="E806" s="73"/>
      <c r="F806" s="9"/>
      <c r="H806" s="9"/>
      <c r="I806" s="10"/>
      <c r="J806" s="7"/>
      <c r="K806" s="7"/>
      <c r="L806" s="10"/>
      <c r="M806" s="10"/>
      <c r="N806" s="10"/>
      <c r="O806" s="10"/>
      <c r="P806" s="10"/>
      <c r="Q806" s="10"/>
      <c r="R806" s="10"/>
      <c r="S806" s="10"/>
      <c r="T806" s="14"/>
      <c r="U806" s="10"/>
      <c r="V806" s="10"/>
      <c r="W806" s="10"/>
      <c r="X806" s="7"/>
      <c r="Y806" s="7"/>
      <c r="Z806" s="34"/>
      <c r="AA806" s="34"/>
      <c r="AB806" s="7"/>
      <c r="AC806" s="34"/>
      <c r="AD806" s="10"/>
      <c r="AF806"/>
    </row>
    <row r="807" spans="1:32" x14ac:dyDescent="0.25">
      <c r="A807" s="7"/>
      <c r="C807" s="70"/>
      <c r="D807" s="70"/>
      <c r="E807" s="73"/>
      <c r="F807" s="45"/>
      <c r="H807" s="9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4"/>
      <c r="U807" s="10"/>
      <c r="V807" s="10"/>
      <c r="W807" s="10"/>
      <c r="X807" s="7"/>
      <c r="Y807" s="34"/>
      <c r="Z807" s="7"/>
      <c r="AA807" s="34"/>
      <c r="AB807" s="7"/>
      <c r="AC807" s="34"/>
      <c r="AD807" s="10"/>
      <c r="AF807"/>
    </row>
    <row r="808" spans="1:32" x14ac:dyDescent="0.25">
      <c r="A808" s="7"/>
      <c r="C808" s="70"/>
      <c r="D808" s="70"/>
      <c r="E808" s="73"/>
      <c r="F808" s="9"/>
      <c r="H808" s="9"/>
      <c r="I808" s="10"/>
      <c r="J808" s="10"/>
      <c r="K808" s="7"/>
      <c r="L808" s="10"/>
      <c r="M808" s="10"/>
      <c r="N808" s="10"/>
      <c r="O808" s="10"/>
      <c r="P808" s="10"/>
      <c r="Q808" s="10"/>
      <c r="R808" s="10"/>
      <c r="S808" s="10"/>
      <c r="T808" s="14"/>
      <c r="U808" s="10"/>
      <c r="V808" s="10"/>
      <c r="W808" s="10"/>
      <c r="X808" s="7"/>
      <c r="Y808" s="34"/>
      <c r="Z808" s="7"/>
      <c r="AA808" s="34"/>
      <c r="AB808" s="7"/>
      <c r="AC808" s="34"/>
      <c r="AD808" s="10"/>
      <c r="AF808"/>
    </row>
    <row r="809" spans="1:32" x14ac:dyDescent="0.25">
      <c r="A809" s="7"/>
      <c r="C809" s="70"/>
      <c r="D809" s="70"/>
      <c r="E809" s="73"/>
      <c r="F809" s="9"/>
      <c r="H809" s="9"/>
      <c r="I809" s="10"/>
      <c r="J809" s="7"/>
      <c r="K809" s="7"/>
      <c r="L809" s="10"/>
      <c r="M809" s="10"/>
      <c r="N809" s="10"/>
      <c r="O809" s="10"/>
      <c r="P809" s="10"/>
      <c r="Q809" s="10"/>
      <c r="R809" s="10"/>
      <c r="S809" s="10"/>
      <c r="T809" s="14"/>
      <c r="U809" s="10"/>
      <c r="V809" s="10"/>
      <c r="W809" s="10"/>
      <c r="X809" s="7"/>
      <c r="Y809" s="7"/>
      <c r="Z809" s="34"/>
      <c r="AA809" s="34"/>
      <c r="AB809" s="7"/>
      <c r="AC809" s="34"/>
      <c r="AD809" s="10"/>
      <c r="AF809"/>
    </row>
    <row r="810" spans="1:32" x14ac:dyDescent="0.25">
      <c r="A810" s="7"/>
      <c r="C810" s="70"/>
      <c r="D810" s="70"/>
      <c r="E810" s="73"/>
      <c r="F810" s="9"/>
      <c r="H810" s="9"/>
      <c r="I810" s="10"/>
      <c r="J810" s="7"/>
      <c r="K810" s="7"/>
      <c r="L810" s="10"/>
      <c r="M810" s="10"/>
      <c r="N810" s="10"/>
      <c r="O810" s="10"/>
      <c r="P810" s="10"/>
      <c r="Q810" s="10"/>
      <c r="R810" s="10"/>
      <c r="S810" s="10"/>
      <c r="T810" s="14"/>
      <c r="U810" s="10"/>
      <c r="V810" s="10"/>
      <c r="W810" s="10"/>
      <c r="X810" s="7"/>
      <c r="Y810" s="7"/>
      <c r="Z810" s="7"/>
      <c r="AA810" s="34"/>
      <c r="AB810" s="7"/>
      <c r="AC810" s="34"/>
      <c r="AD810" s="10"/>
      <c r="AF810"/>
    </row>
    <row r="811" spans="1:32" x14ac:dyDescent="0.25">
      <c r="A811" s="7"/>
      <c r="C811" s="70"/>
      <c r="D811" s="70"/>
      <c r="E811" s="73"/>
      <c r="F811" s="9"/>
      <c r="H811" s="9"/>
      <c r="I811" s="10"/>
      <c r="J811" s="7"/>
      <c r="K811" s="7"/>
      <c r="L811" s="10"/>
      <c r="M811" s="10"/>
      <c r="N811" s="10"/>
      <c r="O811" s="10"/>
      <c r="P811" s="10"/>
      <c r="Q811" s="10"/>
      <c r="R811" s="10"/>
      <c r="S811" s="10"/>
      <c r="T811" s="14"/>
      <c r="U811" s="10"/>
      <c r="V811" s="10"/>
      <c r="W811" s="10"/>
      <c r="X811" s="7"/>
      <c r="Y811" s="7"/>
      <c r="Z811" s="7"/>
      <c r="AA811" s="34"/>
      <c r="AB811" s="7"/>
      <c r="AC811" s="34"/>
      <c r="AD811" s="10"/>
      <c r="AF811"/>
    </row>
    <row r="812" spans="1:32" x14ac:dyDescent="0.25">
      <c r="A812" s="7"/>
      <c r="C812" s="70"/>
      <c r="D812" s="70"/>
      <c r="E812" s="73"/>
      <c r="F812" s="9"/>
      <c r="H812" s="9"/>
      <c r="I812" s="10"/>
      <c r="J812" s="7"/>
      <c r="K812" s="7"/>
      <c r="L812" s="10"/>
      <c r="M812" s="10"/>
      <c r="N812" s="10"/>
      <c r="O812" s="10"/>
      <c r="P812" s="10"/>
      <c r="Q812" s="10"/>
      <c r="R812" s="10"/>
      <c r="S812" s="10"/>
      <c r="T812" s="14"/>
      <c r="U812" s="10"/>
      <c r="V812" s="10"/>
      <c r="W812" s="10"/>
      <c r="X812" s="7"/>
      <c r="Y812" s="7"/>
      <c r="Z812" s="34"/>
      <c r="AA812" s="34"/>
      <c r="AB812" s="7"/>
      <c r="AC812" s="34"/>
      <c r="AD812" s="10"/>
      <c r="AF812"/>
    </row>
    <row r="813" spans="1:32" x14ac:dyDescent="0.25">
      <c r="A813" s="7"/>
      <c r="C813" s="70"/>
      <c r="D813" s="70"/>
      <c r="E813" s="73"/>
      <c r="F813" s="9"/>
      <c r="H813" s="9"/>
      <c r="I813" s="10"/>
      <c r="J813" s="7"/>
      <c r="K813" s="7"/>
      <c r="L813" s="10"/>
      <c r="M813" s="10"/>
      <c r="N813" s="10"/>
      <c r="O813" s="10"/>
      <c r="P813" s="10"/>
      <c r="Q813" s="10"/>
      <c r="R813" s="10"/>
      <c r="S813" s="10"/>
      <c r="T813" s="14"/>
      <c r="U813" s="10"/>
      <c r="V813" s="10"/>
      <c r="W813" s="10"/>
      <c r="X813" s="7"/>
      <c r="Y813" s="7"/>
      <c r="Z813" s="34"/>
      <c r="AA813" s="34"/>
      <c r="AB813" s="7"/>
      <c r="AC813" s="34"/>
      <c r="AD813" s="10"/>
      <c r="AF813"/>
    </row>
    <row r="814" spans="1:32" x14ac:dyDescent="0.25">
      <c r="A814" s="7"/>
      <c r="C814" s="70"/>
      <c r="D814" s="70"/>
      <c r="E814" s="73"/>
      <c r="F814" s="9"/>
      <c r="H814" s="9"/>
      <c r="I814" s="10"/>
      <c r="J814" s="61"/>
      <c r="K814" s="10"/>
      <c r="L814" s="10"/>
      <c r="M814" s="10"/>
      <c r="N814" s="10"/>
      <c r="O814" s="10"/>
      <c r="P814" s="10"/>
      <c r="Q814" s="10"/>
      <c r="R814" s="10"/>
      <c r="S814" s="10"/>
      <c r="T814" s="14"/>
      <c r="U814" s="10"/>
      <c r="V814" s="10"/>
      <c r="W814" s="10"/>
      <c r="X814" s="7"/>
      <c r="Y814" s="7"/>
      <c r="Z814" s="7"/>
      <c r="AA814" s="34"/>
      <c r="AB814" s="7"/>
      <c r="AC814" s="34"/>
      <c r="AD814" s="10"/>
      <c r="AF814"/>
    </row>
    <row r="815" spans="1:32" x14ac:dyDescent="0.25">
      <c r="A815" s="7"/>
      <c r="C815" s="70"/>
      <c r="D815" s="70"/>
      <c r="E815" s="73"/>
      <c r="F815" s="9"/>
      <c r="H815" s="9"/>
      <c r="I815" s="10"/>
      <c r="J815" s="7"/>
      <c r="K815" s="7"/>
      <c r="L815" s="10"/>
      <c r="M815" s="10"/>
      <c r="N815" s="10"/>
      <c r="O815" s="10"/>
      <c r="P815" s="10"/>
      <c r="Q815" s="10"/>
      <c r="R815" s="10"/>
      <c r="S815" s="10"/>
      <c r="T815" s="14"/>
      <c r="U815" s="10"/>
      <c r="V815" s="10"/>
      <c r="W815" s="10"/>
      <c r="X815" s="7"/>
      <c r="Y815" s="7"/>
      <c r="Z815" s="7"/>
      <c r="AA815" s="34"/>
      <c r="AB815" s="7"/>
      <c r="AC815" s="34"/>
      <c r="AD815" s="10"/>
      <c r="AF815"/>
    </row>
    <row r="816" spans="1:32" x14ac:dyDescent="0.25">
      <c r="A816" s="7"/>
      <c r="C816" s="70"/>
      <c r="D816" s="70"/>
      <c r="E816" s="73"/>
      <c r="F816" s="9"/>
      <c r="H816" s="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4"/>
      <c r="U816" s="10"/>
      <c r="V816" s="10"/>
      <c r="W816" s="10"/>
      <c r="X816" s="7"/>
      <c r="Y816" s="7"/>
      <c r="Z816" s="7"/>
      <c r="AA816" s="34"/>
      <c r="AB816" s="7"/>
      <c r="AC816" s="34"/>
      <c r="AD816" s="10"/>
      <c r="AF816"/>
    </row>
    <row r="817" spans="1:32" x14ac:dyDescent="0.25">
      <c r="A817" s="7"/>
      <c r="C817" s="70"/>
      <c r="D817" s="70"/>
      <c r="E817" s="73"/>
      <c r="F817" s="9"/>
      <c r="H817" s="9"/>
      <c r="I817" s="10"/>
      <c r="J817" s="7"/>
      <c r="K817" s="7"/>
      <c r="L817" s="10"/>
      <c r="M817" s="10"/>
      <c r="N817" s="10"/>
      <c r="O817" s="10"/>
      <c r="P817" s="10"/>
      <c r="Q817" s="10"/>
      <c r="R817" s="10"/>
      <c r="S817" s="10"/>
      <c r="T817" s="14"/>
      <c r="U817" s="10"/>
      <c r="V817" s="10"/>
      <c r="W817" s="10"/>
      <c r="X817" s="7"/>
      <c r="Y817" s="7"/>
      <c r="Z817" s="7"/>
      <c r="AA817" s="34"/>
      <c r="AB817" s="7"/>
      <c r="AC817" s="34"/>
      <c r="AD817" s="10"/>
      <c r="AF817"/>
    </row>
    <row r="818" spans="1:32" x14ac:dyDescent="0.25">
      <c r="A818" s="7"/>
      <c r="C818" s="70"/>
      <c r="D818" s="70"/>
      <c r="E818" s="73"/>
      <c r="F818" s="9"/>
      <c r="H818" s="9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4"/>
      <c r="U818" s="10"/>
      <c r="V818" s="10"/>
      <c r="W818" s="10"/>
      <c r="X818" s="7"/>
      <c r="Y818" s="7"/>
      <c r="Z818" s="7"/>
      <c r="AA818" s="34"/>
      <c r="AB818" s="7"/>
      <c r="AC818" s="34"/>
      <c r="AD818" s="10"/>
      <c r="AF818"/>
    </row>
    <row r="819" spans="1:32" x14ac:dyDescent="0.25">
      <c r="A819" s="7"/>
      <c r="C819" s="70"/>
      <c r="D819" s="70"/>
      <c r="E819" s="73"/>
      <c r="F819" s="48"/>
      <c r="H819" s="9"/>
      <c r="I819" s="10"/>
      <c r="J819" s="7"/>
      <c r="K819" s="7"/>
      <c r="L819" s="10"/>
      <c r="M819" s="10"/>
      <c r="N819" s="10"/>
      <c r="O819" s="10"/>
      <c r="P819" s="10"/>
      <c r="Q819" s="10"/>
      <c r="R819" s="10"/>
      <c r="S819" s="10"/>
      <c r="T819" s="14"/>
      <c r="U819" s="10"/>
      <c r="V819" s="10"/>
      <c r="W819" s="10"/>
      <c r="X819" s="7"/>
      <c r="Y819" s="7"/>
      <c r="Z819" s="7"/>
      <c r="AA819" s="34"/>
      <c r="AB819" s="7"/>
      <c r="AC819" s="34"/>
      <c r="AD819" s="10"/>
      <c r="AF819"/>
    </row>
    <row r="820" spans="1:32" x14ac:dyDescent="0.25">
      <c r="A820" s="7"/>
      <c r="C820" s="70"/>
      <c r="D820" s="70"/>
      <c r="E820" s="73"/>
      <c r="F820" s="9"/>
      <c r="H820" s="9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4"/>
      <c r="U820" s="10"/>
      <c r="V820" s="10"/>
      <c r="W820" s="10"/>
      <c r="X820" s="7"/>
      <c r="Y820" s="7"/>
      <c r="Z820" s="34"/>
      <c r="AA820" s="34"/>
      <c r="AB820" s="7"/>
      <c r="AC820" s="34"/>
      <c r="AD820" s="10"/>
      <c r="AF820"/>
    </row>
    <row r="821" spans="1:32" x14ac:dyDescent="0.25">
      <c r="A821" s="7"/>
      <c r="C821" s="70"/>
      <c r="D821" s="70"/>
      <c r="E821" s="73"/>
      <c r="F821" s="48"/>
      <c r="H821" s="9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4"/>
      <c r="U821" s="10"/>
      <c r="V821" s="10"/>
      <c r="W821" s="10"/>
      <c r="X821" s="7"/>
      <c r="Y821" s="34"/>
      <c r="Z821" s="7"/>
      <c r="AA821" s="34"/>
      <c r="AB821" s="7"/>
      <c r="AC821" s="34"/>
      <c r="AD821" s="10"/>
      <c r="AF821"/>
    </row>
    <row r="822" spans="1:32" x14ac:dyDescent="0.25">
      <c r="A822" s="7"/>
      <c r="C822" s="70"/>
      <c r="D822" s="70"/>
      <c r="E822" s="73"/>
      <c r="F822" s="9"/>
      <c r="H822" s="9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4"/>
      <c r="U822" s="10"/>
      <c r="V822" s="10"/>
      <c r="W822" s="10"/>
      <c r="X822" s="7"/>
      <c r="Y822" s="7"/>
      <c r="Z822" s="7"/>
      <c r="AA822" s="34"/>
      <c r="AB822" s="7"/>
      <c r="AC822" s="34"/>
      <c r="AD822" s="10"/>
      <c r="AF822"/>
    </row>
    <row r="823" spans="1:32" x14ac:dyDescent="0.25">
      <c r="A823" s="7"/>
      <c r="C823" s="70"/>
      <c r="D823" s="70"/>
      <c r="E823" s="73"/>
      <c r="F823" s="9"/>
      <c r="H823" s="9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4"/>
      <c r="U823" s="10"/>
      <c r="V823" s="10"/>
      <c r="W823" s="10"/>
      <c r="X823" s="7"/>
      <c r="Y823" s="7"/>
      <c r="Z823" s="7"/>
      <c r="AA823" s="34"/>
      <c r="AB823" s="7"/>
      <c r="AC823" s="34"/>
      <c r="AD823" s="10"/>
      <c r="AF823"/>
    </row>
    <row r="824" spans="1:32" x14ac:dyDescent="0.25">
      <c r="A824" s="7"/>
      <c r="C824" s="70"/>
      <c r="D824" s="70"/>
      <c r="E824" s="73"/>
      <c r="F824" s="9"/>
      <c r="H824" s="9"/>
      <c r="I824" s="10"/>
      <c r="J824" s="7"/>
      <c r="K824" s="7"/>
      <c r="L824" s="10"/>
      <c r="M824" s="10"/>
      <c r="N824" s="10"/>
      <c r="O824" s="10"/>
      <c r="P824" s="10"/>
      <c r="Q824" s="10"/>
      <c r="R824" s="10"/>
      <c r="S824" s="10"/>
      <c r="T824" s="14"/>
      <c r="U824" s="10"/>
      <c r="V824" s="10"/>
      <c r="W824" s="10"/>
      <c r="X824" s="7"/>
      <c r="Y824" s="7"/>
      <c r="Z824" s="7"/>
      <c r="AA824" s="34"/>
      <c r="AB824" s="7"/>
      <c r="AC824" s="34"/>
      <c r="AD824" s="10"/>
      <c r="AF824"/>
    </row>
    <row r="825" spans="1:32" x14ac:dyDescent="0.25">
      <c r="A825" s="7"/>
      <c r="C825" s="70"/>
      <c r="D825" s="70"/>
      <c r="E825" s="73"/>
      <c r="F825" s="9"/>
      <c r="H825" s="9"/>
      <c r="I825" s="10"/>
      <c r="J825" s="10"/>
      <c r="K825" s="24"/>
      <c r="L825" s="10"/>
      <c r="M825" s="10"/>
      <c r="N825" s="10"/>
      <c r="O825" s="10"/>
      <c r="P825" s="10"/>
      <c r="Q825" s="10"/>
      <c r="R825" s="10"/>
      <c r="S825" s="10"/>
      <c r="T825" s="14"/>
      <c r="U825" s="10"/>
      <c r="V825" s="10"/>
      <c r="W825" s="10"/>
      <c r="X825" s="7"/>
      <c r="Y825" s="7"/>
      <c r="Z825" s="7"/>
      <c r="AA825" s="34"/>
      <c r="AB825" s="7"/>
      <c r="AC825" s="34"/>
      <c r="AD825" s="10"/>
      <c r="AF825"/>
    </row>
    <row r="826" spans="1:32" x14ac:dyDescent="0.25">
      <c r="A826" s="7"/>
      <c r="C826" s="70"/>
      <c r="D826" s="70"/>
      <c r="E826" s="73"/>
      <c r="F826" s="9"/>
      <c r="H826" s="9"/>
      <c r="I826" s="10"/>
      <c r="J826" s="10"/>
      <c r="K826" s="7"/>
      <c r="L826" s="10"/>
      <c r="M826" s="10"/>
      <c r="N826" s="10"/>
      <c r="O826" s="10"/>
      <c r="P826" s="10"/>
      <c r="Q826" s="10"/>
      <c r="R826" s="10"/>
      <c r="S826" s="10"/>
      <c r="T826" s="14"/>
      <c r="U826" s="10"/>
      <c r="V826" s="10"/>
      <c r="W826" s="10"/>
      <c r="X826" s="7"/>
      <c r="Y826" s="7"/>
      <c r="Z826" s="7"/>
      <c r="AA826" s="34"/>
      <c r="AB826" s="7"/>
      <c r="AC826" s="34"/>
      <c r="AD826" s="10"/>
      <c r="AF826"/>
    </row>
    <row r="827" spans="1:32" x14ac:dyDescent="0.25">
      <c r="A827" s="7"/>
      <c r="C827" s="70"/>
      <c r="D827" s="70"/>
      <c r="E827" s="73"/>
      <c r="F827" s="9"/>
      <c r="H827" s="9"/>
      <c r="I827" s="10"/>
      <c r="J827" s="7"/>
      <c r="K827" s="7"/>
      <c r="L827" s="10"/>
      <c r="M827" s="10"/>
      <c r="N827" s="10"/>
      <c r="O827" s="10"/>
      <c r="P827" s="10"/>
      <c r="Q827" s="10"/>
      <c r="R827" s="10"/>
      <c r="S827" s="10"/>
      <c r="T827" s="14"/>
      <c r="U827" s="10"/>
      <c r="V827" s="10"/>
      <c r="W827" s="10"/>
      <c r="X827" s="7"/>
      <c r="Y827" s="7"/>
      <c r="Z827" s="7"/>
      <c r="AA827" s="34"/>
      <c r="AB827" s="7"/>
      <c r="AC827" s="34"/>
      <c r="AD827" s="10"/>
      <c r="AF827"/>
    </row>
    <row r="828" spans="1:32" x14ac:dyDescent="0.25">
      <c r="A828" s="7"/>
      <c r="C828" s="70"/>
      <c r="D828" s="70"/>
      <c r="E828" s="73"/>
      <c r="F828" s="9"/>
      <c r="H828" s="9"/>
      <c r="I828" s="10"/>
      <c r="J828" s="7"/>
      <c r="K828" s="7"/>
      <c r="L828" s="10"/>
      <c r="M828" s="10"/>
      <c r="N828" s="10"/>
      <c r="O828" s="10"/>
      <c r="P828" s="10"/>
      <c r="Q828" s="10"/>
      <c r="R828" s="10"/>
      <c r="S828" s="10"/>
      <c r="T828" s="14"/>
      <c r="U828" s="10"/>
      <c r="V828" s="10"/>
      <c r="W828" s="10"/>
      <c r="X828" s="7"/>
      <c r="Y828" s="7"/>
      <c r="Z828" s="7"/>
      <c r="AA828" s="34"/>
      <c r="AB828" s="7"/>
      <c r="AC828" s="34"/>
      <c r="AD828" s="10"/>
      <c r="AF828"/>
    </row>
    <row r="829" spans="1:32" x14ac:dyDescent="0.25">
      <c r="A829" s="7"/>
      <c r="C829" s="70"/>
      <c r="D829" s="70"/>
      <c r="E829" s="73"/>
      <c r="F829" s="9"/>
      <c r="H829" s="9"/>
      <c r="I829" s="10"/>
      <c r="J829" s="10"/>
      <c r="K829" s="7"/>
      <c r="L829" s="10"/>
      <c r="M829" s="10"/>
      <c r="N829" s="10"/>
      <c r="O829" s="10"/>
      <c r="P829" s="10"/>
      <c r="Q829" s="10"/>
      <c r="R829" s="10"/>
      <c r="S829" s="10"/>
      <c r="T829" s="14"/>
      <c r="U829" s="10"/>
      <c r="V829" s="10"/>
      <c r="W829" s="10"/>
      <c r="X829" s="7"/>
      <c r="Y829" s="7"/>
      <c r="Z829" s="7"/>
      <c r="AA829" s="34"/>
      <c r="AB829" s="7"/>
      <c r="AC829" s="34"/>
      <c r="AD829" s="10"/>
      <c r="AF829"/>
    </row>
    <row r="830" spans="1:32" x14ac:dyDescent="0.25">
      <c r="A830" s="7"/>
      <c r="C830" s="70"/>
      <c r="D830" s="70"/>
      <c r="E830" s="73"/>
      <c r="F830" s="9"/>
      <c r="H830" s="9"/>
      <c r="I830" s="10"/>
      <c r="J830" s="7"/>
      <c r="K830" s="7"/>
      <c r="L830" s="10"/>
      <c r="M830" s="10"/>
      <c r="N830" s="10"/>
      <c r="O830" s="10"/>
      <c r="P830" s="10"/>
      <c r="Q830" s="10"/>
      <c r="R830" s="10"/>
      <c r="S830" s="10"/>
      <c r="T830" s="14"/>
      <c r="U830" s="10"/>
      <c r="V830" s="10"/>
      <c r="W830" s="10"/>
      <c r="X830" s="7"/>
      <c r="Y830" s="7"/>
      <c r="Z830" s="34"/>
      <c r="AA830" s="34"/>
      <c r="AB830" s="7"/>
      <c r="AC830" s="34"/>
      <c r="AD830" s="10"/>
      <c r="AF830"/>
    </row>
    <row r="831" spans="1:32" x14ac:dyDescent="0.25">
      <c r="A831" s="7"/>
      <c r="C831" s="70"/>
      <c r="D831" s="70"/>
      <c r="E831" s="73"/>
      <c r="F831" s="48"/>
      <c r="H831" s="9"/>
      <c r="I831" s="10"/>
      <c r="J831" s="7"/>
      <c r="K831" s="24"/>
      <c r="L831" s="10"/>
      <c r="M831" s="10"/>
      <c r="N831" s="10"/>
      <c r="O831" s="10"/>
      <c r="P831" s="10"/>
      <c r="Q831" s="10"/>
      <c r="R831" s="10"/>
      <c r="S831" s="10"/>
      <c r="T831" s="14"/>
      <c r="U831" s="10"/>
      <c r="V831" s="10"/>
      <c r="W831" s="10"/>
      <c r="X831" s="7"/>
      <c r="Y831" s="34"/>
      <c r="Z831" s="7"/>
      <c r="AA831" s="34"/>
      <c r="AB831" s="7"/>
      <c r="AC831" s="34"/>
      <c r="AD831" s="10"/>
      <c r="AF831"/>
    </row>
    <row r="832" spans="1:32" x14ac:dyDescent="0.25">
      <c r="A832" s="7"/>
      <c r="C832" s="70"/>
      <c r="D832" s="70"/>
      <c r="E832" s="73"/>
      <c r="F832" s="9"/>
      <c r="H832" s="9"/>
      <c r="I832" s="10"/>
      <c r="J832" s="7"/>
      <c r="K832" s="24"/>
      <c r="L832" s="10"/>
      <c r="M832" s="10"/>
      <c r="N832" s="10"/>
      <c r="O832" s="10"/>
      <c r="P832" s="10"/>
      <c r="Q832" s="10"/>
      <c r="R832" s="10"/>
      <c r="S832" s="10"/>
      <c r="T832" s="14"/>
      <c r="U832" s="10"/>
      <c r="V832" s="10"/>
      <c r="W832" s="10"/>
      <c r="X832" s="7"/>
      <c r="Y832" s="7"/>
      <c r="Z832" s="7"/>
      <c r="AA832" s="34"/>
      <c r="AB832" s="7"/>
      <c r="AC832" s="34"/>
      <c r="AD832" s="10"/>
      <c r="AF832"/>
    </row>
    <row r="833" spans="1:32" x14ac:dyDescent="0.25">
      <c r="A833" s="7"/>
      <c r="C833" s="70"/>
      <c r="D833" s="70"/>
      <c r="E833" s="73"/>
      <c r="F833" s="9"/>
      <c r="H833" s="9"/>
      <c r="I833" s="10"/>
      <c r="J833" s="10"/>
      <c r="K833" s="7"/>
      <c r="L833" s="10"/>
      <c r="M833" s="10"/>
      <c r="N833" s="10"/>
      <c r="O833" s="10"/>
      <c r="P833" s="10"/>
      <c r="Q833" s="10"/>
      <c r="R833" s="10"/>
      <c r="S833" s="10"/>
      <c r="T833" s="14"/>
      <c r="U833" s="10"/>
      <c r="V833" s="10"/>
      <c r="W833" s="10"/>
      <c r="X833" s="7"/>
      <c r="Y833" s="7"/>
      <c r="Z833" s="34"/>
      <c r="AA833" s="34"/>
      <c r="AB833" s="7"/>
      <c r="AC833" s="34"/>
      <c r="AD833" s="10"/>
      <c r="AF833"/>
    </row>
    <row r="834" spans="1:32" x14ac:dyDescent="0.25">
      <c r="A834" s="7"/>
      <c r="C834" s="70"/>
      <c r="D834" s="70"/>
      <c r="E834" s="73"/>
      <c r="F834" s="9"/>
      <c r="H834" s="9"/>
      <c r="I834" s="10"/>
      <c r="J834" s="10"/>
      <c r="K834" s="7"/>
      <c r="L834" s="10"/>
      <c r="M834" s="10"/>
      <c r="N834" s="10"/>
      <c r="O834" s="10"/>
      <c r="P834" s="10"/>
      <c r="Q834" s="10"/>
      <c r="R834" s="10"/>
      <c r="S834" s="10"/>
      <c r="T834" s="14"/>
      <c r="U834" s="10"/>
      <c r="V834" s="10"/>
      <c r="W834" s="10"/>
      <c r="X834" s="7"/>
      <c r="Y834" s="7"/>
      <c r="Z834" s="7"/>
      <c r="AA834" s="34"/>
      <c r="AB834" s="7"/>
      <c r="AC834" s="34"/>
      <c r="AD834" s="10"/>
      <c r="AF834"/>
    </row>
    <row r="835" spans="1:32" x14ac:dyDescent="0.25">
      <c r="A835" s="7"/>
      <c r="C835" s="70"/>
      <c r="D835" s="70"/>
      <c r="E835" s="73"/>
      <c r="F835" s="45"/>
      <c r="H835" s="9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4"/>
      <c r="U835" s="10"/>
      <c r="V835" s="10"/>
      <c r="W835" s="10"/>
      <c r="X835" s="7"/>
      <c r="Y835" s="7"/>
      <c r="Z835" s="7"/>
      <c r="AA835" s="34"/>
      <c r="AB835" s="7"/>
      <c r="AC835" s="34"/>
      <c r="AD835" s="10"/>
      <c r="AF835"/>
    </row>
    <row r="836" spans="1:32" x14ac:dyDescent="0.25">
      <c r="A836" s="7"/>
      <c r="C836" s="70"/>
      <c r="D836" s="70"/>
      <c r="E836" s="73"/>
      <c r="F836" s="9"/>
      <c r="H836" s="9"/>
      <c r="I836" s="10"/>
      <c r="J836" s="61"/>
      <c r="K836" s="10"/>
      <c r="L836" s="10"/>
      <c r="M836" s="10"/>
      <c r="N836" s="10"/>
      <c r="O836" s="10"/>
      <c r="P836" s="10"/>
      <c r="Q836" s="10"/>
      <c r="R836" s="10"/>
      <c r="S836" s="10"/>
      <c r="T836" s="14"/>
      <c r="U836" s="10"/>
      <c r="V836" s="10"/>
      <c r="W836" s="10"/>
      <c r="X836" s="7"/>
      <c r="Y836" s="7"/>
      <c r="Z836" s="7"/>
      <c r="AA836" s="34"/>
      <c r="AB836" s="7"/>
      <c r="AC836" s="34"/>
      <c r="AD836" s="10"/>
      <c r="AF836"/>
    </row>
    <row r="837" spans="1:32" x14ac:dyDescent="0.25">
      <c r="A837" s="7"/>
      <c r="C837" s="70"/>
      <c r="D837" s="70"/>
      <c r="E837" s="73"/>
      <c r="F837" s="9"/>
      <c r="H837" s="9"/>
      <c r="I837" s="10"/>
      <c r="J837" s="61"/>
      <c r="K837" s="10"/>
      <c r="L837" s="10"/>
      <c r="M837" s="10"/>
      <c r="N837" s="10"/>
      <c r="O837" s="10"/>
      <c r="P837" s="10"/>
      <c r="Q837" s="10"/>
      <c r="R837" s="10"/>
      <c r="S837" s="10"/>
      <c r="T837" s="14"/>
      <c r="U837" s="10"/>
      <c r="V837" s="10"/>
      <c r="W837" s="10"/>
      <c r="X837" s="7"/>
      <c r="Y837" s="7"/>
      <c r="Z837" s="7"/>
      <c r="AA837" s="34"/>
      <c r="AB837" s="7"/>
      <c r="AC837" s="34"/>
      <c r="AD837" s="10"/>
      <c r="AF837"/>
    </row>
    <row r="838" spans="1:32" x14ac:dyDescent="0.25">
      <c r="A838" s="7"/>
      <c r="C838" s="70"/>
      <c r="D838" s="70"/>
      <c r="E838" s="73"/>
      <c r="F838" s="9"/>
      <c r="H838" s="9"/>
      <c r="I838" s="10"/>
      <c r="J838" s="7"/>
      <c r="K838" s="7"/>
      <c r="L838" s="10"/>
      <c r="M838" s="10"/>
      <c r="N838" s="10"/>
      <c r="O838" s="10"/>
      <c r="P838" s="10"/>
      <c r="Q838" s="10"/>
      <c r="R838" s="10"/>
      <c r="S838" s="10"/>
      <c r="T838" s="14"/>
      <c r="U838" s="10"/>
      <c r="V838" s="10"/>
      <c r="W838" s="10"/>
      <c r="X838" s="7"/>
      <c r="Y838" s="7"/>
      <c r="Z838" s="7"/>
      <c r="AA838" s="34"/>
      <c r="AB838" s="7"/>
      <c r="AC838" s="34"/>
      <c r="AD838" s="10"/>
      <c r="AF838"/>
    </row>
    <row r="839" spans="1:32" x14ac:dyDescent="0.25">
      <c r="A839" s="7"/>
      <c r="C839" s="70"/>
      <c r="D839" s="70"/>
      <c r="E839" s="73"/>
      <c r="F839" s="9"/>
      <c r="H839" s="9"/>
      <c r="I839" s="10"/>
      <c r="J839" s="10"/>
      <c r="K839" s="7"/>
      <c r="L839" s="10"/>
      <c r="M839" s="10"/>
      <c r="N839" s="10"/>
      <c r="O839" s="10"/>
      <c r="P839" s="10"/>
      <c r="Q839" s="10"/>
      <c r="R839" s="10"/>
      <c r="S839" s="10"/>
      <c r="T839" s="14"/>
      <c r="U839" s="10"/>
      <c r="V839" s="10"/>
      <c r="W839" s="10"/>
      <c r="X839" s="7"/>
      <c r="Y839" s="7"/>
      <c r="Z839" s="7"/>
      <c r="AA839" s="34"/>
      <c r="AB839" s="7"/>
      <c r="AC839" s="34"/>
      <c r="AD839" s="10"/>
      <c r="AF839"/>
    </row>
    <row r="840" spans="1:32" x14ac:dyDescent="0.25">
      <c r="A840" s="7"/>
      <c r="C840" s="70"/>
      <c r="D840" s="70"/>
      <c r="E840" s="73"/>
      <c r="F840" s="9"/>
      <c r="H840" s="9"/>
      <c r="I840" s="10"/>
      <c r="J840" s="10"/>
      <c r="K840" s="7"/>
      <c r="L840" s="10"/>
      <c r="M840" s="10"/>
      <c r="N840" s="10"/>
      <c r="O840" s="10"/>
      <c r="P840" s="10"/>
      <c r="Q840" s="10"/>
      <c r="R840" s="10"/>
      <c r="S840" s="10"/>
      <c r="T840" s="14"/>
      <c r="U840" s="10"/>
      <c r="V840" s="10"/>
      <c r="W840" s="10"/>
      <c r="X840" s="7"/>
      <c r="Y840" s="7"/>
      <c r="Z840" s="7"/>
      <c r="AA840" s="34"/>
      <c r="AB840" s="7"/>
      <c r="AC840" s="34"/>
      <c r="AD840" s="10"/>
      <c r="AF840"/>
    </row>
    <row r="841" spans="1:32" x14ac:dyDescent="0.25">
      <c r="A841" s="7"/>
      <c r="C841" s="70"/>
      <c r="D841" s="70"/>
      <c r="E841" s="73"/>
      <c r="F841" s="9"/>
      <c r="H841" s="9"/>
      <c r="I841" s="10"/>
      <c r="J841" s="7"/>
      <c r="K841" s="7"/>
      <c r="L841" s="10"/>
      <c r="M841" s="10"/>
      <c r="N841" s="10"/>
      <c r="O841" s="10"/>
      <c r="P841" s="10"/>
      <c r="Q841" s="10"/>
      <c r="R841" s="10"/>
      <c r="S841" s="10"/>
      <c r="T841" s="14"/>
      <c r="U841" s="10"/>
      <c r="V841" s="10"/>
      <c r="W841" s="10"/>
      <c r="X841" s="7"/>
      <c r="Y841" s="7"/>
      <c r="Z841" s="7"/>
      <c r="AA841" s="34"/>
      <c r="AB841" s="7"/>
      <c r="AC841" s="34"/>
      <c r="AD841" s="10"/>
      <c r="AF841"/>
    </row>
    <row r="842" spans="1:32" x14ac:dyDescent="0.25">
      <c r="A842" s="7"/>
      <c r="C842" s="70"/>
      <c r="D842" s="70"/>
      <c r="F842"/>
      <c r="H842" s="9"/>
      <c r="I842" s="10"/>
      <c r="J842" s="7"/>
      <c r="K842" s="10"/>
      <c r="L842" s="10"/>
      <c r="M842" s="10"/>
      <c r="N842" s="10"/>
      <c r="O842" s="10"/>
      <c r="P842" s="10"/>
      <c r="Q842" s="10"/>
      <c r="R842" s="10"/>
      <c r="S842" s="10"/>
      <c r="T842" s="14"/>
      <c r="U842" s="10"/>
      <c r="V842" s="10"/>
      <c r="W842" s="10"/>
      <c r="X842" s="7"/>
      <c r="Y842" s="7"/>
      <c r="Z842" s="7"/>
      <c r="AA842" s="34"/>
      <c r="AB842" s="7"/>
      <c r="AC842" s="34"/>
      <c r="AD842" s="10"/>
      <c r="AF842"/>
    </row>
    <row r="843" spans="1:32" x14ac:dyDescent="0.25">
      <c r="A843" s="7"/>
      <c r="C843" s="70"/>
      <c r="D843" s="70"/>
      <c r="E843" s="73"/>
      <c r="F843" s="9"/>
      <c r="H843" s="9"/>
      <c r="I843" s="10"/>
      <c r="J843" s="7"/>
      <c r="K843" s="7"/>
      <c r="L843" s="10"/>
      <c r="M843" s="10"/>
      <c r="N843" s="10"/>
      <c r="O843" s="10"/>
      <c r="P843" s="10"/>
      <c r="Q843" s="10"/>
      <c r="R843" s="10"/>
      <c r="S843" s="10"/>
      <c r="T843" s="14"/>
      <c r="U843" s="10"/>
      <c r="V843" s="10"/>
      <c r="W843" s="10"/>
      <c r="X843" s="7"/>
      <c r="Y843" s="7"/>
      <c r="Z843" s="7"/>
      <c r="AA843" s="34"/>
      <c r="AB843" s="7"/>
      <c r="AC843" s="34"/>
      <c r="AD843" s="10"/>
      <c r="AF843"/>
    </row>
    <row r="844" spans="1:32" x14ac:dyDescent="0.25">
      <c r="A844" s="7"/>
      <c r="C844" s="70"/>
      <c r="D844" s="70"/>
      <c r="E844" s="73"/>
      <c r="F844" s="9"/>
      <c r="H844" s="9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4"/>
      <c r="U844" s="10"/>
      <c r="V844" s="10"/>
      <c r="W844" s="10"/>
      <c r="X844" s="7"/>
      <c r="Y844" s="7"/>
      <c r="Z844" s="34"/>
      <c r="AA844" s="34"/>
      <c r="AB844" s="7"/>
      <c r="AC844" s="34"/>
      <c r="AD844" s="10"/>
      <c r="AF844"/>
    </row>
    <row r="845" spans="1:32" x14ac:dyDescent="0.25">
      <c r="A845" s="7"/>
      <c r="C845" s="70"/>
      <c r="D845" s="70"/>
      <c r="E845" s="73"/>
      <c r="F845" s="9"/>
      <c r="H845" s="9"/>
      <c r="I845" s="10"/>
      <c r="J845" s="7"/>
      <c r="K845" s="7"/>
      <c r="L845" s="10"/>
      <c r="M845" s="10"/>
      <c r="N845" s="10"/>
      <c r="O845" s="10"/>
      <c r="P845" s="10"/>
      <c r="Q845" s="10"/>
      <c r="R845" s="10"/>
      <c r="S845" s="10"/>
      <c r="T845" s="14"/>
      <c r="U845" s="10"/>
      <c r="V845" s="10"/>
      <c r="W845" s="10"/>
      <c r="X845" s="7"/>
      <c r="Y845" s="7"/>
      <c r="Z845" s="7"/>
      <c r="AA845" s="34"/>
      <c r="AB845" s="7"/>
      <c r="AC845" s="34"/>
      <c r="AD845" s="10"/>
      <c r="AF845"/>
    </row>
    <row r="846" spans="1:32" x14ac:dyDescent="0.25">
      <c r="A846" s="7"/>
      <c r="C846" s="70"/>
      <c r="D846" s="70"/>
      <c r="E846" s="73"/>
      <c r="F846" s="9"/>
      <c r="H846" s="9"/>
      <c r="I846" s="10"/>
      <c r="J846" s="7"/>
      <c r="K846" s="10"/>
      <c r="L846" s="10"/>
      <c r="M846" s="10"/>
      <c r="N846" s="10"/>
      <c r="O846" s="10"/>
      <c r="P846" s="10"/>
      <c r="Q846" s="10"/>
      <c r="R846" s="10"/>
      <c r="S846" s="10"/>
      <c r="T846" s="14"/>
      <c r="U846" s="10"/>
      <c r="V846" s="10"/>
      <c r="W846" s="10"/>
      <c r="X846" s="34"/>
      <c r="Y846" s="34"/>
      <c r="Z846" s="7"/>
      <c r="AA846" s="34"/>
      <c r="AB846" s="7"/>
      <c r="AC846" s="34"/>
      <c r="AD846" s="10"/>
      <c r="AF846"/>
    </row>
    <row r="847" spans="1:32" x14ac:dyDescent="0.25">
      <c r="A847" s="7"/>
      <c r="C847" s="70"/>
      <c r="D847" s="70"/>
      <c r="E847" s="73"/>
      <c r="F847" s="9"/>
      <c r="H847" s="9"/>
      <c r="I847" s="10"/>
      <c r="J847" s="7"/>
      <c r="K847" s="7"/>
      <c r="L847" s="10"/>
      <c r="M847" s="10"/>
      <c r="N847" s="10"/>
      <c r="O847" s="10"/>
      <c r="P847" s="10"/>
      <c r="Q847" s="10"/>
      <c r="R847" s="10"/>
      <c r="S847" s="10"/>
      <c r="T847" s="14"/>
      <c r="U847" s="10"/>
      <c r="V847" s="10"/>
      <c r="W847" s="10"/>
      <c r="X847" s="34"/>
      <c r="Y847" s="7"/>
      <c r="Z847" s="7"/>
      <c r="AA847" s="34"/>
      <c r="AB847" s="7"/>
      <c r="AC847" s="34"/>
      <c r="AD847" s="10"/>
      <c r="AF847"/>
    </row>
    <row r="848" spans="1:32" x14ac:dyDescent="0.25">
      <c r="A848" s="7"/>
      <c r="C848" s="70"/>
      <c r="D848" s="70"/>
      <c r="E848" s="73"/>
      <c r="F848" s="9"/>
      <c r="H848" s="9"/>
      <c r="I848" s="10"/>
      <c r="J848" s="7"/>
      <c r="K848" s="7"/>
      <c r="L848" s="10"/>
      <c r="M848" s="10"/>
      <c r="N848" s="10"/>
      <c r="O848" s="10"/>
      <c r="P848" s="10"/>
      <c r="Q848" s="10"/>
      <c r="R848" s="10"/>
      <c r="S848" s="10"/>
      <c r="T848" s="14"/>
      <c r="U848" s="10"/>
      <c r="V848" s="10"/>
      <c r="W848" s="10"/>
      <c r="X848" s="7"/>
      <c r="Y848" s="7"/>
      <c r="Z848" s="7"/>
      <c r="AA848" s="34"/>
      <c r="AB848" s="7"/>
      <c r="AC848" s="34"/>
      <c r="AD848" s="10"/>
      <c r="AF848"/>
    </row>
    <row r="849" spans="1:32" x14ac:dyDescent="0.25">
      <c r="A849" s="7"/>
      <c r="C849" s="70"/>
      <c r="D849" s="70"/>
      <c r="E849" s="73"/>
      <c r="F849" s="9"/>
      <c r="H849" s="9"/>
      <c r="I849" s="10"/>
      <c r="J849" s="7"/>
      <c r="K849" s="7"/>
      <c r="L849" s="10"/>
      <c r="M849" s="10"/>
      <c r="N849" s="10"/>
      <c r="O849" s="10"/>
      <c r="P849" s="10"/>
      <c r="Q849" s="10"/>
      <c r="R849" s="10"/>
      <c r="S849" s="10"/>
      <c r="T849" s="14"/>
      <c r="U849" s="10"/>
      <c r="V849" s="10"/>
      <c r="W849" s="10"/>
      <c r="X849" s="7"/>
      <c r="Y849" s="7"/>
      <c r="Z849" s="7"/>
      <c r="AA849" s="34"/>
      <c r="AB849" s="7"/>
      <c r="AC849" s="34"/>
      <c r="AD849" s="10"/>
      <c r="AF849"/>
    </row>
    <row r="850" spans="1:32" x14ac:dyDescent="0.25">
      <c r="A850" s="7"/>
      <c r="C850" s="70"/>
      <c r="D850" s="70"/>
      <c r="E850" s="73"/>
      <c r="F850" s="9"/>
      <c r="H850" s="9"/>
      <c r="I850" s="10"/>
      <c r="J850" s="7"/>
      <c r="K850" s="7"/>
      <c r="L850" s="10"/>
      <c r="M850" s="10"/>
      <c r="N850" s="10"/>
      <c r="O850" s="10"/>
      <c r="P850" s="10"/>
      <c r="Q850" s="10"/>
      <c r="R850" s="10"/>
      <c r="S850" s="10"/>
      <c r="T850" s="14"/>
      <c r="U850" s="10"/>
      <c r="V850" s="10"/>
      <c r="W850" s="10"/>
      <c r="X850" s="7"/>
      <c r="Y850" s="7"/>
      <c r="Z850" s="7"/>
      <c r="AA850" s="34"/>
      <c r="AB850" s="7"/>
      <c r="AC850" s="34"/>
      <c r="AD850" s="10"/>
      <c r="AF850"/>
    </row>
    <row r="851" spans="1:32" x14ac:dyDescent="0.25">
      <c r="A851" s="7"/>
      <c r="C851" s="70"/>
      <c r="D851" s="70"/>
      <c r="E851" s="73"/>
      <c r="F851" s="9"/>
      <c r="H851" s="9"/>
      <c r="I851" s="10"/>
      <c r="J851" s="10"/>
      <c r="K851" s="7"/>
      <c r="L851" s="10"/>
      <c r="M851" s="10"/>
      <c r="N851" s="10"/>
      <c r="O851" s="10"/>
      <c r="P851" s="10"/>
      <c r="Q851" s="10"/>
      <c r="R851" s="10"/>
      <c r="S851" s="10"/>
      <c r="T851" s="14"/>
      <c r="U851" s="10"/>
      <c r="V851" s="10"/>
      <c r="W851" s="10"/>
      <c r="X851" s="7"/>
      <c r="Y851" s="7"/>
      <c r="Z851" s="7"/>
      <c r="AA851" s="34"/>
      <c r="AB851" s="7"/>
      <c r="AC851" s="34"/>
      <c r="AD851" s="10"/>
      <c r="AF851"/>
    </row>
    <row r="852" spans="1:32" x14ac:dyDescent="0.25">
      <c r="A852" s="7"/>
      <c r="C852" s="70"/>
      <c r="D852" s="70"/>
      <c r="E852" s="73"/>
      <c r="F852" s="9"/>
      <c r="H852" s="9"/>
      <c r="I852" s="10"/>
      <c r="J852" s="10"/>
      <c r="K852" s="7"/>
      <c r="L852" s="10"/>
      <c r="M852" s="10"/>
      <c r="N852" s="10"/>
      <c r="O852" s="10"/>
      <c r="P852" s="10"/>
      <c r="Q852" s="10"/>
      <c r="R852" s="10"/>
      <c r="S852" s="10"/>
      <c r="T852" s="14"/>
      <c r="U852" s="10"/>
      <c r="V852" s="10"/>
      <c r="W852" s="10"/>
      <c r="X852" s="7"/>
      <c r="Y852" s="7"/>
      <c r="Z852" s="7"/>
      <c r="AA852" s="34"/>
      <c r="AB852" s="7"/>
      <c r="AC852" s="34"/>
      <c r="AD852" s="10"/>
      <c r="AF852"/>
    </row>
    <row r="853" spans="1:32" x14ac:dyDescent="0.25">
      <c r="A853" s="7"/>
      <c r="C853" s="70"/>
      <c r="D853" s="70"/>
      <c r="E853" s="73"/>
      <c r="F853" s="9"/>
      <c r="H853" s="9"/>
      <c r="I853" s="10"/>
      <c r="J853" s="7"/>
      <c r="K853" s="7"/>
      <c r="L853" s="10"/>
      <c r="M853" s="10"/>
      <c r="N853" s="10"/>
      <c r="O853" s="10"/>
      <c r="P853" s="10"/>
      <c r="Q853" s="10"/>
      <c r="R853" s="10"/>
      <c r="S853" s="10"/>
      <c r="T853" s="14"/>
      <c r="U853" s="10"/>
      <c r="V853" s="10"/>
      <c r="W853" s="10"/>
      <c r="X853" s="7"/>
      <c r="Y853" s="7"/>
      <c r="Z853" s="7"/>
      <c r="AA853" s="34"/>
      <c r="AB853" s="7"/>
      <c r="AC853" s="34"/>
      <c r="AD853" s="10"/>
      <c r="AF853"/>
    </row>
    <row r="854" spans="1:32" x14ac:dyDescent="0.25">
      <c r="A854" s="7"/>
      <c r="B854" s="28"/>
      <c r="C854" s="70"/>
      <c r="D854" s="73"/>
      <c r="E854" s="73"/>
      <c r="F854" s="9"/>
      <c r="H854" s="9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4"/>
      <c r="U854" s="10"/>
      <c r="V854" s="10"/>
      <c r="W854" s="10"/>
      <c r="X854" s="7"/>
      <c r="Y854" s="7"/>
      <c r="Z854" s="7"/>
      <c r="AA854" s="34"/>
      <c r="AB854" s="7"/>
      <c r="AC854" s="34"/>
      <c r="AD854" s="10"/>
      <c r="AF854"/>
    </row>
    <row r="855" spans="1:32" x14ac:dyDescent="0.25">
      <c r="A855" s="7"/>
      <c r="C855" s="70"/>
      <c r="D855" s="70"/>
      <c r="E855" s="73"/>
      <c r="F855" s="9"/>
      <c r="H855" s="9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4"/>
      <c r="U855" s="10"/>
      <c r="V855" s="10"/>
      <c r="W855" s="10"/>
      <c r="X855" s="7"/>
      <c r="Y855" s="7"/>
      <c r="Z855" s="7"/>
      <c r="AA855" s="34"/>
      <c r="AB855" s="7"/>
      <c r="AC855" s="34"/>
      <c r="AD855" s="10"/>
      <c r="AF855"/>
    </row>
    <row r="856" spans="1:32" x14ac:dyDescent="0.25">
      <c r="A856" s="7"/>
      <c r="C856" s="70"/>
      <c r="D856" s="70"/>
      <c r="E856" s="73"/>
      <c r="F856" s="9"/>
      <c r="H856" s="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4"/>
      <c r="U856" s="10"/>
      <c r="V856" s="10"/>
      <c r="W856" s="10"/>
      <c r="X856" s="7"/>
      <c r="Y856" s="7"/>
      <c r="Z856" s="7"/>
      <c r="AA856" s="34"/>
      <c r="AB856" s="7"/>
      <c r="AC856" s="34"/>
      <c r="AD856" s="10"/>
      <c r="AF856"/>
    </row>
    <row r="857" spans="1:32" x14ac:dyDescent="0.25">
      <c r="A857" s="7"/>
      <c r="C857" s="70"/>
      <c r="D857" s="70"/>
      <c r="E857" s="73"/>
      <c r="F857" s="9"/>
      <c r="H857" s="9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4"/>
      <c r="U857" s="10"/>
      <c r="V857" s="10"/>
      <c r="W857" s="10"/>
      <c r="X857" s="7"/>
      <c r="Y857" s="7"/>
      <c r="Z857" s="34"/>
      <c r="AA857" s="34"/>
      <c r="AB857" s="7"/>
      <c r="AC857" s="34"/>
      <c r="AD857" s="10"/>
      <c r="AF857"/>
    </row>
    <row r="858" spans="1:32" x14ac:dyDescent="0.25">
      <c r="A858" s="7"/>
      <c r="C858" s="70"/>
      <c r="D858" s="70"/>
      <c r="E858" s="73"/>
      <c r="F858" s="9"/>
      <c r="H858" s="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4"/>
      <c r="U858" s="10"/>
      <c r="V858" s="10"/>
      <c r="W858" s="10"/>
      <c r="X858" s="7"/>
      <c r="Y858" s="7"/>
      <c r="Z858" s="7"/>
      <c r="AA858" s="34"/>
      <c r="AB858" s="7"/>
      <c r="AC858" s="34"/>
      <c r="AD858" s="10"/>
      <c r="AF858"/>
    </row>
    <row r="859" spans="1:32" x14ac:dyDescent="0.25">
      <c r="A859" s="7"/>
      <c r="C859" s="70"/>
      <c r="D859" s="70"/>
      <c r="E859" s="73"/>
      <c r="F859" s="9"/>
      <c r="H859" s="9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4"/>
      <c r="U859" s="10"/>
      <c r="V859" s="10"/>
      <c r="W859" s="10"/>
      <c r="X859" s="7"/>
      <c r="Y859" s="7"/>
      <c r="Z859" s="7"/>
      <c r="AA859" s="34"/>
      <c r="AB859" s="7"/>
      <c r="AC859" s="34"/>
      <c r="AD859" s="10"/>
      <c r="AF859"/>
    </row>
    <row r="860" spans="1:32" x14ac:dyDescent="0.25">
      <c r="A860" s="7"/>
      <c r="C860" s="70"/>
      <c r="D860" s="70"/>
      <c r="E860" s="73"/>
      <c r="F860" s="9"/>
      <c r="H860" s="9"/>
      <c r="I860" s="10"/>
      <c r="J860" s="10"/>
      <c r="K860" s="7"/>
      <c r="L860" s="10"/>
      <c r="M860" s="10"/>
      <c r="N860" s="10"/>
      <c r="O860" s="10"/>
      <c r="P860" s="10"/>
      <c r="Q860" s="10"/>
      <c r="R860" s="10"/>
      <c r="S860" s="10"/>
      <c r="T860" s="14"/>
      <c r="U860" s="10"/>
      <c r="V860" s="10"/>
      <c r="W860" s="10"/>
      <c r="X860" s="7"/>
      <c r="Y860" s="7"/>
      <c r="Z860" s="7"/>
      <c r="AA860" s="34"/>
      <c r="AB860" s="7"/>
      <c r="AC860" s="34"/>
      <c r="AD860" s="10"/>
      <c r="AF860"/>
    </row>
    <row r="861" spans="1:32" x14ac:dyDescent="0.25">
      <c r="A861" s="7"/>
      <c r="C861" s="70"/>
      <c r="D861" s="70"/>
      <c r="E861" s="73"/>
      <c r="F861" s="9"/>
      <c r="H861" s="9"/>
      <c r="I861" s="10"/>
      <c r="J861" s="7"/>
      <c r="K861" s="24"/>
      <c r="L861" s="10"/>
      <c r="M861" s="10"/>
      <c r="N861" s="10"/>
      <c r="O861" s="10"/>
      <c r="P861" s="10"/>
      <c r="Q861" s="10"/>
      <c r="R861" s="10"/>
      <c r="S861" s="10"/>
      <c r="T861" s="14"/>
      <c r="U861" s="10"/>
      <c r="V861" s="10"/>
      <c r="W861" s="10"/>
      <c r="X861" s="7"/>
      <c r="Y861" s="7"/>
      <c r="Z861" s="7"/>
      <c r="AA861" s="34"/>
      <c r="AB861" s="7"/>
      <c r="AC861" s="34"/>
      <c r="AD861" s="10"/>
      <c r="AF861"/>
    </row>
    <row r="862" spans="1:32" x14ac:dyDescent="0.25">
      <c r="A862" s="7"/>
      <c r="C862" s="70"/>
      <c r="D862" s="70"/>
      <c r="E862" s="73"/>
      <c r="F862" s="9"/>
      <c r="H862" s="9"/>
      <c r="I862" s="10"/>
      <c r="J862" s="7"/>
      <c r="K862" s="7"/>
      <c r="L862" s="10"/>
      <c r="M862" s="10"/>
      <c r="N862" s="10"/>
      <c r="O862" s="10"/>
      <c r="P862" s="10"/>
      <c r="Q862" s="10"/>
      <c r="R862" s="10"/>
      <c r="S862" s="10"/>
      <c r="T862" s="14"/>
      <c r="U862" s="10"/>
      <c r="V862" s="10"/>
      <c r="W862" s="10"/>
      <c r="X862" s="7"/>
      <c r="Y862" s="7"/>
      <c r="Z862" s="7"/>
      <c r="AA862" s="34"/>
      <c r="AB862" s="7"/>
      <c r="AC862" s="34"/>
      <c r="AD862" s="10"/>
      <c r="AF862"/>
    </row>
    <row r="863" spans="1:32" x14ac:dyDescent="0.25">
      <c r="A863" s="7"/>
      <c r="C863" s="70"/>
      <c r="D863" s="70"/>
      <c r="E863" s="73"/>
      <c r="F863" s="45"/>
      <c r="H863" s="9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4"/>
      <c r="U863" s="10"/>
      <c r="V863" s="10"/>
      <c r="W863" s="10"/>
      <c r="X863" s="7"/>
      <c r="Y863" s="34"/>
      <c r="Z863" s="7"/>
      <c r="AA863" s="34"/>
      <c r="AB863" s="7"/>
      <c r="AC863" s="34"/>
      <c r="AD863" s="10"/>
      <c r="AF863"/>
    </row>
    <row r="864" spans="1:32" x14ac:dyDescent="0.25">
      <c r="A864" s="7"/>
      <c r="C864" s="70"/>
      <c r="D864" s="70"/>
      <c r="E864" s="73"/>
      <c r="F864" s="9"/>
      <c r="H864" s="9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4"/>
      <c r="U864" s="10"/>
      <c r="V864" s="10"/>
      <c r="W864" s="10"/>
      <c r="X864" s="7"/>
      <c r="Y864" s="7"/>
      <c r="Z864" s="34"/>
      <c r="AA864" s="34"/>
      <c r="AB864" s="7"/>
      <c r="AC864" s="34"/>
      <c r="AD864" s="10"/>
      <c r="AF864"/>
    </row>
    <row r="865" spans="1:32" x14ac:dyDescent="0.25">
      <c r="A865" s="7"/>
      <c r="C865" s="70"/>
      <c r="D865" s="70"/>
      <c r="E865" s="73"/>
      <c r="F865" s="9"/>
      <c r="H865" s="9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4"/>
      <c r="U865" s="10"/>
      <c r="V865" s="10"/>
      <c r="W865" s="10"/>
      <c r="X865" s="7"/>
      <c r="Y865" s="7"/>
      <c r="Z865" s="7"/>
      <c r="AA865" s="34"/>
      <c r="AB865" s="7"/>
      <c r="AC865" s="34"/>
      <c r="AD865" s="10"/>
      <c r="AF865"/>
    </row>
    <row r="866" spans="1:32" x14ac:dyDescent="0.25">
      <c r="A866" s="7"/>
      <c r="C866" s="70"/>
      <c r="D866" s="70"/>
      <c r="E866" s="73"/>
      <c r="F866" s="9"/>
      <c r="H866" s="9"/>
      <c r="I866" s="10"/>
      <c r="J866" s="10"/>
      <c r="K866" s="24"/>
      <c r="L866" s="10"/>
      <c r="M866" s="10"/>
      <c r="N866" s="10"/>
      <c r="O866" s="10"/>
      <c r="P866" s="10"/>
      <c r="Q866" s="10"/>
      <c r="R866" s="10"/>
      <c r="S866" s="10"/>
      <c r="T866" s="14"/>
      <c r="U866" s="10"/>
      <c r="V866" s="10"/>
      <c r="W866" s="10"/>
      <c r="X866" s="7"/>
      <c r="Y866" s="7"/>
      <c r="Z866" s="7"/>
      <c r="AA866" s="34"/>
      <c r="AB866" s="7"/>
      <c r="AC866" s="34"/>
      <c r="AD866" s="10"/>
      <c r="AF866"/>
    </row>
    <row r="867" spans="1:32" x14ac:dyDescent="0.25">
      <c r="A867" s="7"/>
      <c r="C867" s="70"/>
      <c r="D867" s="70"/>
      <c r="E867" s="73"/>
      <c r="F867" s="48"/>
      <c r="H867" s="9"/>
      <c r="I867" s="10"/>
      <c r="J867" s="10"/>
      <c r="K867" s="7"/>
      <c r="L867" s="10"/>
      <c r="M867" s="10"/>
      <c r="N867" s="10"/>
      <c r="O867" s="10"/>
      <c r="P867" s="10"/>
      <c r="Q867" s="10"/>
      <c r="R867" s="10"/>
      <c r="S867" s="10"/>
      <c r="T867" s="14"/>
      <c r="U867" s="10"/>
      <c r="V867" s="10"/>
      <c r="W867" s="10"/>
      <c r="X867" s="7"/>
      <c r="Y867" s="7"/>
      <c r="Z867" s="7"/>
      <c r="AA867" s="34"/>
      <c r="AB867" s="7"/>
      <c r="AC867" s="34"/>
      <c r="AD867" s="10"/>
      <c r="AF867"/>
    </row>
    <row r="868" spans="1:32" x14ac:dyDescent="0.25">
      <c r="A868" s="7"/>
      <c r="C868" s="70"/>
      <c r="D868" s="70"/>
      <c r="E868" s="73"/>
      <c r="F868" s="45"/>
      <c r="H868" s="9"/>
      <c r="I868" s="10"/>
      <c r="J868" s="7"/>
      <c r="K868" s="7"/>
      <c r="L868" s="10"/>
      <c r="M868" s="10"/>
      <c r="N868" s="10"/>
      <c r="O868" s="10"/>
      <c r="P868" s="10"/>
      <c r="Q868" s="10"/>
      <c r="R868" s="10"/>
      <c r="S868" s="10"/>
      <c r="T868" s="14"/>
      <c r="U868" s="10"/>
      <c r="V868" s="10"/>
      <c r="W868" s="10"/>
      <c r="X868" s="7"/>
      <c r="Y868" s="34"/>
      <c r="Z868" s="7"/>
      <c r="AA868" s="34"/>
      <c r="AB868" s="7"/>
      <c r="AC868" s="34"/>
      <c r="AD868" s="10"/>
      <c r="AF868"/>
    </row>
    <row r="869" spans="1:32" x14ac:dyDescent="0.25">
      <c r="A869" s="7"/>
      <c r="C869" s="70"/>
      <c r="D869" s="70"/>
      <c r="E869" s="73"/>
      <c r="F869" s="9"/>
      <c r="H869" s="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4"/>
      <c r="U869" s="10"/>
      <c r="V869" s="10"/>
      <c r="W869" s="10"/>
      <c r="X869" s="7"/>
      <c r="Y869" s="7"/>
      <c r="Z869" s="7"/>
      <c r="AA869" s="34"/>
      <c r="AB869" s="7"/>
      <c r="AC869" s="34"/>
      <c r="AD869" s="10"/>
      <c r="AF869"/>
    </row>
    <row r="870" spans="1:32" x14ac:dyDescent="0.25">
      <c r="A870" s="7"/>
      <c r="C870" s="70"/>
      <c r="D870" s="70"/>
      <c r="E870" s="73"/>
      <c r="F870" s="9"/>
      <c r="H870" s="9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4"/>
      <c r="U870" s="10"/>
      <c r="V870" s="10"/>
      <c r="W870" s="10"/>
      <c r="X870" s="7"/>
      <c r="Y870" s="7"/>
      <c r="Z870" s="7"/>
      <c r="AA870" s="34"/>
      <c r="AB870" s="7"/>
      <c r="AC870" s="34"/>
      <c r="AD870" s="10"/>
      <c r="AF870"/>
    </row>
    <row r="871" spans="1:32" x14ac:dyDescent="0.25">
      <c r="A871" s="7"/>
      <c r="C871" s="70"/>
      <c r="D871" s="70"/>
      <c r="E871" s="73"/>
      <c r="F871" s="9"/>
      <c r="H871" s="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4"/>
      <c r="U871" s="10"/>
      <c r="V871" s="10"/>
      <c r="W871" s="10"/>
      <c r="X871" s="7"/>
      <c r="Y871" s="7"/>
      <c r="Z871" s="34"/>
      <c r="AA871" s="34"/>
      <c r="AB871" s="7"/>
      <c r="AC871" s="34"/>
      <c r="AD871" s="10"/>
      <c r="AF871"/>
    </row>
    <row r="872" spans="1:32" x14ac:dyDescent="0.25">
      <c r="A872" s="7"/>
      <c r="C872" s="70"/>
      <c r="D872" s="70"/>
      <c r="E872" s="73"/>
      <c r="F872" s="9"/>
      <c r="H872" s="9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4"/>
      <c r="U872" s="10"/>
      <c r="V872" s="10"/>
      <c r="W872" s="10"/>
      <c r="X872" s="7"/>
      <c r="Y872" s="7"/>
      <c r="Z872" s="7"/>
      <c r="AA872" s="34"/>
      <c r="AB872" s="7"/>
      <c r="AC872" s="34"/>
      <c r="AD872" s="10"/>
      <c r="AF872"/>
    </row>
    <row r="873" spans="1:32" x14ac:dyDescent="0.25">
      <c r="A873" s="43"/>
      <c r="C873" s="70"/>
      <c r="D873" s="70"/>
      <c r="E873" s="73"/>
      <c r="F873" s="9"/>
      <c r="H873" s="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4"/>
      <c r="U873" s="10"/>
      <c r="V873" s="10"/>
      <c r="W873" s="10"/>
      <c r="X873" s="7"/>
      <c r="Y873" s="7"/>
      <c r="Z873" s="7"/>
      <c r="AA873" s="34"/>
      <c r="AB873" s="7"/>
      <c r="AC873" s="34"/>
      <c r="AD873" s="10"/>
      <c r="AF873"/>
    </row>
    <row r="874" spans="1:32" x14ac:dyDescent="0.25">
      <c r="A874" s="7"/>
      <c r="C874" s="70"/>
      <c r="D874" s="70"/>
      <c r="E874" s="73"/>
      <c r="F874" s="9"/>
      <c r="H874" s="9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4"/>
      <c r="U874" s="10"/>
      <c r="V874" s="10"/>
      <c r="W874" s="10"/>
      <c r="X874" s="7"/>
      <c r="Y874" s="7"/>
      <c r="Z874" s="7"/>
      <c r="AA874" s="34"/>
      <c r="AB874" s="7"/>
      <c r="AC874" s="34"/>
      <c r="AD874" s="10"/>
      <c r="AF874"/>
    </row>
    <row r="875" spans="1:32" x14ac:dyDescent="0.25">
      <c r="A875" s="7"/>
      <c r="C875" s="70"/>
      <c r="D875" s="70"/>
      <c r="E875" s="73"/>
      <c r="F875" s="9"/>
      <c r="H875" s="9"/>
      <c r="I875" s="10"/>
      <c r="J875" s="7"/>
      <c r="K875" s="7"/>
      <c r="L875" s="10"/>
      <c r="M875" s="10"/>
      <c r="N875" s="10"/>
      <c r="O875" s="10"/>
      <c r="P875" s="10"/>
      <c r="Q875" s="10"/>
      <c r="R875" s="10"/>
      <c r="S875" s="10"/>
      <c r="T875" s="14"/>
      <c r="U875" s="10"/>
      <c r="V875" s="10"/>
      <c r="W875" s="10"/>
      <c r="X875" s="7"/>
      <c r="Y875" s="7"/>
      <c r="Z875" s="7"/>
      <c r="AA875" s="34"/>
      <c r="AB875" s="7"/>
      <c r="AC875" s="34"/>
      <c r="AD875" s="10"/>
      <c r="AF875"/>
    </row>
    <row r="876" spans="1:32" x14ac:dyDescent="0.25">
      <c r="A876" s="7"/>
      <c r="C876" s="70"/>
      <c r="D876" s="70"/>
      <c r="E876" s="73"/>
      <c r="F876" s="9"/>
      <c r="H876" s="9"/>
      <c r="I876" s="62"/>
      <c r="J876" s="7"/>
      <c r="K876" s="7"/>
      <c r="L876" s="10"/>
      <c r="M876" s="10"/>
      <c r="N876" s="10"/>
      <c r="O876" s="10"/>
      <c r="P876" s="10"/>
      <c r="Q876" s="10"/>
      <c r="R876" s="10"/>
      <c r="S876" s="10"/>
      <c r="T876" s="14"/>
      <c r="U876" s="10"/>
      <c r="V876" s="10"/>
      <c r="W876" s="10"/>
      <c r="X876" s="7"/>
      <c r="Y876" s="7"/>
      <c r="Z876" s="7"/>
      <c r="AA876" s="34"/>
      <c r="AB876" s="7"/>
      <c r="AC876" s="34"/>
      <c r="AD876" s="10"/>
      <c r="AF876"/>
    </row>
    <row r="877" spans="1:32" x14ac:dyDescent="0.25">
      <c r="A877" s="7"/>
      <c r="C877" s="70"/>
      <c r="D877" s="70"/>
      <c r="E877" s="73"/>
      <c r="F877" s="9"/>
      <c r="H877" s="9"/>
      <c r="I877" s="10"/>
      <c r="J877" s="7"/>
      <c r="K877" s="24"/>
      <c r="L877" s="10"/>
      <c r="M877" s="10"/>
      <c r="N877" s="10"/>
      <c r="O877" s="10"/>
      <c r="P877" s="10"/>
      <c r="Q877" s="10"/>
      <c r="R877" s="10"/>
      <c r="S877" s="10"/>
      <c r="T877" s="14"/>
      <c r="U877" s="10"/>
      <c r="V877" s="10"/>
      <c r="W877" s="10"/>
      <c r="X877" s="7"/>
      <c r="Y877" s="7"/>
      <c r="Z877" s="7"/>
      <c r="AA877" s="34"/>
      <c r="AB877" s="7"/>
      <c r="AC877" s="34"/>
      <c r="AD877" s="10"/>
      <c r="AF877"/>
    </row>
    <row r="878" spans="1:32" x14ac:dyDescent="0.25">
      <c r="A878" s="7"/>
      <c r="C878" s="70"/>
      <c r="D878" s="70"/>
      <c r="E878" s="73"/>
      <c r="F878" s="9"/>
      <c r="H878" s="9"/>
      <c r="I878" s="10"/>
      <c r="J878" s="10"/>
      <c r="K878" s="7"/>
      <c r="L878" s="10"/>
      <c r="M878" s="10"/>
      <c r="N878" s="10"/>
      <c r="O878" s="10"/>
      <c r="P878" s="10"/>
      <c r="Q878" s="10"/>
      <c r="R878" s="10"/>
      <c r="S878" s="10"/>
      <c r="T878" s="14"/>
      <c r="U878" s="10"/>
      <c r="V878" s="10"/>
      <c r="W878" s="10"/>
      <c r="X878" s="7"/>
      <c r="Y878" s="7"/>
      <c r="Z878" s="7"/>
      <c r="AA878" s="34"/>
      <c r="AB878" s="7"/>
      <c r="AC878" s="34"/>
      <c r="AD878" s="10"/>
      <c r="AF878"/>
    </row>
    <row r="879" spans="1:32" x14ac:dyDescent="0.25">
      <c r="A879" s="7"/>
      <c r="C879" s="70"/>
      <c r="D879" s="70"/>
      <c r="E879" s="73"/>
      <c r="F879" s="9"/>
      <c r="H879" s="9"/>
      <c r="I879" s="10"/>
      <c r="J879" s="7"/>
      <c r="K879" s="7"/>
      <c r="L879" s="10"/>
      <c r="M879" s="10"/>
      <c r="N879" s="10"/>
      <c r="O879" s="10"/>
      <c r="P879" s="10"/>
      <c r="Q879" s="10"/>
      <c r="R879" s="10"/>
      <c r="S879" s="10"/>
      <c r="T879" s="14"/>
      <c r="U879" s="10"/>
      <c r="V879" s="10"/>
      <c r="W879" s="10"/>
      <c r="X879" s="7"/>
      <c r="Y879" s="7"/>
      <c r="Z879" s="7"/>
      <c r="AA879" s="34"/>
      <c r="AB879" s="7"/>
      <c r="AC879" s="34"/>
      <c r="AD879" s="10"/>
      <c r="AF879"/>
    </row>
    <row r="880" spans="1:32" x14ac:dyDescent="0.25">
      <c r="A880" s="7"/>
      <c r="C880" s="70"/>
      <c r="D880" s="70"/>
      <c r="E880" s="73"/>
      <c r="F880" s="9"/>
      <c r="H880" s="9"/>
      <c r="I880" s="10"/>
      <c r="J880" s="7"/>
      <c r="K880" s="7"/>
      <c r="L880" s="10"/>
      <c r="M880" s="10"/>
      <c r="N880" s="10"/>
      <c r="O880" s="10"/>
      <c r="P880" s="10"/>
      <c r="Q880" s="10"/>
      <c r="R880" s="10"/>
      <c r="S880" s="10"/>
      <c r="T880" s="14"/>
      <c r="U880" s="10"/>
      <c r="V880" s="10"/>
      <c r="W880" s="10"/>
      <c r="X880" s="7"/>
      <c r="Y880" s="7"/>
      <c r="Z880" s="7"/>
      <c r="AA880" s="34"/>
      <c r="AB880" s="7"/>
      <c r="AC880" s="34"/>
      <c r="AD880" s="10"/>
      <c r="AF880"/>
    </row>
    <row r="881" spans="1:32" x14ac:dyDescent="0.25">
      <c r="A881" s="7"/>
      <c r="C881" s="70"/>
      <c r="D881" s="70"/>
      <c r="E881" s="73"/>
      <c r="F881" s="9"/>
      <c r="H881" s="9"/>
      <c r="I881" s="10"/>
      <c r="J881" s="7"/>
      <c r="K881" s="7"/>
      <c r="L881" s="10"/>
      <c r="M881" s="10"/>
      <c r="N881" s="10"/>
      <c r="O881" s="10"/>
      <c r="P881" s="10"/>
      <c r="Q881" s="10"/>
      <c r="R881" s="10"/>
      <c r="S881" s="10"/>
      <c r="T881" s="14"/>
      <c r="U881" s="10"/>
      <c r="V881" s="10"/>
      <c r="W881" s="10"/>
      <c r="X881" s="7"/>
      <c r="Y881" s="7"/>
      <c r="Z881" s="7"/>
      <c r="AA881" s="34"/>
      <c r="AB881" s="7"/>
      <c r="AC881" s="34"/>
      <c r="AD881" s="10"/>
      <c r="AF881"/>
    </row>
    <row r="882" spans="1:32" x14ac:dyDescent="0.25">
      <c r="A882" s="7"/>
      <c r="C882" s="70"/>
      <c r="D882" s="70"/>
      <c r="E882" s="73"/>
      <c r="F882" s="45"/>
      <c r="H882" s="9"/>
      <c r="I882" s="10"/>
      <c r="J882" s="7"/>
      <c r="K882" s="7"/>
      <c r="L882" s="10"/>
      <c r="M882" s="10"/>
      <c r="N882" s="10"/>
      <c r="O882" s="10"/>
      <c r="P882" s="10"/>
      <c r="Q882" s="10"/>
      <c r="R882" s="10"/>
      <c r="S882" s="10"/>
      <c r="T882" s="14"/>
      <c r="U882" s="10"/>
      <c r="V882" s="10"/>
      <c r="W882" s="10"/>
      <c r="X882" s="34"/>
      <c r="Y882" s="34"/>
      <c r="Z882" s="7"/>
      <c r="AA882" s="34"/>
      <c r="AB882" s="7"/>
      <c r="AC882" s="34"/>
      <c r="AD882" s="10"/>
      <c r="AF882"/>
    </row>
    <row r="883" spans="1:32" x14ac:dyDescent="0.25">
      <c r="A883" s="7"/>
      <c r="C883" s="70"/>
      <c r="D883" s="70"/>
      <c r="E883" s="73"/>
      <c r="F883" s="9"/>
      <c r="H883" s="9"/>
      <c r="I883" s="10"/>
      <c r="J883" s="61"/>
      <c r="K883" s="10"/>
      <c r="L883" s="10"/>
      <c r="M883" s="10"/>
      <c r="N883" s="10"/>
      <c r="O883" s="10"/>
      <c r="P883" s="10"/>
      <c r="Q883" s="10"/>
      <c r="R883" s="10"/>
      <c r="S883" s="10"/>
      <c r="T883" s="14"/>
      <c r="U883" s="10"/>
      <c r="V883" s="10"/>
      <c r="W883" s="10"/>
      <c r="X883" s="7"/>
      <c r="Y883" s="7"/>
      <c r="Z883" s="7"/>
      <c r="AA883" s="34"/>
      <c r="AB883" s="7"/>
      <c r="AC883" s="34"/>
      <c r="AD883" s="10"/>
      <c r="AF883"/>
    </row>
    <row r="884" spans="1:32" x14ac:dyDescent="0.25">
      <c r="A884" s="7"/>
      <c r="C884" s="70"/>
      <c r="D884" s="70"/>
      <c r="E884" s="73"/>
      <c r="F884" s="9"/>
      <c r="H884" s="9"/>
      <c r="I884" s="10"/>
      <c r="J884" s="7"/>
      <c r="K884" s="7"/>
      <c r="L884" s="10"/>
      <c r="M884" s="10"/>
      <c r="N884" s="10"/>
      <c r="O884" s="10"/>
      <c r="P884" s="10"/>
      <c r="Q884" s="10"/>
      <c r="R884" s="10"/>
      <c r="S884" s="10"/>
      <c r="T884" s="14"/>
      <c r="U884" s="10"/>
      <c r="V884" s="10"/>
      <c r="W884" s="10"/>
      <c r="X884" s="7"/>
      <c r="Y884" s="7"/>
      <c r="Z884" s="7"/>
      <c r="AA884" s="34"/>
      <c r="AB884" s="7"/>
      <c r="AC884" s="34"/>
      <c r="AD884" s="10"/>
      <c r="AF884"/>
    </row>
    <row r="885" spans="1:32" x14ac:dyDescent="0.25">
      <c r="A885" s="7"/>
      <c r="C885" s="70"/>
      <c r="D885" s="70"/>
      <c r="E885" s="73"/>
      <c r="F885" s="9"/>
      <c r="H885" s="9"/>
      <c r="I885" s="10"/>
      <c r="J885" s="7"/>
      <c r="K885" s="7"/>
      <c r="L885" s="10"/>
      <c r="M885" s="10"/>
      <c r="N885" s="10"/>
      <c r="O885" s="10"/>
      <c r="P885" s="10"/>
      <c r="Q885" s="10"/>
      <c r="R885" s="10"/>
      <c r="S885" s="10"/>
      <c r="T885" s="14"/>
      <c r="U885" s="10"/>
      <c r="V885" s="10"/>
      <c r="W885" s="10"/>
      <c r="X885" s="7"/>
      <c r="Y885" s="7"/>
      <c r="Z885" s="7"/>
      <c r="AA885" s="34"/>
      <c r="AB885" s="7"/>
      <c r="AC885" s="34"/>
      <c r="AD885" s="10"/>
      <c r="AF885"/>
    </row>
    <row r="886" spans="1:32" x14ac:dyDescent="0.25">
      <c r="A886" s="7"/>
      <c r="C886" s="70"/>
      <c r="D886" s="70"/>
      <c r="E886" s="73"/>
      <c r="F886" s="9"/>
      <c r="H886" s="9"/>
      <c r="I886" s="10"/>
      <c r="J886" s="10"/>
      <c r="K886" s="24"/>
      <c r="L886" s="10"/>
      <c r="M886" s="10"/>
      <c r="N886" s="10"/>
      <c r="O886" s="10"/>
      <c r="P886" s="10"/>
      <c r="Q886" s="10"/>
      <c r="R886" s="10"/>
      <c r="S886" s="10"/>
      <c r="T886" s="14"/>
      <c r="U886" s="10"/>
      <c r="V886" s="10"/>
      <c r="W886" s="10"/>
      <c r="X886" s="7"/>
      <c r="Y886" s="7"/>
      <c r="Z886" s="7"/>
      <c r="AA886" s="34"/>
      <c r="AB886" s="7"/>
      <c r="AC886" s="34"/>
      <c r="AD886" s="10"/>
      <c r="AF886"/>
    </row>
    <row r="887" spans="1:32" x14ac:dyDescent="0.25">
      <c r="A887" s="7"/>
      <c r="C887" s="70"/>
      <c r="D887" s="70"/>
      <c r="E887" s="73"/>
      <c r="F887" s="9"/>
      <c r="H887" s="9"/>
      <c r="I887" s="10"/>
      <c r="J887" s="10"/>
      <c r="K887" s="7"/>
      <c r="L887" s="10"/>
      <c r="M887" s="10"/>
      <c r="N887" s="10"/>
      <c r="O887" s="10"/>
      <c r="P887" s="10"/>
      <c r="Q887" s="10"/>
      <c r="R887" s="10"/>
      <c r="S887" s="10"/>
      <c r="T887" s="14"/>
      <c r="U887" s="10"/>
      <c r="V887" s="10"/>
      <c r="W887" s="10"/>
      <c r="X887" s="7"/>
      <c r="Y887" s="7"/>
      <c r="Z887" s="7"/>
      <c r="AA887" s="34"/>
      <c r="AB887" s="7"/>
      <c r="AC887" s="34"/>
      <c r="AD887" s="10"/>
      <c r="AF887"/>
    </row>
    <row r="888" spans="1:32" x14ac:dyDescent="0.25">
      <c r="A888" s="7"/>
      <c r="C888" s="70"/>
      <c r="D888" s="70"/>
      <c r="E888" s="73"/>
      <c r="F888" s="9"/>
      <c r="H888" s="9"/>
      <c r="I888" s="10"/>
      <c r="J888" s="10"/>
      <c r="K888" s="7"/>
      <c r="L888" s="10"/>
      <c r="M888" s="10"/>
      <c r="N888" s="10"/>
      <c r="O888" s="10"/>
      <c r="P888" s="10"/>
      <c r="Q888" s="10"/>
      <c r="R888" s="10"/>
      <c r="S888" s="10"/>
      <c r="T888" s="14"/>
      <c r="U888" s="10"/>
      <c r="V888" s="10"/>
      <c r="W888" s="10"/>
      <c r="X888" s="7"/>
      <c r="Y888" s="7"/>
      <c r="Z888" s="7"/>
      <c r="AA888" s="34"/>
      <c r="AB888" s="7"/>
      <c r="AC888" s="34"/>
      <c r="AD888" s="10"/>
      <c r="AF888"/>
    </row>
    <row r="889" spans="1:32" x14ac:dyDescent="0.25">
      <c r="A889" s="7"/>
      <c r="C889" s="70"/>
      <c r="D889" s="70"/>
      <c r="E889" s="73"/>
      <c r="F889" s="48"/>
      <c r="H889" s="9"/>
      <c r="I889" s="10"/>
      <c r="J889" s="7"/>
      <c r="K889" s="24"/>
      <c r="L889" s="10"/>
      <c r="M889" s="10"/>
      <c r="N889" s="10"/>
      <c r="O889" s="10"/>
      <c r="P889" s="10"/>
      <c r="Q889" s="10"/>
      <c r="R889" s="10"/>
      <c r="S889" s="10"/>
      <c r="T889" s="14"/>
      <c r="U889" s="10"/>
      <c r="V889" s="10"/>
      <c r="W889" s="10"/>
      <c r="X889" s="7"/>
      <c r="Y889" s="7"/>
      <c r="Z889" s="7"/>
      <c r="AA889" s="34"/>
      <c r="AB889" s="7"/>
      <c r="AC889" s="34"/>
      <c r="AD889" s="10"/>
      <c r="AF889"/>
    </row>
    <row r="890" spans="1:32" x14ac:dyDescent="0.25">
      <c r="A890" s="7"/>
      <c r="C890" s="70"/>
      <c r="D890" s="70"/>
      <c r="E890" s="73"/>
      <c r="F890" s="48"/>
      <c r="H890" s="9"/>
      <c r="I890" s="10"/>
      <c r="J890" s="7"/>
      <c r="K890" s="24"/>
      <c r="L890" s="10"/>
      <c r="M890" s="10"/>
      <c r="N890" s="10"/>
      <c r="O890" s="10"/>
      <c r="P890" s="10"/>
      <c r="Q890" s="10"/>
      <c r="R890" s="10"/>
      <c r="S890" s="10"/>
      <c r="T890" s="14"/>
      <c r="U890" s="10"/>
      <c r="V890" s="10"/>
      <c r="W890" s="10"/>
      <c r="X890" s="7"/>
      <c r="Y890" s="7"/>
      <c r="Z890" s="7"/>
      <c r="AA890" s="34"/>
      <c r="AB890" s="7"/>
      <c r="AC890" s="34"/>
      <c r="AD890" s="10"/>
      <c r="AF890"/>
    </row>
    <row r="891" spans="1:32" x14ac:dyDescent="0.25">
      <c r="A891" s="7"/>
      <c r="C891" s="70"/>
      <c r="D891" s="70"/>
      <c r="E891" s="73"/>
      <c r="F891" s="48"/>
      <c r="H891" s="9"/>
      <c r="I891" s="10"/>
      <c r="J891" s="7"/>
      <c r="K891" s="24"/>
      <c r="L891" s="10"/>
      <c r="M891" s="10"/>
      <c r="N891" s="10"/>
      <c r="O891" s="10"/>
      <c r="P891" s="10"/>
      <c r="Q891" s="10"/>
      <c r="R891" s="10"/>
      <c r="S891" s="10"/>
      <c r="T891" s="14"/>
      <c r="U891" s="10"/>
      <c r="V891" s="10"/>
      <c r="W891" s="10"/>
      <c r="X891" s="7"/>
      <c r="Y891" s="7"/>
      <c r="Z891" s="7"/>
      <c r="AA891" s="34"/>
      <c r="AB891" s="7"/>
      <c r="AC891" s="34"/>
      <c r="AD891" s="10"/>
      <c r="AF891"/>
    </row>
    <row r="892" spans="1:32" x14ac:dyDescent="0.25">
      <c r="A892" s="7"/>
      <c r="C892" s="70"/>
      <c r="D892" s="70"/>
      <c r="E892" s="73"/>
      <c r="F892" s="9"/>
      <c r="H892" s="9"/>
      <c r="I892" s="10"/>
      <c r="J892" s="61"/>
      <c r="K892" s="10"/>
      <c r="L892" s="10"/>
      <c r="M892" s="10"/>
      <c r="N892" s="10"/>
      <c r="O892" s="10"/>
      <c r="P892" s="10"/>
      <c r="Q892" s="10"/>
      <c r="R892" s="10"/>
      <c r="S892" s="10"/>
      <c r="T892" s="14"/>
      <c r="U892" s="10"/>
      <c r="V892" s="10"/>
      <c r="W892" s="10"/>
      <c r="X892" s="7"/>
      <c r="Y892" s="7"/>
      <c r="Z892" s="7"/>
      <c r="AA892" s="34"/>
      <c r="AB892" s="7"/>
      <c r="AC892" s="34"/>
      <c r="AD892" s="10"/>
      <c r="AF892"/>
    </row>
    <row r="893" spans="1:32" x14ac:dyDescent="0.25">
      <c r="A893" s="7"/>
      <c r="C893" s="70"/>
      <c r="D893" s="70"/>
      <c r="E893" s="73"/>
      <c r="F893" s="9"/>
      <c r="H893" s="9"/>
      <c r="I893" s="10"/>
      <c r="J893" s="7"/>
      <c r="K893" s="7"/>
      <c r="L893" s="10"/>
      <c r="M893" s="10"/>
      <c r="N893" s="10"/>
      <c r="O893" s="10"/>
      <c r="P893" s="10"/>
      <c r="Q893" s="10"/>
      <c r="R893" s="10"/>
      <c r="S893" s="10"/>
      <c r="T893" s="14"/>
      <c r="U893" s="10"/>
      <c r="V893" s="10"/>
      <c r="W893" s="10"/>
      <c r="X893" s="7"/>
      <c r="Y893" s="7"/>
      <c r="Z893" s="7"/>
      <c r="AA893" s="34"/>
      <c r="AB893" s="7"/>
      <c r="AC893" s="34"/>
      <c r="AD893" s="10"/>
      <c r="AF893"/>
    </row>
    <row r="894" spans="1:32" x14ac:dyDescent="0.25">
      <c r="A894" s="7"/>
      <c r="C894" s="70"/>
      <c r="D894" s="70"/>
      <c r="E894" s="73"/>
      <c r="F894" s="9"/>
      <c r="H894" s="9"/>
      <c r="I894" s="10"/>
      <c r="J894" s="7"/>
      <c r="K894" s="7"/>
      <c r="L894" s="10"/>
      <c r="M894" s="10"/>
      <c r="N894" s="10"/>
      <c r="O894" s="10"/>
      <c r="P894" s="10"/>
      <c r="Q894" s="10"/>
      <c r="R894" s="10"/>
      <c r="S894" s="10"/>
      <c r="T894" s="14"/>
      <c r="U894" s="10"/>
      <c r="V894" s="10"/>
      <c r="W894" s="10"/>
      <c r="X894" s="7"/>
      <c r="Y894" s="7"/>
      <c r="Z894" s="7"/>
      <c r="AA894" s="34"/>
      <c r="AB894" s="7"/>
      <c r="AC894" s="34"/>
      <c r="AD894" s="10"/>
      <c r="AF894"/>
    </row>
    <row r="895" spans="1:32" x14ac:dyDescent="0.25">
      <c r="A895" s="7"/>
      <c r="C895" s="70"/>
      <c r="D895" s="70"/>
      <c r="E895" s="73"/>
      <c r="F895" s="9"/>
      <c r="H895" s="9"/>
      <c r="I895" s="10"/>
      <c r="J895" s="7"/>
      <c r="K895" s="7"/>
      <c r="L895" s="10"/>
      <c r="M895" s="10"/>
      <c r="N895" s="10"/>
      <c r="O895" s="10"/>
      <c r="P895" s="10"/>
      <c r="Q895" s="10"/>
      <c r="R895" s="10"/>
      <c r="S895" s="10"/>
      <c r="T895" s="14"/>
      <c r="U895" s="10"/>
      <c r="V895" s="10"/>
      <c r="W895" s="10"/>
      <c r="X895" s="7"/>
      <c r="Y895" s="7"/>
      <c r="Z895" s="34"/>
      <c r="AA895" s="34"/>
      <c r="AB895" s="7"/>
      <c r="AC895" s="34"/>
      <c r="AD895" s="10"/>
      <c r="AF895"/>
    </row>
    <row r="896" spans="1:32" x14ac:dyDescent="0.25">
      <c r="A896" s="7"/>
      <c r="C896" s="70"/>
      <c r="D896" s="70"/>
      <c r="E896" s="79"/>
      <c r="F896" s="41"/>
      <c r="G896" s="41"/>
      <c r="H896" s="9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4"/>
      <c r="U896" s="10"/>
      <c r="V896" s="10"/>
      <c r="W896" s="10"/>
      <c r="X896" s="7"/>
      <c r="Y896" s="7"/>
      <c r="Z896" s="34"/>
      <c r="AA896" s="34"/>
      <c r="AB896" s="7"/>
      <c r="AC896" s="34"/>
      <c r="AD896" s="10"/>
      <c r="AF896"/>
    </row>
    <row r="897" spans="1:32" x14ac:dyDescent="0.25">
      <c r="A897" s="7"/>
      <c r="C897" s="70"/>
      <c r="D897" s="70"/>
      <c r="E897" s="73"/>
      <c r="F897" s="9"/>
      <c r="H897" s="9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4"/>
      <c r="U897" s="10"/>
      <c r="V897" s="10"/>
      <c r="W897" s="10"/>
      <c r="X897" s="7"/>
      <c r="Y897" s="7"/>
      <c r="Z897" s="7"/>
      <c r="AA897" s="34"/>
      <c r="AB897" s="7"/>
      <c r="AC897" s="34"/>
      <c r="AD897" s="10"/>
      <c r="AF897"/>
    </row>
    <row r="898" spans="1:32" x14ac:dyDescent="0.25">
      <c r="A898" s="7"/>
      <c r="C898" s="70"/>
      <c r="D898" s="70"/>
      <c r="E898" s="73"/>
      <c r="F898" s="48"/>
      <c r="H898" s="9"/>
      <c r="I898" s="10"/>
      <c r="J898" s="7"/>
      <c r="K898" s="7"/>
      <c r="L898" s="10"/>
      <c r="M898" s="10"/>
      <c r="N898" s="10"/>
      <c r="O898" s="10"/>
      <c r="P898" s="10"/>
      <c r="Q898" s="10"/>
      <c r="R898" s="10"/>
      <c r="S898" s="10"/>
      <c r="T898" s="14"/>
      <c r="U898" s="10"/>
      <c r="V898" s="10"/>
      <c r="W898" s="10"/>
      <c r="X898" s="7"/>
      <c r="Y898" s="7"/>
      <c r="Z898" s="7"/>
      <c r="AA898" s="34"/>
      <c r="AB898" s="7"/>
      <c r="AC898" s="34"/>
      <c r="AD898" s="10"/>
      <c r="AF898"/>
    </row>
    <row r="899" spans="1:32" x14ac:dyDescent="0.25">
      <c r="A899" s="7"/>
      <c r="C899" s="70"/>
      <c r="D899" s="70"/>
      <c r="E899" s="73"/>
      <c r="F899" s="9"/>
      <c r="H899" s="9"/>
      <c r="I899" s="10"/>
      <c r="J899" s="7"/>
      <c r="K899" s="7"/>
      <c r="L899" s="10"/>
      <c r="M899" s="10"/>
      <c r="N899" s="10"/>
      <c r="O899" s="10"/>
      <c r="P899" s="10"/>
      <c r="Q899" s="10"/>
      <c r="R899" s="10"/>
      <c r="S899" s="10"/>
      <c r="T899" s="14"/>
      <c r="U899" s="10"/>
      <c r="V899" s="10"/>
      <c r="W899" s="10"/>
      <c r="X899" s="7"/>
      <c r="Y899" s="7"/>
      <c r="Z899" s="7"/>
      <c r="AA899" s="34"/>
      <c r="AB899" s="7"/>
      <c r="AC899" s="34"/>
      <c r="AD899" s="10"/>
      <c r="AF899"/>
    </row>
    <row r="900" spans="1:32" x14ac:dyDescent="0.25">
      <c r="A900" s="7"/>
      <c r="C900" s="70"/>
      <c r="D900" s="70"/>
      <c r="E900" s="73"/>
      <c r="F900" s="9"/>
      <c r="H900" s="9"/>
      <c r="I900" s="10"/>
      <c r="J900" s="7"/>
      <c r="K900" s="7"/>
      <c r="L900" s="10"/>
      <c r="M900" s="10"/>
      <c r="N900" s="10"/>
      <c r="O900" s="10"/>
      <c r="P900" s="10"/>
      <c r="Q900" s="10"/>
      <c r="R900" s="10"/>
      <c r="S900" s="10"/>
      <c r="T900" s="14"/>
      <c r="U900" s="10"/>
      <c r="V900" s="10"/>
      <c r="W900" s="10"/>
      <c r="X900" s="7"/>
      <c r="Y900" s="7"/>
      <c r="Z900" s="7"/>
      <c r="AA900" s="34"/>
      <c r="AB900" s="7"/>
      <c r="AC900" s="34"/>
      <c r="AD900" s="10"/>
      <c r="AF900"/>
    </row>
    <row r="901" spans="1:32" x14ac:dyDescent="0.25">
      <c r="A901" s="7"/>
      <c r="C901" s="70"/>
      <c r="D901" s="70"/>
      <c r="E901" s="73"/>
      <c r="F901" s="9"/>
      <c r="H901" s="9"/>
      <c r="I901" s="10"/>
      <c r="J901" s="7"/>
      <c r="K901" s="7"/>
      <c r="L901" s="10"/>
      <c r="M901" s="10"/>
      <c r="N901" s="10"/>
      <c r="O901" s="10"/>
      <c r="P901" s="10"/>
      <c r="Q901" s="10"/>
      <c r="R901" s="10"/>
      <c r="S901" s="10"/>
      <c r="T901" s="14"/>
      <c r="U901" s="10"/>
      <c r="V901" s="10"/>
      <c r="W901" s="10"/>
      <c r="X901" s="7"/>
      <c r="Y901" s="7"/>
      <c r="Z901" s="7"/>
      <c r="AA901" s="34"/>
      <c r="AB901" s="7"/>
      <c r="AC901" s="34"/>
      <c r="AD901" s="10"/>
      <c r="AF901"/>
    </row>
    <row r="902" spans="1:32" x14ac:dyDescent="0.25">
      <c r="A902" s="7"/>
      <c r="C902" s="70"/>
      <c r="D902" s="70"/>
      <c r="E902" s="73"/>
      <c r="F902" s="9"/>
      <c r="H902" s="9"/>
      <c r="I902" s="10"/>
      <c r="J902" s="10"/>
      <c r="K902" s="7"/>
      <c r="L902" s="10"/>
      <c r="M902" s="10"/>
      <c r="N902" s="10"/>
      <c r="O902" s="10"/>
      <c r="P902" s="10"/>
      <c r="Q902" s="10"/>
      <c r="R902" s="10"/>
      <c r="S902" s="10"/>
      <c r="T902" s="14"/>
      <c r="U902" s="10"/>
      <c r="V902" s="10"/>
      <c r="W902" s="10"/>
      <c r="X902" s="7"/>
      <c r="Y902" s="7"/>
      <c r="Z902" s="7"/>
      <c r="AA902" s="34"/>
      <c r="AB902" s="7"/>
      <c r="AC902" s="34"/>
      <c r="AD902" s="10"/>
      <c r="AF902"/>
    </row>
    <row r="903" spans="1:32" x14ac:dyDescent="0.25">
      <c r="A903" s="7"/>
      <c r="C903" s="70"/>
      <c r="D903" s="70"/>
      <c r="E903" s="73"/>
      <c r="F903" s="9"/>
      <c r="H903" s="9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4"/>
      <c r="U903" s="10"/>
      <c r="V903" s="10"/>
      <c r="W903" s="10"/>
      <c r="X903" s="7"/>
      <c r="Y903" s="7"/>
      <c r="Z903" s="7"/>
      <c r="AA903" s="34"/>
      <c r="AB903" s="7"/>
      <c r="AC903" s="34"/>
      <c r="AD903" s="10"/>
      <c r="AF903"/>
    </row>
    <row r="904" spans="1:32" x14ac:dyDescent="0.25">
      <c r="A904" s="7"/>
      <c r="C904" s="70"/>
      <c r="D904" s="70"/>
      <c r="E904" s="73"/>
      <c r="F904" s="9"/>
      <c r="H904" s="9"/>
      <c r="I904" s="10"/>
      <c r="J904" s="7"/>
      <c r="K904" s="7"/>
      <c r="L904" s="10"/>
      <c r="M904" s="10"/>
      <c r="N904" s="10"/>
      <c r="O904" s="10"/>
      <c r="P904" s="10"/>
      <c r="Q904" s="10"/>
      <c r="R904" s="10"/>
      <c r="S904" s="10"/>
      <c r="T904" s="14"/>
      <c r="U904" s="10"/>
      <c r="V904" s="10"/>
      <c r="W904" s="10"/>
      <c r="X904" s="7"/>
      <c r="Y904" s="7"/>
      <c r="Z904" s="7"/>
      <c r="AA904" s="34"/>
      <c r="AB904" s="7"/>
      <c r="AC904" s="34"/>
      <c r="AD904" s="10"/>
      <c r="AF904"/>
    </row>
    <row r="905" spans="1:32" x14ac:dyDescent="0.25">
      <c r="A905" s="7"/>
      <c r="C905" s="70"/>
      <c r="D905" s="70"/>
      <c r="E905" s="78"/>
      <c r="F905" s="48"/>
      <c r="G905" s="56"/>
      <c r="H905" s="9"/>
      <c r="I905" s="10"/>
      <c r="J905" s="7"/>
      <c r="K905" s="7"/>
      <c r="L905" s="10"/>
      <c r="M905" s="10"/>
      <c r="N905" s="10"/>
      <c r="O905" s="10"/>
      <c r="P905" s="10"/>
      <c r="Q905" s="10"/>
      <c r="R905" s="10"/>
      <c r="S905" s="10"/>
      <c r="T905" s="14"/>
      <c r="U905" s="10"/>
      <c r="V905" s="10"/>
      <c r="W905" s="10"/>
      <c r="X905" s="7"/>
      <c r="Y905" s="7"/>
      <c r="Z905" s="7"/>
      <c r="AA905" s="34"/>
      <c r="AB905" s="7"/>
      <c r="AC905" s="34"/>
      <c r="AD905" s="10"/>
      <c r="AF905"/>
    </row>
    <row r="906" spans="1:32" x14ac:dyDescent="0.25">
      <c r="A906" s="7"/>
      <c r="C906" s="70"/>
      <c r="D906" s="70"/>
      <c r="E906" s="78"/>
      <c r="F906" s="48"/>
      <c r="G906" s="56"/>
      <c r="H906" s="9"/>
      <c r="I906" s="10"/>
      <c r="J906" s="7"/>
      <c r="K906" s="7"/>
      <c r="L906" s="10"/>
      <c r="M906" s="10"/>
      <c r="N906" s="10"/>
      <c r="O906" s="10"/>
      <c r="P906" s="10"/>
      <c r="Q906" s="10"/>
      <c r="R906" s="10"/>
      <c r="S906" s="10"/>
      <c r="T906" s="14"/>
      <c r="U906" s="10"/>
      <c r="V906" s="10"/>
      <c r="W906" s="10"/>
      <c r="X906" s="7"/>
      <c r="Y906" s="7"/>
      <c r="Z906" s="7"/>
      <c r="AA906" s="34"/>
      <c r="AB906" s="7"/>
      <c r="AC906" s="34"/>
      <c r="AD906" s="10"/>
      <c r="AF906"/>
    </row>
    <row r="907" spans="1:32" x14ac:dyDescent="0.25">
      <c r="A907" s="7"/>
      <c r="C907" s="70"/>
      <c r="D907" s="70"/>
      <c r="E907" s="73"/>
      <c r="F907" s="9"/>
      <c r="H907" s="9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4"/>
      <c r="U907" s="10"/>
      <c r="V907" s="10"/>
      <c r="W907" s="10"/>
      <c r="X907" s="7"/>
      <c r="Y907" s="7"/>
      <c r="Z907" s="7"/>
      <c r="AA907" s="34"/>
      <c r="AB907" s="7"/>
      <c r="AC907" s="34"/>
      <c r="AD907" s="10"/>
      <c r="AF907"/>
    </row>
    <row r="908" spans="1:32" x14ac:dyDescent="0.25">
      <c r="A908" s="7"/>
      <c r="C908" s="70"/>
      <c r="D908" s="70"/>
      <c r="E908" s="73"/>
      <c r="F908" s="9"/>
      <c r="H908" s="9"/>
      <c r="I908" s="10"/>
      <c r="J908" s="10"/>
      <c r="K908" s="7"/>
      <c r="L908" s="10"/>
      <c r="M908" s="10"/>
      <c r="N908" s="10"/>
      <c r="O908" s="10"/>
      <c r="P908" s="10"/>
      <c r="Q908" s="10"/>
      <c r="R908" s="10"/>
      <c r="S908" s="10"/>
      <c r="T908" s="14"/>
      <c r="U908" s="10"/>
      <c r="V908" s="10"/>
      <c r="W908" s="10"/>
      <c r="X908" s="7"/>
      <c r="Y908" s="7"/>
      <c r="Z908" s="7"/>
      <c r="AA908" s="34"/>
      <c r="AB908" s="7"/>
      <c r="AC908" s="34"/>
      <c r="AD908" s="10"/>
      <c r="AF908"/>
    </row>
    <row r="909" spans="1:32" x14ac:dyDescent="0.25">
      <c r="A909" s="7"/>
      <c r="C909" s="70"/>
      <c r="D909" s="70"/>
      <c r="E909" s="73"/>
      <c r="F909" s="9"/>
      <c r="H909" s="9"/>
      <c r="I909" s="10"/>
      <c r="J909" s="10"/>
      <c r="K909" s="7"/>
      <c r="L909" s="10"/>
      <c r="M909" s="10"/>
      <c r="N909" s="10"/>
      <c r="O909" s="10"/>
      <c r="P909" s="10"/>
      <c r="Q909" s="10"/>
      <c r="R909" s="10"/>
      <c r="S909" s="10"/>
      <c r="T909" s="14"/>
      <c r="U909" s="10"/>
      <c r="V909" s="10"/>
      <c r="W909" s="10"/>
      <c r="X909" s="7"/>
      <c r="Y909" s="7"/>
      <c r="Z909" s="7"/>
      <c r="AA909" s="34"/>
      <c r="AB909" s="7"/>
      <c r="AC909" s="34"/>
      <c r="AD909" s="10"/>
      <c r="AF909"/>
    </row>
    <row r="910" spans="1:32" x14ac:dyDescent="0.25">
      <c r="A910" s="7"/>
      <c r="C910" s="70"/>
      <c r="D910" s="70"/>
      <c r="E910" s="73"/>
      <c r="F910" s="48"/>
      <c r="H910" s="9"/>
      <c r="I910" s="10"/>
      <c r="J910" s="10"/>
      <c r="K910" s="7"/>
      <c r="L910" s="10"/>
      <c r="M910" s="10"/>
      <c r="N910" s="10"/>
      <c r="O910" s="10"/>
      <c r="P910" s="10"/>
      <c r="Q910" s="10"/>
      <c r="R910" s="10"/>
      <c r="S910" s="10"/>
      <c r="T910" s="14"/>
      <c r="U910" s="10"/>
      <c r="V910" s="10"/>
      <c r="W910" s="10"/>
      <c r="X910" s="7"/>
      <c r="Y910" s="34"/>
      <c r="Z910" s="7"/>
      <c r="AA910" s="34"/>
      <c r="AB910" s="7"/>
      <c r="AC910" s="34"/>
      <c r="AD910" s="10"/>
      <c r="AF910"/>
    </row>
    <row r="911" spans="1:32" x14ac:dyDescent="0.25">
      <c r="A911" s="7"/>
      <c r="C911" s="70"/>
      <c r="D911" s="70"/>
      <c r="E911" s="73"/>
      <c r="F911" s="9"/>
      <c r="H911" s="9"/>
      <c r="I911" s="10"/>
      <c r="J911" s="7"/>
      <c r="K911" s="7"/>
      <c r="L911" s="10"/>
      <c r="M911" s="10"/>
      <c r="N911" s="10"/>
      <c r="O911" s="10"/>
      <c r="P911" s="10"/>
      <c r="Q911" s="10"/>
      <c r="R911" s="10"/>
      <c r="S911" s="10"/>
      <c r="T911" s="14"/>
      <c r="U911" s="10"/>
      <c r="V911" s="10"/>
      <c r="W911" s="10"/>
      <c r="X911" s="7"/>
      <c r="Y911" s="7"/>
      <c r="Z911" s="7"/>
      <c r="AA911" s="34"/>
      <c r="AB911" s="7"/>
      <c r="AC911" s="34"/>
      <c r="AD911" s="10"/>
      <c r="AF911"/>
    </row>
    <row r="912" spans="1:32" x14ac:dyDescent="0.25">
      <c r="A912" s="7"/>
      <c r="C912" s="70"/>
      <c r="D912" s="70"/>
      <c r="E912" s="73"/>
      <c r="F912" s="9"/>
      <c r="H912" s="9"/>
      <c r="I912" s="10"/>
      <c r="J912" s="7"/>
      <c r="K912" s="7"/>
      <c r="L912" s="34"/>
      <c r="M912" s="34"/>
      <c r="N912" s="10"/>
      <c r="O912" s="10"/>
      <c r="P912" s="10"/>
      <c r="Q912" s="10"/>
      <c r="R912" s="10"/>
      <c r="S912" s="10"/>
      <c r="T912" s="14"/>
      <c r="U912" s="10"/>
      <c r="V912" s="10"/>
      <c r="W912" s="10"/>
      <c r="X912" s="34"/>
      <c r="Y912" s="7"/>
      <c r="Z912" s="7"/>
      <c r="AA912" s="34"/>
      <c r="AB912" s="7"/>
      <c r="AC912" s="34"/>
      <c r="AD912" s="10"/>
      <c r="AF912"/>
    </row>
    <row r="913" spans="1:32" x14ac:dyDescent="0.25">
      <c r="A913" s="7"/>
      <c r="C913" s="70"/>
      <c r="D913" s="70"/>
      <c r="E913" s="73"/>
      <c r="F913" s="9"/>
      <c r="H913" s="9"/>
      <c r="I913" s="7"/>
      <c r="J913" s="7"/>
      <c r="K913" s="7"/>
      <c r="L913" s="14"/>
      <c r="M913" s="10"/>
      <c r="N913" s="10"/>
      <c r="O913" s="10"/>
      <c r="P913" s="10"/>
      <c r="Q913" s="10"/>
      <c r="R913" s="10"/>
      <c r="S913" s="10"/>
      <c r="T913" s="14"/>
      <c r="U913" s="10"/>
      <c r="V913" s="10"/>
      <c r="W913" s="10"/>
      <c r="X913" s="7"/>
      <c r="Y913" s="7"/>
      <c r="Z913" s="7"/>
      <c r="AA913" s="34"/>
      <c r="AB913" s="7"/>
      <c r="AC913" s="34"/>
      <c r="AD913" s="10"/>
      <c r="AF913"/>
    </row>
    <row r="914" spans="1:32" x14ac:dyDescent="0.25">
      <c r="A914" s="7"/>
      <c r="C914" s="70"/>
      <c r="D914" s="70"/>
      <c r="E914" s="73"/>
      <c r="F914" s="9"/>
      <c r="H914" s="9"/>
      <c r="I914" s="10"/>
      <c r="J914" s="7"/>
      <c r="K914" s="24"/>
      <c r="L914" s="10"/>
      <c r="M914" s="10"/>
      <c r="N914" s="10"/>
      <c r="O914" s="10"/>
      <c r="P914" s="10"/>
      <c r="Q914" s="10"/>
      <c r="R914" s="10"/>
      <c r="S914" s="10"/>
      <c r="T914" s="14"/>
      <c r="U914" s="10"/>
      <c r="V914" s="10"/>
      <c r="W914" s="10"/>
      <c r="X914" s="7"/>
      <c r="Y914" s="7"/>
      <c r="Z914" s="7"/>
      <c r="AA914" s="34"/>
      <c r="AB914" s="7"/>
      <c r="AC914" s="34"/>
      <c r="AD914" s="10"/>
      <c r="AF914"/>
    </row>
    <row r="915" spans="1:32" x14ac:dyDescent="0.25">
      <c r="A915" s="7"/>
      <c r="C915" s="70"/>
      <c r="D915" s="70"/>
      <c r="E915" s="73"/>
      <c r="F915" s="9"/>
      <c r="H915" s="9"/>
      <c r="I915" s="10"/>
      <c r="J915" s="7"/>
      <c r="K915" s="7"/>
      <c r="L915" s="10"/>
      <c r="M915" s="10"/>
      <c r="N915" s="10"/>
      <c r="O915" s="10"/>
      <c r="P915" s="10"/>
      <c r="Q915" s="10"/>
      <c r="R915" s="10"/>
      <c r="S915" s="10"/>
      <c r="T915" s="14"/>
      <c r="U915" s="10"/>
      <c r="V915" s="10"/>
      <c r="W915" s="10"/>
      <c r="X915" s="7"/>
      <c r="Y915" s="7"/>
      <c r="Z915" s="7"/>
      <c r="AA915" s="34"/>
      <c r="AB915" s="7"/>
      <c r="AC915" s="34"/>
      <c r="AD915" s="10"/>
      <c r="AF915"/>
    </row>
    <row r="916" spans="1:32" x14ac:dyDescent="0.25">
      <c r="A916" s="7"/>
      <c r="C916" s="70"/>
      <c r="D916" s="70"/>
      <c r="E916" s="73"/>
      <c r="F916" s="9"/>
      <c r="H916" s="9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4"/>
      <c r="U916" s="10"/>
      <c r="V916" s="10"/>
      <c r="W916" s="10"/>
      <c r="X916" s="7"/>
      <c r="Y916" s="7"/>
      <c r="Z916" s="34"/>
      <c r="AA916" s="34"/>
      <c r="AB916" s="7"/>
      <c r="AC916" s="34"/>
      <c r="AD916" s="10"/>
      <c r="AF916"/>
    </row>
    <row r="917" spans="1:32" x14ac:dyDescent="0.25">
      <c r="A917" s="7"/>
      <c r="C917" s="70"/>
      <c r="D917" s="70"/>
      <c r="E917" s="73"/>
      <c r="F917" s="9"/>
      <c r="H917" s="9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4"/>
      <c r="U917" s="10"/>
      <c r="V917" s="10"/>
      <c r="W917" s="10"/>
      <c r="X917" s="7"/>
      <c r="Y917" s="7"/>
      <c r="Z917" s="7"/>
      <c r="AA917" s="34"/>
      <c r="AB917" s="7"/>
      <c r="AC917" s="34"/>
      <c r="AD917" s="10"/>
      <c r="AF917"/>
    </row>
    <row r="918" spans="1:32" x14ac:dyDescent="0.25">
      <c r="A918" s="7"/>
      <c r="C918" s="70"/>
      <c r="D918" s="70"/>
      <c r="E918" s="73"/>
      <c r="F918" s="9"/>
      <c r="H918" s="9"/>
      <c r="I918" s="10"/>
      <c r="J918" s="7"/>
      <c r="K918" s="10"/>
      <c r="L918" s="10"/>
      <c r="M918" s="10"/>
      <c r="N918" s="10"/>
      <c r="O918" s="10"/>
      <c r="P918" s="10"/>
      <c r="Q918" s="10"/>
      <c r="R918" s="10"/>
      <c r="S918" s="10"/>
      <c r="T918" s="14"/>
      <c r="U918" s="10"/>
      <c r="V918" s="10"/>
      <c r="W918" s="10"/>
      <c r="X918" s="7"/>
      <c r="Y918" s="7"/>
      <c r="Z918" s="7"/>
      <c r="AA918" s="34"/>
      <c r="AB918" s="7"/>
      <c r="AC918" s="34"/>
      <c r="AD918" s="10"/>
      <c r="AF918"/>
    </row>
    <row r="919" spans="1:32" x14ac:dyDescent="0.25">
      <c r="A919" s="7"/>
      <c r="C919" s="70"/>
      <c r="D919" s="70"/>
      <c r="E919" s="73"/>
      <c r="F919" s="9"/>
      <c r="H919" s="9"/>
      <c r="I919" s="10"/>
      <c r="J919" s="7"/>
      <c r="K919" s="7"/>
      <c r="L919" s="10"/>
      <c r="M919" s="10"/>
      <c r="N919" s="10"/>
      <c r="O919" s="10"/>
      <c r="P919" s="10"/>
      <c r="Q919" s="10"/>
      <c r="R919" s="10"/>
      <c r="S919" s="10"/>
      <c r="T919" s="14"/>
      <c r="U919" s="10"/>
      <c r="V919" s="10"/>
      <c r="W919" s="10"/>
      <c r="X919" s="7"/>
      <c r="Y919" s="7"/>
      <c r="Z919" s="7"/>
      <c r="AA919" s="34"/>
      <c r="AB919" s="7"/>
      <c r="AC919" s="34"/>
      <c r="AD919" s="10"/>
      <c r="AF919"/>
    </row>
    <row r="920" spans="1:32" x14ac:dyDescent="0.25">
      <c r="A920" s="7"/>
      <c r="C920" s="70"/>
      <c r="D920" s="70"/>
      <c r="E920" s="73"/>
      <c r="F920" s="9"/>
      <c r="H920" s="9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4"/>
      <c r="U920" s="10"/>
      <c r="V920" s="10"/>
      <c r="W920" s="10"/>
      <c r="X920" s="7"/>
      <c r="Y920" s="7"/>
      <c r="Z920" s="7"/>
      <c r="AA920" s="34"/>
      <c r="AB920" s="7"/>
      <c r="AC920" s="34"/>
      <c r="AD920" s="10"/>
      <c r="AF920"/>
    </row>
    <row r="921" spans="1:32" x14ac:dyDescent="0.25">
      <c r="A921" s="7"/>
      <c r="C921" s="70"/>
      <c r="D921" s="70"/>
      <c r="E921" s="73"/>
      <c r="F921" s="9"/>
      <c r="H921" s="9"/>
      <c r="I921" s="10"/>
      <c r="J921" s="7"/>
      <c r="K921" s="7"/>
      <c r="L921" s="10"/>
      <c r="M921" s="10"/>
      <c r="N921" s="10"/>
      <c r="O921" s="10"/>
      <c r="P921" s="10"/>
      <c r="Q921" s="10"/>
      <c r="R921" s="10"/>
      <c r="S921" s="10"/>
      <c r="T921" s="14"/>
      <c r="U921" s="10"/>
      <c r="V921" s="10"/>
      <c r="W921" s="10"/>
      <c r="X921" s="7"/>
      <c r="Y921" s="7"/>
      <c r="Z921" s="34"/>
      <c r="AA921" s="34"/>
      <c r="AB921" s="7"/>
      <c r="AC921" s="34"/>
      <c r="AD921" s="10"/>
      <c r="AF921"/>
    </row>
    <row r="922" spans="1:32" x14ac:dyDescent="0.25">
      <c r="A922" s="7"/>
      <c r="C922" s="70"/>
      <c r="D922" s="70"/>
      <c r="E922" s="73"/>
      <c r="F922" s="9"/>
      <c r="H922" s="9"/>
      <c r="I922" s="10"/>
      <c r="J922" s="10"/>
      <c r="K922" s="24"/>
      <c r="L922" s="10"/>
      <c r="M922" s="10"/>
      <c r="N922" s="10"/>
      <c r="O922" s="10"/>
      <c r="P922" s="10"/>
      <c r="Q922" s="10"/>
      <c r="R922" s="10"/>
      <c r="S922" s="10"/>
      <c r="T922" s="14"/>
      <c r="U922" s="10"/>
      <c r="V922" s="10"/>
      <c r="W922" s="10"/>
      <c r="X922" s="7"/>
      <c r="Y922" s="7"/>
      <c r="Z922" s="7"/>
      <c r="AA922" s="34"/>
      <c r="AB922" s="7"/>
      <c r="AC922" s="34"/>
      <c r="AD922" s="10"/>
      <c r="AF922"/>
    </row>
    <row r="923" spans="1:32" x14ac:dyDescent="0.25">
      <c r="A923" s="7"/>
      <c r="C923" s="70"/>
      <c r="D923" s="70"/>
      <c r="E923" s="73"/>
      <c r="F923" s="9"/>
      <c r="H923" s="9"/>
      <c r="I923" s="10"/>
      <c r="J923" s="10"/>
      <c r="K923" s="7"/>
      <c r="L923" s="10"/>
      <c r="M923" s="10"/>
      <c r="N923" s="10"/>
      <c r="O923" s="10"/>
      <c r="P923" s="10"/>
      <c r="Q923" s="10"/>
      <c r="R923" s="10"/>
      <c r="S923" s="10"/>
      <c r="T923" s="14"/>
      <c r="U923" s="10"/>
      <c r="V923" s="10"/>
      <c r="W923" s="10"/>
      <c r="X923" s="7"/>
      <c r="Y923" s="7"/>
      <c r="Z923" s="7"/>
      <c r="AA923" s="34"/>
      <c r="AB923" s="7"/>
      <c r="AC923" s="34"/>
      <c r="AD923" s="10"/>
      <c r="AF923"/>
    </row>
    <row r="924" spans="1:32" x14ac:dyDescent="0.25">
      <c r="A924" s="7"/>
      <c r="C924" s="70"/>
      <c r="D924" s="70"/>
      <c r="E924" s="73"/>
      <c r="F924" s="9"/>
      <c r="H924" s="9"/>
      <c r="I924" s="10"/>
      <c r="J924" s="7"/>
      <c r="K924" s="7"/>
      <c r="L924" s="10"/>
      <c r="M924" s="10"/>
      <c r="N924" s="10"/>
      <c r="O924" s="10"/>
      <c r="P924" s="10"/>
      <c r="Q924" s="10"/>
      <c r="R924" s="10"/>
      <c r="S924" s="10"/>
      <c r="T924" s="14"/>
      <c r="U924" s="10"/>
      <c r="V924" s="10"/>
      <c r="W924" s="10"/>
      <c r="X924" s="7"/>
      <c r="Y924" s="7"/>
      <c r="Z924" s="7"/>
      <c r="AA924" s="34"/>
      <c r="AB924" s="7"/>
      <c r="AC924" s="34"/>
      <c r="AD924" s="10"/>
      <c r="AF924"/>
    </row>
    <row r="925" spans="1:32" x14ac:dyDescent="0.25">
      <c r="A925" s="7"/>
      <c r="C925" s="70"/>
      <c r="D925" s="70"/>
      <c r="E925" s="73"/>
      <c r="F925" s="9"/>
      <c r="H925" s="9"/>
      <c r="I925" s="10"/>
      <c r="J925" s="7"/>
      <c r="K925" s="7"/>
      <c r="L925" s="10"/>
      <c r="M925" s="10"/>
      <c r="N925" s="10"/>
      <c r="O925" s="10"/>
      <c r="P925" s="10"/>
      <c r="Q925" s="10"/>
      <c r="R925" s="10"/>
      <c r="S925" s="10"/>
      <c r="T925" s="14"/>
      <c r="U925" s="10"/>
      <c r="V925" s="10"/>
      <c r="W925" s="10"/>
      <c r="X925" s="7"/>
      <c r="Y925" s="7"/>
      <c r="Z925" s="7"/>
      <c r="AA925" s="34"/>
      <c r="AB925" s="7"/>
      <c r="AC925" s="34"/>
      <c r="AD925" s="10"/>
      <c r="AF925"/>
    </row>
    <row r="926" spans="1:32" x14ac:dyDescent="0.25">
      <c r="A926" s="7"/>
      <c r="C926" s="70"/>
      <c r="D926" s="70"/>
      <c r="E926" s="73"/>
      <c r="F926" s="9"/>
      <c r="H926" s="9"/>
      <c r="I926" s="10"/>
      <c r="J926" s="7"/>
      <c r="K926" s="7"/>
      <c r="L926" s="10"/>
      <c r="M926" s="10"/>
      <c r="N926" s="10"/>
      <c r="O926" s="10"/>
      <c r="P926" s="10"/>
      <c r="Q926" s="10"/>
      <c r="R926" s="10"/>
      <c r="S926" s="10"/>
      <c r="T926" s="14"/>
      <c r="U926" s="10"/>
      <c r="V926" s="10"/>
      <c r="W926" s="10"/>
      <c r="X926" s="7"/>
      <c r="Y926" s="34"/>
      <c r="Z926" s="7"/>
      <c r="AA926" s="34"/>
      <c r="AB926" s="7"/>
      <c r="AC926" s="34"/>
      <c r="AD926" s="10"/>
      <c r="AF926"/>
    </row>
    <row r="927" spans="1:32" x14ac:dyDescent="0.25">
      <c r="A927" s="7"/>
      <c r="C927" s="70"/>
      <c r="D927" s="70"/>
      <c r="E927" s="73"/>
      <c r="F927" s="9"/>
      <c r="H927" s="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4"/>
      <c r="U927" s="10"/>
      <c r="V927" s="10"/>
      <c r="W927" s="10"/>
      <c r="X927" s="7"/>
      <c r="Y927" s="7"/>
      <c r="Z927" s="34"/>
      <c r="AA927" s="34"/>
      <c r="AB927" s="7"/>
      <c r="AC927" s="34"/>
      <c r="AD927" s="10"/>
      <c r="AF927"/>
    </row>
    <row r="928" spans="1:32" x14ac:dyDescent="0.25">
      <c r="A928" s="7"/>
      <c r="C928" s="70"/>
      <c r="D928" s="70"/>
      <c r="E928" s="73"/>
      <c r="F928" s="9"/>
      <c r="H928" s="9"/>
      <c r="I928" s="10"/>
      <c r="J928" s="10"/>
      <c r="K928" s="7"/>
      <c r="L928" s="10"/>
      <c r="M928" s="10"/>
      <c r="N928" s="10"/>
      <c r="O928" s="10"/>
      <c r="P928" s="10"/>
      <c r="Q928" s="10"/>
      <c r="R928" s="10"/>
      <c r="S928" s="10"/>
      <c r="T928" s="14"/>
      <c r="U928" s="10"/>
      <c r="V928" s="10"/>
      <c r="W928" s="10"/>
      <c r="X928" s="7"/>
      <c r="Y928" s="7"/>
      <c r="Z928" s="7"/>
      <c r="AA928" s="34"/>
      <c r="AB928" s="7"/>
      <c r="AC928" s="34"/>
      <c r="AD928" s="10"/>
      <c r="AF928"/>
    </row>
    <row r="929" spans="1:32" x14ac:dyDescent="0.25">
      <c r="A929" s="7"/>
      <c r="C929" s="70"/>
      <c r="D929" s="70"/>
      <c r="E929" s="73"/>
      <c r="F929" s="9"/>
      <c r="H929" s="9"/>
      <c r="I929" s="10"/>
      <c r="J929" s="7"/>
      <c r="K929" s="7"/>
      <c r="L929" s="10"/>
      <c r="M929" s="10"/>
      <c r="N929" s="10"/>
      <c r="O929" s="10"/>
      <c r="P929" s="10"/>
      <c r="Q929" s="10"/>
      <c r="R929" s="10"/>
      <c r="S929" s="10"/>
      <c r="T929" s="14"/>
      <c r="U929" s="10"/>
      <c r="V929" s="10"/>
      <c r="W929" s="10"/>
      <c r="X929" s="7"/>
      <c r="Y929" s="7"/>
      <c r="Z929" s="34"/>
      <c r="AA929" s="34"/>
      <c r="AB929" s="7"/>
      <c r="AC929" s="34"/>
      <c r="AD929" s="10"/>
      <c r="AF929"/>
    </row>
    <row r="930" spans="1:32" x14ac:dyDescent="0.25">
      <c r="A930" s="7"/>
      <c r="C930" s="70"/>
      <c r="D930" s="70"/>
      <c r="E930" s="73"/>
      <c r="F930" s="9"/>
      <c r="H930" s="9"/>
      <c r="I930" s="10"/>
      <c r="J930" s="10"/>
      <c r="K930" s="7"/>
      <c r="L930" s="10"/>
      <c r="M930" s="10"/>
      <c r="N930" s="10"/>
      <c r="O930" s="10"/>
      <c r="P930" s="10"/>
      <c r="Q930" s="10"/>
      <c r="R930" s="10"/>
      <c r="S930" s="10"/>
      <c r="T930" s="14"/>
      <c r="U930" s="10"/>
      <c r="V930" s="10"/>
      <c r="W930" s="10"/>
      <c r="X930" s="7"/>
      <c r="Y930" s="7"/>
      <c r="Z930" s="34"/>
      <c r="AA930" s="34"/>
      <c r="AB930" s="7"/>
      <c r="AC930" s="34"/>
      <c r="AD930" s="10"/>
      <c r="AF930"/>
    </row>
    <row r="931" spans="1:32" x14ac:dyDescent="0.25">
      <c r="A931" s="7"/>
      <c r="C931" s="70"/>
      <c r="D931" s="70"/>
      <c r="E931" s="73"/>
      <c r="F931" s="45"/>
      <c r="H931" s="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4"/>
      <c r="U931" s="10"/>
      <c r="V931" s="10"/>
      <c r="W931" s="10"/>
      <c r="X931" s="7"/>
      <c r="Y931" s="7"/>
      <c r="Z931" s="34"/>
      <c r="AA931" s="34"/>
      <c r="AB931" s="7"/>
      <c r="AC931" s="34"/>
      <c r="AD931" s="10"/>
      <c r="AF931"/>
    </row>
    <row r="932" spans="1:32" x14ac:dyDescent="0.25">
      <c r="A932" s="7"/>
      <c r="C932" s="70"/>
      <c r="D932" s="70"/>
      <c r="E932" s="73"/>
      <c r="F932" s="9"/>
      <c r="H932" s="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4"/>
      <c r="U932" s="10"/>
      <c r="V932" s="10"/>
      <c r="W932" s="10"/>
      <c r="X932" s="7"/>
      <c r="Y932" s="7"/>
      <c r="Z932" s="7"/>
      <c r="AA932" s="34"/>
      <c r="AB932" s="7"/>
      <c r="AC932" s="34"/>
      <c r="AD932" s="10"/>
      <c r="AF932"/>
    </row>
    <row r="933" spans="1:32" x14ac:dyDescent="0.25">
      <c r="A933" s="7"/>
      <c r="C933" s="70"/>
      <c r="D933" s="70"/>
      <c r="E933" s="73"/>
      <c r="F933" s="9"/>
      <c r="H933" s="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4"/>
      <c r="U933" s="10"/>
      <c r="V933" s="10"/>
      <c r="W933" s="10"/>
      <c r="X933" s="7"/>
      <c r="Y933" s="7"/>
      <c r="Z933" s="7"/>
      <c r="AA933" s="34"/>
      <c r="AB933" s="7"/>
      <c r="AC933" s="34"/>
      <c r="AD933" s="10"/>
      <c r="AF933"/>
    </row>
    <row r="934" spans="1:32" x14ac:dyDescent="0.25">
      <c r="A934" s="7"/>
      <c r="C934" s="70"/>
      <c r="D934" s="70"/>
      <c r="E934" s="73"/>
      <c r="F934" s="9"/>
      <c r="H934" s="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4"/>
      <c r="U934" s="10"/>
      <c r="V934" s="10"/>
      <c r="W934" s="10"/>
      <c r="X934" s="7"/>
      <c r="Y934" s="7"/>
      <c r="Z934" s="7"/>
      <c r="AA934" s="34"/>
      <c r="AB934" s="7"/>
      <c r="AC934" s="34"/>
      <c r="AD934" s="10"/>
      <c r="AF934"/>
    </row>
    <row r="935" spans="1:32" x14ac:dyDescent="0.25">
      <c r="A935" s="7"/>
      <c r="C935" s="70"/>
      <c r="D935" s="70"/>
      <c r="E935" s="73"/>
      <c r="F935" s="9"/>
      <c r="H935" s="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4"/>
      <c r="U935" s="10"/>
      <c r="V935" s="10"/>
      <c r="W935" s="10"/>
      <c r="X935" s="7"/>
      <c r="Y935" s="7"/>
      <c r="Z935" s="7"/>
      <c r="AA935" s="34"/>
      <c r="AB935" s="7"/>
      <c r="AC935" s="34"/>
      <c r="AD935" s="10"/>
      <c r="AF935"/>
    </row>
    <row r="936" spans="1:32" x14ac:dyDescent="0.25">
      <c r="A936" s="7"/>
      <c r="C936" s="70"/>
      <c r="D936" s="70"/>
      <c r="E936" s="73"/>
      <c r="F936" s="9"/>
      <c r="H936" s="9"/>
      <c r="I936" s="10"/>
      <c r="J936" s="10"/>
      <c r="K936" s="7"/>
      <c r="L936" s="10"/>
      <c r="M936" s="10"/>
      <c r="N936" s="10"/>
      <c r="O936" s="10"/>
      <c r="P936" s="10"/>
      <c r="Q936" s="10"/>
      <c r="R936" s="10"/>
      <c r="S936" s="10"/>
      <c r="T936" s="14"/>
      <c r="U936" s="10"/>
      <c r="V936" s="10"/>
      <c r="W936" s="10"/>
      <c r="X936" s="7"/>
      <c r="Y936" s="7"/>
      <c r="Z936" s="7"/>
      <c r="AA936" s="34"/>
      <c r="AB936" s="7"/>
      <c r="AC936" s="34"/>
      <c r="AD936" s="10"/>
      <c r="AF936"/>
    </row>
    <row r="937" spans="1:32" x14ac:dyDescent="0.25">
      <c r="A937" s="7"/>
      <c r="C937" s="70"/>
      <c r="D937" s="70"/>
      <c r="E937" s="73"/>
      <c r="F937" s="9"/>
      <c r="H937" s="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4"/>
      <c r="U937" s="10"/>
      <c r="V937" s="10"/>
      <c r="W937" s="10"/>
      <c r="X937" s="7"/>
      <c r="Y937" s="7"/>
      <c r="Z937" s="7"/>
      <c r="AA937" s="34"/>
      <c r="AB937" s="7"/>
      <c r="AC937" s="34"/>
      <c r="AD937" s="10"/>
      <c r="AF937"/>
    </row>
    <row r="938" spans="1:32" x14ac:dyDescent="0.25">
      <c r="A938" s="7"/>
      <c r="C938" s="70"/>
      <c r="D938" s="70"/>
      <c r="E938" s="73"/>
      <c r="F938" s="9"/>
      <c r="H938" s="9"/>
      <c r="I938" s="10"/>
      <c r="J938" s="10"/>
      <c r="K938" s="7"/>
      <c r="L938" s="10"/>
      <c r="M938" s="10"/>
      <c r="N938" s="10"/>
      <c r="O938" s="10"/>
      <c r="P938" s="10"/>
      <c r="Q938" s="10"/>
      <c r="R938" s="10"/>
      <c r="S938" s="10"/>
      <c r="T938" s="14"/>
      <c r="U938" s="10"/>
      <c r="V938" s="10"/>
      <c r="W938" s="10"/>
      <c r="X938" s="7"/>
      <c r="Y938" s="7"/>
      <c r="Z938" s="34"/>
      <c r="AA938" s="34"/>
      <c r="AB938" s="7"/>
      <c r="AC938" s="34"/>
      <c r="AD938" s="10"/>
      <c r="AF938"/>
    </row>
    <row r="939" spans="1:32" x14ac:dyDescent="0.25">
      <c r="A939" s="7"/>
      <c r="C939" s="70"/>
      <c r="D939" s="70"/>
      <c r="E939" s="73"/>
      <c r="F939" s="9"/>
      <c r="H939" s="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4"/>
      <c r="U939" s="10"/>
      <c r="V939" s="10"/>
      <c r="W939" s="10"/>
      <c r="X939" s="7"/>
      <c r="Y939" s="7"/>
      <c r="Z939" s="34"/>
      <c r="AA939" s="34"/>
      <c r="AB939" s="7"/>
      <c r="AC939" s="34"/>
      <c r="AD939" s="10"/>
      <c r="AF939"/>
    </row>
    <row r="940" spans="1:32" x14ac:dyDescent="0.25">
      <c r="A940" s="7"/>
      <c r="C940" s="70"/>
      <c r="D940" s="70"/>
      <c r="E940" s="73"/>
      <c r="F940" s="9"/>
      <c r="H940" s="9"/>
      <c r="I940" s="10"/>
      <c r="J940" s="7"/>
      <c r="K940" s="24"/>
      <c r="L940" s="10"/>
      <c r="M940" s="10"/>
      <c r="N940" s="10"/>
      <c r="O940" s="10"/>
      <c r="P940" s="10"/>
      <c r="Q940" s="10"/>
      <c r="R940" s="10"/>
      <c r="S940" s="10"/>
      <c r="T940" s="14"/>
      <c r="U940" s="10"/>
      <c r="V940" s="10"/>
      <c r="W940" s="10"/>
      <c r="X940" s="7"/>
      <c r="Y940" s="7"/>
      <c r="Z940" s="7"/>
      <c r="AA940" s="34"/>
      <c r="AB940" s="7"/>
      <c r="AC940" s="34"/>
      <c r="AD940" s="10"/>
      <c r="AF940"/>
    </row>
    <row r="941" spans="1:32" x14ac:dyDescent="0.25">
      <c r="A941" s="7"/>
      <c r="C941" s="70"/>
      <c r="D941" s="70"/>
      <c r="E941" s="73"/>
      <c r="F941" s="9"/>
      <c r="H941" s="9"/>
      <c r="I941" s="10"/>
      <c r="J941" s="7"/>
      <c r="K941" s="7"/>
      <c r="L941" s="10"/>
      <c r="M941" s="10"/>
      <c r="N941" s="10"/>
      <c r="O941" s="10"/>
      <c r="P941" s="10"/>
      <c r="Q941" s="10"/>
      <c r="R941" s="10"/>
      <c r="S941" s="10"/>
      <c r="T941" s="14"/>
      <c r="U941" s="10"/>
      <c r="V941" s="10"/>
      <c r="W941" s="10"/>
      <c r="X941" s="7"/>
      <c r="Y941" s="7"/>
      <c r="Z941" s="7"/>
      <c r="AA941" s="34"/>
      <c r="AB941" s="7"/>
      <c r="AC941" s="34"/>
      <c r="AD941" s="10"/>
      <c r="AF941"/>
    </row>
    <row r="942" spans="1:32" x14ac:dyDescent="0.25">
      <c r="A942" s="7"/>
      <c r="C942" s="70"/>
      <c r="D942" s="70"/>
      <c r="E942" s="73"/>
      <c r="F942" s="9"/>
      <c r="H942" s="9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4"/>
      <c r="U942" s="10"/>
      <c r="V942" s="10"/>
      <c r="W942" s="10"/>
      <c r="X942" s="7"/>
      <c r="Y942" s="7"/>
      <c r="Z942" s="7"/>
      <c r="AA942" s="34"/>
      <c r="AB942" s="7"/>
      <c r="AC942" s="34"/>
      <c r="AD942" s="10"/>
      <c r="AF942"/>
    </row>
    <row r="943" spans="1:32" x14ac:dyDescent="0.25">
      <c r="A943" s="7"/>
      <c r="C943" s="70"/>
      <c r="D943" s="70"/>
      <c r="E943" s="73"/>
      <c r="F943" s="9"/>
      <c r="H943" s="9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4"/>
      <c r="U943" s="10"/>
      <c r="V943" s="10"/>
      <c r="W943" s="10"/>
      <c r="X943" s="7"/>
      <c r="Y943" s="7"/>
      <c r="Z943" s="7"/>
      <c r="AA943" s="34"/>
      <c r="AB943" s="7"/>
      <c r="AC943" s="34"/>
      <c r="AD943" s="10"/>
      <c r="AF943"/>
    </row>
    <row r="944" spans="1:32" x14ac:dyDescent="0.25">
      <c r="A944" s="7"/>
      <c r="C944" s="70"/>
      <c r="D944" s="70"/>
      <c r="E944" s="73"/>
      <c r="F944" s="9"/>
      <c r="H944" s="9"/>
      <c r="I944" s="10"/>
      <c r="J944" s="7"/>
      <c r="K944" s="24"/>
      <c r="L944" s="10"/>
      <c r="M944" s="10"/>
      <c r="N944" s="10"/>
      <c r="O944" s="10"/>
      <c r="P944" s="10"/>
      <c r="Q944" s="10"/>
      <c r="R944" s="10"/>
      <c r="S944" s="10"/>
      <c r="T944" s="14"/>
      <c r="U944" s="10"/>
      <c r="V944" s="10"/>
      <c r="W944" s="10"/>
      <c r="X944" s="7"/>
      <c r="Y944" s="7"/>
      <c r="Z944" s="7"/>
      <c r="AA944" s="34"/>
      <c r="AB944" s="7"/>
      <c r="AC944" s="34"/>
      <c r="AD944" s="10"/>
      <c r="AF944"/>
    </row>
    <row r="945" spans="1:32" x14ac:dyDescent="0.25">
      <c r="A945" s="7"/>
      <c r="C945" s="70"/>
      <c r="D945" s="70"/>
      <c r="E945" s="73"/>
      <c r="F945" s="9"/>
      <c r="H945" s="9"/>
      <c r="I945" s="10"/>
      <c r="J945" s="7"/>
      <c r="K945" s="24"/>
      <c r="L945" s="10"/>
      <c r="M945" s="10"/>
      <c r="N945" s="10"/>
      <c r="O945" s="10"/>
      <c r="P945" s="10"/>
      <c r="Q945" s="10"/>
      <c r="R945" s="10"/>
      <c r="S945" s="10"/>
      <c r="T945" s="14"/>
      <c r="U945" s="10"/>
      <c r="V945" s="10"/>
      <c r="W945" s="10"/>
      <c r="X945" s="7"/>
      <c r="Y945" s="7"/>
      <c r="Z945" s="7"/>
      <c r="AA945" s="34"/>
      <c r="AB945" s="7"/>
      <c r="AC945" s="34"/>
      <c r="AD945" s="10"/>
      <c r="AF945"/>
    </row>
    <row r="946" spans="1:32" x14ac:dyDescent="0.25">
      <c r="A946" s="7"/>
      <c r="C946" s="70"/>
      <c r="D946" s="70"/>
      <c r="E946" s="73"/>
      <c r="F946" s="9"/>
      <c r="H946" s="9"/>
      <c r="I946" s="10"/>
      <c r="J946" s="10"/>
      <c r="K946" s="7"/>
      <c r="L946" s="10"/>
      <c r="M946" s="10"/>
      <c r="N946" s="10"/>
      <c r="O946" s="10"/>
      <c r="P946" s="10"/>
      <c r="Q946" s="10"/>
      <c r="R946" s="10"/>
      <c r="S946" s="10"/>
      <c r="T946" s="14"/>
      <c r="U946" s="10"/>
      <c r="V946" s="10"/>
      <c r="W946" s="10"/>
      <c r="X946" s="7"/>
      <c r="Y946" s="7"/>
      <c r="Z946" s="34"/>
      <c r="AA946" s="34"/>
      <c r="AB946" s="7"/>
      <c r="AC946" s="34"/>
      <c r="AD946" s="10"/>
      <c r="AF946"/>
    </row>
    <row r="947" spans="1:32" x14ac:dyDescent="0.25">
      <c r="A947" s="7"/>
      <c r="C947" s="70"/>
      <c r="D947" s="70"/>
      <c r="E947" s="73"/>
      <c r="F947" s="9"/>
      <c r="H947" s="9"/>
      <c r="I947" s="10"/>
      <c r="J947" s="7"/>
      <c r="K947" s="7"/>
      <c r="L947" s="10"/>
      <c r="M947" s="10"/>
      <c r="N947" s="10"/>
      <c r="O947" s="10"/>
      <c r="P947" s="10"/>
      <c r="Q947" s="10"/>
      <c r="R947" s="10"/>
      <c r="S947" s="10"/>
      <c r="T947" s="14"/>
      <c r="U947" s="10"/>
      <c r="V947" s="10"/>
      <c r="W947" s="10"/>
      <c r="X947" s="7"/>
      <c r="Y947" s="7"/>
      <c r="Z947" s="34"/>
      <c r="AA947" s="34"/>
      <c r="AB947" s="7"/>
      <c r="AC947" s="34"/>
      <c r="AD947" s="10"/>
      <c r="AF947"/>
    </row>
    <row r="948" spans="1:32" x14ac:dyDescent="0.25">
      <c r="A948" s="7"/>
      <c r="C948" s="70"/>
      <c r="D948" s="70"/>
      <c r="E948" s="73"/>
      <c r="F948" s="9"/>
      <c r="H948" s="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4"/>
      <c r="U948" s="10"/>
      <c r="V948" s="10"/>
      <c r="W948" s="10"/>
      <c r="X948" s="7"/>
      <c r="Y948" s="7"/>
      <c r="Z948" s="7"/>
      <c r="AA948" s="34"/>
      <c r="AB948" s="7"/>
      <c r="AC948" s="34"/>
      <c r="AD948" s="10"/>
      <c r="AF948"/>
    </row>
    <row r="949" spans="1:32" x14ac:dyDescent="0.25">
      <c r="A949" s="7"/>
      <c r="C949" s="70"/>
      <c r="D949" s="70"/>
      <c r="E949" s="73"/>
      <c r="F949" s="9"/>
      <c r="I949" s="10"/>
      <c r="J949" s="10"/>
      <c r="K949" s="10"/>
      <c r="L949" s="34"/>
      <c r="M949" s="34"/>
      <c r="N949" s="10"/>
      <c r="O949" s="10"/>
      <c r="P949" s="10"/>
      <c r="Q949" s="10"/>
      <c r="R949" s="10"/>
      <c r="S949" s="10"/>
      <c r="T949" s="14"/>
      <c r="U949" s="10"/>
      <c r="V949" s="10"/>
      <c r="W949" s="10"/>
      <c r="X949" s="7"/>
      <c r="Y949" s="7"/>
      <c r="Z949" s="7"/>
      <c r="AA949" s="34"/>
      <c r="AB949" s="7"/>
      <c r="AC949" s="34"/>
      <c r="AD949" s="10"/>
      <c r="AF949"/>
    </row>
    <row r="950" spans="1:32" x14ac:dyDescent="0.25">
      <c r="A950" s="7"/>
      <c r="C950" s="70"/>
      <c r="D950" s="70"/>
      <c r="E950" s="73"/>
      <c r="F950" s="9"/>
      <c r="H950" s="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4"/>
      <c r="U950" s="10"/>
      <c r="V950" s="10"/>
      <c r="W950" s="10"/>
      <c r="X950" s="7"/>
      <c r="Y950" s="7"/>
      <c r="Z950" s="7"/>
      <c r="AA950" s="34"/>
      <c r="AB950" s="7"/>
      <c r="AC950" s="34"/>
      <c r="AD950" s="10"/>
      <c r="AF950"/>
    </row>
    <row r="951" spans="1:32" x14ac:dyDescent="0.25">
      <c r="A951" s="7"/>
      <c r="C951" s="70"/>
      <c r="D951" s="70"/>
      <c r="E951" s="73"/>
      <c r="F951" s="9"/>
      <c r="H951" s="9"/>
      <c r="I951" s="10"/>
      <c r="J951" s="10"/>
      <c r="K951" s="7"/>
      <c r="L951" s="10"/>
      <c r="M951" s="10"/>
      <c r="N951" s="10"/>
      <c r="O951" s="10"/>
      <c r="P951" s="10"/>
      <c r="Q951" s="10"/>
      <c r="R951" s="10"/>
      <c r="S951" s="10"/>
      <c r="T951" s="14"/>
      <c r="U951" s="10"/>
      <c r="V951" s="10"/>
      <c r="W951" s="10"/>
      <c r="X951" s="7"/>
      <c r="Y951" s="7"/>
      <c r="Z951" s="7"/>
      <c r="AA951" s="34"/>
      <c r="AB951" s="7"/>
      <c r="AC951" s="34"/>
      <c r="AD951" s="10"/>
      <c r="AF951"/>
    </row>
    <row r="952" spans="1:32" x14ac:dyDescent="0.25">
      <c r="A952" s="7"/>
      <c r="C952" s="70"/>
      <c r="D952" s="70"/>
      <c r="E952" s="73"/>
      <c r="F952" s="9"/>
      <c r="H952" s="9"/>
      <c r="I952" s="10"/>
      <c r="J952" s="10"/>
      <c r="K952" s="7"/>
      <c r="L952" s="10"/>
      <c r="M952" s="10"/>
      <c r="N952" s="10"/>
      <c r="O952" s="10"/>
      <c r="P952" s="10"/>
      <c r="Q952" s="10"/>
      <c r="R952" s="10"/>
      <c r="S952" s="10"/>
      <c r="T952" s="14"/>
      <c r="U952" s="10"/>
      <c r="V952" s="10"/>
      <c r="W952" s="10"/>
      <c r="X952" s="7"/>
      <c r="Y952" s="34"/>
      <c r="Z952" s="7"/>
      <c r="AA952" s="34"/>
      <c r="AB952" s="7"/>
      <c r="AC952" s="34"/>
      <c r="AD952" s="10"/>
      <c r="AF952"/>
    </row>
    <row r="953" spans="1:32" x14ac:dyDescent="0.25">
      <c r="A953" s="7"/>
      <c r="C953" s="70"/>
      <c r="D953" s="70"/>
      <c r="E953" s="73"/>
      <c r="F953" s="9"/>
      <c r="H953" s="9"/>
      <c r="I953" s="10"/>
      <c r="J953" s="10"/>
      <c r="K953" s="7"/>
      <c r="L953" s="10"/>
      <c r="M953" s="10"/>
      <c r="N953" s="10"/>
      <c r="O953" s="10"/>
      <c r="P953" s="10"/>
      <c r="Q953" s="10"/>
      <c r="R953" s="10"/>
      <c r="S953" s="10"/>
      <c r="T953" s="14"/>
      <c r="U953" s="10"/>
      <c r="V953" s="10"/>
      <c r="W953" s="10"/>
      <c r="X953" s="7"/>
      <c r="Y953" s="34"/>
      <c r="Z953" s="7"/>
      <c r="AA953" s="34"/>
      <c r="AB953" s="7"/>
      <c r="AC953" s="34"/>
      <c r="AD953" s="10"/>
      <c r="AF953"/>
    </row>
    <row r="954" spans="1:32" x14ac:dyDescent="0.25">
      <c r="A954" s="43"/>
      <c r="C954" s="70"/>
      <c r="D954" s="70"/>
      <c r="E954" s="73"/>
      <c r="F954" s="9"/>
      <c r="H954" s="9"/>
      <c r="I954" s="10"/>
      <c r="J954" s="10"/>
      <c r="K954" s="7"/>
      <c r="L954" s="10"/>
      <c r="M954" s="10"/>
      <c r="N954" s="10"/>
      <c r="O954" s="10"/>
      <c r="P954" s="10"/>
      <c r="Q954" s="10"/>
      <c r="R954" s="10"/>
      <c r="S954" s="10"/>
      <c r="T954" s="14"/>
      <c r="U954" s="10"/>
      <c r="V954" s="10"/>
      <c r="W954" s="10"/>
      <c r="X954" s="7"/>
      <c r="Y954" s="34"/>
      <c r="Z954" s="7"/>
      <c r="AA954" s="34"/>
      <c r="AB954" s="7"/>
      <c r="AC954" s="34"/>
      <c r="AD954" s="10"/>
      <c r="AF954"/>
    </row>
    <row r="955" spans="1:32" x14ac:dyDescent="0.25">
      <c r="A955" s="7"/>
      <c r="B955" s="47"/>
      <c r="C955" s="70"/>
      <c r="D955" s="70"/>
      <c r="E955" s="73"/>
      <c r="F955" s="9"/>
      <c r="H955" s="9"/>
      <c r="I955" s="10"/>
      <c r="J955" s="10"/>
      <c r="K955" s="7"/>
      <c r="L955" s="10"/>
      <c r="M955" s="10"/>
      <c r="N955" s="10"/>
      <c r="O955" s="10"/>
      <c r="P955" s="10"/>
      <c r="Q955" s="10"/>
      <c r="R955" s="10"/>
      <c r="S955" s="10"/>
      <c r="T955" s="14"/>
      <c r="U955" s="10"/>
      <c r="V955" s="10"/>
      <c r="W955" s="10"/>
      <c r="X955" s="7"/>
      <c r="Y955" s="7"/>
      <c r="Z955" s="7"/>
      <c r="AA955" s="34"/>
      <c r="AB955" s="7"/>
      <c r="AC955" s="34"/>
      <c r="AD955" s="10"/>
      <c r="AF955"/>
    </row>
    <row r="956" spans="1:32" x14ac:dyDescent="0.25">
      <c r="A956" s="7"/>
      <c r="B956" s="47"/>
      <c r="C956" s="70"/>
      <c r="D956" s="70"/>
      <c r="E956" s="73"/>
      <c r="F956" s="9"/>
      <c r="H956" s="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4"/>
      <c r="U956" s="10"/>
      <c r="V956" s="10"/>
      <c r="W956" s="10"/>
      <c r="X956" s="7"/>
      <c r="Y956" s="7"/>
      <c r="Z956" s="34"/>
      <c r="AA956" s="34"/>
      <c r="AB956" s="7"/>
      <c r="AC956" s="34"/>
      <c r="AD956" s="10"/>
      <c r="AF956"/>
    </row>
    <row r="957" spans="1:32" x14ac:dyDescent="0.25">
      <c r="A957" s="7"/>
      <c r="C957" s="70"/>
      <c r="D957" s="70"/>
      <c r="E957" s="73"/>
      <c r="F957" s="9"/>
      <c r="H957" s="9"/>
      <c r="I957" s="10"/>
      <c r="J957" s="10"/>
      <c r="K957" s="7"/>
      <c r="L957" s="10"/>
      <c r="M957" s="10"/>
      <c r="N957" s="10"/>
      <c r="O957" s="10"/>
      <c r="P957" s="10"/>
      <c r="Q957" s="10"/>
      <c r="R957" s="10"/>
      <c r="S957" s="10"/>
      <c r="T957" s="14"/>
      <c r="U957" s="10"/>
      <c r="V957" s="10"/>
      <c r="W957" s="10"/>
      <c r="X957" s="7"/>
      <c r="Y957" s="7"/>
      <c r="Z957" s="7"/>
      <c r="AA957" s="34"/>
      <c r="AB957" s="7"/>
      <c r="AC957" s="34"/>
      <c r="AD957" s="10"/>
      <c r="AF957"/>
    </row>
    <row r="958" spans="1:32" x14ac:dyDescent="0.25">
      <c r="A958" s="7"/>
      <c r="C958" s="70"/>
      <c r="D958" s="70"/>
      <c r="E958" s="73"/>
      <c r="F958" s="9"/>
      <c r="H958" s="9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4"/>
      <c r="U958" s="10"/>
      <c r="V958" s="10"/>
      <c r="W958" s="10"/>
      <c r="X958" s="7"/>
      <c r="Y958" s="7"/>
      <c r="Z958" s="34"/>
      <c r="AA958" s="34"/>
      <c r="AB958" s="7"/>
      <c r="AC958" s="34"/>
      <c r="AD958" s="10"/>
      <c r="AF958"/>
    </row>
    <row r="959" spans="1:32" x14ac:dyDescent="0.25">
      <c r="A959" s="7"/>
      <c r="C959" s="70"/>
      <c r="D959" s="70"/>
      <c r="E959" s="73"/>
      <c r="F959" s="9"/>
      <c r="H959" s="9"/>
      <c r="I959" s="10"/>
      <c r="J959" s="7"/>
      <c r="K959" s="7"/>
      <c r="L959" s="10"/>
      <c r="M959" s="10"/>
      <c r="N959" s="10"/>
      <c r="O959" s="10"/>
      <c r="P959" s="10"/>
      <c r="Q959" s="10"/>
      <c r="R959" s="10"/>
      <c r="S959" s="10"/>
      <c r="T959" s="14"/>
      <c r="U959" s="10"/>
      <c r="V959" s="10"/>
      <c r="W959" s="10"/>
      <c r="X959" s="7"/>
      <c r="Y959" s="7"/>
      <c r="Z959" s="7"/>
      <c r="AA959" s="34"/>
      <c r="AB959" s="7"/>
      <c r="AC959" s="34"/>
      <c r="AD959" s="10"/>
      <c r="AF959"/>
    </row>
    <row r="960" spans="1:32" x14ac:dyDescent="0.25">
      <c r="A960" s="7"/>
      <c r="C960" s="70"/>
      <c r="D960" s="70"/>
      <c r="E960" s="73"/>
      <c r="F960" s="9"/>
      <c r="H960" s="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4"/>
      <c r="U960" s="10"/>
      <c r="V960" s="10"/>
      <c r="W960" s="10"/>
      <c r="X960" s="7"/>
      <c r="Y960" s="7"/>
      <c r="Z960" s="7"/>
      <c r="AA960" s="34"/>
      <c r="AB960" s="7"/>
      <c r="AC960" s="34"/>
      <c r="AD960" s="10"/>
      <c r="AF960"/>
    </row>
    <row r="961" spans="1:32" x14ac:dyDescent="0.25">
      <c r="A961" s="7"/>
      <c r="C961" s="70"/>
      <c r="D961" s="70"/>
      <c r="E961" s="73"/>
      <c r="F961" s="9"/>
      <c r="H961" s="9"/>
      <c r="I961" s="10"/>
      <c r="J961" s="7"/>
      <c r="K961" s="24"/>
      <c r="L961" s="10"/>
      <c r="M961" s="10"/>
      <c r="N961" s="10"/>
      <c r="O961" s="10"/>
      <c r="P961" s="10"/>
      <c r="Q961" s="10"/>
      <c r="R961" s="10"/>
      <c r="S961" s="10"/>
      <c r="T961" s="14"/>
      <c r="U961" s="10"/>
      <c r="V961" s="10"/>
      <c r="W961" s="10"/>
      <c r="X961" s="7"/>
      <c r="Y961" s="7"/>
      <c r="Z961" s="7"/>
      <c r="AA961" s="34"/>
      <c r="AB961" s="7"/>
      <c r="AC961" s="34"/>
      <c r="AD961" s="10"/>
      <c r="AF961"/>
    </row>
    <row r="962" spans="1:32" x14ac:dyDescent="0.25">
      <c r="A962" s="7"/>
      <c r="C962" s="70"/>
      <c r="D962" s="70"/>
      <c r="E962" s="73"/>
      <c r="F962" s="9"/>
      <c r="H962" s="9"/>
      <c r="I962" s="10"/>
      <c r="J962" s="7"/>
      <c r="K962" s="24"/>
      <c r="L962" s="10"/>
      <c r="M962" s="10"/>
      <c r="N962" s="10"/>
      <c r="O962" s="10"/>
      <c r="P962" s="10"/>
      <c r="Q962" s="10"/>
      <c r="R962" s="10"/>
      <c r="S962" s="10"/>
      <c r="T962" s="14"/>
      <c r="U962" s="10"/>
      <c r="V962" s="10"/>
      <c r="W962" s="10"/>
      <c r="X962" s="7"/>
      <c r="Y962" s="7"/>
      <c r="Z962" s="7"/>
      <c r="AA962" s="34"/>
      <c r="AB962" s="7"/>
      <c r="AC962" s="34"/>
      <c r="AD962" s="10"/>
      <c r="AF962"/>
    </row>
    <row r="963" spans="1:32" x14ac:dyDescent="0.25">
      <c r="A963" s="7"/>
      <c r="C963" s="70"/>
      <c r="D963" s="70"/>
      <c r="E963" s="73"/>
      <c r="F963" s="9"/>
      <c r="H963" s="9"/>
      <c r="I963" s="10"/>
      <c r="J963" s="7"/>
      <c r="K963" s="7"/>
      <c r="L963" s="10"/>
      <c r="M963" s="10"/>
      <c r="N963" s="10"/>
      <c r="O963" s="10"/>
      <c r="P963" s="10"/>
      <c r="Q963" s="10"/>
      <c r="R963" s="10"/>
      <c r="S963" s="10"/>
      <c r="T963" s="14"/>
      <c r="U963" s="10"/>
      <c r="V963" s="10"/>
      <c r="W963" s="10"/>
      <c r="X963" s="7"/>
      <c r="Y963" s="7"/>
      <c r="Z963" s="7"/>
      <c r="AA963" s="34"/>
      <c r="AB963" s="7"/>
      <c r="AC963" s="34"/>
      <c r="AD963" s="10"/>
      <c r="AF963"/>
    </row>
    <row r="964" spans="1:32" x14ac:dyDescent="0.25">
      <c r="A964" s="7"/>
      <c r="C964" s="70"/>
      <c r="D964" s="70"/>
      <c r="E964" s="73"/>
      <c r="F964" s="9"/>
      <c r="H964" s="9"/>
      <c r="I964" s="10"/>
      <c r="J964" s="10"/>
      <c r="K964" s="24"/>
      <c r="L964" s="10"/>
      <c r="M964" s="10"/>
      <c r="N964" s="10"/>
      <c r="O964" s="10"/>
      <c r="P964" s="10"/>
      <c r="Q964" s="10"/>
      <c r="R964" s="10"/>
      <c r="S964" s="10"/>
      <c r="T964" s="14"/>
      <c r="U964" s="10"/>
      <c r="V964" s="10"/>
      <c r="W964" s="10"/>
      <c r="X964" s="7"/>
      <c r="Y964" s="7"/>
      <c r="Z964" s="34"/>
      <c r="AA964" s="34"/>
      <c r="AB964" s="7"/>
      <c r="AC964" s="34"/>
      <c r="AD964" s="10"/>
      <c r="AF964"/>
    </row>
    <row r="965" spans="1:32" x14ac:dyDescent="0.25">
      <c r="A965" s="7"/>
      <c r="C965" s="70"/>
      <c r="D965" s="70"/>
      <c r="E965" s="73"/>
      <c r="F965" s="7"/>
      <c r="G965" s="7"/>
      <c r="H965" s="9"/>
      <c r="I965" s="10"/>
      <c r="J965" s="7"/>
      <c r="K965" s="7"/>
      <c r="L965" s="7"/>
      <c r="M965" s="7"/>
      <c r="N965" s="10"/>
      <c r="O965" s="10"/>
      <c r="P965" s="10"/>
      <c r="Q965" s="10"/>
      <c r="R965" s="10"/>
      <c r="S965" s="10"/>
      <c r="T965" s="14"/>
      <c r="U965" s="10"/>
      <c r="V965" s="10"/>
      <c r="W965" s="10"/>
      <c r="X965" s="7"/>
      <c r="Y965" s="7"/>
      <c r="Z965" s="34"/>
      <c r="AA965" s="34"/>
      <c r="AB965" s="7"/>
      <c r="AC965" s="34"/>
      <c r="AD965" s="10"/>
      <c r="AF965"/>
    </row>
    <row r="966" spans="1:32" x14ac:dyDescent="0.25">
      <c r="A966" s="7"/>
      <c r="C966" s="70"/>
      <c r="D966" s="70"/>
      <c r="E966" s="73"/>
      <c r="F966" s="9"/>
      <c r="H966" s="9"/>
      <c r="I966" s="10"/>
      <c r="J966" s="7"/>
      <c r="K966" s="7"/>
      <c r="L966" s="10"/>
      <c r="M966" s="10"/>
      <c r="N966" s="10"/>
      <c r="O966" s="10"/>
      <c r="P966" s="10"/>
      <c r="Q966" s="10"/>
      <c r="R966" s="10"/>
      <c r="S966" s="10"/>
      <c r="T966" s="14"/>
      <c r="U966" s="10"/>
      <c r="V966" s="10"/>
      <c r="W966" s="10"/>
      <c r="X966" s="7"/>
      <c r="Y966" s="7"/>
      <c r="Z966" s="7"/>
      <c r="AA966" s="34"/>
      <c r="AB966" s="7"/>
      <c r="AC966" s="34"/>
      <c r="AD966" s="10"/>
      <c r="AF966"/>
    </row>
    <row r="967" spans="1:32" x14ac:dyDescent="0.25">
      <c r="A967" s="7"/>
      <c r="C967" s="70"/>
      <c r="D967" s="70"/>
      <c r="E967" s="73"/>
      <c r="F967" s="9"/>
      <c r="H967" s="9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4"/>
      <c r="U967" s="10"/>
      <c r="V967" s="10"/>
      <c r="W967" s="10"/>
      <c r="X967" s="7"/>
      <c r="Y967" s="7"/>
      <c r="Z967" s="7"/>
      <c r="AA967" s="34"/>
      <c r="AB967" s="7"/>
      <c r="AC967" s="34"/>
      <c r="AD967" s="10"/>
      <c r="AF967"/>
    </row>
    <row r="968" spans="1:32" x14ac:dyDescent="0.25">
      <c r="A968" s="7"/>
      <c r="C968" s="70"/>
      <c r="D968" s="70"/>
      <c r="E968" s="73"/>
      <c r="F968" s="9"/>
      <c r="H968" s="9"/>
      <c r="I968" s="10"/>
      <c r="J968" s="7"/>
      <c r="K968" s="7"/>
      <c r="L968" s="10"/>
      <c r="M968" s="10"/>
      <c r="N968" s="10"/>
      <c r="O968" s="10"/>
      <c r="P968" s="10"/>
      <c r="Q968" s="10"/>
      <c r="R968" s="10"/>
      <c r="S968" s="10"/>
      <c r="T968" s="14"/>
      <c r="U968" s="10"/>
      <c r="V968" s="10"/>
      <c r="W968" s="10"/>
      <c r="X968" s="7"/>
      <c r="Y968" s="7"/>
      <c r="Z968" s="7"/>
      <c r="AA968" s="34"/>
      <c r="AB968" s="7"/>
      <c r="AC968" s="34"/>
      <c r="AD968" s="10"/>
      <c r="AF968"/>
    </row>
    <row r="969" spans="1:32" x14ac:dyDescent="0.25">
      <c r="A969" s="7"/>
      <c r="C969" s="70"/>
      <c r="D969" s="70"/>
      <c r="E969" s="73"/>
      <c r="F969" s="9"/>
      <c r="H969" s="9"/>
      <c r="I969" s="10"/>
      <c r="J969" s="7"/>
      <c r="K969" s="7"/>
      <c r="L969" s="10"/>
      <c r="M969" s="10"/>
      <c r="N969" s="10"/>
      <c r="O969" s="10"/>
      <c r="P969" s="10"/>
      <c r="Q969" s="10"/>
      <c r="R969" s="10"/>
      <c r="S969" s="10"/>
      <c r="T969" s="14"/>
      <c r="U969" s="10"/>
      <c r="V969" s="10"/>
      <c r="W969" s="10"/>
      <c r="X969" s="7"/>
      <c r="Y969" s="7"/>
      <c r="Z969" s="7"/>
      <c r="AA969" s="34"/>
      <c r="AB969" s="7"/>
      <c r="AC969" s="34"/>
      <c r="AD969" s="10"/>
      <c r="AF969"/>
    </row>
    <row r="970" spans="1:32" x14ac:dyDescent="0.25">
      <c r="A970" s="7"/>
      <c r="C970" s="70"/>
      <c r="D970" s="70"/>
      <c r="E970" s="73"/>
      <c r="F970" s="9"/>
      <c r="H970" s="9"/>
      <c r="I970" s="10"/>
      <c r="J970" s="7"/>
      <c r="K970" s="7"/>
      <c r="L970" s="10"/>
      <c r="M970" s="10"/>
      <c r="N970" s="10"/>
      <c r="O970" s="10"/>
      <c r="P970" s="10"/>
      <c r="Q970" s="10"/>
      <c r="R970" s="10"/>
      <c r="S970" s="10"/>
      <c r="T970" s="14"/>
      <c r="U970" s="10"/>
      <c r="V970" s="10"/>
      <c r="W970" s="10"/>
      <c r="X970" s="7"/>
      <c r="Y970" s="7"/>
      <c r="Z970" s="7"/>
      <c r="AA970" s="34"/>
      <c r="AB970" s="7"/>
      <c r="AC970" s="34"/>
      <c r="AD970" s="10"/>
      <c r="AF970"/>
    </row>
    <row r="971" spans="1:32" x14ac:dyDescent="0.25">
      <c r="A971" s="7"/>
      <c r="C971" s="70"/>
      <c r="D971" s="70"/>
      <c r="E971" s="73"/>
      <c r="F971" s="9"/>
      <c r="H971" s="9"/>
      <c r="I971" s="10"/>
      <c r="J971" s="10"/>
      <c r="K971" s="7"/>
      <c r="L971" s="10"/>
      <c r="M971" s="10"/>
      <c r="N971" s="10"/>
      <c r="O971" s="10"/>
      <c r="P971" s="10"/>
      <c r="Q971" s="10"/>
      <c r="R971" s="10"/>
      <c r="S971" s="10"/>
      <c r="T971" s="14"/>
      <c r="U971" s="10"/>
      <c r="V971" s="10"/>
      <c r="W971" s="10"/>
      <c r="X971" s="7"/>
      <c r="Y971" s="7"/>
      <c r="Z971" s="7"/>
      <c r="AA971" s="34"/>
      <c r="AB971" s="7"/>
      <c r="AC971" s="34"/>
      <c r="AD971" s="10"/>
      <c r="AF971"/>
    </row>
    <row r="972" spans="1:32" x14ac:dyDescent="0.25">
      <c r="A972" s="7"/>
      <c r="C972" s="70"/>
      <c r="D972" s="70"/>
      <c r="E972" s="73"/>
      <c r="F972" s="9"/>
      <c r="H972" s="9"/>
      <c r="I972" s="10"/>
      <c r="J972" s="10"/>
      <c r="K972" s="7"/>
      <c r="L972" s="10"/>
      <c r="M972" s="10"/>
      <c r="N972" s="10"/>
      <c r="O972" s="10"/>
      <c r="P972" s="10"/>
      <c r="Q972" s="10"/>
      <c r="R972" s="10"/>
      <c r="S972" s="10"/>
      <c r="T972" s="14"/>
      <c r="U972" s="10"/>
      <c r="V972" s="10"/>
      <c r="W972" s="10"/>
      <c r="X972" s="7"/>
      <c r="Y972" s="7"/>
      <c r="Z972" s="7"/>
      <c r="AA972" s="34"/>
      <c r="AB972" s="7"/>
      <c r="AC972" s="34"/>
      <c r="AD972" s="10"/>
      <c r="AF972"/>
    </row>
    <row r="973" spans="1:32" x14ac:dyDescent="0.25">
      <c r="A973" s="7"/>
      <c r="C973" s="70"/>
      <c r="D973" s="70"/>
      <c r="E973" s="73"/>
      <c r="F973" s="9"/>
      <c r="H973" s="9"/>
      <c r="I973" s="10"/>
      <c r="J973" s="10"/>
      <c r="K973" s="7"/>
      <c r="L973" s="10"/>
      <c r="M973" s="10"/>
      <c r="N973" s="10"/>
      <c r="O973" s="10"/>
      <c r="P973" s="10"/>
      <c r="Q973" s="10"/>
      <c r="R973" s="10"/>
      <c r="S973" s="10"/>
      <c r="T973" s="14"/>
      <c r="U973" s="10"/>
      <c r="V973" s="10"/>
      <c r="W973" s="10"/>
      <c r="X973" s="7"/>
      <c r="Y973" s="7"/>
      <c r="Z973" s="7"/>
      <c r="AA973" s="34"/>
      <c r="AB973" s="7"/>
      <c r="AC973" s="34"/>
      <c r="AD973" s="10"/>
      <c r="AF973"/>
    </row>
    <row r="974" spans="1:32" x14ac:dyDescent="0.25">
      <c r="A974" s="7"/>
      <c r="C974" s="70"/>
      <c r="D974" s="70"/>
      <c r="E974" s="73"/>
      <c r="F974" s="9"/>
      <c r="H974" s="9"/>
      <c r="I974" s="10"/>
      <c r="J974" s="10"/>
      <c r="K974" s="7"/>
      <c r="L974" s="10"/>
      <c r="M974" s="10"/>
      <c r="N974" s="10"/>
      <c r="O974" s="10"/>
      <c r="P974" s="10"/>
      <c r="Q974" s="10"/>
      <c r="R974" s="10"/>
      <c r="S974" s="10"/>
      <c r="T974" s="14"/>
      <c r="U974" s="10"/>
      <c r="V974" s="10"/>
      <c r="W974" s="10"/>
      <c r="X974" s="7"/>
      <c r="Y974" s="7"/>
      <c r="Z974" s="7"/>
      <c r="AA974" s="34"/>
      <c r="AB974" s="7"/>
      <c r="AC974" s="34"/>
      <c r="AD974" s="10"/>
      <c r="AF974"/>
    </row>
    <row r="975" spans="1:32" x14ac:dyDescent="0.25">
      <c r="A975" s="7"/>
      <c r="C975" s="70"/>
      <c r="D975" s="70"/>
      <c r="E975" s="73"/>
      <c r="F975" s="9"/>
      <c r="H975" s="9"/>
      <c r="I975" s="10"/>
      <c r="J975" s="7"/>
      <c r="K975" s="7"/>
      <c r="L975" s="10"/>
      <c r="M975" s="10"/>
      <c r="N975" s="10"/>
      <c r="O975" s="10"/>
      <c r="P975" s="10"/>
      <c r="Q975" s="10"/>
      <c r="R975" s="10"/>
      <c r="S975" s="10"/>
      <c r="T975" s="14"/>
      <c r="U975" s="10"/>
      <c r="V975" s="10"/>
      <c r="W975" s="10"/>
      <c r="X975" s="7"/>
      <c r="Y975" s="7"/>
      <c r="Z975" s="7"/>
      <c r="AA975" s="34"/>
      <c r="AB975" s="7"/>
      <c r="AC975" s="34"/>
      <c r="AD975" s="10"/>
      <c r="AF975"/>
    </row>
    <row r="976" spans="1:32" x14ac:dyDescent="0.25">
      <c r="A976" s="7"/>
      <c r="C976" s="70"/>
      <c r="D976" s="70"/>
      <c r="E976" s="73"/>
      <c r="F976" s="9"/>
      <c r="H976" s="9"/>
      <c r="I976" s="10"/>
      <c r="J976" s="7"/>
      <c r="K976" s="10"/>
      <c r="L976" s="10"/>
      <c r="M976" s="10"/>
      <c r="N976" s="10"/>
      <c r="O976" s="10"/>
      <c r="P976" s="10"/>
      <c r="Q976" s="10"/>
      <c r="R976" s="10"/>
      <c r="S976" s="10"/>
      <c r="T976" s="14"/>
      <c r="U976" s="10"/>
      <c r="V976" s="10"/>
      <c r="W976" s="10"/>
      <c r="X976" s="7"/>
      <c r="Y976" s="7"/>
      <c r="Z976" s="34"/>
      <c r="AA976" s="34"/>
      <c r="AB976" s="7"/>
      <c r="AC976" s="34"/>
      <c r="AD976" s="10"/>
      <c r="AF976"/>
    </row>
    <row r="977" spans="1:32" x14ac:dyDescent="0.25">
      <c r="A977" s="7"/>
      <c r="C977" s="70"/>
      <c r="D977" s="70"/>
      <c r="E977" s="73"/>
      <c r="F977" s="9"/>
      <c r="H977" s="9"/>
      <c r="I977" s="10"/>
      <c r="J977" s="7"/>
      <c r="K977" s="10"/>
      <c r="L977" s="10"/>
      <c r="M977" s="10"/>
      <c r="N977" s="10"/>
      <c r="O977" s="10"/>
      <c r="P977" s="10"/>
      <c r="Q977" s="10"/>
      <c r="R977" s="10"/>
      <c r="S977" s="10"/>
      <c r="T977" s="14"/>
      <c r="U977" s="10"/>
      <c r="V977" s="10"/>
      <c r="W977" s="10"/>
      <c r="X977" s="7"/>
      <c r="Y977" s="7"/>
      <c r="Z977" s="34"/>
      <c r="AA977" s="34"/>
      <c r="AB977" s="7"/>
      <c r="AC977" s="34"/>
      <c r="AD977" s="10"/>
      <c r="AF977"/>
    </row>
    <row r="978" spans="1:32" x14ac:dyDescent="0.25">
      <c r="A978" s="7"/>
      <c r="C978" s="70"/>
      <c r="D978" s="70"/>
      <c r="E978" s="73"/>
      <c r="F978" s="9"/>
      <c r="H978" s="9"/>
      <c r="I978" s="10"/>
      <c r="J978" s="7"/>
      <c r="K978" s="7"/>
      <c r="L978" s="10"/>
      <c r="M978" s="10"/>
      <c r="N978" s="10"/>
      <c r="O978" s="10"/>
      <c r="P978" s="10"/>
      <c r="Q978" s="10"/>
      <c r="R978" s="10"/>
      <c r="S978" s="10"/>
      <c r="T978" s="14"/>
      <c r="U978" s="10"/>
      <c r="V978" s="10"/>
      <c r="W978" s="10"/>
      <c r="X978" s="7"/>
      <c r="Y978" s="7"/>
      <c r="Z978" s="7"/>
      <c r="AA978" s="34"/>
      <c r="AB978" s="7"/>
      <c r="AC978" s="34"/>
      <c r="AD978" s="10"/>
      <c r="AF978"/>
    </row>
    <row r="979" spans="1:32" x14ac:dyDescent="0.25">
      <c r="A979" s="7"/>
      <c r="C979" s="70"/>
      <c r="D979" s="70"/>
      <c r="E979" s="73"/>
      <c r="F979" s="9"/>
      <c r="H979" s="9"/>
      <c r="I979" s="10"/>
      <c r="J979" s="61"/>
      <c r="K979" s="10"/>
      <c r="L979" s="10"/>
      <c r="M979" s="10"/>
      <c r="N979" s="10"/>
      <c r="O979" s="10"/>
      <c r="P979" s="10"/>
      <c r="Q979" s="10"/>
      <c r="R979" s="10"/>
      <c r="S979" s="10"/>
      <c r="T979" s="14"/>
      <c r="U979" s="10"/>
      <c r="V979" s="10"/>
      <c r="W979" s="10"/>
      <c r="X979" s="7"/>
      <c r="Y979" s="7"/>
      <c r="Z979" s="7"/>
      <c r="AA979" s="34"/>
      <c r="AB979" s="7"/>
      <c r="AC979" s="34"/>
      <c r="AD979" s="10"/>
      <c r="AF979"/>
    </row>
    <row r="980" spans="1:32" x14ac:dyDescent="0.25">
      <c r="A980" s="7"/>
      <c r="C980" s="70"/>
      <c r="D980" s="70"/>
      <c r="E980" s="73"/>
      <c r="F980" s="9"/>
      <c r="H980" s="9"/>
      <c r="I980" s="10"/>
      <c r="J980" s="7"/>
      <c r="K980" s="7"/>
      <c r="L980" s="10"/>
      <c r="M980" s="10"/>
      <c r="N980" s="10"/>
      <c r="O980" s="10"/>
      <c r="P980" s="10"/>
      <c r="Q980" s="10"/>
      <c r="R980" s="10"/>
      <c r="S980" s="10"/>
      <c r="T980" s="14"/>
      <c r="U980" s="10"/>
      <c r="V980" s="10"/>
      <c r="W980" s="10"/>
      <c r="X980" s="34"/>
      <c r="Y980" s="7"/>
      <c r="Z980" s="7"/>
      <c r="AA980" s="34"/>
      <c r="AB980" s="7"/>
      <c r="AC980" s="34"/>
      <c r="AD980" s="10"/>
      <c r="AF980"/>
    </row>
    <row r="981" spans="1:32" x14ac:dyDescent="0.25">
      <c r="A981" s="7"/>
      <c r="C981" s="70"/>
      <c r="D981" s="70"/>
      <c r="E981" s="73"/>
      <c r="F981" s="45"/>
      <c r="H981" s="9"/>
      <c r="I981" s="10"/>
      <c r="J981" s="7"/>
      <c r="K981" s="7"/>
      <c r="L981" s="10"/>
      <c r="M981" s="10"/>
      <c r="N981" s="10"/>
      <c r="O981" s="10"/>
      <c r="P981" s="10"/>
      <c r="Q981" s="10"/>
      <c r="R981" s="10"/>
      <c r="S981" s="10"/>
      <c r="T981" s="14"/>
      <c r="U981" s="10"/>
      <c r="V981" s="10"/>
      <c r="W981" s="10"/>
      <c r="X981" s="7"/>
      <c r="Y981" s="7"/>
      <c r="Z981" s="7"/>
      <c r="AA981" s="34"/>
      <c r="AB981" s="7"/>
      <c r="AC981" s="34"/>
      <c r="AD981" s="10"/>
      <c r="AF981"/>
    </row>
    <row r="982" spans="1:32" x14ac:dyDescent="0.25">
      <c r="A982" s="7"/>
      <c r="C982" s="70"/>
      <c r="D982" s="70"/>
      <c r="E982" s="73"/>
      <c r="F982" s="9"/>
      <c r="H982" s="9"/>
      <c r="I982" s="10"/>
      <c r="J982" s="7"/>
      <c r="K982" s="7"/>
      <c r="L982" s="10"/>
      <c r="M982" s="10"/>
      <c r="N982" s="10"/>
      <c r="O982" s="10"/>
      <c r="P982" s="10"/>
      <c r="Q982" s="10"/>
      <c r="R982" s="10"/>
      <c r="S982" s="10"/>
      <c r="T982" s="14"/>
      <c r="U982" s="10"/>
      <c r="V982" s="10"/>
      <c r="W982" s="10"/>
      <c r="X982" s="7"/>
      <c r="Y982" s="7"/>
      <c r="Z982" s="34"/>
      <c r="AA982" s="34"/>
      <c r="AB982" s="7"/>
      <c r="AC982" s="34"/>
      <c r="AD982" s="10"/>
      <c r="AF982"/>
    </row>
    <row r="983" spans="1:32" x14ac:dyDescent="0.25">
      <c r="A983" s="7"/>
      <c r="C983" s="70"/>
      <c r="D983" s="70"/>
      <c r="E983" s="73"/>
      <c r="F983" s="9"/>
      <c r="H983" s="9"/>
      <c r="I983" s="10"/>
      <c r="J983" s="7"/>
      <c r="K983" s="7"/>
      <c r="L983" s="10"/>
      <c r="M983" s="10"/>
      <c r="N983" s="10"/>
      <c r="O983" s="10"/>
      <c r="P983" s="10"/>
      <c r="Q983" s="10"/>
      <c r="R983" s="10"/>
      <c r="S983" s="10"/>
      <c r="T983" s="14"/>
      <c r="U983" s="10"/>
      <c r="V983" s="10"/>
      <c r="W983" s="10"/>
      <c r="X983" s="7"/>
      <c r="Y983" s="7"/>
      <c r="Z983" s="7"/>
      <c r="AA983" s="34"/>
      <c r="AB983" s="7"/>
      <c r="AC983" s="34"/>
      <c r="AD983" s="10"/>
      <c r="AF983"/>
    </row>
    <row r="984" spans="1:32" x14ac:dyDescent="0.25">
      <c r="A984" s="7"/>
      <c r="C984" s="70"/>
      <c r="D984" s="70"/>
      <c r="E984" s="73"/>
      <c r="F984" s="48"/>
      <c r="H984" s="9"/>
      <c r="I984" s="10"/>
      <c r="J984" s="7"/>
      <c r="K984" s="7"/>
      <c r="L984" s="10"/>
      <c r="M984" s="10"/>
      <c r="N984" s="10"/>
      <c r="O984" s="10"/>
      <c r="P984" s="10"/>
      <c r="Q984" s="10"/>
      <c r="R984" s="10"/>
      <c r="S984" s="10"/>
      <c r="T984" s="14"/>
      <c r="U984" s="10"/>
      <c r="V984" s="10"/>
      <c r="W984" s="10"/>
      <c r="X984" s="7"/>
      <c r="Y984" s="34"/>
      <c r="Z984" s="7"/>
      <c r="AA984" s="34"/>
      <c r="AB984" s="7"/>
      <c r="AC984" s="34"/>
      <c r="AD984" s="10"/>
      <c r="AF984"/>
    </row>
    <row r="985" spans="1:32" x14ac:dyDescent="0.25">
      <c r="A985" s="7"/>
      <c r="C985" s="70"/>
      <c r="D985" s="70"/>
      <c r="E985" s="73"/>
      <c r="F985" s="9"/>
      <c r="H985" s="9"/>
      <c r="I985" s="10"/>
      <c r="J985" s="7"/>
      <c r="K985" s="7"/>
      <c r="L985" s="10"/>
      <c r="M985" s="10"/>
      <c r="N985" s="10"/>
      <c r="O985" s="10"/>
      <c r="P985" s="10"/>
      <c r="Q985" s="10"/>
      <c r="R985" s="10"/>
      <c r="S985" s="10"/>
      <c r="T985" s="14"/>
      <c r="U985" s="10"/>
      <c r="V985" s="10"/>
      <c r="W985" s="10"/>
      <c r="X985" s="7"/>
      <c r="Y985" s="7"/>
      <c r="Z985" s="7"/>
      <c r="AA985" s="34"/>
      <c r="AB985" s="7"/>
      <c r="AC985" s="34"/>
      <c r="AD985" s="10"/>
      <c r="AF985"/>
    </row>
    <row r="986" spans="1:32" x14ac:dyDescent="0.25">
      <c r="A986" s="7"/>
      <c r="C986" s="70"/>
      <c r="D986" s="70"/>
      <c r="E986" s="73"/>
      <c r="F986" s="9"/>
      <c r="H986" s="9"/>
      <c r="I986" s="10"/>
      <c r="J986" s="10"/>
      <c r="K986" s="7"/>
      <c r="L986" s="10"/>
      <c r="M986" s="10"/>
      <c r="N986" s="10"/>
      <c r="O986" s="10"/>
      <c r="P986" s="10"/>
      <c r="Q986" s="10"/>
      <c r="R986" s="10"/>
      <c r="S986" s="10"/>
      <c r="T986" s="14"/>
      <c r="U986" s="10"/>
      <c r="V986" s="10"/>
      <c r="W986" s="10"/>
      <c r="X986" s="7"/>
      <c r="Y986" s="7"/>
      <c r="Z986" s="7"/>
      <c r="AA986" s="34"/>
      <c r="AB986" s="7"/>
      <c r="AC986" s="34"/>
      <c r="AD986" s="10"/>
      <c r="AF986"/>
    </row>
    <row r="987" spans="1:32" x14ac:dyDescent="0.25">
      <c r="A987" s="7"/>
      <c r="C987" s="70"/>
      <c r="D987" s="70"/>
      <c r="E987" s="73"/>
      <c r="F987" s="9"/>
      <c r="H987" s="9"/>
      <c r="I987" s="10"/>
      <c r="J987" s="10"/>
      <c r="K987" s="7"/>
      <c r="L987" s="10"/>
      <c r="M987" s="10"/>
      <c r="N987" s="10"/>
      <c r="O987" s="10"/>
      <c r="P987" s="10"/>
      <c r="Q987" s="10"/>
      <c r="R987" s="10"/>
      <c r="S987" s="10"/>
      <c r="T987" s="14"/>
      <c r="U987" s="10"/>
      <c r="V987" s="10"/>
      <c r="W987" s="10"/>
      <c r="X987" s="7"/>
      <c r="Y987" s="7"/>
      <c r="Z987" s="7"/>
      <c r="AA987" s="34"/>
      <c r="AB987" s="7"/>
      <c r="AC987" s="34"/>
      <c r="AD987" s="10"/>
      <c r="AF987"/>
    </row>
    <row r="988" spans="1:32" x14ac:dyDescent="0.25">
      <c r="A988" s="7"/>
      <c r="C988" s="70"/>
      <c r="D988" s="70"/>
      <c r="E988" s="73"/>
      <c r="F988" s="9"/>
      <c r="H988" s="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4"/>
      <c r="U988" s="10"/>
      <c r="V988" s="10"/>
      <c r="W988" s="10"/>
      <c r="X988" s="7"/>
      <c r="Y988" s="7"/>
      <c r="Z988" s="7"/>
      <c r="AA988" s="34"/>
      <c r="AB988" s="7"/>
      <c r="AC988" s="34"/>
      <c r="AD988" s="10"/>
      <c r="AF988"/>
    </row>
    <row r="989" spans="1:32" x14ac:dyDescent="0.25">
      <c r="A989" s="7"/>
      <c r="C989" s="70"/>
      <c r="D989" s="70"/>
      <c r="E989" s="73"/>
      <c r="F989" s="9"/>
      <c r="H989" s="9"/>
      <c r="I989" s="10"/>
      <c r="J989" s="7"/>
      <c r="K989" s="7"/>
      <c r="L989" s="10"/>
      <c r="M989" s="10"/>
      <c r="N989" s="10"/>
      <c r="O989" s="10"/>
      <c r="P989" s="10"/>
      <c r="Q989" s="10"/>
      <c r="R989" s="10"/>
      <c r="S989" s="10"/>
      <c r="T989" s="14"/>
      <c r="U989" s="10"/>
      <c r="V989" s="10"/>
      <c r="W989" s="10"/>
      <c r="X989" s="34"/>
      <c r="Y989" s="7"/>
      <c r="Z989" s="7"/>
      <c r="AA989" s="34"/>
      <c r="AB989" s="7"/>
      <c r="AC989" s="34"/>
      <c r="AD989" s="10"/>
      <c r="AF989"/>
    </row>
    <row r="990" spans="1:32" x14ac:dyDescent="0.25">
      <c r="A990" s="7"/>
      <c r="C990" s="70"/>
      <c r="D990" s="70"/>
      <c r="E990" s="73"/>
      <c r="F990" s="9"/>
      <c r="H990" s="9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4"/>
      <c r="U990" s="10"/>
      <c r="V990" s="10"/>
      <c r="W990" s="10"/>
      <c r="X990" s="7"/>
      <c r="Y990" s="7"/>
      <c r="Z990" s="7"/>
      <c r="AA990" s="34"/>
      <c r="AB990" s="7"/>
      <c r="AC990" s="34"/>
      <c r="AD990" s="10"/>
      <c r="AF990"/>
    </row>
    <row r="991" spans="1:32" x14ac:dyDescent="0.25">
      <c r="A991" s="7"/>
      <c r="C991" s="70"/>
      <c r="D991" s="70"/>
      <c r="E991" s="73"/>
      <c r="F991" s="9"/>
      <c r="H991" s="9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4"/>
      <c r="U991" s="10"/>
      <c r="V991" s="10"/>
      <c r="W991" s="10"/>
      <c r="X991" s="34"/>
      <c r="Y991" s="7"/>
      <c r="Z991" s="7"/>
      <c r="AA991" s="34"/>
      <c r="AB991" s="7"/>
      <c r="AC991" s="34"/>
      <c r="AD991" s="10"/>
      <c r="AF991"/>
    </row>
    <row r="992" spans="1:32" x14ac:dyDescent="0.25">
      <c r="A992" s="7"/>
      <c r="C992" s="70"/>
      <c r="D992" s="70"/>
      <c r="E992" s="73"/>
      <c r="F992" s="9"/>
      <c r="H992" s="9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4"/>
      <c r="U992" s="10"/>
      <c r="V992" s="10"/>
      <c r="W992" s="10"/>
      <c r="X992" s="7"/>
      <c r="Y992" s="7"/>
      <c r="Z992" s="7"/>
      <c r="AA992" s="34"/>
      <c r="AB992" s="7"/>
      <c r="AC992" s="34"/>
      <c r="AD992" s="10"/>
      <c r="AF992"/>
    </row>
    <row r="993" spans="1:32" x14ac:dyDescent="0.25">
      <c r="A993" s="7"/>
      <c r="C993" s="70"/>
      <c r="D993" s="70"/>
      <c r="E993" s="73"/>
      <c r="F993" s="9"/>
      <c r="H993" s="9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4"/>
      <c r="U993" s="10"/>
      <c r="V993" s="10"/>
      <c r="W993" s="10"/>
      <c r="X993" s="7"/>
      <c r="Y993" s="7"/>
      <c r="Z993" s="7"/>
      <c r="AA993" s="34"/>
      <c r="AB993" s="7"/>
      <c r="AC993" s="34"/>
      <c r="AD993" s="10"/>
      <c r="AF993"/>
    </row>
    <row r="994" spans="1:32" x14ac:dyDescent="0.25">
      <c r="A994" s="7"/>
      <c r="C994" s="70"/>
      <c r="D994" s="70"/>
      <c r="E994" s="73"/>
      <c r="F994" s="48"/>
      <c r="H994" s="9"/>
      <c r="I994" s="10"/>
      <c r="J994" s="7"/>
      <c r="K994" s="24"/>
      <c r="L994" s="10"/>
      <c r="M994" s="10"/>
      <c r="N994" s="10"/>
      <c r="O994" s="10"/>
      <c r="P994" s="10"/>
      <c r="Q994" s="10"/>
      <c r="R994" s="10"/>
      <c r="S994" s="10"/>
      <c r="T994" s="14"/>
      <c r="U994" s="10"/>
      <c r="V994" s="10"/>
      <c r="W994" s="10"/>
      <c r="X994" s="7"/>
      <c r="Y994" s="7"/>
      <c r="Z994" s="7"/>
      <c r="AA994" s="34"/>
      <c r="AB994" s="7"/>
      <c r="AC994" s="34"/>
      <c r="AD994" s="10"/>
      <c r="AF994"/>
    </row>
    <row r="995" spans="1:32" x14ac:dyDescent="0.25">
      <c r="A995" s="7"/>
      <c r="C995" s="70"/>
      <c r="D995" s="70"/>
      <c r="E995" s="73"/>
      <c r="F995" s="9"/>
      <c r="H995" s="9"/>
      <c r="I995" s="10"/>
      <c r="J995" s="7"/>
      <c r="K995" s="7"/>
      <c r="L995" s="10"/>
      <c r="M995" s="10"/>
      <c r="N995" s="10"/>
      <c r="O995" s="10"/>
      <c r="P995" s="10"/>
      <c r="Q995" s="10"/>
      <c r="R995" s="10"/>
      <c r="S995" s="10"/>
      <c r="T995" s="14"/>
      <c r="U995" s="10"/>
      <c r="V995" s="10"/>
      <c r="W995" s="10"/>
      <c r="X995" s="7"/>
      <c r="Y995" s="7"/>
      <c r="Z995" s="7"/>
      <c r="AA995" s="34"/>
      <c r="AB995" s="7"/>
      <c r="AC995" s="34"/>
      <c r="AD995" s="10"/>
      <c r="AF995"/>
    </row>
    <row r="996" spans="1:32" x14ac:dyDescent="0.25">
      <c r="A996" s="7"/>
      <c r="C996" s="70"/>
      <c r="D996" s="70"/>
      <c r="E996" s="73"/>
      <c r="F996" s="9"/>
      <c r="H996" s="9"/>
      <c r="I996" s="10"/>
      <c r="J996" s="10"/>
      <c r="K996" s="7"/>
      <c r="L996" s="10"/>
      <c r="M996" s="10"/>
      <c r="N996" s="10"/>
      <c r="O996" s="10"/>
      <c r="P996" s="10"/>
      <c r="Q996" s="10"/>
      <c r="R996" s="10"/>
      <c r="S996" s="10"/>
      <c r="T996" s="14"/>
      <c r="U996" s="10"/>
      <c r="V996" s="10"/>
      <c r="W996" s="10"/>
      <c r="X996" s="7"/>
      <c r="Y996" s="7"/>
      <c r="Z996" s="7"/>
      <c r="AA996" s="34"/>
      <c r="AB996" s="7"/>
      <c r="AC996" s="34"/>
      <c r="AD996" s="10"/>
      <c r="AF996"/>
    </row>
    <row r="997" spans="1:32" x14ac:dyDescent="0.25">
      <c r="A997" s="7"/>
      <c r="C997" s="70"/>
      <c r="D997" s="70"/>
      <c r="E997" s="73"/>
      <c r="F997" s="9"/>
      <c r="H997" s="9"/>
      <c r="I997" s="10"/>
      <c r="J997" s="10"/>
      <c r="K997" s="7"/>
      <c r="L997" s="10"/>
      <c r="M997" s="10"/>
      <c r="N997" s="10"/>
      <c r="O997" s="10"/>
      <c r="P997" s="10"/>
      <c r="Q997" s="10"/>
      <c r="R997" s="10"/>
      <c r="S997" s="10"/>
      <c r="T997" s="14"/>
      <c r="U997" s="10"/>
      <c r="V997" s="10"/>
      <c r="W997" s="10"/>
      <c r="X997" s="7"/>
      <c r="Y997" s="7"/>
      <c r="Z997" s="7"/>
      <c r="AA997" s="34"/>
      <c r="AB997" s="7"/>
      <c r="AC997" s="34"/>
      <c r="AD997" s="10"/>
      <c r="AF997"/>
    </row>
    <row r="998" spans="1:32" x14ac:dyDescent="0.25">
      <c r="A998" s="7"/>
      <c r="C998" s="70"/>
      <c r="D998" s="70"/>
      <c r="E998" s="73"/>
      <c r="F998" s="9"/>
      <c r="H998" s="9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4"/>
      <c r="U998" s="10"/>
      <c r="V998" s="10"/>
      <c r="W998" s="10"/>
      <c r="X998" s="7"/>
      <c r="Y998" s="7"/>
      <c r="Z998" s="34"/>
      <c r="AA998" s="34"/>
      <c r="AB998" s="7"/>
      <c r="AC998" s="34"/>
      <c r="AD998" s="10"/>
      <c r="AF998"/>
    </row>
    <row r="999" spans="1:32" x14ac:dyDescent="0.25">
      <c r="A999" s="7"/>
      <c r="C999" s="70"/>
      <c r="D999" s="70"/>
      <c r="E999" s="73"/>
      <c r="F999" s="9"/>
      <c r="H999" s="9"/>
      <c r="I999" s="10"/>
      <c r="J999" s="7"/>
      <c r="K999" s="24"/>
      <c r="L999" s="10"/>
      <c r="M999" s="10"/>
      <c r="N999" s="10"/>
      <c r="O999" s="10"/>
      <c r="P999" s="10"/>
      <c r="Q999" s="10"/>
      <c r="R999" s="10"/>
      <c r="S999" s="10"/>
      <c r="T999" s="14"/>
      <c r="U999" s="10"/>
      <c r="V999" s="10"/>
      <c r="W999" s="10"/>
      <c r="X999" s="7"/>
      <c r="Y999" s="7"/>
      <c r="Z999" s="7"/>
      <c r="AA999" s="34"/>
      <c r="AB999" s="7"/>
      <c r="AC999" s="34"/>
      <c r="AD999" s="10"/>
      <c r="AF999"/>
    </row>
    <row r="1000" spans="1:32" x14ac:dyDescent="0.25">
      <c r="A1000" s="7"/>
      <c r="C1000" s="70"/>
      <c r="D1000" s="70"/>
      <c r="E1000" s="73"/>
      <c r="F1000" s="9"/>
      <c r="H1000" s="9"/>
      <c r="I1000" s="52"/>
      <c r="J1000" s="10"/>
      <c r="K1000" s="7"/>
      <c r="L1000" s="10"/>
      <c r="M1000" s="10"/>
      <c r="N1000" s="10"/>
      <c r="O1000" s="10"/>
      <c r="P1000" s="10"/>
      <c r="Q1000" s="10"/>
      <c r="R1000" s="10"/>
      <c r="S1000" s="10"/>
      <c r="T1000" s="14"/>
      <c r="U1000" s="10"/>
      <c r="V1000" s="10"/>
      <c r="W1000" s="10"/>
      <c r="X1000" s="7"/>
      <c r="Y1000" s="7"/>
      <c r="Z1000" s="7"/>
      <c r="AA1000" s="34"/>
      <c r="AB1000" s="7"/>
      <c r="AC1000" s="34"/>
      <c r="AD1000" s="10"/>
      <c r="AF1000"/>
    </row>
    <row r="1001" spans="1:32" x14ac:dyDescent="0.25">
      <c r="A1001" s="7"/>
      <c r="C1001" s="70"/>
      <c r="D1001" s="70"/>
      <c r="E1001" s="73"/>
      <c r="F1001" s="9"/>
      <c r="H1001" s="9"/>
      <c r="I1001" s="52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4"/>
      <c r="U1001" s="10"/>
      <c r="V1001" s="10"/>
      <c r="W1001" s="10"/>
      <c r="X1001" s="7"/>
      <c r="Y1001" s="7"/>
      <c r="Z1001" s="7"/>
      <c r="AA1001" s="34"/>
      <c r="AB1001" s="7"/>
      <c r="AC1001" s="34"/>
      <c r="AD1001" s="10"/>
      <c r="AF1001"/>
    </row>
    <row r="1002" spans="1:32" x14ac:dyDescent="0.25">
      <c r="A1002" s="7"/>
      <c r="C1002" s="70"/>
      <c r="D1002" s="70"/>
      <c r="E1002" s="73"/>
      <c r="F1002" s="48"/>
      <c r="H1002" s="9"/>
      <c r="I1002" s="52"/>
      <c r="J1002" s="10"/>
      <c r="K1002" s="7"/>
      <c r="L1002" s="10"/>
      <c r="M1002" s="10"/>
      <c r="N1002" s="10"/>
      <c r="O1002" s="10"/>
      <c r="P1002" s="10"/>
      <c r="Q1002" s="10"/>
      <c r="R1002" s="10"/>
      <c r="S1002" s="10"/>
      <c r="T1002" s="14"/>
      <c r="U1002" s="10"/>
      <c r="V1002" s="10"/>
      <c r="W1002" s="10"/>
      <c r="X1002" s="7"/>
      <c r="Y1002" s="7"/>
      <c r="Z1002" s="7"/>
      <c r="AA1002" s="34"/>
      <c r="AB1002" s="7"/>
      <c r="AC1002" s="34"/>
      <c r="AD1002" s="10"/>
      <c r="AF1002"/>
    </row>
    <row r="1003" spans="1:32" x14ac:dyDescent="0.25">
      <c r="A1003" s="7"/>
      <c r="C1003" s="70"/>
      <c r="D1003" s="70"/>
      <c r="E1003" s="73"/>
      <c r="F1003" s="9"/>
      <c r="H1003" s="9"/>
      <c r="I1003" s="10"/>
      <c r="J1003" s="10"/>
      <c r="K1003" s="7"/>
      <c r="L1003" s="10"/>
      <c r="M1003" s="10"/>
      <c r="N1003" s="10"/>
      <c r="O1003" s="10"/>
      <c r="P1003" s="10"/>
      <c r="Q1003" s="10"/>
      <c r="R1003" s="10"/>
      <c r="S1003" s="10"/>
      <c r="T1003" s="14"/>
      <c r="U1003" s="10"/>
      <c r="V1003" s="10"/>
      <c r="W1003" s="10"/>
      <c r="X1003" s="7"/>
      <c r="Y1003" s="7"/>
      <c r="Z1003" s="7"/>
      <c r="AA1003" s="34"/>
      <c r="AB1003" s="7"/>
      <c r="AC1003" s="34"/>
      <c r="AD1003" s="10"/>
      <c r="AF1003"/>
    </row>
    <row r="1004" spans="1:32" x14ac:dyDescent="0.25">
      <c r="A1004" s="7"/>
      <c r="C1004" s="70"/>
      <c r="D1004" s="70"/>
      <c r="E1004" s="73"/>
      <c r="F1004" s="9"/>
      <c r="H1004" s="9"/>
      <c r="I1004" s="10"/>
      <c r="J1004" s="7"/>
      <c r="K1004" s="7"/>
      <c r="L1004" s="10"/>
      <c r="M1004" s="10"/>
      <c r="N1004" s="10"/>
      <c r="O1004" s="10"/>
      <c r="P1004" s="10"/>
      <c r="Q1004" s="10"/>
      <c r="R1004" s="10"/>
      <c r="S1004" s="10"/>
      <c r="T1004" s="14"/>
      <c r="U1004" s="10"/>
      <c r="V1004" s="10"/>
      <c r="W1004" s="10"/>
      <c r="X1004" s="7"/>
      <c r="Y1004" s="7"/>
      <c r="Z1004" s="7"/>
      <c r="AA1004" s="34"/>
      <c r="AB1004" s="7"/>
      <c r="AC1004" s="34"/>
      <c r="AD1004" s="10"/>
      <c r="AF1004"/>
    </row>
    <row r="1005" spans="1:32" x14ac:dyDescent="0.25">
      <c r="A1005" s="7"/>
      <c r="C1005" s="70"/>
      <c r="D1005" s="70"/>
      <c r="E1005" s="73"/>
      <c r="F1005" s="9"/>
      <c r="H1005" s="9"/>
      <c r="I1005" s="10"/>
      <c r="J1005" s="10"/>
      <c r="K1005" s="7"/>
      <c r="L1005" s="10"/>
      <c r="M1005" s="10"/>
      <c r="N1005" s="10"/>
      <c r="O1005" s="10"/>
      <c r="P1005" s="10"/>
      <c r="Q1005" s="10"/>
      <c r="R1005" s="10"/>
      <c r="S1005" s="10"/>
      <c r="T1005" s="14"/>
      <c r="U1005" s="10"/>
      <c r="V1005" s="10"/>
      <c r="W1005" s="10"/>
      <c r="X1005" s="7"/>
      <c r="Y1005" s="7"/>
      <c r="Z1005" s="34"/>
      <c r="AA1005" s="34"/>
      <c r="AB1005" s="7"/>
      <c r="AC1005" s="34"/>
      <c r="AD1005" s="10"/>
      <c r="AF1005"/>
    </row>
    <row r="1006" spans="1:32" x14ac:dyDescent="0.25">
      <c r="A1006" s="7"/>
      <c r="C1006" s="70"/>
      <c r="D1006" s="70"/>
      <c r="E1006" s="73"/>
      <c r="F1006" s="45"/>
      <c r="H1006" s="9"/>
      <c r="I1006" s="10"/>
      <c r="J1006" s="10"/>
      <c r="K1006" s="24"/>
      <c r="L1006" s="10"/>
      <c r="M1006" s="10"/>
      <c r="N1006" s="10"/>
      <c r="O1006" s="10"/>
      <c r="P1006" s="10"/>
      <c r="Q1006" s="10"/>
      <c r="R1006" s="10"/>
      <c r="S1006" s="10"/>
      <c r="T1006" s="14"/>
      <c r="U1006" s="10"/>
      <c r="V1006" s="10"/>
      <c r="W1006" s="10"/>
      <c r="X1006" s="7"/>
      <c r="Y1006" s="34"/>
      <c r="Z1006" s="7"/>
      <c r="AA1006" s="34"/>
      <c r="AB1006" s="7"/>
      <c r="AC1006" s="34"/>
      <c r="AD1006" s="10"/>
      <c r="AF1006"/>
    </row>
    <row r="1007" spans="1:32" x14ac:dyDescent="0.25">
      <c r="A1007" s="7"/>
      <c r="C1007" s="70"/>
      <c r="D1007" s="70"/>
      <c r="E1007" s="73"/>
      <c r="F1007" s="9"/>
      <c r="H1007" s="9"/>
      <c r="I1007" s="10"/>
      <c r="J1007" s="60"/>
      <c r="K1007" s="42"/>
      <c r="L1007" s="10"/>
      <c r="M1007" s="10"/>
      <c r="N1007" s="10"/>
      <c r="O1007" s="10"/>
      <c r="P1007" s="10"/>
      <c r="Q1007" s="10"/>
      <c r="R1007" s="10"/>
      <c r="S1007" s="10"/>
      <c r="T1007" s="14"/>
      <c r="U1007" s="10"/>
      <c r="V1007" s="10"/>
      <c r="W1007" s="10"/>
      <c r="X1007" s="7"/>
      <c r="Y1007" s="7"/>
      <c r="Z1007" s="7"/>
      <c r="AA1007" s="34"/>
      <c r="AB1007" s="7"/>
      <c r="AC1007" s="34"/>
      <c r="AD1007" s="10"/>
      <c r="AF1007"/>
    </row>
    <row r="1008" spans="1:32" x14ac:dyDescent="0.25">
      <c r="A1008" s="7"/>
      <c r="C1008" s="70"/>
      <c r="D1008" s="70"/>
      <c r="E1008" s="73"/>
      <c r="F1008" s="9"/>
      <c r="H1008" s="45"/>
      <c r="I1008" s="10"/>
      <c r="J1008" s="7"/>
      <c r="K1008" s="24"/>
      <c r="L1008" s="10"/>
      <c r="M1008" s="10"/>
      <c r="N1008" s="10"/>
      <c r="O1008" s="10"/>
      <c r="P1008" s="10"/>
      <c r="Q1008" s="10"/>
      <c r="R1008" s="10"/>
      <c r="S1008" s="10"/>
      <c r="T1008" s="14"/>
      <c r="U1008" s="10"/>
      <c r="V1008" s="10"/>
      <c r="W1008" s="10"/>
      <c r="X1008" s="7"/>
      <c r="Y1008" s="7"/>
      <c r="Z1008" s="7"/>
      <c r="AA1008" s="34"/>
      <c r="AB1008" s="7"/>
      <c r="AC1008" s="34"/>
      <c r="AD1008" s="10"/>
      <c r="AF1008"/>
    </row>
    <row r="1009" spans="1:32" x14ac:dyDescent="0.25">
      <c r="A1009" s="7"/>
      <c r="C1009" s="70"/>
      <c r="D1009" s="70"/>
      <c r="E1009" s="73"/>
      <c r="F1009" s="9"/>
      <c r="H1009" s="9"/>
      <c r="I1009" s="10"/>
      <c r="J1009" s="10"/>
      <c r="K1009" s="24"/>
      <c r="L1009" s="10"/>
      <c r="M1009" s="10"/>
      <c r="N1009" s="10"/>
      <c r="O1009" s="10"/>
      <c r="P1009" s="10"/>
      <c r="Q1009" s="10"/>
      <c r="R1009" s="10"/>
      <c r="S1009" s="10"/>
      <c r="T1009" s="14"/>
      <c r="U1009" s="10"/>
      <c r="V1009" s="10"/>
      <c r="W1009" s="10"/>
      <c r="X1009" s="7"/>
      <c r="Y1009" s="7"/>
      <c r="Z1009" s="7"/>
      <c r="AA1009" s="34"/>
      <c r="AB1009" s="7"/>
      <c r="AC1009" s="34"/>
      <c r="AD1009" s="10"/>
      <c r="AF1009"/>
    </row>
    <row r="1010" spans="1:32" x14ac:dyDescent="0.25">
      <c r="A1010" s="7"/>
      <c r="C1010" s="70"/>
      <c r="D1010" s="70"/>
      <c r="E1010" s="73"/>
      <c r="F1010" s="9"/>
      <c r="H1010" s="9"/>
      <c r="I1010" s="10"/>
      <c r="J1010" s="10"/>
      <c r="K1010" s="7"/>
      <c r="L1010" s="10"/>
      <c r="M1010" s="10"/>
      <c r="N1010" s="10"/>
      <c r="O1010" s="10"/>
      <c r="P1010" s="10"/>
      <c r="Q1010" s="10"/>
      <c r="R1010" s="10"/>
      <c r="S1010" s="10"/>
      <c r="T1010" s="14"/>
      <c r="U1010" s="10"/>
      <c r="V1010" s="10"/>
      <c r="W1010" s="10"/>
      <c r="X1010" s="7"/>
      <c r="Y1010" s="7"/>
      <c r="Z1010" s="7"/>
      <c r="AA1010" s="34"/>
      <c r="AB1010" s="7"/>
      <c r="AC1010" s="34"/>
      <c r="AD1010" s="10"/>
      <c r="AF1010"/>
    </row>
    <row r="1011" spans="1:32" x14ac:dyDescent="0.25">
      <c r="A1011" s="7"/>
      <c r="C1011" s="70"/>
      <c r="D1011" s="70"/>
      <c r="E1011" s="73"/>
      <c r="F1011" s="9"/>
      <c r="H1011" s="9"/>
      <c r="I1011" s="10"/>
      <c r="J1011" s="10"/>
      <c r="K1011" s="7"/>
      <c r="L1011" s="10"/>
      <c r="M1011" s="10"/>
      <c r="N1011" s="10"/>
      <c r="O1011" s="10"/>
      <c r="P1011" s="10"/>
      <c r="Q1011" s="10"/>
      <c r="R1011" s="10"/>
      <c r="S1011" s="10"/>
      <c r="T1011" s="14"/>
      <c r="U1011" s="10"/>
      <c r="V1011" s="10"/>
      <c r="W1011" s="10"/>
      <c r="X1011" s="7"/>
      <c r="Y1011" s="7"/>
      <c r="Z1011" s="7"/>
      <c r="AA1011" s="34"/>
      <c r="AB1011" s="7"/>
      <c r="AC1011" s="34"/>
      <c r="AD1011" s="10"/>
      <c r="AF1011"/>
    </row>
    <row r="1012" spans="1:32" x14ac:dyDescent="0.25">
      <c r="A1012" s="7"/>
      <c r="C1012" s="70"/>
      <c r="D1012" s="70"/>
      <c r="E1012" s="73"/>
      <c r="F1012" s="9"/>
      <c r="H1012" s="9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4"/>
      <c r="U1012" s="10"/>
      <c r="V1012" s="10"/>
      <c r="W1012" s="10"/>
      <c r="X1012" s="7"/>
      <c r="Y1012" s="7"/>
      <c r="Z1012" s="34"/>
      <c r="AA1012" s="34"/>
      <c r="AB1012" s="7"/>
      <c r="AC1012" s="34"/>
      <c r="AD1012" s="10"/>
      <c r="AF1012"/>
    </row>
    <row r="1013" spans="1:32" x14ac:dyDescent="0.25">
      <c r="A1013" s="7"/>
      <c r="C1013" s="70"/>
      <c r="D1013" s="70"/>
      <c r="E1013" s="73"/>
      <c r="F1013" s="9"/>
      <c r="H1013" s="9"/>
      <c r="I1013" s="10"/>
      <c r="J1013" s="7"/>
      <c r="K1013" s="7"/>
      <c r="L1013" s="10"/>
      <c r="M1013" s="10"/>
      <c r="N1013" s="10"/>
      <c r="O1013" s="10"/>
      <c r="P1013" s="10"/>
      <c r="Q1013" s="10"/>
      <c r="R1013" s="10"/>
      <c r="S1013" s="10"/>
      <c r="T1013" s="14"/>
      <c r="U1013" s="10"/>
      <c r="V1013" s="10"/>
      <c r="W1013" s="10"/>
      <c r="X1013" s="7"/>
      <c r="Y1013" s="7"/>
      <c r="Z1013" s="7"/>
      <c r="AA1013" s="34"/>
      <c r="AB1013" s="7"/>
      <c r="AC1013" s="34"/>
      <c r="AD1013" s="10"/>
      <c r="AF1013"/>
    </row>
    <row r="1014" spans="1:32" x14ac:dyDescent="0.25">
      <c r="A1014" s="7"/>
      <c r="C1014" s="70"/>
      <c r="D1014" s="70"/>
      <c r="E1014" s="73"/>
      <c r="F1014" s="9"/>
      <c r="H1014" s="9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4"/>
      <c r="U1014" s="10"/>
      <c r="V1014" s="10"/>
      <c r="W1014" s="10"/>
      <c r="X1014" s="7"/>
      <c r="Y1014" s="7"/>
      <c r="Z1014" s="7"/>
      <c r="AA1014" s="34"/>
      <c r="AB1014" s="7"/>
      <c r="AC1014" s="34"/>
      <c r="AD1014" s="10"/>
      <c r="AF1014"/>
    </row>
    <row r="1015" spans="1:32" x14ac:dyDescent="0.25">
      <c r="A1015" s="7"/>
      <c r="C1015" s="70"/>
      <c r="D1015" s="70"/>
      <c r="E1015" s="73"/>
      <c r="F1015" s="9"/>
      <c r="H1015" s="9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4"/>
      <c r="U1015" s="10"/>
      <c r="V1015" s="10"/>
      <c r="W1015" s="10"/>
      <c r="X1015" s="7"/>
      <c r="Y1015" s="7"/>
      <c r="Z1015" s="7"/>
      <c r="AA1015" s="34"/>
      <c r="AB1015" s="7"/>
      <c r="AC1015" s="34"/>
      <c r="AD1015" s="10"/>
      <c r="AF1015"/>
    </row>
    <row r="1016" spans="1:32" x14ac:dyDescent="0.25">
      <c r="A1016" s="7"/>
      <c r="C1016" s="70"/>
      <c r="D1016" s="70"/>
      <c r="E1016" s="73"/>
      <c r="F1016" s="9"/>
      <c r="H1016" s="9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4"/>
      <c r="U1016" s="10"/>
      <c r="V1016" s="10"/>
      <c r="W1016" s="10"/>
      <c r="X1016" s="7"/>
      <c r="Y1016" s="7"/>
      <c r="Z1016" s="7"/>
      <c r="AA1016" s="34"/>
      <c r="AB1016" s="7"/>
      <c r="AC1016" s="34"/>
      <c r="AD1016" s="10"/>
      <c r="AF1016"/>
    </row>
    <row r="1017" spans="1:32" x14ac:dyDescent="0.25">
      <c r="A1017" s="7"/>
      <c r="C1017" s="70"/>
      <c r="D1017" s="70"/>
      <c r="E1017" s="73"/>
      <c r="F1017" s="9"/>
      <c r="H1017" s="9"/>
      <c r="I1017" s="10"/>
      <c r="J1017" s="7"/>
      <c r="K1017" s="7"/>
      <c r="L1017" s="10"/>
      <c r="M1017" s="10"/>
      <c r="N1017" s="10"/>
      <c r="O1017" s="10"/>
      <c r="P1017" s="10"/>
      <c r="Q1017" s="10"/>
      <c r="R1017" s="10"/>
      <c r="S1017" s="10"/>
      <c r="T1017" s="14"/>
      <c r="U1017" s="10"/>
      <c r="V1017" s="10"/>
      <c r="W1017" s="10"/>
      <c r="X1017" s="7"/>
      <c r="Y1017" s="7"/>
      <c r="Z1017" s="34"/>
      <c r="AA1017" s="34"/>
      <c r="AB1017" s="7"/>
      <c r="AC1017" s="34"/>
      <c r="AD1017" s="10"/>
      <c r="AF1017"/>
    </row>
    <row r="1018" spans="1:32" x14ac:dyDescent="0.25">
      <c r="A1018" s="7"/>
      <c r="C1018" s="70"/>
      <c r="D1018" s="70"/>
      <c r="E1018" s="73"/>
      <c r="F1018" s="9"/>
      <c r="H1018" s="9"/>
      <c r="I1018" s="10"/>
      <c r="J1018" s="7"/>
      <c r="K1018" s="7"/>
      <c r="L1018" s="10"/>
      <c r="M1018" s="10"/>
      <c r="N1018" s="10"/>
      <c r="O1018" s="10"/>
      <c r="P1018" s="10"/>
      <c r="Q1018" s="10"/>
      <c r="R1018" s="10"/>
      <c r="S1018" s="10"/>
      <c r="T1018" s="14"/>
      <c r="U1018" s="10"/>
      <c r="V1018" s="10"/>
      <c r="W1018" s="10"/>
      <c r="X1018" s="7"/>
      <c r="Y1018" s="7"/>
      <c r="Z1018" s="34"/>
      <c r="AA1018" s="34"/>
      <c r="AB1018" s="7"/>
      <c r="AC1018" s="34"/>
      <c r="AD1018" s="10"/>
      <c r="AF1018"/>
    </row>
    <row r="1019" spans="1:32" x14ac:dyDescent="0.25">
      <c r="A1019" s="7"/>
      <c r="C1019" s="70"/>
      <c r="D1019" s="70"/>
      <c r="E1019" s="73"/>
      <c r="F1019" s="9"/>
      <c r="H1019" s="9"/>
      <c r="I1019" s="10"/>
      <c r="J1019" s="7"/>
      <c r="K1019" s="7"/>
      <c r="L1019" s="10"/>
      <c r="M1019" s="10"/>
      <c r="N1019" s="10"/>
      <c r="O1019" s="10"/>
      <c r="P1019" s="10"/>
      <c r="Q1019" s="10"/>
      <c r="R1019" s="10"/>
      <c r="S1019" s="10"/>
      <c r="T1019" s="14"/>
      <c r="U1019" s="10"/>
      <c r="V1019" s="10"/>
      <c r="W1019" s="10"/>
      <c r="X1019" s="7"/>
      <c r="Y1019" s="7"/>
      <c r="Z1019" s="34"/>
      <c r="AA1019" s="34"/>
      <c r="AB1019" s="7"/>
      <c r="AC1019" s="34"/>
      <c r="AD1019" s="10"/>
      <c r="AF1019"/>
    </row>
    <row r="1020" spans="1:32" x14ac:dyDescent="0.25">
      <c r="A1020" s="7"/>
      <c r="C1020" s="70"/>
      <c r="D1020" s="70"/>
      <c r="E1020" s="73"/>
      <c r="F1020" s="9"/>
      <c r="H1020" s="9"/>
      <c r="I1020" s="10"/>
      <c r="J1020" s="7"/>
      <c r="K1020" s="7"/>
      <c r="L1020" s="10"/>
      <c r="M1020" s="10"/>
      <c r="N1020" s="10"/>
      <c r="O1020" s="10"/>
      <c r="P1020" s="10"/>
      <c r="Q1020" s="10"/>
      <c r="R1020" s="10"/>
      <c r="S1020" s="10"/>
      <c r="T1020" s="14"/>
      <c r="U1020" s="10"/>
      <c r="V1020" s="10"/>
      <c r="W1020" s="10"/>
      <c r="X1020" s="7"/>
      <c r="Y1020" s="7"/>
      <c r="Z1020" s="7"/>
      <c r="AA1020" s="34"/>
      <c r="AB1020" s="7"/>
      <c r="AC1020" s="34"/>
      <c r="AD1020" s="10"/>
      <c r="AF1020"/>
    </row>
    <row r="1021" spans="1:32" x14ac:dyDescent="0.25">
      <c r="A1021" s="7"/>
      <c r="C1021" s="70"/>
      <c r="D1021" s="70"/>
      <c r="E1021" s="73"/>
      <c r="F1021" s="9"/>
      <c r="H1021" s="9"/>
      <c r="I1021" s="10"/>
      <c r="J1021" s="60"/>
      <c r="K1021" s="42"/>
      <c r="L1021" s="10"/>
      <c r="M1021" s="10"/>
      <c r="N1021" s="10"/>
      <c r="O1021" s="10"/>
      <c r="P1021" s="10"/>
      <c r="Q1021" s="10"/>
      <c r="R1021" s="10"/>
      <c r="S1021" s="10"/>
      <c r="T1021" s="14"/>
      <c r="U1021" s="10"/>
      <c r="V1021" s="10"/>
      <c r="W1021" s="10"/>
      <c r="X1021" s="7"/>
      <c r="Y1021" s="7"/>
      <c r="Z1021" s="7"/>
      <c r="AA1021" s="34"/>
      <c r="AB1021" s="7"/>
      <c r="AC1021" s="34"/>
      <c r="AD1021" s="10"/>
      <c r="AF1021"/>
    </row>
    <row r="1022" spans="1:32" x14ac:dyDescent="0.25">
      <c r="A1022" s="7"/>
      <c r="C1022" s="70"/>
      <c r="D1022" s="70"/>
      <c r="E1022" s="73"/>
      <c r="F1022" s="48"/>
      <c r="H1022" s="9"/>
      <c r="I1022" s="10"/>
      <c r="J1022" s="10"/>
      <c r="K1022" s="7"/>
      <c r="L1022" s="10"/>
      <c r="M1022" s="10"/>
      <c r="N1022" s="10"/>
      <c r="O1022" s="10"/>
      <c r="P1022" s="10"/>
      <c r="Q1022" s="10"/>
      <c r="R1022" s="10"/>
      <c r="S1022" s="10"/>
      <c r="T1022" s="14"/>
      <c r="U1022" s="10"/>
      <c r="V1022" s="10"/>
      <c r="W1022" s="10"/>
      <c r="X1022" s="7"/>
      <c r="Y1022" s="34"/>
      <c r="Z1022" s="7"/>
      <c r="AA1022" s="34"/>
      <c r="AB1022" s="7"/>
      <c r="AC1022" s="34"/>
      <c r="AD1022" s="10"/>
      <c r="AF1022"/>
    </row>
    <row r="1023" spans="1:32" x14ac:dyDescent="0.25">
      <c r="A1023" s="7"/>
      <c r="C1023" s="70"/>
      <c r="D1023" s="70"/>
      <c r="E1023" s="73"/>
      <c r="F1023" s="9"/>
      <c r="H1023" s="9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4"/>
      <c r="U1023" s="10"/>
      <c r="V1023" s="10"/>
      <c r="W1023" s="10"/>
      <c r="X1023" s="7"/>
      <c r="Y1023" s="7"/>
      <c r="Z1023" s="7"/>
      <c r="AA1023" s="34"/>
      <c r="AB1023" s="7"/>
      <c r="AC1023" s="34"/>
      <c r="AD1023" s="10"/>
      <c r="AF1023"/>
    </row>
    <row r="1024" spans="1:32" x14ac:dyDescent="0.25">
      <c r="A1024" s="7"/>
      <c r="C1024" s="70"/>
      <c r="D1024" s="70"/>
      <c r="E1024" s="73"/>
      <c r="F1024" s="9"/>
      <c r="H1024" s="9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4"/>
      <c r="U1024" s="10"/>
      <c r="V1024" s="10"/>
      <c r="W1024" s="10"/>
      <c r="X1024" s="7"/>
      <c r="Y1024" s="7"/>
      <c r="Z1024" s="7"/>
      <c r="AA1024" s="34"/>
      <c r="AB1024" s="7"/>
      <c r="AC1024" s="34"/>
      <c r="AD1024" s="10"/>
      <c r="AF1024"/>
    </row>
    <row r="1025" spans="1:32" x14ac:dyDescent="0.25">
      <c r="A1025" s="7"/>
      <c r="C1025" s="70"/>
      <c r="D1025" s="70"/>
      <c r="E1025" s="73"/>
      <c r="F1025" s="9"/>
      <c r="H1025" s="9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4"/>
      <c r="U1025" s="10"/>
      <c r="V1025" s="10"/>
      <c r="W1025" s="10"/>
      <c r="X1025" s="7"/>
      <c r="Y1025" s="7"/>
      <c r="Z1025" s="7"/>
      <c r="AA1025" s="34"/>
      <c r="AB1025" s="7"/>
      <c r="AC1025" s="34"/>
      <c r="AD1025" s="10"/>
      <c r="AF1025"/>
    </row>
    <row r="1026" spans="1:32" x14ac:dyDescent="0.25">
      <c r="A1026" s="7"/>
      <c r="C1026" s="70"/>
      <c r="D1026" s="70"/>
      <c r="E1026" s="73"/>
      <c r="F1026" s="9"/>
      <c r="H1026" s="9"/>
      <c r="I1026" s="10"/>
      <c r="J1026" s="7"/>
      <c r="K1026" s="7"/>
      <c r="L1026" s="10"/>
      <c r="M1026" s="10"/>
      <c r="N1026" s="10"/>
      <c r="O1026" s="10"/>
      <c r="P1026" s="10"/>
      <c r="Q1026" s="10"/>
      <c r="R1026" s="10"/>
      <c r="S1026" s="10"/>
      <c r="T1026" s="14"/>
      <c r="U1026" s="10"/>
      <c r="V1026" s="10"/>
      <c r="W1026" s="10"/>
      <c r="X1026" s="7"/>
      <c r="Y1026" s="7"/>
      <c r="Z1026" s="34"/>
      <c r="AA1026" s="34"/>
      <c r="AB1026" s="7"/>
      <c r="AC1026" s="34"/>
      <c r="AD1026" s="10"/>
      <c r="AF1026"/>
    </row>
    <row r="1027" spans="1:32" x14ac:dyDescent="0.25">
      <c r="A1027" s="7"/>
      <c r="C1027" s="70"/>
      <c r="D1027" s="70"/>
      <c r="E1027" s="73"/>
      <c r="F1027" s="9"/>
      <c r="H1027" s="9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4"/>
      <c r="U1027" s="10"/>
      <c r="V1027" s="10"/>
      <c r="W1027" s="10"/>
      <c r="X1027" s="7"/>
      <c r="Y1027" s="7"/>
      <c r="Z1027" s="34"/>
      <c r="AA1027" s="34"/>
      <c r="AB1027" s="7"/>
      <c r="AC1027" s="34"/>
      <c r="AD1027" s="10"/>
      <c r="AF1027"/>
    </row>
    <row r="1028" spans="1:32" x14ac:dyDescent="0.25">
      <c r="A1028" s="7"/>
      <c r="C1028" s="70"/>
      <c r="D1028" s="70"/>
      <c r="E1028" s="79"/>
      <c r="F1028" s="55"/>
      <c r="G1028" s="55"/>
      <c r="H1028" s="55"/>
      <c r="I1028" s="10"/>
      <c r="J1028" s="10"/>
      <c r="K1028" s="24"/>
      <c r="L1028" s="10"/>
      <c r="M1028" s="10"/>
      <c r="N1028" s="10"/>
      <c r="O1028" s="10"/>
      <c r="P1028" s="10"/>
      <c r="Q1028" s="10"/>
      <c r="R1028" s="10"/>
      <c r="S1028" s="10"/>
      <c r="T1028" s="14"/>
      <c r="U1028" s="10"/>
      <c r="V1028" s="10"/>
      <c r="W1028" s="10"/>
      <c r="X1028" s="7"/>
      <c r="Y1028" s="7"/>
      <c r="Z1028" s="7"/>
      <c r="AA1028" s="34"/>
      <c r="AB1028" s="7"/>
      <c r="AC1028" s="34"/>
      <c r="AD1028" s="10"/>
      <c r="AF1028"/>
    </row>
    <row r="1029" spans="1:32" x14ac:dyDescent="0.25">
      <c r="A1029" s="7"/>
      <c r="C1029" s="70"/>
      <c r="D1029" s="70"/>
      <c r="E1029" s="73"/>
      <c r="F1029" s="9"/>
      <c r="H1029" s="9"/>
      <c r="I1029" s="10"/>
      <c r="J1029" s="7"/>
      <c r="K1029" s="7"/>
      <c r="L1029" s="10"/>
      <c r="M1029" s="10"/>
      <c r="N1029" s="10"/>
      <c r="O1029" s="10"/>
      <c r="P1029" s="10"/>
      <c r="Q1029" s="10"/>
      <c r="R1029" s="10"/>
      <c r="S1029" s="10"/>
      <c r="T1029" s="14"/>
      <c r="U1029" s="10"/>
      <c r="V1029" s="10"/>
      <c r="W1029" s="10"/>
      <c r="X1029" s="7"/>
      <c r="Y1029" s="7"/>
      <c r="Z1029" s="7"/>
      <c r="AA1029" s="34"/>
      <c r="AB1029" s="7"/>
      <c r="AC1029" s="34"/>
      <c r="AD1029" s="10"/>
      <c r="AF1029"/>
    </row>
    <row r="1030" spans="1:32" x14ac:dyDescent="0.25">
      <c r="A1030" s="7"/>
      <c r="C1030" s="70"/>
      <c r="D1030" s="70"/>
      <c r="E1030" s="73"/>
      <c r="F1030" s="9"/>
      <c r="H1030" s="9"/>
      <c r="I1030" s="10"/>
      <c r="J1030" s="7"/>
      <c r="K1030" s="7"/>
      <c r="L1030" s="10"/>
      <c r="M1030" s="10"/>
      <c r="N1030" s="10"/>
      <c r="O1030" s="10"/>
      <c r="P1030" s="10"/>
      <c r="Q1030" s="10"/>
      <c r="R1030" s="10"/>
      <c r="S1030" s="10"/>
      <c r="T1030" s="14"/>
      <c r="U1030" s="10"/>
      <c r="V1030" s="10"/>
      <c r="W1030" s="10"/>
      <c r="X1030" s="7"/>
      <c r="Y1030" s="7"/>
      <c r="Z1030" s="7"/>
      <c r="AA1030" s="34"/>
      <c r="AB1030" s="7"/>
      <c r="AC1030" s="34"/>
      <c r="AD1030" s="10"/>
      <c r="AF1030"/>
    </row>
    <row r="1031" spans="1:32" x14ac:dyDescent="0.25">
      <c r="A1031" s="7"/>
      <c r="C1031" s="70"/>
      <c r="D1031" s="70"/>
      <c r="E1031" s="73"/>
      <c r="F1031" s="9"/>
      <c r="H1031" s="9"/>
      <c r="I1031" s="10"/>
      <c r="J1031" s="7"/>
      <c r="K1031" s="7"/>
      <c r="L1031" s="10"/>
      <c r="M1031" s="34"/>
      <c r="N1031" s="10"/>
      <c r="O1031" s="10"/>
      <c r="P1031" s="10"/>
      <c r="Q1031" s="10"/>
      <c r="R1031" s="10"/>
      <c r="S1031" s="10"/>
      <c r="T1031" s="14"/>
      <c r="U1031" s="10"/>
      <c r="V1031" s="10"/>
      <c r="W1031" s="10"/>
      <c r="X1031" s="7"/>
      <c r="Y1031" s="7"/>
      <c r="Z1031" s="7"/>
      <c r="AA1031" s="34"/>
      <c r="AB1031" s="7"/>
      <c r="AC1031" s="34"/>
      <c r="AD1031" s="10"/>
      <c r="AF1031"/>
    </row>
    <row r="1032" spans="1:32" x14ac:dyDescent="0.25">
      <c r="A1032" s="7"/>
      <c r="C1032" s="70"/>
      <c r="D1032" s="70"/>
      <c r="E1032" s="73"/>
      <c r="F1032" s="9"/>
      <c r="H1032" s="9"/>
      <c r="I1032" s="10"/>
      <c r="J1032" s="10"/>
      <c r="K1032" s="7"/>
      <c r="L1032" s="10"/>
      <c r="M1032" s="10"/>
      <c r="N1032" s="10"/>
      <c r="O1032" s="10"/>
      <c r="P1032" s="10"/>
      <c r="Q1032" s="10"/>
      <c r="R1032" s="10"/>
      <c r="S1032" s="10"/>
      <c r="T1032" s="14"/>
      <c r="U1032" s="10"/>
      <c r="V1032" s="10"/>
      <c r="W1032" s="10"/>
      <c r="X1032" s="7"/>
      <c r="Y1032" s="7"/>
      <c r="Z1032" s="7"/>
      <c r="AA1032" s="34"/>
      <c r="AB1032" s="7"/>
      <c r="AC1032" s="34"/>
      <c r="AD1032" s="10"/>
      <c r="AF1032"/>
    </row>
    <row r="1033" spans="1:32" x14ac:dyDescent="0.25">
      <c r="A1033" s="7"/>
      <c r="C1033" s="70"/>
      <c r="D1033" s="70"/>
      <c r="E1033" s="73"/>
      <c r="F1033" s="9"/>
      <c r="H1033" s="9"/>
      <c r="I1033" s="10"/>
      <c r="J1033" s="10"/>
      <c r="K1033" s="7"/>
      <c r="L1033" s="10"/>
      <c r="M1033" s="10"/>
      <c r="N1033" s="10"/>
      <c r="O1033" s="10"/>
      <c r="P1033" s="10"/>
      <c r="Q1033" s="10"/>
      <c r="R1033" s="10"/>
      <c r="S1033" s="10"/>
      <c r="T1033" s="14"/>
      <c r="U1033" s="10"/>
      <c r="V1033" s="10"/>
      <c r="W1033" s="10"/>
      <c r="X1033" s="7"/>
      <c r="Y1033" s="7"/>
      <c r="Z1033" s="7"/>
      <c r="AA1033" s="34"/>
      <c r="AB1033" s="7"/>
      <c r="AC1033" s="34"/>
      <c r="AD1033" s="10"/>
      <c r="AF1033"/>
    </row>
    <row r="1034" spans="1:32" x14ac:dyDescent="0.25">
      <c r="A1034" s="7"/>
      <c r="C1034" s="70"/>
      <c r="D1034" s="70"/>
      <c r="E1034" s="73"/>
      <c r="F1034" s="9"/>
      <c r="H1034" s="9"/>
      <c r="I1034" s="10"/>
      <c r="J1034" s="10"/>
      <c r="K1034" s="7"/>
      <c r="L1034" s="10"/>
      <c r="M1034" s="10"/>
      <c r="N1034" s="10"/>
      <c r="O1034" s="10"/>
      <c r="P1034" s="10"/>
      <c r="Q1034" s="10"/>
      <c r="R1034" s="10"/>
      <c r="S1034" s="10"/>
      <c r="T1034" s="14"/>
      <c r="U1034" s="10"/>
      <c r="V1034" s="10"/>
      <c r="W1034" s="10"/>
      <c r="X1034" s="7"/>
      <c r="Y1034" s="7"/>
      <c r="Z1034" s="7"/>
      <c r="AA1034" s="34"/>
      <c r="AB1034" s="7"/>
      <c r="AC1034" s="34"/>
      <c r="AD1034" s="10"/>
      <c r="AF1034"/>
    </row>
    <row r="1035" spans="1:32" x14ac:dyDescent="0.25">
      <c r="A1035" s="7"/>
      <c r="C1035" s="70"/>
      <c r="D1035" s="70"/>
      <c r="E1035" s="73"/>
      <c r="F1035" s="9"/>
      <c r="H1035" s="9"/>
      <c r="I1035" s="10"/>
      <c r="J1035" s="7"/>
      <c r="K1035" s="7"/>
      <c r="L1035" s="10"/>
      <c r="M1035" s="10"/>
      <c r="N1035" s="10"/>
      <c r="O1035" s="10"/>
      <c r="P1035" s="10"/>
      <c r="Q1035" s="10"/>
      <c r="R1035" s="10"/>
      <c r="S1035" s="10"/>
      <c r="T1035" s="14"/>
      <c r="U1035" s="10"/>
      <c r="V1035" s="10"/>
      <c r="W1035" s="10"/>
      <c r="X1035" s="7"/>
      <c r="Y1035" s="7"/>
      <c r="Z1035" s="7"/>
      <c r="AA1035" s="34"/>
      <c r="AB1035" s="7"/>
      <c r="AC1035" s="34"/>
      <c r="AD1035" s="10"/>
      <c r="AF1035"/>
    </row>
    <row r="1036" spans="1:32" x14ac:dyDescent="0.25">
      <c r="A1036" s="7"/>
      <c r="C1036" s="70"/>
      <c r="D1036" s="70"/>
      <c r="E1036" s="73"/>
      <c r="F1036" s="9"/>
      <c r="H1036" s="9"/>
      <c r="I1036" s="10"/>
      <c r="J1036" s="7"/>
      <c r="K1036" s="24"/>
      <c r="L1036" s="10"/>
      <c r="M1036" s="10"/>
      <c r="N1036" s="10"/>
      <c r="O1036" s="10"/>
      <c r="P1036" s="10"/>
      <c r="Q1036" s="10"/>
      <c r="R1036" s="10"/>
      <c r="S1036" s="10"/>
      <c r="T1036" s="14"/>
      <c r="U1036" s="10"/>
      <c r="V1036" s="10"/>
      <c r="W1036" s="10"/>
      <c r="X1036" s="7"/>
      <c r="Y1036" s="7"/>
      <c r="Z1036" s="7"/>
      <c r="AA1036" s="34"/>
      <c r="AB1036" s="7"/>
      <c r="AC1036" s="34"/>
      <c r="AD1036" s="10"/>
      <c r="AF1036"/>
    </row>
    <row r="1037" spans="1:32" x14ac:dyDescent="0.25">
      <c r="A1037" s="7"/>
      <c r="C1037" s="70"/>
      <c r="D1037" s="70"/>
      <c r="E1037" s="73"/>
      <c r="F1037" s="9"/>
      <c r="H1037" s="9"/>
      <c r="I1037" s="10"/>
      <c r="J1037" s="7"/>
      <c r="K1037" s="7"/>
      <c r="L1037" s="10"/>
      <c r="M1037" s="10"/>
      <c r="N1037" s="10"/>
      <c r="O1037" s="10"/>
      <c r="P1037" s="10"/>
      <c r="Q1037" s="10"/>
      <c r="R1037" s="10"/>
      <c r="S1037" s="10"/>
      <c r="T1037" s="14"/>
      <c r="U1037" s="10"/>
      <c r="V1037" s="10"/>
      <c r="W1037" s="10"/>
      <c r="X1037" s="7"/>
      <c r="Y1037" s="7"/>
      <c r="Z1037" s="7"/>
      <c r="AA1037" s="34"/>
      <c r="AB1037" s="7"/>
      <c r="AC1037" s="34"/>
      <c r="AD1037" s="10"/>
      <c r="AF1037"/>
    </row>
    <row r="1038" spans="1:32" x14ac:dyDescent="0.25">
      <c r="A1038" s="7"/>
      <c r="C1038" s="70"/>
      <c r="D1038" s="70"/>
      <c r="E1038" s="73"/>
      <c r="F1038" s="9"/>
      <c r="H1038" s="9"/>
      <c r="I1038" s="10"/>
      <c r="J1038" s="7"/>
      <c r="K1038" s="7"/>
      <c r="L1038" s="10"/>
      <c r="M1038" s="10"/>
      <c r="N1038" s="10"/>
      <c r="O1038" s="10"/>
      <c r="P1038" s="10"/>
      <c r="Q1038" s="10"/>
      <c r="R1038" s="10"/>
      <c r="S1038" s="10"/>
      <c r="T1038" s="14"/>
      <c r="U1038" s="10"/>
      <c r="V1038" s="10"/>
      <c r="W1038" s="10"/>
      <c r="X1038" s="7"/>
      <c r="Y1038" s="34"/>
      <c r="Z1038" s="34"/>
      <c r="AA1038" s="34"/>
      <c r="AB1038" s="7"/>
      <c r="AC1038" s="34"/>
      <c r="AD1038" s="10"/>
      <c r="AF1038"/>
    </row>
    <row r="1039" spans="1:32" x14ac:dyDescent="0.25">
      <c r="A1039" s="7"/>
      <c r="C1039" s="70"/>
      <c r="D1039" s="70"/>
      <c r="E1039" s="73"/>
      <c r="F1039" s="9"/>
      <c r="H1039" s="9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4"/>
      <c r="U1039" s="10"/>
      <c r="V1039" s="10"/>
      <c r="W1039" s="10"/>
      <c r="X1039" s="7"/>
      <c r="Y1039" s="34"/>
      <c r="Z1039" s="7"/>
      <c r="AA1039" s="34"/>
      <c r="AB1039" s="7"/>
      <c r="AC1039" s="34"/>
      <c r="AD1039" s="10"/>
      <c r="AF1039"/>
    </row>
    <row r="1040" spans="1:32" x14ac:dyDescent="0.25">
      <c r="A1040" s="7"/>
      <c r="C1040" s="70"/>
      <c r="D1040" s="70"/>
      <c r="E1040" s="73"/>
      <c r="F1040" s="9"/>
      <c r="H1040" s="9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4"/>
      <c r="U1040" s="10"/>
      <c r="V1040" s="10"/>
      <c r="W1040" s="10"/>
      <c r="X1040" s="7"/>
      <c r="Y1040" s="7"/>
      <c r="Z1040" s="7"/>
      <c r="AA1040" s="34"/>
      <c r="AB1040" s="7"/>
      <c r="AC1040" s="34"/>
      <c r="AD1040" s="10"/>
      <c r="AF1040"/>
    </row>
    <row r="1041" spans="1:32" x14ac:dyDescent="0.25">
      <c r="A1041" s="43"/>
      <c r="C1041" s="70"/>
      <c r="D1041" s="70"/>
      <c r="E1041" s="73"/>
      <c r="F1041" s="9"/>
      <c r="H1041" s="9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4"/>
      <c r="U1041" s="10"/>
      <c r="V1041" s="10"/>
      <c r="W1041" s="10"/>
      <c r="X1041" s="7"/>
      <c r="Y1041" s="7"/>
      <c r="Z1041" s="7"/>
      <c r="AA1041" s="34"/>
      <c r="AB1041" s="7"/>
      <c r="AC1041" s="34"/>
      <c r="AD1041" s="10"/>
      <c r="AF1041"/>
    </row>
    <row r="1042" spans="1:32" x14ac:dyDescent="0.25">
      <c r="A1042" s="7"/>
      <c r="C1042" s="70"/>
      <c r="D1042" s="70"/>
      <c r="E1042" s="73"/>
      <c r="F1042" s="9"/>
      <c r="H1042" s="9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4"/>
      <c r="U1042" s="10"/>
      <c r="V1042" s="10"/>
      <c r="W1042" s="10"/>
      <c r="X1042" s="7"/>
      <c r="Y1042" s="7"/>
      <c r="Z1042" s="34"/>
      <c r="AA1042" s="34"/>
      <c r="AB1042" s="7"/>
      <c r="AC1042" s="34"/>
      <c r="AD1042" s="10"/>
      <c r="AF1042"/>
    </row>
    <row r="1043" spans="1:32" x14ac:dyDescent="0.25">
      <c r="A1043" s="7"/>
      <c r="C1043" s="70"/>
      <c r="D1043" s="70"/>
      <c r="E1043" s="73"/>
      <c r="F1043" s="45"/>
      <c r="H1043" s="9"/>
      <c r="I1043" s="10"/>
      <c r="J1043" s="7"/>
      <c r="K1043" s="7"/>
      <c r="L1043" s="10"/>
      <c r="M1043" s="10"/>
      <c r="N1043" s="10"/>
      <c r="O1043" s="10"/>
      <c r="P1043" s="10"/>
      <c r="Q1043" s="10"/>
      <c r="R1043" s="10"/>
      <c r="S1043" s="10"/>
      <c r="T1043" s="14"/>
      <c r="U1043" s="10"/>
      <c r="V1043" s="10"/>
      <c r="W1043" s="10"/>
      <c r="X1043" s="7"/>
      <c r="Y1043" s="34"/>
      <c r="Z1043" s="7"/>
      <c r="AA1043" s="34"/>
      <c r="AB1043" s="7"/>
      <c r="AC1043" s="34"/>
      <c r="AD1043" s="10"/>
      <c r="AF1043"/>
    </row>
    <row r="1044" spans="1:32" x14ac:dyDescent="0.25">
      <c r="A1044" s="7"/>
      <c r="C1044" s="70"/>
      <c r="D1044" s="70"/>
      <c r="E1044" s="73"/>
      <c r="F1044" s="9"/>
      <c r="H1044" s="9"/>
      <c r="I1044" s="10"/>
      <c r="J1044" s="7"/>
      <c r="K1044" s="7"/>
      <c r="L1044" s="10"/>
      <c r="M1044" s="10"/>
      <c r="N1044" s="10"/>
      <c r="O1044" s="10"/>
      <c r="P1044" s="10"/>
      <c r="Q1044" s="10"/>
      <c r="R1044" s="10"/>
      <c r="S1044" s="10"/>
      <c r="T1044" s="14"/>
      <c r="U1044" s="10"/>
      <c r="V1044" s="10"/>
      <c r="W1044" s="10"/>
      <c r="X1044" s="7"/>
      <c r="Y1044" s="7"/>
      <c r="Z1044" s="7"/>
      <c r="AA1044" s="34"/>
      <c r="AB1044" s="7"/>
      <c r="AC1044" s="34"/>
      <c r="AD1044" s="10"/>
      <c r="AF1044"/>
    </row>
    <row r="1045" spans="1:32" x14ac:dyDescent="0.25">
      <c r="A1045" s="7"/>
      <c r="C1045" s="70"/>
      <c r="D1045" s="70"/>
      <c r="E1045" s="73"/>
      <c r="F1045" s="9"/>
      <c r="H1045" s="9"/>
      <c r="I1045" s="10"/>
      <c r="J1045" s="10"/>
      <c r="K1045" s="7"/>
      <c r="L1045" s="10"/>
      <c r="M1045" s="10"/>
      <c r="N1045" s="10"/>
      <c r="O1045" s="10"/>
      <c r="P1045" s="10"/>
      <c r="Q1045" s="10"/>
      <c r="R1045" s="10"/>
      <c r="S1045" s="10"/>
      <c r="T1045" s="14"/>
      <c r="U1045" s="10"/>
      <c r="V1045" s="10"/>
      <c r="W1045" s="10"/>
      <c r="X1045" s="7"/>
      <c r="Y1045" s="7"/>
      <c r="Z1045" s="7"/>
      <c r="AA1045" s="34"/>
      <c r="AB1045" s="7"/>
      <c r="AC1045" s="34"/>
      <c r="AD1045" s="10"/>
      <c r="AF1045"/>
    </row>
    <row r="1046" spans="1:32" x14ac:dyDescent="0.25">
      <c r="A1046" s="7"/>
      <c r="C1046" s="70"/>
      <c r="D1046" s="70"/>
      <c r="E1046" s="73"/>
      <c r="F1046" s="9"/>
      <c r="H1046" s="9"/>
      <c r="I1046" s="10"/>
      <c r="J1046" s="10"/>
      <c r="K1046" s="7"/>
      <c r="L1046" s="10"/>
      <c r="M1046" s="10"/>
      <c r="N1046" s="10"/>
      <c r="O1046" s="10"/>
      <c r="P1046" s="10"/>
      <c r="Q1046" s="10"/>
      <c r="R1046" s="10"/>
      <c r="S1046" s="10"/>
      <c r="T1046" s="14"/>
      <c r="U1046" s="10"/>
      <c r="V1046" s="10"/>
      <c r="W1046" s="10"/>
      <c r="X1046" s="7"/>
      <c r="Y1046" s="7"/>
      <c r="Z1046" s="7"/>
      <c r="AA1046" s="34"/>
      <c r="AB1046" s="7"/>
      <c r="AC1046" s="34"/>
      <c r="AD1046" s="10"/>
      <c r="AF1046"/>
    </row>
    <row r="1047" spans="1:32" x14ac:dyDescent="0.25">
      <c r="A1047" s="7"/>
      <c r="C1047" s="70"/>
      <c r="D1047" s="70"/>
      <c r="E1047" s="73"/>
      <c r="F1047" s="9"/>
      <c r="H1047" s="9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4"/>
      <c r="U1047" s="10"/>
      <c r="V1047" s="10"/>
      <c r="W1047" s="10"/>
      <c r="X1047" s="7"/>
      <c r="Y1047" s="7"/>
      <c r="Z1047" s="7"/>
      <c r="AA1047" s="34"/>
      <c r="AB1047" s="7"/>
      <c r="AC1047" s="34"/>
      <c r="AD1047" s="10"/>
      <c r="AF1047"/>
    </row>
    <row r="1048" spans="1:32" x14ac:dyDescent="0.25">
      <c r="A1048" s="7"/>
      <c r="C1048" s="70"/>
      <c r="D1048" s="70"/>
      <c r="E1048" s="73"/>
      <c r="F1048" s="9"/>
      <c r="H1048" s="9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4"/>
      <c r="U1048" s="10"/>
      <c r="V1048" s="10"/>
      <c r="W1048" s="10"/>
      <c r="X1048" s="7"/>
      <c r="Y1048" s="7"/>
      <c r="Z1048" s="7"/>
      <c r="AA1048" s="34"/>
      <c r="AB1048" s="7"/>
      <c r="AC1048" s="34"/>
      <c r="AD1048" s="10"/>
      <c r="AF1048"/>
    </row>
    <row r="1049" spans="1:32" x14ac:dyDescent="0.25">
      <c r="A1049" s="7"/>
      <c r="C1049" s="70"/>
      <c r="D1049" s="70"/>
      <c r="E1049" s="73"/>
      <c r="F1049" s="9"/>
      <c r="H1049" s="9"/>
      <c r="I1049" s="10"/>
      <c r="J1049" s="7"/>
      <c r="K1049" s="7"/>
      <c r="L1049" s="10"/>
      <c r="M1049" s="10"/>
      <c r="N1049" s="10"/>
      <c r="O1049" s="10"/>
      <c r="P1049" s="10"/>
      <c r="Q1049" s="10"/>
      <c r="R1049" s="10"/>
      <c r="S1049" s="10"/>
      <c r="T1049" s="14"/>
      <c r="U1049" s="10"/>
      <c r="V1049" s="10"/>
      <c r="W1049" s="10"/>
      <c r="X1049" s="7"/>
      <c r="Y1049" s="7"/>
      <c r="Z1049" s="7"/>
      <c r="AA1049" s="34"/>
      <c r="AB1049" s="7"/>
      <c r="AC1049" s="34"/>
      <c r="AD1049" s="10"/>
      <c r="AF1049"/>
    </row>
    <row r="1050" spans="1:32" x14ac:dyDescent="0.25">
      <c r="A1050" s="7"/>
      <c r="C1050" s="70"/>
      <c r="D1050" s="70"/>
      <c r="E1050" s="73"/>
      <c r="F1050" s="9"/>
      <c r="H1050" s="9"/>
      <c r="I1050" s="10"/>
      <c r="J1050" s="7"/>
      <c r="K1050" s="24"/>
      <c r="L1050" s="10"/>
      <c r="M1050" s="10"/>
      <c r="N1050" s="10"/>
      <c r="O1050" s="10"/>
      <c r="P1050" s="10"/>
      <c r="Q1050" s="10"/>
      <c r="R1050" s="10"/>
      <c r="S1050" s="10"/>
      <c r="T1050" s="14"/>
      <c r="U1050" s="10"/>
      <c r="V1050" s="10"/>
      <c r="W1050" s="10"/>
      <c r="X1050" s="7"/>
      <c r="Y1050" s="7"/>
      <c r="Z1050" s="7"/>
      <c r="AA1050" s="34"/>
      <c r="AB1050" s="7"/>
      <c r="AC1050" s="34"/>
      <c r="AD1050" s="10"/>
      <c r="AF1050"/>
    </row>
    <row r="1051" spans="1:32" x14ac:dyDescent="0.25">
      <c r="A1051" s="7"/>
      <c r="C1051" s="70"/>
      <c r="D1051" s="70"/>
      <c r="E1051" s="73"/>
      <c r="F1051" s="9"/>
      <c r="H1051" s="9"/>
      <c r="I1051" s="10"/>
      <c r="J1051" s="7"/>
      <c r="K1051" s="24"/>
      <c r="L1051" s="10"/>
      <c r="M1051" s="10"/>
      <c r="N1051" s="10"/>
      <c r="O1051" s="10"/>
      <c r="P1051" s="10"/>
      <c r="Q1051" s="10"/>
      <c r="R1051" s="10"/>
      <c r="S1051" s="10"/>
      <c r="T1051" s="14"/>
      <c r="U1051" s="10"/>
      <c r="V1051" s="10"/>
      <c r="W1051" s="10"/>
      <c r="X1051" s="7"/>
      <c r="Y1051" s="7"/>
      <c r="Z1051" s="7"/>
      <c r="AA1051" s="34"/>
      <c r="AB1051" s="7"/>
      <c r="AC1051" s="34"/>
      <c r="AD1051" s="10"/>
      <c r="AF1051"/>
    </row>
    <row r="1052" spans="1:32" x14ac:dyDescent="0.25">
      <c r="A1052" s="7"/>
      <c r="C1052" s="70"/>
      <c r="D1052" s="70"/>
      <c r="E1052" s="73"/>
      <c r="F1052" s="9"/>
      <c r="H1052" s="9"/>
      <c r="I1052" s="10"/>
      <c r="J1052" s="7"/>
      <c r="K1052" s="7"/>
      <c r="L1052" s="10"/>
      <c r="M1052" s="10"/>
      <c r="N1052" s="10"/>
      <c r="O1052" s="10"/>
      <c r="P1052" s="10"/>
      <c r="Q1052" s="10"/>
      <c r="R1052" s="10"/>
      <c r="S1052" s="10"/>
      <c r="T1052" s="14"/>
      <c r="U1052" s="10"/>
      <c r="V1052" s="10"/>
      <c r="W1052" s="10"/>
      <c r="X1052" s="7"/>
      <c r="Y1052" s="7"/>
      <c r="Z1052" s="7"/>
      <c r="AA1052" s="34"/>
      <c r="AB1052" s="7"/>
      <c r="AC1052" s="34"/>
      <c r="AD1052" s="10"/>
      <c r="AF1052"/>
    </row>
    <row r="1053" spans="1:32" x14ac:dyDescent="0.25">
      <c r="A1053" s="7"/>
      <c r="C1053" s="70"/>
      <c r="D1053" s="70"/>
      <c r="E1053" s="73"/>
      <c r="F1053" s="48"/>
      <c r="H1053" s="9"/>
      <c r="I1053" s="10"/>
      <c r="J1053" s="7"/>
      <c r="K1053" s="7"/>
      <c r="L1053" s="10"/>
      <c r="M1053" s="10"/>
      <c r="N1053" s="10"/>
      <c r="O1053" s="10"/>
      <c r="P1053" s="10"/>
      <c r="Q1053" s="10"/>
      <c r="R1053" s="10"/>
      <c r="S1053" s="10"/>
      <c r="T1053" s="14"/>
      <c r="U1053" s="10"/>
      <c r="V1053" s="10"/>
      <c r="W1053" s="10"/>
      <c r="X1053" s="7"/>
      <c r="Y1053" s="34"/>
      <c r="Z1053" s="7"/>
      <c r="AA1053" s="34"/>
      <c r="AB1053" s="7"/>
      <c r="AC1053" s="34"/>
      <c r="AD1053" s="10"/>
      <c r="AF1053"/>
    </row>
    <row r="1054" spans="1:32" x14ac:dyDescent="0.25">
      <c r="A1054" s="7"/>
      <c r="C1054" s="70"/>
      <c r="D1054" s="70"/>
      <c r="E1054" s="73"/>
      <c r="F1054" s="9"/>
      <c r="H1054" s="9"/>
      <c r="I1054" s="10"/>
      <c r="J1054" s="7"/>
      <c r="K1054" s="7"/>
      <c r="L1054" s="10"/>
      <c r="M1054" s="10"/>
      <c r="N1054" s="10"/>
      <c r="O1054" s="10"/>
      <c r="P1054" s="10"/>
      <c r="Q1054" s="10"/>
      <c r="R1054" s="10"/>
      <c r="S1054" s="10"/>
      <c r="T1054" s="14"/>
      <c r="U1054" s="10"/>
      <c r="V1054" s="10"/>
      <c r="W1054" s="10"/>
      <c r="X1054" s="7"/>
      <c r="Y1054" s="7"/>
      <c r="Z1054" s="7"/>
      <c r="AA1054" s="34"/>
      <c r="AB1054" s="7"/>
      <c r="AC1054" s="34"/>
      <c r="AD1054" s="10"/>
      <c r="AF1054"/>
    </row>
    <row r="1055" spans="1:32" x14ac:dyDescent="0.25">
      <c r="A1055" s="7"/>
      <c r="C1055" s="70"/>
      <c r="D1055" s="70"/>
      <c r="E1055" s="73"/>
      <c r="F1055" s="9"/>
      <c r="H1055" s="9"/>
      <c r="I1055" s="10"/>
      <c r="J1055" s="7"/>
      <c r="K1055" s="7"/>
      <c r="L1055" s="10"/>
      <c r="M1055" s="10"/>
      <c r="N1055" s="10"/>
      <c r="O1055" s="10"/>
      <c r="P1055" s="10"/>
      <c r="Q1055" s="10"/>
      <c r="R1055" s="10"/>
      <c r="S1055" s="10"/>
      <c r="T1055" s="14"/>
      <c r="U1055" s="10"/>
      <c r="V1055" s="10"/>
      <c r="W1055" s="10"/>
      <c r="X1055" s="7"/>
      <c r="Y1055" s="7"/>
      <c r="Z1055" s="7"/>
      <c r="AA1055" s="34"/>
      <c r="AB1055" s="7"/>
      <c r="AC1055" s="34"/>
      <c r="AD1055" s="10"/>
      <c r="AF1055"/>
    </row>
    <row r="1056" spans="1:32" x14ac:dyDescent="0.25">
      <c r="A1056" s="7"/>
      <c r="C1056" s="70"/>
      <c r="D1056" s="70"/>
      <c r="E1056" s="73"/>
      <c r="F1056" s="9"/>
      <c r="H1056" s="9"/>
      <c r="I1056" s="10"/>
      <c r="J1056" s="10"/>
      <c r="K1056" s="7"/>
      <c r="L1056" s="10"/>
      <c r="M1056" s="10"/>
      <c r="N1056" s="10"/>
      <c r="O1056" s="10"/>
      <c r="P1056" s="10"/>
      <c r="Q1056" s="10"/>
      <c r="R1056" s="10"/>
      <c r="S1056" s="10"/>
      <c r="T1056" s="14"/>
      <c r="U1056" s="10"/>
      <c r="V1056" s="10"/>
      <c r="W1056" s="10"/>
      <c r="X1056" s="7"/>
      <c r="Y1056" s="7"/>
      <c r="Z1056" s="7"/>
      <c r="AA1056" s="34"/>
      <c r="AB1056" s="7"/>
      <c r="AC1056" s="34"/>
      <c r="AD1056" s="10"/>
      <c r="AF1056"/>
    </row>
    <row r="1057" spans="1:32" x14ac:dyDescent="0.25">
      <c r="A1057" s="7"/>
      <c r="C1057" s="70"/>
      <c r="D1057" s="70"/>
      <c r="E1057" s="73"/>
      <c r="F1057" s="9"/>
      <c r="H1057" s="9"/>
      <c r="I1057" s="10"/>
      <c r="J1057" s="7"/>
      <c r="K1057" s="7"/>
      <c r="L1057" s="10"/>
      <c r="M1057" s="10"/>
      <c r="N1057" s="10"/>
      <c r="O1057" s="10"/>
      <c r="P1057" s="10"/>
      <c r="Q1057" s="10"/>
      <c r="R1057" s="10"/>
      <c r="S1057" s="10"/>
      <c r="T1057" s="14"/>
      <c r="U1057" s="10"/>
      <c r="V1057" s="10"/>
      <c r="W1057" s="10"/>
      <c r="X1057" s="7"/>
      <c r="Y1057" s="7"/>
      <c r="Z1057" s="7"/>
      <c r="AA1057" s="34"/>
      <c r="AB1057" s="7"/>
      <c r="AC1057" s="34"/>
      <c r="AD1057" s="10"/>
      <c r="AF1057"/>
    </row>
    <row r="1058" spans="1:32" x14ac:dyDescent="0.25">
      <c r="A1058" s="7"/>
      <c r="C1058" s="70"/>
      <c r="D1058" s="70"/>
      <c r="E1058" s="73"/>
      <c r="F1058" s="9"/>
      <c r="H1058" s="9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4"/>
      <c r="U1058" s="10"/>
      <c r="V1058" s="10"/>
      <c r="W1058" s="10"/>
      <c r="X1058" s="7"/>
      <c r="Y1058" s="7"/>
      <c r="Z1058" s="7"/>
      <c r="AA1058" s="34"/>
      <c r="AB1058" s="7"/>
      <c r="AC1058" s="34"/>
      <c r="AD1058" s="10"/>
      <c r="AF1058"/>
    </row>
    <row r="1059" spans="1:32" x14ac:dyDescent="0.25">
      <c r="A1059" s="7"/>
      <c r="C1059" s="70"/>
      <c r="D1059" s="70"/>
      <c r="E1059" s="73"/>
      <c r="F1059" s="9"/>
      <c r="H1059" s="9"/>
      <c r="I1059" s="10"/>
      <c r="J1059" s="7"/>
      <c r="K1059" s="7"/>
      <c r="L1059" s="10"/>
      <c r="M1059" s="10"/>
      <c r="N1059" s="10"/>
      <c r="O1059" s="10"/>
      <c r="P1059" s="10"/>
      <c r="Q1059" s="10"/>
      <c r="R1059" s="10"/>
      <c r="S1059" s="10"/>
      <c r="T1059" s="14"/>
      <c r="U1059" s="10"/>
      <c r="V1059" s="10"/>
      <c r="W1059" s="10"/>
      <c r="X1059" s="7"/>
      <c r="Y1059" s="7"/>
      <c r="Z1059" s="7"/>
      <c r="AA1059" s="34"/>
      <c r="AB1059" s="7"/>
      <c r="AC1059" s="34"/>
      <c r="AD1059" s="10"/>
      <c r="AF1059"/>
    </row>
    <row r="1060" spans="1:32" x14ac:dyDescent="0.25">
      <c r="A1060" s="7"/>
      <c r="C1060" s="70"/>
      <c r="D1060" s="70"/>
      <c r="E1060" s="73"/>
      <c r="F1060" s="9"/>
      <c r="H1060" s="9"/>
      <c r="I1060" s="10"/>
      <c r="J1060" s="7"/>
      <c r="K1060" s="10"/>
      <c r="L1060" s="10"/>
      <c r="M1060" s="10"/>
      <c r="N1060" s="10"/>
      <c r="O1060" s="10"/>
      <c r="P1060" s="10"/>
      <c r="Q1060" s="10"/>
      <c r="R1060" s="10"/>
      <c r="S1060" s="10"/>
      <c r="T1060" s="14"/>
      <c r="U1060" s="10"/>
      <c r="V1060" s="10"/>
      <c r="W1060" s="10"/>
      <c r="X1060" s="7"/>
      <c r="Y1060" s="7"/>
      <c r="Z1060" s="34"/>
      <c r="AA1060" s="34"/>
      <c r="AB1060" s="7"/>
      <c r="AC1060" s="34"/>
      <c r="AD1060" s="10"/>
      <c r="AF1060"/>
    </row>
    <row r="1061" spans="1:32" x14ac:dyDescent="0.25">
      <c r="A1061" s="7"/>
      <c r="C1061" s="70"/>
      <c r="D1061" s="70"/>
      <c r="E1061" s="73"/>
      <c r="F1061" s="9"/>
      <c r="H1061" s="9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4"/>
      <c r="U1061" s="10"/>
      <c r="V1061" s="10"/>
      <c r="W1061" s="10"/>
      <c r="X1061" s="7"/>
      <c r="Y1061" s="7"/>
      <c r="Z1061" s="34"/>
      <c r="AA1061" s="34"/>
      <c r="AB1061" s="7"/>
      <c r="AC1061" s="34"/>
      <c r="AD1061" s="10"/>
      <c r="AF1061"/>
    </row>
    <row r="1062" spans="1:32" x14ac:dyDescent="0.25">
      <c r="A1062" s="7"/>
      <c r="C1062" s="70"/>
      <c r="D1062" s="70"/>
      <c r="E1062" s="73"/>
      <c r="F1062" s="45"/>
      <c r="H1062" s="9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4"/>
      <c r="U1062" s="10"/>
      <c r="V1062" s="10"/>
      <c r="W1062" s="10"/>
      <c r="X1062" s="7"/>
      <c r="Y1062" s="34"/>
      <c r="Z1062" s="7"/>
      <c r="AA1062" s="34"/>
      <c r="AB1062" s="7"/>
      <c r="AC1062" s="34"/>
      <c r="AD1062" s="10"/>
      <c r="AF1062"/>
    </row>
    <row r="1063" spans="1:32" x14ac:dyDescent="0.25">
      <c r="A1063" s="7"/>
      <c r="C1063" s="70"/>
      <c r="D1063" s="70"/>
      <c r="E1063" s="73"/>
      <c r="F1063" s="45"/>
      <c r="H1063" s="9"/>
      <c r="I1063" s="10"/>
      <c r="J1063" s="7"/>
      <c r="K1063" s="7"/>
      <c r="L1063" s="10"/>
      <c r="M1063" s="10"/>
      <c r="N1063" s="10"/>
      <c r="O1063" s="10"/>
      <c r="P1063" s="10"/>
      <c r="Q1063" s="10"/>
      <c r="R1063" s="10"/>
      <c r="S1063" s="10"/>
      <c r="T1063" s="14"/>
      <c r="U1063" s="10"/>
      <c r="V1063" s="10"/>
      <c r="W1063" s="10"/>
      <c r="X1063" s="7"/>
      <c r="Y1063" s="34"/>
      <c r="Z1063" s="34"/>
      <c r="AA1063" s="34"/>
      <c r="AB1063" s="7"/>
      <c r="AC1063" s="34"/>
      <c r="AD1063" s="10"/>
      <c r="AF1063"/>
    </row>
    <row r="1064" spans="1:32" x14ac:dyDescent="0.25">
      <c r="A1064" s="7"/>
      <c r="C1064" s="70"/>
      <c r="D1064" s="70"/>
      <c r="E1064" s="73"/>
      <c r="F1064" s="9"/>
      <c r="H1064" s="9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4"/>
      <c r="U1064" s="10"/>
      <c r="V1064" s="10"/>
      <c r="W1064" s="10"/>
      <c r="X1064" s="7"/>
      <c r="Y1064" s="7"/>
      <c r="Z1064" s="34"/>
      <c r="AA1064" s="34"/>
      <c r="AB1064" s="7"/>
      <c r="AC1064" s="34"/>
      <c r="AD1064" s="10"/>
      <c r="AF1064"/>
    </row>
    <row r="1065" spans="1:32" x14ac:dyDescent="0.25">
      <c r="A1065" s="7"/>
      <c r="C1065" s="70"/>
      <c r="D1065" s="70"/>
      <c r="E1065" s="73"/>
      <c r="F1065" s="45"/>
      <c r="H1065" s="9"/>
      <c r="I1065" s="10"/>
      <c r="J1065" s="10"/>
      <c r="K1065" s="7"/>
      <c r="L1065" s="10"/>
      <c r="M1065" s="10"/>
      <c r="N1065" s="10"/>
      <c r="O1065" s="10"/>
      <c r="P1065" s="10"/>
      <c r="Q1065" s="10"/>
      <c r="R1065" s="10"/>
      <c r="S1065" s="10"/>
      <c r="T1065" s="14"/>
      <c r="U1065" s="10"/>
      <c r="V1065" s="10"/>
      <c r="W1065" s="10"/>
      <c r="X1065" s="7"/>
      <c r="Y1065" s="34"/>
      <c r="Z1065" s="7"/>
      <c r="AA1065" s="34"/>
      <c r="AB1065" s="7"/>
      <c r="AC1065" s="34"/>
      <c r="AD1065" s="10"/>
      <c r="AF1065"/>
    </row>
    <row r="1066" spans="1:32" x14ac:dyDescent="0.25">
      <c r="A1066" s="7"/>
      <c r="C1066" s="70"/>
      <c r="D1066" s="70"/>
      <c r="E1066" s="73"/>
      <c r="F1066" s="9"/>
      <c r="H1066" s="9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4"/>
      <c r="U1066" s="10"/>
      <c r="V1066" s="10"/>
      <c r="W1066" s="10"/>
      <c r="X1066" s="7"/>
      <c r="Y1066" s="34"/>
      <c r="Z1066" s="34"/>
      <c r="AA1066" s="34"/>
      <c r="AB1066" s="7"/>
      <c r="AC1066" s="34"/>
      <c r="AD1066" s="10"/>
      <c r="AF1066"/>
    </row>
    <row r="1067" spans="1:32" x14ac:dyDescent="0.25">
      <c r="A1067" s="7"/>
      <c r="C1067" s="70"/>
      <c r="D1067" s="70"/>
      <c r="E1067" s="73"/>
      <c r="F1067" s="9"/>
      <c r="H1067" s="9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4"/>
      <c r="U1067" s="10"/>
      <c r="V1067" s="10"/>
      <c r="W1067" s="10"/>
      <c r="X1067" s="7"/>
      <c r="Y1067" s="7"/>
      <c r="Z1067" s="34"/>
      <c r="AA1067" s="34"/>
      <c r="AB1067" s="7"/>
      <c r="AC1067" s="34"/>
      <c r="AD1067" s="10"/>
      <c r="AF1067"/>
    </row>
    <row r="1068" spans="1:32" x14ac:dyDescent="0.25">
      <c r="A1068" s="7"/>
      <c r="C1068" s="70"/>
      <c r="D1068" s="70"/>
      <c r="E1068" s="73"/>
      <c r="F1068" s="9"/>
      <c r="H1068" s="9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4"/>
      <c r="U1068" s="10"/>
      <c r="V1068" s="10"/>
      <c r="W1068" s="10"/>
      <c r="X1068" s="7"/>
      <c r="Y1068" s="7"/>
      <c r="Z1068" s="7"/>
      <c r="AA1068" s="34"/>
      <c r="AB1068" s="7"/>
      <c r="AC1068" s="34"/>
      <c r="AD1068" s="10"/>
      <c r="AF1068"/>
    </row>
    <row r="1069" spans="1:32" x14ac:dyDescent="0.25">
      <c r="A1069" s="7"/>
      <c r="C1069" s="70"/>
      <c r="D1069" s="70"/>
      <c r="E1069" s="73"/>
      <c r="F1069" s="9"/>
      <c r="H1069" s="9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4"/>
      <c r="U1069" s="10"/>
      <c r="V1069" s="10"/>
      <c r="W1069" s="10"/>
      <c r="X1069" s="7"/>
      <c r="Y1069" s="7"/>
      <c r="Z1069" s="34"/>
      <c r="AA1069" s="34"/>
      <c r="AB1069" s="7"/>
      <c r="AC1069" s="34"/>
      <c r="AD1069" s="10"/>
      <c r="AF1069"/>
    </row>
    <row r="1070" spans="1:32" x14ac:dyDescent="0.25">
      <c r="A1070" s="7"/>
      <c r="C1070" s="70"/>
      <c r="D1070" s="70"/>
      <c r="E1070" s="73"/>
      <c r="F1070" s="9"/>
      <c r="H1070" s="9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4"/>
      <c r="U1070" s="10"/>
      <c r="V1070" s="10"/>
      <c r="W1070" s="10"/>
      <c r="X1070" s="7"/>
      <c r="Y1070" s="7"/>
      <c r="Z1070" s="34"/>
      <c r="AA1070" s="34"/>
      <c r="AB1070" s="7"/>
      <c r="AC1070" s="34"/>
      <c r="AD1070" s="10"/>
      <c r="AF1070"/>
    </row>
    <row r="1071" spans="1:32" x14ac:dyDescent="0.25">
      <c r="A1071" s="7"/>
      <c r="C1071" s="70"/>
      <c r="D1071" s="70"/>
      <c r="E1071" s="73"/>
      <c r="F1071" s="9"/>
      <c r="H1071" s="9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4"/>
      <c r="U1071" s="10"/>
      <c r="V1071" s="10"/>
      <c r="W1071" s="10"/>
      <c r="X1071" s="7"/>
      <c r="Y1071" s="7"/>
      <c r="Z1071" s="7"/>
      <c r="AA1071" s="34"/>
      <c r="AB1071" s="7"/>
      <c r="AC1071" s="34"/>
      <c r="AD1071" s="10"/>
      <c r="AF1071"/>
    </row>
    <row r="1072" spans="1:32" x14ac:dyDescent="0.25">
      <c r="A1072" s="7"/>
      <c r="C1072" s="70"/>
      <c r="D1072" s="70"/>
      <c r="E1072" s="73"/>
      <c r="F1072" s="9"/>
      <c r="H1072" s="9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4"/>
      <c r="U1072" s="10"/>
      <c r="V1072" s="10"/>
      <c r="W1072" s="10"/>
      <c r="X1072" s="7"/>
      <c r="Y1072" s="7"/>
      <c r="Z1072" s="34"/>
      <c r="AA1072" s="34"/>
      <c r="AB1072" s="7"/>
      <c r="AC1072" s="34"/>
      <c r="AD1072" s="10"/>
      <c r="AF1072"/>
    </row>
    <row r="1073" spans="1:32" x14ac:dyDescent="0.25">
      <c r="A1073" s="7"/>
      <c r="C1073" s="70"/>
      <c r="D1073" s="70"/>
      <c r="E1073" s="73"/>
      <c r="F1073" s="45"/>
      <c r="H1073" s="9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4"/>
      <c r="U1073" s="10"/>
      <c r="V1073" s="10"/>
      <c r="W1073" s="10"/>
      <c r="X1073" s="7"/>
      <c r="Y1073" s="7"/>
      <c r="Z1073" s="7"/>
      <c r="AA1073" s="34"/>
      <c r="AB1073" s="7"/>
      <c r="AC1073" s="34"/>
      <c r="AD1073" s="10"/>
      <c r="AF1073"/>
    </row>
    <row r="1074" spans="1:32" x14ac:dyDescent="0.25">
      <c r="A1074" s="7"/>
      <c r="C1074" s="70"/>
      <c r="D1074" s="70"/>
      <c r="E1074" s="73"/>
      <c r="F1074" s="9"/>
      <c r="H1074" s="9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4"/>
      <c r="U1074" s="10"/>
      <c r="V1074" s="10"/>
      <c r="W1074" s="10"/>
      <c r="X1074" s="7"/>
      <c r="Y1074" s="7"/>
      <c r="Z1074" s="7"/>
      <c r="AA1074" s="34"/>
      <c r="AB1074" s="7"/>
      <c r="AC1074" s="34"/>
      <c r="AD1074" s="10"/>
      <c r="AF1074"/>
    </row>
    <row r="1075" spans="1:32" x14ac:dyDescent="0.25">
      <c r="A1075" s="7"/>
      <c r="C1075" s="70"/>
      <c r="D1075" s="70"/>
      <c r="E1075" s="73"/>
      <c r="F1075" s="9"/>
      <c r="H1075" s="9"/>
      <c r="I1075" s="10"/>
      <c r="J1075" s="7"/>
      <c r="K1075" s="24"/>
      <c r="L1075" s="10"/>
      <c r="M1075" s="10"/>
      <c r="N1075" s="10"/>
      <c r="O1075" s="10"/>
      <c r="P1075" s="10"/>
      <c r="Q1075" s="10"/>
      <c r="R1075" s="10"/>
      <c r="S1075" s="10"/>
      <c r="T1075" s="14"/>
      <c r="U1075" s="10"/>
      <c r="V1075" s="10"/>
      <c r="W1075" s="10"/>
      <c r="X1075" s="7"/>
      <c r="Y1075" s="7"/>
      <c r="Z1075" s="7"/>
      <c r="AA1075" s="34"/>
      <c r="AB1075" s="7"/>
      <c r="AC1075" s="34"/>
      <c r="AD1075" s="10"/>
      <c r="AF1075"/>
    </row>
    <row r="1076" spans="1:32" x14ac:dyDescent="0.25">
      <c r="A1076" s="7"/>
      <c r="C1076" s="70"/>
      <c r="D1076" s="70"/>
      <c r="E1076" s="73"/>
      <c r="F1076" s="9"/>
      <c r="H1076" s="9"/>
      <c r="I1076" s="10"/>
      <c r="J1076" s="7"/>
      <c r="K1076" s="24"/>
      <c r="L1076" s="10"/>
      <c r="M1076" s="10"/>
      <c r="N1076" s="10"/>
      <c r="O1076" s="10"/>
      <c r="P1076" s="10"/>
      <c r="Q1076" s="10"/>
      <c r="R1076" s="10"/>
      <c r="S1076" s="10"/>
      <c r="T1076" s="14"/>
      <c r="U1076" s="10"/>
      <c r="V1076" s="10"/>
      <c r="W1076" s="10"/>
      <c r="X1076" s="7"/>
      <c r="Y1076" s="7"/>
      <c r="Z1076" s="34"/>
      <c r="AA1076" s="34"/>
      <c r="AB1076" s="7"/>
      <c r="AC1076" s="34"/>
      <c r="AD1076" s="10"/>
      <c r="AF1076"/>
    </row>
    <row r="1077" spans="1:32" x14ac:dyDescent="0.25">
      <c r="A1077" s="7"/>
      <c r="C1077" s="70"/>
      <c r="D1077" s="70"/>
      <c r="E1077" s="73"/>
      <c r="F1077" s="9"/>
      <c r="H1077" s="9"/>
      <c r="I1077" s="10"/>
      <c r="J1077" s="7"/>
      <c r="K1077" s="7"/>
      <c r="L1077" s="10"/>
      <c r="M1077" s="10"/>
      <c r="N1077" s="10"/>
      <c r="O1077" s="10"/>
      <c r="P1077" s="10"/>
      <c r="Q1077" s="10"/>
      <c r="R1077" s="10"/>
      <c r="S1077" s="10"/>
      <c r="T1077" s="14"/>
      <c r="U1077" s="10"/>
      <c r="V1077" s="10"/>
      <c r="W1077" s="10"/>
      <c r="X1077" s="7"/>
      <c r="Y1077" s="7"/>
      <c r="Z1077" s="7"/>
      <c r="AA1077" s="34"/>
      <c r="AB1077" s="7"/>
      <c r="AC1077" s="34"/>
      <c r="AD1077" s="10"/>
      <c r="AF1077"/>
    </row>
    <row r="1078" spans="1:32" x14ac:dyDescent="0.25">
      <c r="A1078" s="7"/>
      <c r="C1078" s="70"/>
      <c r="D1078" s="70"/>
      <c r="E1078" s="73"/>
      <c r="F1078" s="9"/>
      <c r="H1078" s="9"/>
      <c r="I1078" s="10"/>
      <c r="J1078" s="7"/>
      <c r="K1078" s="7"/>
      <c r="L1078" s="10"/>
      <c r="M1078" s="10"/>
      <c r="N1078" s="10"/>
      <c r="O1078" s="10"/>
      <c r="P1078" s="10"/>
      <c r="Q1078" s="10"/>
      <c r="R1078" s="10"/>
      <c r="S1078" s="10"/>
      <c r="T1078" s="14"/>
      <c r="U1078" s="10"/>
      <c r="V1078" s="10"/>
      <c r="W1078" s="10"/>
      <c r="X1078" s="7"/>
      <c r="Y1078" s="7"/>
      <c r="Z1078" s="7"/>
      <c r="AA1078" s="34"/>
      <c r="AB1078" s="7"/>
      <c r="AC1078" s="34"/>
      <c r="AD1078" s="10"/>
      <c r="AF1078"/>
    </row>
    <row r="1079" spans="1:32" x14ac:dyDescent="0.25">
      <c r="A1079" s="7"/>
      <c r="C1079" s="70"/>
      <c r="D1079" s="70"/>
      <c r="E1079" s="73"/>
      <c r="F1079" s="9"/>
      <c r="H1079" s="9"/>
      <c r="I1079" s="10"/>
      <c r="J1079" s="7"/>
      <c r="K1079" s="7"/>
      <c r="L1079" s="10"/>
      <c r="M1079" s="10"/>
      <c r="N1079" s="10"/>
      <c r="O1079" s="10"/>
      <c r="P1079" s="10"/>
      <c r="Q1079" s="10"/>
      <c r="R1079" s="10"/>
      <c r="S1079" s="10"/>
      <c r="T1079" s="14"/>
      <c r="U1079" s="10"/>
      <c r="V1079" s="10"/>
      <c r="W1079" s="10"/>
      <c r="X1079" s="7"/>
      <c r="Y1079" s="7"/>
      <c r="Z1079" s="34"/>
      <c r="AA1079" s="34"/>
      <c r="AB1079" s="7"/>
      <c r="AC1079" s="34"/>
      <c r="AD1079" s="10"/>
      <c r="AF1079"/>
    </row>
    <row r="1080" spans="1:32" x14ac:dyDescent="0.25">
      <c r="A1080" s="7"/>
      <c r="C1080" s="70"/>
      <c r="D1080" s="70"/>
      <c r="E1080" s="79"/>
      <c r="F1080" s="45"/>
      <c r="G1080" s="45"/>
      <c r="H1080" s="9"/>
      <c r="I1080" s="10"/>
      <c r="J1080" s="7"/>
      <c r="K1080" s="7"/>
      <c r="L1080" s="14"/>
      <c r="M1080" s="10"/>
      <c r="N1080" s="10"/>
      <c r="O1080" s="10"/>
      <c r="P1080" s="10"/>
      <c r="Q1080" s="10"/>
      <c r="R1080" s="10"/>
      <c r="S1080" s="10"/>
      <c r="T1080" s="14"/>
      <c r="U1080" s="10"/>
      <c r="V1080" s="10"/>
      <c r="W1080" s="10"/>
      <c r="X1080" s="7"/>
      <c r="Y1080" s="7"/>
      <c r="Z1080" s="34"/>
      <c r="AA1080" s="34"/>
      <c r="AB1080" s="7"/>
      <c r="AC1080" s="34"/>
      <c r="AD1080" s="10"/>
      <c r="AF1080"/>
    </row>
    <row r="1081" spans="1:32" x14ac:dyDescent="0.25">
      <c r="A1081" s="7"/>
      <c r="C1081" s="70"/>
      <c r="D1081" s="70"/>
      <c r="E1081" s="73"/>
      <c r="F1081" s="9"/>
      <c r="H1081" s="9"/>
      <c r="I1081" s="10"/>
      <c r="J1081" s="7"/>
      <c r="K1081" s="7"/>
      <c r="L1081" s="10"/>
      <c r="M1081" s="10"/>
      <c r="N1081" s="10"/>
      <c r="O1081" s="10"/>
      <c r="P1081" s="10"/>
      <c r="Q1081" s="10"/>
      <c r="R1081" s="10"/>
      <c r="S1081" s="10"/>
      <c r="T1081" s="14"/>
      <c r="U1081" s="10"/>
      <c r="V1081" s="10"/>
      <c r="W1081" s="10"/>
      <c r="X1081" s="7"/>
      <c r="Y1081" s="7"/>
      <c r="Z1081" s="34"/>
      <c r="AA1081" s="34"/>
      <c r="AB1081" s="7"/>
      <c r="AC1081" s="34"/>
      <c r="AD1081" s="10"/>
      <c r="AF1081"/>
    </row>
    <row r="1082" spans="1:32" x14ac:dyDescent="0.25">
      <c r="A1082" s="7"/>
      <c r="C1082" s="70"/>
      <c r="D1082" s="70"/>
      <c r="E1082" s="73"/>
      <c r="F1082" s="9"/>
      <c r="H1082" s="9"/>
      <c r="I1082" s="10"/>
      <c r="J1082" s="7"/>
      <c r="K1082" s="7"/>
      <c r="L1082" s="10"/>
      <c r="M1082" s="10"/>
      <c r="N1082" s="10"/>
      <c r="O1082" s="10"/>
      <c r="P1082" s="10"/>
      <c r="Q1082" s="10"/>
      <c r="R1082" s="10"/>
      <c r="S1082" s="10"/>
      <c r="T1082" s="14"/>
      <c r="U1082" s="10"/>
      <c r="V1082" s="10"/>
      <c r="W1082" s="10"/>
      <c r="X1082" s="7"/>
      <c r="Y1082" s="7"/>
      <c r="Z1082" s="34"/>
      <c r="AA1082" s="34"/>
      <c r="AB1082" s="7"/>
      <c r="AC1082" s="34"/>
      <c r="AD1082" s="10"/>
      <c r="AF1082"/>
    </row>
    <row r="1083" spans="1:32" x14ac:dyDescent="0.25">
      <c r="A1083" s="7"/>
      <c r="C1083" s="70"/>
      <c r="D1083" s="70"/>
      <c r="E1083" s="73"/>
      <c r="F1083" s="9"/>
      <c r="H1083" s="9"/>
      <c r="I1083" s="10"/>
      <c r="J1083" s="7"/>
      <c r="K1083" s="7"/>
      <c r="L1083" s="10"/>
      <c r="M1083" s="10"/>
      <c r="N1083" s="10"/>
      <c r="O1083" s="10"/>
      <c r="P1083" s="10"/>
      <c r="Q1083" s="10"/>
      <c r="R1083" s="10"/>
      <c r="S1083" s="10"/>
      <c r="T1083" s="14"/>
      <c r="U1083" s="10"/>
      <c r="V1083" s="10"/>
      <c r="W1083" s="10"/>
      <c r="X1083" s="7"/>
      <c r="Y1083" s="7"/>
      <c r="Z1083" s="34"/>
      <c r="AA1083" s="34"/>
      <c r="AB1083" s="7"/>
      <c r="AC1083" s="34"/>
      <c r="AD1083" s="10"/>
      <c r="AF1083"/>
    </row>
    <row r="1084" spans="1:32" x14ac:dyDescent="0.25">
      <c r="A1084" s="7"/>
      <c r="C1084" s="70"/>
      <c r="D1084" s="70"/>
      <c r="E1084" s="73"/>
      <c r="F1084" s="9"/>
      <c r="H1084" s="9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4"/>
      <c r="U1084" s="10"/>
      <c r="V1084" s="10"/>
      <c r="W1084" s="10"/>
      <c r="X1084" s="7"/>
      <c r="Y1084" s="7"/>
      <c r="Z1084" s="7"/>
      <c r="AA1084" s="34"/>
      <c r="AB1084" s="7"/>
      <c r="AC1084" s="34"/>
      <c r="AD1084" s="10"/>
      <c r="AF1084"/>
    </row>
    <row r="1085" spans="1:32" x14ac:dyDescent="0.25">
      <c r="A1085" s="7"/>
      <c r="C1085" s="70"/>
      <c r="D1085" s="70"/>
      <c r="E1085" s="73"/>
      <c r="F1085" s="9"/>
      <c r="H1085" s="9"/>
      <c r="I1085" s="10"/>
      <c r="J1085" s="7"/>
      <c r="K1085" s="24"/>
      <c r="L1085" s="10"/>
      <c r="M1085" s="10"/>
      <c r="N1085" s="10"/>
      <c r="O1085" s="10"/>
      <c r="P1085" s="10"/>
      <c r="Q1085" s="10"/>
      <c r="R1085" s="10"/>
      <c r="S1085" s="10"/>
      <c r="T1085" s="14"/>
      <c r="U1085" s="10"/>
      <c r="V1085" s="10"/>
      <c r="W1085" s="10"/>
      <c r="X1085" s="7"/>
      <c r="Y1085" s="7"/>
      <c r="Z1085" s="7"/>
      <c r="AA1085" s="34"/>
      <c r="AB1085" s="7"/>
      <c r="AC1085" s="34"/>
      <c r="AD1085" s="10"/>
      <c r="AF1085"/>
    </row>
    <row r="1086" spans="1:32" x14ac:dyDescent="0.25">
      <c r="A1086" s="7"/>
      <c r="C1086" s="70"/>
      <c r="D1086" s="70"/>
      <c r="E1086" s="73"/>
      <c r="F1086" s="9"/>
      <c r="H1086" s="9"/>
      <c r="I1086" s="10"/>
      <c r="J1086" s="7"/>
      <c r="K1086" s="7"/>
      <c r="L1086" s="10"/>
      <c r="M1086" s="10"/>
      <c r="N1086" s="10"/>
      <c r="O1086" s="10"/>
      <c r="P1086" s="10"/>
      <c r="Q1086" s="10"/>
      <c r="R1086" s="10"/>
      <c r="S1086" s="10"/>
      <c r="T1086" s="14"/>
      <c r="U1086" s="10"/>
      <c r="V1086" s="10"/>
      <c r="W1086" s="10"/>
      <c r="X1086" s="7"/>
      <c r="Y1086" s="7"/>
      <c r="Z1086" s="34"/>
      <c r="AA1086" s="34"/>
      <c r="AB1086" s="7"/>
      <c r="AC1086" s="34"/>
      <c r="AD1086" s="10"/>
      <c r="AF1086"/>
    </row>
    <row r="1087" spans="1:32" x14ac:dyDescent="0.25">
      <c r="A1087" s="7"/>
      <c r="C1087" s="70"/>
      <c r="D1087" s="70"/>
      <c r="E1087" s="73"/>
      <c r="F1087" s="9"/>
      <c r="H1087" s="9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4"/>
      <c r="U1087" s="10"/>
      <c r="V1087" s="10"/>
      <c r="W1087" s="10"/>
      <c r="X1087" s="7"/>
      <c r="Y1087" s="7"/>
      <c r="Z1087" s="7"/>
      <c r="AA1087" s="34"/>
      <c r="AB1087" s="7"/>
      <c r="AC1087" s="34"/>
      <c r="AD1087" s="10"/>
      <c r="AF1087"/>
    </row>
    <row r="1088" spans="1:32" x14ac:dyDescent="0.25">
      <c r="A1088" s="7"/>
      <c r="C1088" s="70"/>
      <c r="D1088" s="70"/>
      <c r="E1088" s="73"/>
      <c r="F1088" s="45"/>
      <c r="H1088" s="9"/>
      <c r="I1088" s="10"/>
      <c r="J1088" s="7"/>
      <c r="K1088" s="7"/>
      <c r="L1088" s="10"/>
      <c r="M1088" s="10"/>
      <c r="N1088" s="10"/>
      <c r="O1088" s="10"/>
      <c r="P1088" s="10"/>
      <c r="Q1088" s="10"/>
      <c r="R1088" s="10"/>
      <c r="S1088" s="10"/>
      <c r="T1088" s="14"/>
      <c r="U1088" s="10"/>
      <c r="V1088" s="10"/>
      <c r="W1088" s="10"/>
      <c r="X1088" s="7"/>
      <c r="Y1088" s="34"/>
      <c r="Z1088" s="7"/>
      <c r="AA1088" s="34"/>
      <c r="AB1088" s="7"/>
      <c r="AC1088" s="34"/>
      <c r="AD1088" s="10"/>
      <c r="AF1088"/>
    </row>
    <row r="1089" spans="1:32" x14ac:dyDescent="0.25">
      <c r="A1089" s="7"/>
      <c r="C1089" s="70"/>
      <c r="D1089" s="70"/>
      <c r="E1089" s="73"/>
      <c r="F1089" s="9"/>
      <c r="H1089" s="9"/>
      <c r="I1089" s="10"/>
      <c r="J1089" s="7"/>
      <c r="K1089" s="10"/>
      <c r="L1089" s="10"/>
      <c r="M1089" s="10"/>
      <c r="N1089" s="10"/>
      <c r="O1089" s="10"/>
      <c r="P1089" s="10"/>
      <c r="Q1089" s="10"/>
      <c r="R1089" s="10"/>
      <c r="S1089" s="10"/>
      <c r="T1089" s="14"/>
      <c r="U1089" s="10"/>
      <c r="V1089" s="10"/>
      <c r="W1089" s="10"/>
      <c r="X1089" s="7"/>
      <c r="Y1089" s="7"/>
      <c r="Z1089" s="7"/>
      <c r="AA1089" s="34"/>
      <c r="AB1089" s="7"/>
      <c r="AC1089" s="34"/>
      <c r="AD1089" s="10"/>
      <c r="AF1089"/>
    </row>
    <row r="1090" spans="1:32" x14ac:dyDescent="0.25">
      <c r="A1090" s="7"/>
      <c r="C1090" s="70"/>
      <c r="D1090" s="70"/>
      <c r="E1090" s="73"/>
      <c r="F1090" s="9"/>
      <c r="H1090" s="9"/>
      <c r="I1090" s="10"/>
      <c r="J1090" s="7"/>
      <c r="K1090" s="7"/>
      <c r="L1090" s="10"/>
      <c r="M1090" s="10"/>
      <c r="N1090" s="10"/>
      <c r="O1090" s="10"/>
      <c r="P1090" s="10"/>
      <c r="Q1090" s="10"/>
      <c r="R1090" s="10"/>
      <c r="S1090" s="10"/>
      <c r="T1090" s="14"/>
      <c r="U1090" s="10"/>
      <c r="V1090" s="10"/>
      <c r="W1090" s="10"/>
      <c r="X1090" s="7"/>
      <c r="Y1090" s="7"/>
      <c r="Z1090" s="7"/>
      <c r="AA1090" s="34"/>
      <c r="AB1090" s="7"/>
      <c r="AC1090" s="34"/>
      <c r="AD1090" s="10"/>
      <c r="AF1090"/>
    </row>
    <row r="1091" spans="1:32" x14ac:dyDescent="0.25">
      <c r="A1091" s="7"/>
      <c r="C1091" s="70"/>
      <c r="D1091" s="70"/>
      <c r="E1091" s="73"/>
      <c r="F1091" s="9"/>
      <c r="H1091" s="9"/>
      <c r="I1091" s="10"/>
      <c r="J1091" s="10"/>
      <c r="K1091" s="7"/>
      <c r="L1091" s="10"/>
      <c r="M1091" s="10"/>
      <c r="N1091" s="10"/>
      <c r="O1091" s="10"/>
      <c r="P1091" s="10"/>
      <c r="Q1091" s="10"/>
      <c r="R1091" s="10"/>
      <c r="S1091" s="10"/>
      <c r="T1091" s="14"/>
      <c r="U1091" s="10"/>
      <c r="V1091" s="10"/>
      <c r="W1091" s="10"/>
      <c r="X1091" s="7"/>
      <c r="Y1091" s="7"/>
      <c r="Z1091" s="34"/>
      <c r="AA1091" s="34"/>
      <c r="AB1091" s="7"/>
      <c r="AC1091" s="34"/>
      <c r="AD1091" s="10"/>
      <c r="AF1091"/>
    </row>
    <row r="1092" spans="1:32" x14ac:dyDescent="0.25">
      <c r="A1092" s="7"/>
      <c r="C1092" s="70"/>
      <c r="D1092" s="70"/>
      <c r="E1092" s="73"/>
      <c r="F1092" s="47"/>
      <c r="H1092" s="9"/>
      <c r="I1092" s="10"/>
      <c r="J1092" s="10"/>
      <c r="K1092" s="7"/>
      <c r="L1092" s="10"/>
      <c r="M1092" s="10"/>
      <c r="N1092" s="10"/>
      <c r="O1092" s="10"/>
      <c r="P1092" s="10"/>
      <c r="Q1092" s="10"/>
      <c r="R1092" s="10"/>
      <c r="S1092" s="10"/>
      <c r="T1092" s="14"/>
      <c r="U1092" s="10"/>
      <c r="V1092" s="10"/>
      <c r="W1092" s="10"/>
      <c r="X1092" s="7"/>
      <c r="Y1092" s="7"/>
      <c r="Z1092" s="7"/>
      <c r="AA1092" s="34"/>
      <c r="AB1092" s="7"/>
      <c r="AC1092" s="34"/>
      <c r="AD1092" s="10"/>
      <c r="AF1092"/>
    </row>
    <row r="1093" spans="1:32" x14ac:dyDescent="0.25">
      <c r="A1093" s="7"/>
      <c r="C1093" s="70"/>
      <c r="D1093" s="70"/>
      <c r="E1093" s="73"/>
      <c r="F1093" s="9"/>
      <c r="G1093" s="42"/>
      <c r="H1093" s="9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4"/>
      <c r="U1093" s="10"/>
      <c r="V1093" s="10"/>
      <c r="W1093" s="10"/>
      <c r="X1093" s="7"/>
      <c r="Y1093" s="7"/>
      <c r="Z1093" s="7"/>
      <c r="AA1093" s="34"/>
      <c r="AB1093" s="7"/>
      <c r="AC1093" s="34"/>
      <c r="AD1093" s="10"/>
      <c r="AF1093"/>
    </row>
    <row r="1094" spans="1:32" x14ac:dyDescent="0.25">
      <c r="A1094" s="7"/>
      <c r="C1094" s="70"/>
      <c r="D1094" s="70"/>
      <c r="E1094" s="73"/>
      <c r="F1094" s="9"/>
      <c r="H1094" s="9"/>
      <c r="I1094" s="10"/>
      <c r="J1094" s="7"/>
      <c r="K1094" s="7"/>
      <c r="L1094" s="10"/>
      <c r="M1094" s="10"/>
      <c r="N1094" s="10"/>
      <c r="O1094" s="10"/>
      <c r="P1094" s="10"/>
      <c r="Q1094" s="10"/>
      <c r="R1094" s="10"/>
      <c r="S1094" s="10"/>
      <c r="T1094" s="14"/>
      <c r="U1094" s="10"/>
      <c r="V1094" s="10"/>
      <c r="W1094" s="10"/>
      <c r="X1094" s="7"/>
      <c r="Y1094" s="7"/>
      <c r="Z1094" s="7"/>
      <c r="AA1094" s="34"/>
      <c r="AB1094" s="7"/>
      <c r="AC1094" s="34"/>
      <c r="AD1094" s="10"/>
      <c r="AF1094"/>
    </row>
    <row r="1095" spans="1:32" x14ac:dyDescent="0.25">
      <c r="A1095" s="7"/>
      <c r="C1095" s="70"/>
      <c r="D1095" s="70"/>
      <c r="E1095" s="73"/>
      <c r="F1095" s="9"/>
      <c r="H1095" s="9"/>
      <c r="I1095" s="10"/>
      <c r="J1095" s="10"/>
      <c r="K1095" s="24"/>
      <c r="L1095" s="10"/>
      <c r="M1095" s="10"/>
      <c r="N1095" s="10"/>
      <c r="O1095" s="10"/>
      <c r="P1095" s="10"/>
      <c r="Q1095" s="10"/>
      <c r="R1095" s="10"/>
      <c r="S1095" s="10"/>
      <c r="T1095" s="14"/>
      <c r="U1095" s="10"/>
      <c r="V1095" s="10"/>
      <c r="W1095" s="10"/>
      <c r="X1095" s="7"/>
      <c r="Y1095" s="7"/>
      <c r="Z1095" s="7"/>
      <c r="AA1095" s="34"/>
      <c r="AB1095" s="7"/>
      <c r="AC1095" s="34"/>
      <c r="AD1095" s="10"/>
      <c r="AF1095"/>
    </row>
    <row r="1096" spans="1:32" x14ac:dyDescent="0.25">
      <c r="A1096" s="7"/>
      <c r="C1096" s="70"/>
      <c r="D1096" s="70"/>
      <c r="E1096" s="73"/>
      <c r="F1096" s="9"/>
      <c r="H1096" s="9"/>
      <c r="I1096" s="10"/>
      <c r="J1096" s="10"/>
      <c r="K1096" s="24"/>
      <c r="L1096" s="10"/>
      <c r="M1096" s="10"/>
      <c r="N1096" s="10"/>
      <c r="O1096" s="10"/>
      <c r="P1096" s="10"/>
      <c r="Q1096" s="10"/>
      <c r="R1096" s="10"/>
      <c r="S1096" s="10"/>
      <c r="T1096" s="14"/>
      <c r="U1096" s="10"/>
      <c r="V1096" s="10"/>
      <c r="W1096" s="10"/>
      <c r="X1096" s="7"/>
      <c r="Y1096" s="7"/>
      <c r="Z1096" s="7"/>
      <c r="AA1096" s="34"/>
      <c r="AB1096" s="7"/>
      <c r="AC1096" s="34"/>
      <c r="AD1096" s="10"/>
      <c r="AF1096"/>
    </row>
    <row r="1097" spans="1:32" x14ac:dyDescent="0.25">
      <c r="A1097" s="7"/>
      <c r="C1097" s="70"/>
      <c r="D1097" s="70"/>
      <c r="E1097" s="73"/>
      <c r="F1097" s="9"/>
      <c r="H1097" s="9"/>
      <c r="I1097" s="10"/>
      <c r="J1097" s="10"/>
      <c r="K1097" s="7"/>
      <c r="L1097" s="10"/>
      <c r="M1097" s="10"/>
      <c r="N1097" s="10"/>
      <c r="O1097" s="10"/>
      <c r="P1097" s="10"/>
      <c r="Q1097" s="10"/>
      <c r="R1097" s="10"/>
      <c r="S1097" s="10"/>
      <c r="T1097" s="14"/>
      <c r="U1097" s="10"/>
      <c r="V1097" s="10"/>
      <c r="W1097" s="10"/>
      <c r="X1097" s="7"/>
      <c r="Y1097" s="7"/>
      <c r="Z1097" s="34"/>
      <c r="AA1097" s="34"/>
      <c r="AB1097" s="7"/>
      <c r="AC1097" s="34"/>
      <c r="AD1097" s="10"/>
      <c r="AF1097"/>
    </row>
    <row r="1098" spans="1:32" x14ac:dyDescent="0.25">
      <c r="A1098" s="7"/>
      <c r="C1098" s="70"/>
      <c r="D1098" s="70"/>
      <c r="E1098" s="73"/>
      <c r="F1098" s="9"/>
      <c r="H1098" s="9"/>
      <c r="I1098" s="10"/>
      <c r="J1098" s="7"/>
      <c r="K1098" s="7"/>
      <c r="L1098" s="10"/>
      <c r="M1098" s="10"/>
      <c r="N1098" s="10"/>
      <c r="O1098" s="10"/>
      <c r="P1098" s="10"/>
      <c r="Q1098" s="10"/>
      <c r="R1098" s="10"/>
      <c r="S1098" s="10"/>
      <c r="T1098" s="14"/>
      <c r="U1098" s="10"/>
      <c r="V1098" s="10"/>
      <c r="W1098" s="10"/>
      <c r="X1098" s="7"/>
      <c r="Y1098" s="7"/>
      <c r="Z1098" s="7"/>
      <c r="AA1098" s="34"/>
      <c r="AB1098" s="7"/>
      <c r="AC1098" s="34"/>
      <c r="AD1098" s="10"/>
      <c r="AF1098"/>
    </row>
    <row r="1099" spans="1:32" x14ac:dyDescent="0.25">
      <c r="A1099" s="7"/>
      <c r="C1099" s="70"/>
      <c r="D1099" s="70"/>
      <c r="E1099" s="73"/>
      <c r="F1099" s="9"/>
      <c r="H1099" s="9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4"/>
      <c r="U1099" s="10"/>
      <c r="V1099" s="10"/>
      <c r="W1099" s="10"/>
      <c r="X1099" s="7"/>
      <c r="Y1099" s="7"/>
      <c r="Z1099" s="7"/>
      <c r="AA1099" s="34"/>
      <c r="AB1099" s="7"/>
      <c r="AC1099" s="34"/>
      <c r="AD1099" s="10"/>
      <c r="AF1099"/>
    </row>
    <row r="1100" spans="1:32" x14ac:dyDescent="0.25">
      <c r="A1100" s="7"/>
      <c r="C1100" s="70"/>
      <c r="D1100" s="70"/>
      <c r="E1100" s="73"/>
      <c r="F1100" s="9"/>
      <c r="H1100" s="9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4"/>
      <c r="U1100" s="10"/>
      <c r="V1100" s="10"/>
      <c r="W1100" s="10"/>
      <c r="X1100" s="7"/>
      <c r="Y1100" s="7"/>
      <c r="Z1100" s="34"/>
      <c r="AA1100" s="34"/>
      <c r="AB1100" s="7"/>
      <c r="AC1100" s="34"/>
      <c r="AD1100" s="10"/>
      <c r="AF1100"/>
    </row>
    <row r="1101" spans="1:32" x14ac:dyDescent="0.25">
      <c r="A1101" s="7"/>
      <c r="C1101" s="70"/>
      <c r="D1101" s="70"/>
      <c r="E1101" s="73"/>
      <c r="F1101" s="9"/>
      <c r="H1101" s="9"/>
      <c r="I1101" s="10"/>
      <c r="J1101" s="7"/>
      <c r="K1101" s="7"/>
      <c r="L1101" s="10"/>
      <c r="M1101" s="10"/>
      <c r="N1101" s="10"/>
      <c r="O1101" s="10"/>
      <c r="P1101" s="10"/>
      <c r="Q1101" s="10"/>
      <c r="R1101" s="10"/>
      <c r="S1101" s="10"/>
      <c r="T1101" s="14"/>
      <c r="U1101" s="10"/>
      <c r="V1101" s="10"/>
      <c r="W1101" s="10"/>
      <c r="X1101" s="7"/>
      <c r="Y1101" s="7"/>
      <c r="Z1101" s="34"/>
      <c r="AA1101" s="34"/>
      <c r="AB1101" s="7"/>
      <c r="AC1101" s="34"/>
      <c r="AD1101" s="10"/>
      <c r="AF1101"/>
    </row>
    <row r="1102" spans="1:32" x14ac:dyDescent="0.25">
      <c r="A1102" s="7"/>
      <c r="C1102" s="70"/>
      <c r="D1102" s="70"/>
      <c r="E1102" s="73"/>
      <c r="F1102" s="9"/>
      <c r="H1102" s="9"/>
      <c r="I1102" s="10"/>
      <c r="J1102" s="7"/>
      <c r="K1102" s="7"/>
      <c r="L1102" s="10"/>
      <c r="M1102" s="10"/>
      <c r="N1102" s="10"/>
      <c r="O1102" s="10"/>
      <c r="P1102" s="10"/>
      <c r="Q1102" s="10"/>
      <c r="R1102" s="10"/>
      <c r="S1102" s="10"/>
      <c r="T1102" s="14"/>
      <c r="U1102" s="10"/>
      <c r="V1102" s="10"/>
      <c r="W1102" s="10"/>
      <c r="X1102" s="7"/>
      <c r="Y1102" s="7"/>
      <c r="Z1102" s="7"/>
      <c r="AA1102" s="34"/>
      <c r="AB1102" s="7"/>
      <c r="AC1102" s="10"/>
      <c r="AD1102" s="10"/>
      <c r="AF1102"/>
    </row>
    <row r="1103" spans="1:32" x14ac:dyDescent="0.25">
      <c r="A1103" s="7"/>
      <c r="C1103" s="70"/>
      <c r="D1103" s="70"/>
      <c r="E1103" s="73"/>
      <c r="F1103" s="9"/>
      <c r="H1103" s="9"/>
      <c r="I1103" s="10"/>
      <c r="J1103" s="10"/>
      <c r="K1103" s="24"/>
      <c r="L1103" s="10"/>
      <c r="M1103" s="10"/>
      <c r="N1103" s="10"/>
      <c r="O1103" s="10"/>
      <c r="P1103" s="10"/>
      <c r="Q1103" s="10"/>
      <c r="R1103" s="10"/>
      <c r="S1103" s="10"/>
      <c r="T1103" s="14"/>
      <c r="U1103" s="10"/>
      <c r="V1103" s="10"/>
      <c r="W1103" s="10"/>
      <c r="X1103" s="7"/>
      <c r="Y1103" s="7"/>
      <c r="Z1103" s="7"/>
      <c r="AA1103" s="34"/>
      <c r="AB1103" s="7"/>
      <c r="AC1103" s="34"/>
      <c r="AD1103" s="10"/>
      <c r="AF1103"/>
    </row>
    <row r="1104" spans="1:32" x14ac:dyDescent="0.25">
      <c r="A1104" s="7"/>
      <c r="C1104" s="70"/>
      <c r="D1104" s="70"/>
      <c r="E1104" s="78"/>
      <c r="F1104" s="48"/>
      <c r="G1104" s="45"/>
      <c r="H1104" s="9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4"/>
      <c r="U1104" s="10"/>
      <c r="V1104" s="10"/>
      <c r="W1104" s="10"/>
      <c r="X1104" s="7"/>
      <c r="Y1104" s="7"/>
      <c r="Z1104" s="34"/>
      <c r="AA1104" s="34"/>
      <c r="AB1104" s="7"/>
      <c r="AC1104" s="34"/>
      <c r="AD1104" s="10"/>
      <c r="AF1104"/>
    </row>
    <row r="1105" spans="1:32" x14ac:dyDescent="0.25">
      <c r="A1105" s="7"/>
      <c r="C1105" s="70"/>
      <c r="D1105" s="70"/>
      <c r="E1105" s="73"/>
      <c r="F1105" s="9"/>
      <c r="H1105" s="9"/>
      <c r="I1105" s="10"/>
      <c r="J1105" s="7"/>
      <c r="K1105" s="7"/>
      <c r="L1105" s="10"/>
      <c r="M1105" s="10"/>
      <c r="N1105" s="10"/>
      <c r="O1105" s="10"/>
      <c r="P1105" s="10"/>
      <c r="Q1105" s="10"/>
      <c r="R1105" s="10"/>
      <c r="S1105" s="10"/>
      <c r="T1105" s="14"/>
      <c r="U1105" s="10"/>
      <c r="V1105" s="10"/>
      <c r="W1105" s="10"/>
      <c r="X1105" s="7"/>
      <c r="Y1105" s="7"/>
      <c r="Z1105" s="7"/>
      <c r="AA1105" s="34"/>
      <c r="AB1105" s="7"/>
      <c r="AC1105" s="34"/>
      <c r="AD1105" s="10"/>
      <c r="AF1105"/>
    </row>
    <row r="1106" spans="1:32" x14ac:dyDescent="0.25">
      <c r="A1106" s="7"/>
      <c r="C1106" s="70"/>
      <c r="D1106" s="70"/>
      <c r="E1106" s="79"/>
      <c r="F1106" s="45"/>
      <c r="H1106" s="9"/>
      <c r="I1106" s="10"/>
      <c r="J1106" s="7"/>
      <c r="K1106" s="7"/>
      <c r="L1106" s="10"/>
      <c r="M1106" s="10"/>
      <c r="N1106" s="10"/>
      <c r="O1106" s="10"/>
      <c r="P1106" s="10"/>
      <c r="Q1106" s="10"/>
      <c r="R1106" s="10"/>
      <c r="S1106" s="10"/>
      <c r="T1106" s="14"/>
      <c r="U1106" s="10"/>
      <c r="V1106" s="10"/>
      <c r="W1106" s="10"/>
      <c r="X1106" s="7"/>
      <c r="Y1106" s="7"/>
      <c r="Z1106" s="34"/>
      <c r="AA1106" s="34"/>
      <c r="AB1106" s="7"/>
      <c r="AC1106" s="34"/>
      <c r="AD1106" s="10"/>
      <c r="AF1106"/>
    </row>
    <row r="1107" spans="1:32" x14ac:dyDescent="0.25">
      <c r="A1107" s="7"/>
      <c r="C1107" s="70"/>
      <c r="D1107" s="70"/>
      <c r="E1107" s="73"/>
      <c r="F1107" s="9"/>
      <c r="H1107" s="9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4"/>
      <c r="U1107" s="10"/>
      <c r="V1107" s="10"/>
      <c r="W1107" s="10"/>
      <c r="X1107" s="7"/>
      <c r="Y1107" s="7"/>
      <c r="Z1107" s="7"/>
      <c r="AA1107" s="34"/>
      <c r="AB1107" s="7"/>
      <c r="AC1107" s="34"/>
      <c r="AD1107" s="10"/>
      <c r="AF1107"/>
    </row>
    <row r="1108" spans="1:32" x14ac:dyDescent="0.25">
      <c r="A1108" s="7"/>
      <c r="C1108" s="70"/>
      <c r="D1108" s="70"/>
      <c r="E1108" s="73"/>
      <c r="F1108" s="9"/>
      <c r="H1108" s="9"/>
      <c r="I1108" s="10"/>
      <c r="J1108" s="10"/>
      <c r="K1108" s="7"/>
      <c r="L1108" s="10"/>
      <c r="M1108" s="10"/>
      <c r="N1108" s="10"/>
      <c r="O1108" s="10"/>
      <c r="P1108" s="10"/>
      <c r="Q1108" s="10"/>
      <c r="R1108" s="10"/>
      <c r="S1108" s="10"/>
      <c r="T1108" s="14"/>
      <c r="U1108" s="10"/>
      <c r="V1108" s="10"/>
      <c r="W1108" s="10"/>
      <c r="X1108" s="7"/>
      <c r="Y1108" s="7"/>
      <c r="Z1108" s="7"/>
      <c r="AA1108" s="34"/>
      <c r="AB1108" s="7"/>
      <c r="AC1108" s="34"/>
      <c r="AD1108" s="10"/>
      <c r="AF1108"/>
    </row>
    <row r="1109" spans="1:32" x14ac:dyDescent="0.25">
      <c r="A1109" s="7"/>
      <c r="C1109" s="70"/>
      <c r="D1109" s="70"/>
      <c r="E1109" s="73"/>
      <c r="F1109" s="9"/>
      <c r="H1109" s="9"/>
      <c r="I1109" s="10"/>
      <c r="J1109" s="7"/>
      <c r="K1109" s="7"/>
      <c r="L1109" s="10"/>
      <c r="M1109" s="10"/>
      <c r="N1109" s="10"/>
      <c r="O1109" s="10"/>
      <c r="P1109" s="10"/>
      <c r="Q1109" s="10"/>
      <c r="R1109" s="10"/>
      <c r="S1109" s="10"/>
      <c r="T1109" s="14"/>
      <c r="U1109" s="10"/>
      <c r="V1109" s="10"/>
      <c r="W1109" s="10"/>
      <c r="X1109" s="7"/>
      <c r="Y1109" s="7"/>
      <c r="Z1109" s="7"/>
      <c r="AA1109" s="34"/>
      <c r="AB1109" s="7"/>
      <c r="AC1109" s="34"/>
      <c r="AD1109" s="10"/>
      <c r="AF1109"/>
    </row>
    <row r="1110" spans="1:32" x14ac:dyDescent="0.25">
      <c r="A1110" s="7"/>
      <c r="C1110" s="70"/>
      <c r="D1110" s="70"/>
      <c r="E1110" s="73"/>
      <c r="F1110" s="45"/>
      <c r="H1110" s="9"/>
      <c r="I1110" s="10"/>
      <c r="J1110" s="10"/>
      <c r="K1110" s="7"/>
      <c r="L1110" s="10"/>
      <c r="M1110" s="10"/>
      <c r="N1110" s="10"/>
      <c r="O1110" s="10"/>
      <c r="P1110" s="10"/>
      <c r="Q1110" s="10"/>
      <c r="R1110" s="10"/>
      <c r="S1110" s="10"/>
      <c r="T1110" s="14"/>
      <c r="U1110" s="10"/>
      <c r="V1110" s="10"/>
      <c r="W1110" s="10"/>
      <c r="X1110" s="7"/>
      <c r="Y1110" s="34"/>
      <c r="Z1110" s="7"/>
      <c r="AA1110" s="34"/>
      <c r="AB1110" s="7"/>
      <c r="AC1110" s="34"/>
      <c r="AD1110" s="10"/>
      <c r="AF1110"/>
    </row>
    <row r="1111" spans="1:32" x14ac:dyDescent="0.25">
      <c r="A1111" s="7"/>
      <c r="C1111" s="70"/>
      <c r="D1111" s="70"/>
      <c r="E1111" s="73"/>
      <c r="F1111" s="48"/>
      <c r="G1111" s="49"/>
      <c r="H1111" s="9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4"/>
      <c r="U1111" s="10"/>
      <c r="V1111" s="10"/>
      <c r="W1111" s="10"/>
      <c r="X1111" s="7"/>
      <c r="Y1111" s="7"/>
      <c r="Z1111" s="34"/>
      <c r="AA1111" s="34"/>
      <c r="AB1111" s="7"/>
      <c r="AC1111" s="34"/>
      <c r="AD1111" s="10"/>
      <c r="AF1111"/>
    </row>
    <row r="1112" spans="1:32" x14ac:dyDescent="0.25">
      <c r="A1112" s="7"/>
      <c r="C1112" s="70"/>
      <c r="D1112" s="70"/>
      <c r="E1112" s="73"/>
      <c r="F1112" s="9"/>
      <c r="H1112" s="9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4"/>
      <c r="U1112" s="10"/>
      <c r="V1112" s="10"/>
      <c r="W1112" s="10"/>
      <c r="X1112" s="7"/>
      <c r="Y1112" s="34"/>
      <c r="Z1112" s="7"/>
      <c r="AA1112" s="34"/>
      <c r="AB1112" s="7"/>
      <c r="AC1112" s="34"/>
      <c r="AD1112" s="10"/>
      <c r="AF1112"/>
    </row>
    <row r="1113" spans="1:32" x14ac:dyDescent="0.25">
      <c r="A1113" s="7"/>
      <c r="C1113" s="70"/>
      <c r="D1113" s="70"/>
      <c r="E1113" s="73"/>
      <c r="F1113" s="9"/>
      <c r="H1113" s="9"/>
      <c r="I1113" s="10"/>
      <c r="J1113" s="10"/>
      <c r="K1113" s="7"/>
      <c r="L1113" s="10"/>
      <c r="M1113" s="10"/>
      <c r="N1113" s="10"/>
      <c r="O1113" s="10"/>
      <c r="P1113" s="10"/>
      <c r="Q1113" s="10"/>
      <c r="R1113" s="10"/>
      <c r="S1113" s="10"/>
      <c r="T1113" s="14"/>
      <c r="U1113" s="10"/>
      <c r="V1113" s="10"/>
      <c r="W1113" s="10"/>
      <c r="X1113" s="7"/>
      <c r="Y1113" s="7"/>
      <c r="Z1113" s="7"/>
      <c r="AA1113" s="34"/>
      <c r="AB1113" s="7"/>
      <c r="AC1113" s="34"/>
      <c r="AD1113" s="10"/>
      <c r="AF1113"/>
    </row>
    <row r="1114" spans="1:32" x14ac:dyDescent="0.25">
      <c r="A1114" s="7"/>
      <c r="C1114" s="70"/>
      <c r="D1114" s="70"/>
      <c r="E1114" s="73"/>
      <c r="F1114" s="9"/>
      <c r="H1114" s="9"/>
      <c r="I1114" s="10"/>
      <c r="J1114" s="10"/>
      <c r="K1114" s="10"/>
      <c r="L1114" s="34"/>
      <c r="M1114" s="10"/>
      <c r="N1114" s="10"/>
      <c r="O1114" s="10"/>
      <c r="P1114" s="10"/>
      <c r="Q1114" s="10"/>
      <c r="R1114" s="10"/>
      <c r="S1114" s="10"/>
      <c r="T1114" s="14"/>
      <c r="U1114" s="10"/>
      <c r="V1114" s="10"/>
      <c r="W1114" s="10"/>
      <c r="X1114" s="34"/>
      <c r="Y1114" s="7"/>
      <c r="Z1114" s="7"/>
      <c r="AA1114" s="34"/>
      <c r="AB1114" s="7"/>
      <c r="AC1114" s="34"/>
      <c r="AD1114" s="10"/>
      <c r="AF1114"/>
    </row>
    <row r="1115" spans="1:32" x14ac:dyDescent="0.25">
      <c r="A1115" s="7"/>
      <c r="C1115" s="70"/>
      <c r="D1115" s="70"/>
      <c r="E1115" s="73"/>
      <c r="F1115" s="9"/>
      <c r="H1115" s="9"/>
      <c r="I1115" s="10"/>
      <c r="J1115" s="7"/>
      <c r="K1115" s="7"/>
      <c r="L1115" s="10"/>
      <c r="M1115" s="10"/>
      <c r="N1115" s="10"/>
      <c r="O1115" s="10"/>
      <c r="P1115" s="10"/>
      <c r="Q1115" s="10"/>
      <c r="R1115" s="10"/>
      <c r="S1115" s="10"/>
      <c r="T1115" s="14"/>
      <c r="U1115" s="10"/>
      <c r="V1115" s="10"/>
      <c r="W1115" s="10"/>
      <c r="X1115" s="7"/>
      <c r="Y1115" s="7"/>
      <c r="Z1115" s="34"/>
      <c r="AA1115" s="34"/>
      <c r="AB1115" s="7"/>
      <c r="AC1115" s="34"/>
      <c r="AD1115" s="10"/>
      <c r="AF1115"/>
    </row>
    <row r="1116" spans="1:32" ht="19.5" thickBot="1" x14ac:dyDescent="0.35">
      <c r="A1116" s="64" t="s">
        <v>8</v>
      </c>
      <c r="B1116" s="67"/>
      <c r="C1116" s="74"/>
      <c r="D1116" s="74"/>
      <c r="E1116" s="80"/>
      <c r="F1116" s="66"/>
      <c r="G1116" s="66"/>
      <c r="H1116" s="66"/>
      <c r="I1116" s="63"/>
      <c r="J1116" s="63"/>
      <c r="K1116" s="63"/>
      <c r="L1116" s="63" t="e">
        <f t="shared" ref="L1116:AA1116" si="11">SUM(L612:L1115)</f>
        <v>#REF!</v>
      </c>
      <c r="M1116" s="63" t="e">
        <f t="shared" si="11"/>
        <v>#REF!</v>
      </c>
      <c r="N1116" s="63" t="e">
        <f t="shared" si="11"/>
        <v>#REF!</v>
      </c>
      <c r="O1116" s="63" t="e">
        <f t="shared" si="11"/>
        <v>#REF!</v>
      </c>
      <c r="P1116" s="63" t="e">
        <f t="shared" si="11"/>
        <v>#REF!</v>
      </c>
      <c r="Q1116" s="63" t="e">
        <f t="shared" si="11"/>
        <v>#REF!</v>
      </c>
      <c r="R1116" s="63" t="e">
        <f t="shared" si="11"/>
        <v>#REF!</v>
      </c>
      <c r="S1116" s="63" t="e">
        <f t="shared" si="11"/>
        <v>#REF!</v>
      </c>
      <c r="T1116" s="63" t="e">
        <f t="shared" si="11"/>
        <v>#REF!</v>
      </c>
      <c r="U1116" s="63" t="e">
        <f t="shared" si="11"/>
        <v>#REF!</v>
      </c>
      <c r="V1116" s="63" t="e">
        <f t="shared" si="11"/>
        <v>#REF!</v>
      </c>
      <c r="W1116" s="63" t="e">
        <f t="shared" si="11"/>
        <v>#REF!</v>
      </c>
      <c r="X1116" s="63" t="e">
        <f t="shared" si="11"/>
        <v>#REF!</v>
      </c>
      <c r="Y1116" s="63" t="e">
        <f t="shared" si="11"/>
        <v>#REF!</v>
      </c>
      <c r="Z1116" s="63" t="e">
        <f t="shared" si="11"/>
        <v>#REF!</v>
      </c>
      <c r="AA1116" s="63" t="e">
        <f t="shared" si="11"/>
        <v>#REF!</v>
      </c>
      <c r="AB1116" s="63"/>
      <c r="AC1116" s="63" t="e">
        <f>SUM(AC612:AC1115)</f>
        <v>#REF!</v>
      </c>
      <c r="AD1116" s="10" t="e">
        <f>SUM(AB1116:AC1116)-SUM(L1116:AA1116)</f>
        <v>#REF!</v>
      </c>
      <c r="AF1116"/>
    </row>
    <row r="1117" spans="1:32" ht="15.75" thickTop="1" x14ac:dyDescent="0.25">
      <c r="A1117" s="7"/>
      <c r="C1117" s="70"/>
      <c r="D1117" s="70"/>
      <c r="E1117" s="73"/>
      <c r="F1117" s="9"/>
      <c r="H1117" s="9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4"/>
      <c r="U1117" s="10"/>
      <c r="V1117" s="10"/>
      <c r="W1117" s="10"/>
      <c r="X1117" s="7"/>
      <c r="Y1117" s="7"/>
      <c r="Z1117" s="7"/>
      <c r="AA1117" s="34"/>
      <c r="AB1117" s="7"/>
      <c r="AC1117" s="34"/>
      <c r="AD1117" s="10"/>
      <c r="AF1117"/>
    </row>
    <row r="1118" spans="1:32" x14ac:dyDescent="0.25">
      <c r="A1118" s="7"/>
      <c r="C1118" s="70"/>
      <c r="D1118" s="70"/>
      <c r="E1118" s="73"/>
      <c r="F1118" s="9"/>
      <c r="H1118" s="9"/>
      <c r="I1118" s="10"/>
      <c r="J1118" s="7"/>
      <c r="K1118" s="7"/>
      <c r="L1118" s="10"/>
      <c r="M1118" s="10"/>
      <c r="N1118" s="10"/>
      <c r="O1118" s="10"/>
      <c r="P1118" s="10"/>
      <c r="Q1118" s="10"/>
      <c r="R1118" s="10"/>
      <c r="S1118" s="10"/>
      <c r="T1118" s="14"/>
      <c r="U1118" s="10"/>
      <c r="V1118" s="10"/>
      <c r="W1118" s="10"/>
      <c r="X1118" s="7"/>
      <c r="Y1118" s="7"/>
      <c r="Z1118" s="7"/>
      <c r="AA1118" s="34"/>
      <c r="AB1118" s="7"/>
      <c r="AC1118" s="34"/>
      <c r="AD1118" s="10"/>
      <c r="AF1118"/>
    </row>
    <row r="1119" spans="1:32" x14ac:dyDescent="0.25">
      <c r="A1119" s="16"/>
      <c r="C1119" s="70"/>
      <c r="D1119" s="70"/>
      <c r="E1119" s="73"/>
      <c r="F1119" s="9"/>
      <c r="H1119" s="9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4"/>
      <c r="U1119" s="10"/>
      <c r="V1119" s="10"/>
      <c r="W1119" s="10"/>
      <c r="X1119" s="7"/>
      <c r="Y1119" s="7"/>
      <c r="Z1119" s="7"/>
      <c r="AA1119" s="34"/>
      <c r="AB1119" s="7"/>
      <c r="AC1119" s="34"/>
      <c r="AD1119" s="10"/>
      <c r="AE1119"/>
      <c r="AF1119"/>
    </row>
    <row r="1120" spans="1:32" x14ac:dyDescent="0.25">
      <c r="A1120" s="16"/>
      <c r="C1120" s="70"/>
      <c r="D1120" s="70"/>
      <c r="E1120" s="73"/>
      <c r="F1120" s="9"/>
      <c r="H1120" s="9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4"/>
      <c r="U1120" s="10"/>
      <c r="V1120" s="10"/>
      <c r="W1120" s="10"/>
      <c r="X1120" s="7"/>
      <c r="Y1120" s="7"/>
      <c r="Z1120" s="7"/>
      <c r="AA1120" s="34"/>
      <c r="AB1120" s="7"/>
      <c r="AC1120" s="34"/>
      <c r="AD1120" s="10"/>
      <c r="AE1120"/>
      <c r="AF1120"/>
    </row>
    <row r="1121" spans="1:32" x14ac:dyDescent="0.25">
      <c r="A1121" s="16"/>
      <c r="C1121" s="70"/>
      <c r="D1121" s="70"/>
      <c r="E1121" s="73"/>
      <c r="F1121" s="9"/>
      <c r="H1121" s="9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4"/>
      <c r="U1121" s="10"/>
      <c r="V1121" s="10"/>
      <c r="W1121" s="10"/>
      <c r="X1121" s="7"/>
      <c r="Y1121" s="7"/>
      <c r="Z1121" s="7"/>
      <c r="AA1121" s="34"/>
      <c r="AB1121" s="7"/>
      <c r="AC1121" s="34"/>
      <c r="AD1121" s="10"/>
      <c r="AE1121"/>
      <c r="AF1121"/>
    </row>
    <row r="1122" spans="1:32" x14ac:dyDescent="0.25">
      <c r="A1122" s="16"/>
      <c r="C1122" s="70"/>
      <c r="D1122" s="70"/>
      <c r="E1122" s="73"/>
      <c r="F1122" s="9"/>
      <c r="H1122" s="9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4"/>
      <c r="U1122" s="10"/>
      <c r="V1122" s="10"/>
      <c r="W1122" s="10"/>
      <c r="X1122" s="7"/>
      <c r="Y1122" s="7"/>
      <c r="Z1122" s="7"/>
      <c r="AA1122" s="34"/>
      <c r="AB1122" s="7"/>
      <c r="AC1122" s="34"/>
      <c r="AD1122" s="10"/>
      <c r="AE1122"/>
      <c r="AF1122"/>
    </row>
    <row r="1123" spans="1:32" x14ac:dyDescent="0.25">
      <c r="A1123" s="16"/>
      <c r="C1123" s="70"/>
      <c r="D1123" s="70"/>
      <c r="E1123" s="73"/>
      <c r="F1123" s="9"/>
      <c r="H1123" s="45"/>
      <c r="I1123" s="10"/>
      <c r="J1123" s="7"/>
      <c r="K1123" s="7"/>
      <c r="L1123" s="10"/>
      <c r="M1123" s="10"/>
      <c r="N1123" s="10"/>
      <c r="O1123" s="10"/>
      <c r="P1123" s="10"/>
      <c r="Q1123" s="10"/>
      <c r="R1123" s="10"/>
      <c r="S1123" s="10"/>
      <c r="T1123" s="14"/>
      <c r="U1123" s="10"/>
      <c r="V1123" s="10"/>
      <c r="W1123" s="10"/>
      <c r="X1123" s="7"/>
      <c r="Y1123" s="7"/>
      <c r="Z1123" s="7"/>
      <c r="AA1123" s="34"/>
      <c r="AB1123" s="7"/>
      <c r="AC1123" s="34"/>
      <c r="AD1123" s="10"/>
      <c r="AE1123"/>
      <c r="AF1123"/>
    </row>
    <row r="1124" spans="1:32" x14ac:dyDescent="0.25">
      <c r="A1124" s="16"/>
      <c r="C1124" s="70"/>
      <c r="D1124" s="70"/>
      <c r="E1124" s="73"/>
      <c r="F1124" s="9"/>
      <c r="H1124" s="45"/>
      <c r="I1124" s="10"/>
      <c r="J1124" s="7"/>
      <c r="K1124" s="7"/>
      <c r="L1124" s="10"/>
      <c r="M1124" s="10"/>
      <c r="N1124" s="10"/>
      <c r="O1124" s="10"/>
      <c r="P1124" s="10"/>
      <c r="Q1124" s="10"/>
      <c r="R1124" s="10"/>
      <c r="S1124" s="10"/>
      <c r="T1124" s="14"/>
      <c r="U1124" s="10"/>
      <c r="V1124" s="10"/>
      <c r="W1124" s="10"/>
      <c r="X1124" s="7"/>
      <c r="Y1124" s="7"/>
      <c r="Z1124" s="7"/>
      <c r="AA1124" s="34"/>
      <c r="AB1124" s="7"/>
      <c r="AC1124" s="34"/>
      <c r="AD1124" s="10"/>
      <c r="AE1124"/>
      <c r="AF1124"/>
    </row>
    <row r="1125" spans="1:32" x14ac:dyDescent="0.25">
      <c r="A1125" s="16"/>
      <c r="C1125" s="70"/>
      <c r="D1125" s="70"/>
      <c r="E1125" s="73"/>
      <c r="F1125" s="9"/>
      <c r="H1125" s="9"/>
      <c r="I1125" s="10"/>
      <c r="J1125" s="7"/>
      <c r="K1125" s="7"/>
      <c r="L1125" s="10"/>
      <c r="M1125" s="10"/>
      <c r="N1125" s="10"/>
      <c r="O1125" s="10"/>
      <c r="P1125" s="10"/>
      <c r="Q1125" s="10"/>
      <c r="R1125" s="10"/>
      <c r="S1125" s="10"/>
      <c r="T1125" s="14"/>
      <c r="U1125" s="10"/>
      <c r="V1125" s="10"/>
      <c r="W1125" s="10"/>
      <c r="X1125" s="7"/>
      <c r="Y1125" s="7"/>
      <c r="Z1125" s="7"/>
      <c r="AA1125" s="34"/>
      <c r="AB1125" s="7"/>
      <c r="AC1125" s="34"/>
      <c r="AD1125" s="10"/>
      <c r="AE1125"/>
      <c r="AF1125"/>
    </row>
    <row r="1126" spans="1:32" x14ac:dyDescent="0.25">
      <c r="A1126" s="16"/>
      <c r="C1126" s="70"/>
      <c r="D1126" s="70"/>
      <c r="E1126" s="73"/>
      <c r="F1126" s="9"/>
      <c r="H1126" s="9"/>
      <c r="I1126" s="10"/>
      <c r="J1126" s="7"/>
      <c r="K1126" s="7"/>
      <c r="L1126" s="10"/>
      <c r="M1126" s="10"/>
      <c r="N1126" s="10"/>
      <c r="O1126" s="10"/>
      <c r="P1126" s="10"/>
      <c r="Q1126" s="10"/>
      <c r="R1126" s="10"/>
      <c r="S1126" s="10"/>
      <c r="T1126" s="14"/>
      <c r="U1126" s="10"/>
      <c r="V1126" s="10"/>
      <c r="W1126" s="10"/>
      <c r="X1126" s="7"/>
      <c r="Y1126" s="7"/>
      <c r="Z1126" s="7"/>
      <c r="AA1126" s="34"/>
      <c r="AB1126" s="7"/>
      <c r="AC1126" s="34"/>
      <c r="AD1126" s="10"/>
      <c r="AE1126"/>
      <c r="AF1126"/>
    </row>
    <row r="1127" spans="1:32" x14ac:dyDescent="0.25">
      <c r="A1127" s="16"/>
      <c r="C1127" s="70"/>
      <c r="D1127" s="70"/>
      <c r="E1127" s="73"/>
      <c r="F1127" s="9"/>
      <c r="H1127" s="9"/>
      <c r="I1127" s="10"/>
      <c r="J1127" s="7"/>
      <c r="K1127" s="7"/>
      <c r="L1127" s="10"/>
      <c r="M1127" s="10"/>
      <c r="N1127" s="10"/>
      <c r="O1127" s="10"/>
      <c r="P1127" s="10"/>
      <c r="Q1127" s="10"/>
      <c r="R1127" s="10"/>
      <c r="S1127" s="10"/>
      <c r="T1127" s="14"/>
      <c r="U1127" s="10"/>
      <c r="V1127" s="10"/>
      <c r="W1127" s="10"/>
      <c r="X1127" s="7"/>
      <c r="Y1127" s="7"/>
      <c r="Z1127" s="7"/>
      <c r="AA1127" s="34"/>
      <c r="AB1127" s="7"/>
      <c r="AC1127" s="34"/>
      <c r="AD1127" s="10"/>
      <c r="AE1127"/>
      <c r="AF1127"/>
    </row>
    <row r="1128" spans="1:32" x14ac:dyDescent="0.25">
      <c r="A1128" s="16"/>
      <c r="C1128" s="70"/>
      <c r="D1128" s="70"/>
      <c r="E1128" s="73"/>
      <c r="F1128" s="9"/>
      <c r="H1128" s="9"/>
      <c r="I1128" s="10"/>
      <c r="J1128" s="7"/>
      <c r="K1128" s="7"/>
      <c r="L1128" s="10"/>
      <c r="M1128" s="10"/>
      <c r="N1128" s="10"/>
      <c r="O1128" s="10"/>
      <c r="P1128" s="10"/>
      <c r="Q1128" s="10"/>
      <c r="R1128" s="10"/>
      <c r="S1128" s="10"/>
      <c r="T1128" s="14"/>
      <c r="U1128" s="10"/>
      <c r="V1128" s="10"/>
      <c r="W1128" s="10"/>
      <c r="X1128" s="7"/>
      <c r="Y1128" s="7"/>
      <c r="Z1128" s="7"/>
      <c r="AA1128" s="34"/>
      <c r="AB1128" s="7"/>
      <c r="AC1128" s="34"/>
      <c r="AD1128" s="10"/>
      <c r="AE1128"/>
      <c r="AF1128"/>
    </row>
    <row r="1129" spans="1:32" x14ac:dyDescent="0.25">
      <c r="A1129" s="16"/>
      <c r="C1129" s="70"/>
      <c r="D1129" s="70"/>
      <c r="E1129" s="73"/>
      <c r="F1129" s="9"/>
      <c r="H1129" s="9"/>
      <c r="I1129" s="10"/>
      <c r="J1129" s="7"/>
      <c r="K1129" s="7"/>
      <c r="L1129" s="10"/>
      <c r="M1129" s="10"/>
      <c r="N1129" s="10"/>
      <c r="O1129" s="10"/>
      <c r="P1129" s="10"/>
      <c r="Q1129" s="10"/>
      <c r="R1129" s="10"/>
      <c r="S1129" s="10"/>
      <c r="T1129" s="14"/>
      <c r="U1129" s="10"/>
      <c r="V1129" s="10"/>
      <c r="W1129" s="10"/>
      <c r="X1129" s="7"/>
      <c r="Y1129" s="7"/>
      <c r="Z1129" s="7"/>
      <c r="AA1129" s="34"/>
      <c r="AB1129" s="7"/>
      <c r="AC1129" s="34"/>
      <c r="AD1129" s="10"/>
      <c r="AE1129"/>
      <c r="AF1129"/>
    </row>
    <row r="1130" spans="1:32" x14ac:dyDescent="0.25">
      <c r="A1130" s="16"/>
      <c r="C1130" s="70"/>
      <c r="D1130" s="70"/>
      <c r="E1130" s="73"/>
      <c r="F1130" s="9"/>
      <c r="H1130" s="9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4"/>
      <c r="U1130" s="10"/>
      <c r="V1130" s="10"/>
      <c r="W1130" s="10"/>
      <c r="X1130" s="7"/>
      <c r="Y1130" s="7"/>
      <c r="Z1130" s="7"/>
      <c r="AA1130" s="34"/>
      <c r="AB1130" s="7"/>
      <c r="AC1130" s="34"/>
      <c r="AD1130" s="10"/>
      <c r="AE1130"/>
      <c r="AF1130"/>
    </row>
    <row r="1131" spans="1:32" x14ac:dyDescent="0.25">
      <c r="A1131" s="16"/>
      <c r="C1131" s="70"/>
      <c r="D1131" s="70"/>
      <c r="E1131" s="73"/>
      <c r="F1131" s="9"/>
      <c r="H1131" s="9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4"/>
      <c r="U1131" s="10"/>
      <c r="V1131" s="10"/>
      <c r="W1131" s="10"/>
      <c r="X1131" s="7"/>
      <c r="Y1131" s="7"/>
      <c r="Z1131" s="7"/>
      <c r="AA1131" s="34"/>
      <c r="AB1131" s="7"/>
      <c r="AC1131" s="34"/>
      <c r="AD1131" s="10"/>
      <c r="AE1131"/>
      <c r="AF1131"/>
    </row>
    <row r="1132" spans="1:32" x14ac:dyDescent="0.25">
      <c r="A1132" s="16"/>
      <c r="C1132" s="70"/>
      <c r="D1132" s="70"/>
      <c r="E1132" s="73"/>
      <c r="F1132" s="9"/>
      <c r="H1132" s="9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4"/>
      <c r="U1132" s="10"/>
      <c r="V1132" s="10"/>
      <c r="W1132" s="10"/>
      <c r="X1132" s="7"/>
      <c r="Y1132" s="7"/>
      <c r="Z1132" s="7"/>
      <c r="AA1132" s="34"/>
      <c r="AB1132" s="7"/>
      <c r="AC1132" s="34"/>
      <c r="AD1132" s="10"/>
      <c r="AE1132"/>
      <c r="AF1132"/>
    </row>
    <row r="1133" spans="1:32" x14ac:dyDescent="0.25">
      <c r="A1133" s="16"/>
      <c r="C1133" s="70"/>
      <c r="D1133" s="70"/>
      <c r="E1133" s="73"/>
      <c r="F1133" s="9"/>
      <c r="H1133" s="9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4"/>
      <c r="U1133" s="10"/>
      <c r="V1133" s="10"/>
      <c r="W1133" s="10"/>
      <c r="X1133" s="7"/>
      <c r="Y1133" s="7"/>
      <c r="Z1133" s="7"/>
      <c r="AA1133" s="34"/>
      <c r="AB1133" s="7"/>
      <c r="AC1133" s="34"/>
      <c r="AD1133" s="10"/>
      <c r="AE1133"/>
      <c r="AF1133"/>
    </row>
    <row r="1134" spans="1:32" x14ac:dyDescent="0.25">
      <c r="A1134" s="16"/>
      <c r="C1134" s="70"/>
      <c r="D1134" s="70"/>
      <c r="E1134" s="73"/>
      <c r="F1134" s="9"/>
      <c r="H1134" s="9"/>
      <c r="I1134" s="10"/>
      <c r="J1134" s="7"/>
      <c r="K1134" s="7"/>
      <c r="L1134" s="10"/>
      <c r="M1134" s="10"/>
      <c r="N1134" s="10"/>
      <c r="O1134" s="10"/>
      <c r="P1134" s="10"/>
      <c r="Q1134" s="10"/>
      <c r="R1134" s="10"/>
      <c r="S1134" s="10"/>
      <c r="T1134" s="14"/>
      <c r="U1134" s="10"/>
      <c r="V1134" s="10"/>
      <c r="W1134" s="10"/>
      <c r="X1134" s="7"/>
      <c r="Y1134" s="7"/>
      <c r="Z1134" s="7"/>
      <c r="AA1134" s="34"/>
      <c r="AB1134" s="7"/>
      <c r="AC1134" s="34"/>
      <c r="AD1134" s="10"/>
      <c r="AE1134"/>
      <c r="AF1134"/>
    </row>
    <row r="1135" spans="1:32" x14ac:dyDescent="0.25">
      <c r="A1135" s="16"/>
      <c r="C1135" s="70"/>
      <c r="D1135" s="70"/>
      <c r="E1135" s="73"/>
      <c r="F1135" s="9"/>
      <c r="H1135" s="9"/>
      <c r="I1135" s="10"/>
      <c r="J1135" s="7"/>
      <c r="K1135" s="7"/>
      <c r="L1135" s="10"/>
      <c r="M1135" s="10"/>
      <c r="N1135" s="10"/>
      <c r="O1135" s="10"/>
      <c r="P1135" s="10"/>
      <c r="Q1135" s="10"/>
      <c r="R1135" s="10"/>
      <c r="S1135" s="10"/>
      <c r="T1135" s="14"/>
      <c r="U1135" s="10"/>
      <c r="V1135" s="10"/>
      <c r="W1135" s="10"/>
      <c r="X1135" s="7"/>
      <c r="Y1135" s="7"/>
      <c r="Z1135" s="7"/>
      <c r="AA1135" s="34"/>
      <c r="AB1135" s="7"/>
      <c r="AC1135" s="34"/>
      <c r="AD1135" s="10"/>
      <c r="AE1135"/>
      <c r="AF1135"/>
    </row>
    <row r="1136" spans="1:32" x14ac:dyDescent="0.25">
      <c r="A1136" s="16"/>
      <c r="C1136" s="70"/>
      <c r="D1136" s="70"/>
      <c r="E1136" s="73"/>
      <c r="F1136" s="9"/>
      <c r="H1136" s="9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4"/>
      <c r="U1136" s="10"/>
      <c r="V1136" s="10"/>
      <c r="W1136" s="10"/>
      <c r="X1136" s="7"/>
      <c r="Y1136" s="7"/>
      <c r="Z1136" s="7"/>
      <c r="AA1136" s="34"/>
      <c r="AB1136" s="7"/>
      <c r="AC1136" s="34"/>
      <c r="AD1136" s="10"/>
      <c r="AE1136"/>
      <c r="AF1136"/>
    </row>
    <row r="1137" spans="1:32" x14ac:dyDescent="0.25">
      <c r="A1137" s="16"/>
      <c r="C1137" s="70"/>
      <c r="D1137" s="70"/>
      <c r="E1137" s="73"/>
      <c r="F1137" s="9"/>
      <c r="H1137" s="9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4"/>
      <c r="U1137" s="10"/>
      <c r="V1137" s="10"/>
      <c r="W1137" s="10"/>
      <c r="X1137" s="7"/>
      <c r="Y1137" s="7"/>
      <c r="Z1137" s="7"/>
      <c r="AA1137" s="34"/>
      <c r="AB1137" s="7"/>
      <c r="AC1137" s="34"/>
      <c r="AD1137" s="10"/>
      <c r="AE1137"/>
      <c r="AF1137"/>
    </row>
    <row r="1138" spans="1:32" x14ac:dyDescent="0.25">
      <c r="A1138" s="16"/>
      <c r="C1138" s="70"/>
      <c r="D1138" s="70"/>
      <c r="E1138" s="73"/>
      <c r="F1138" s="9"/>
      <c r="H1138" s="9"/>
      <c r="I1138" s="10"/>
      <c r="J1138" s="7"/>
      <c r="K1138" s="7"/>
      <c r="L1138" s="10"/>
      <c r="M1138" s="10"/>
      <c r="N1138" s="10"/>
      <c r="O1138" s="10"/>
      <c r="P1138" s="10"/>
      <c r="Q1138" s="10"/>
      <c r="R1138" s="10"/>
      <c r="S1138" s="10"/>
      <c r="T1138" s="14"/>
      <c r="U1138" s="10"/>
      <c r="V1138" s="10"/>
      <c r="W1138" s="10"/>
      <c r="X1138" s="7"/>
      <c r="Y1138" s="7"/>
      <c r="Z1138" s="7"/>
      <c r="AA1138" s="34"/>
      <c r="AB1138" s="7"/>
      <c r="AC1138" s="34"/>
      <c r="AD1138" s="10"/>
      <c r="AE1138"/>
      <c r="AF1138"/>
    </row>
    <row r="1139" spans="1:32" x14ac:dyDescent="0.25">
      <c r="A1139" s="16"/>
      <c r="C1139" s="70"/>
      <c r="D1139" s="70"/>
      <c r="E1139" s="73"/>
      <c r="F1139" s="9"/>
      <c r="H1139" s="9"/>
      <c r="I1139" s="10"/>
      <c r="J1139" s="7"/>
      <c r="K1139" s="7"/>
      <c r="L1139" s="10"/>
      <c r="M1139" s="10"/>
      <c r="N1139" s="10"/>
      <c r="O1139" s="10"/>
      <c r="P1139" s="10"/>
      <c r="Q1139" s="10"/>
      <c r="R1139" s="10"/>
      <c r="S1139" s="10"/>
      <c r="T1139" s="14"/>
      <c r="U1139" s="10"/>
      <c r="V1139" s="10"/>
      <c r="W1139" s="10"/>
      <c r="X1139" s="7"/>
      <c r="Y1139" s="7"/>
      <c r="Z1139" s="7"/>
      <c r="AA1139" s="34"/>
      <c r="AB1139" s="7"/>
      <c r="AC1139" s="34"/>
      <c r="AD1139" s="10"/>
      <c r="AE1139"/>
      <c r="AF1139"/>
    </row>
    <row r="1140" spans="1:32" x14ac:dyDescent="0.25">
      <c r="A1140" s="16"/>
      <c r="C1140" s="70"/>
      <c r="D1140" s="70"/>
      <c r="E1140" s="73"/>
      <c r="F1140" s="9"/>
      <c r="H1140" s="9"/>
      <c r="I1140" s="10"/>
      <c r="J1140" s="10"/>
      <c r="K1140" s="10"/>
      <c r="L1140" s="10"/>
      <c r="M1140" s="34"/>
      <c r="N1140" s="10"/>
      <c r="O1140" s="10"/>
      <c r="P1140" s="10"/>
      <c r="Q1140" s="10"/>
      <c r="R1140" s="10"/>
      <c r="S1140" s="10"/>
      <c r="T1140" s="14"/>
      <c r="U1140" s="10"/>
      <c r="V1140" s="10"/>
      <c r="W1140" s="10"/>
      <c r="X1140" s="7"/>
      <c r="Y1140" s="7"/>
      <c r="Z1140" s="7"/>
      <c r="AA1140" s="34"/>
      <c r="AB1140" s="7"/>
      <c r="AC1140" s="34"/>
      <c r="AD1140" s="10"/>
      <c r="AE1140"/>
      <c r="AF1140"/>
    </row>
    <row r="1141" spans="1:32" x14ac:dyDescent="0.25">
      <c r="A1141" s="16"/>
      <c r="C1141" s="70"/>
      <c r="D1141" s="70"/>
      <c r="E1141" s="73"/>
      <c r="F1141" s="9"/>
      <c r="H1141" s="9"/>
      <c r="I1141" s="10"/>
      <c r="J1141" s="7"/>
      <c r="K1141" s="7"/>
      <c r="L1141" s="10"/>
      <c r="M1141" s="10"/>
      <c r="N1141" s="10"/>
      <c r="O1141" s="10"/>
      <c r="P1141" s="10"/>
      <c r="Q1141" s="10"/>
      <c r="R1141" s="10"/>
      <c r="S1141" s="10"/>
      <c r="T1141" s="14"/>
      <c r="U1141" s="10"/>
      <c r="V1141" s="10"/>
      <c r="W1141" s="10"/>
      <c r="X1141" s="7"/>
      <c r="Y1141" s="7"/>
      <c r="Z1141" s="7"/>
      <c r="AA1141" s="34"/>
      <c r="AB1141" s="7"/>
      <c r="AC1141" s="34"/>
      <c r="AD1141" s="10"/>
      <c r="AE1141"/>
      <c r="AF1141"/>
    </row>
    <row r="1142" spans="1:32" x14ac:dyDescent="0.25">
      <c r="A1142" s="16"/>
      <c r="C1142" s="70"/>
      <c r="D1142" s="70"/>
      <c r="E1142" s="73"/>
      <c r="F1142" s="9"/>
      <c r="H1142" s="9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4"/>
      <c r="U1142" s="10"/>
      <c r="V1142" s="10"/>
      <c r="W1142" s="10"/>
      <c r="X1142" s="7"/>
      <c r="Y1142" s="7"/>
      <c r="Z1142" s="34"/>
      <c r="AA1142" s="34"/>
      <c r="AB1142" s="7"/>
      <c r="AC1142" s="34"/>
      <c r="AD1142" s="10"/>
      <c r="AE1142"/>
      <c r="AF1142"/>
    </row>
    <row r="1143" spans="1:32" x14ac:dyDescent="0.25">
      <c r="A1143" s="16"/>
      <c r="C1143" s="70"/>
      <c r="D1143" s="70"/>
      <c r="E1143" s="73"/>
      <c r="F1143" s="9"/>
      <c r="H1143" s="9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34"/>
      <c r="T1143" s="14"/>
      <c r="U1143" s="10"/>
      <c r="V1143" s="10"/>
      <c r="W1143" s="10"/>
      <c r="X1143" s="7"/>
      <c r="Y1143" s="7"/>
      <c r="Z1143" s="7"/>
      <c r="AA1143" s="34"/>
      <c r="AB1143" s="7"/>
      <c r="AC1143" s="34"/>
      <c r="AD1143" s="10"/>
      <c r="AE1143"/>
      <c r="AF1143"/>
    </row>
    <row r="1144" spans="1:32" x14ac:dyDescent="0.25">
      <c r="A1144" s="16"/>
      <c r="C1144" s="70"/>
      <c r="D1144" s="70"/>
      <c r="E1144" s="73"/>
      <c r="F1144" s="9"/>
      <c r="H1144" s="9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4"/>
      <c r="U1144" s="10"/>
      <c r="V1144" s="10"/>
      <c r="W1144" s="10"/>
      <c r="X1144" s="7"/>
      <c r="Y1144" s="7"/>
      <c r="Z1144" s="7"/>
      <c r="AA1144" s="34"/>
      <c r="AB1144" s="7"/>
      <c r="AC1144" s="34"/>
      <c r="AD1144" s="10"/>
      <c r="AE1144"/>
      <c r="AF1144"/>
    </row>
    <row r="1145" spans="1:32" x14ac:dyDescent="0.25">
      <c r="A1145" s="16"/>
      <c r="C1145" s="70"/>
      <c r="D1145" s="70"/>
      <c r="E1145" s="73"/>
      <c r="F1145" s="9"/>
      <c r="H1145" s="9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4"/>
      <c r="U1145" s="10"/>
      <c r="V1145" s="10"/>
      <c r="W1145" s="10"/>
      <c r="X1145" s="7"/>
      <c r="Y1145" s="7"/>
      <c r="Z1145" s="7"/>
      <c r="AA1145" s="34"/>
      <c r="AB1145" s="7"/>
      <c r="AC1145" s="34"/>
      <c r="AD1145" s="10"/>
      <c r="AE1145"/>
      <c r="AF1145"/>
    </row>
    <row r="1146" spans="1:32" x14ac:dyDescent="0.25">
      <c r="A1146" s="16"/>
      <c r="C1146" s="70"/>
      <c r="D1146" s="70"/>
      <c r="E1146" s="73"/>
      <c r="F1146" s="9"/>
      <c r="H1146" s="9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4"/>
      <c r="U1146" s="10"/>
      <c r="V1146" s="10"/>
      <c r="W1146" s="10"/>
      <c r="X1146" s="7"/>
      <c r="Y1146" s="7"/>
      <c r="Z1146" s="7"/>
      <c r="AA1146" s="34"/>
      <c r="AB1146" s="7"/>
      <c r="AC1146" s="34"/>
      <c r="AD1146" s="10"/>
      <c r="AE1146"/>
      <c r="AF1146"/>
    </row>
    <row r="1147" spans="1:32" x14ac:dyDescent="0.25">
      <c r="A1147" s="16"/>
      <c r="C1147" s="70"/>
      <c r="D1147" s="70"/>
      <c r="E1147" s="73"/>
      <c r="F1147" s="9"/>
      <c r="H1147" s="9"/>
      <c r="I1147" s="10"/>
      <c r="J1147" s="7"/>
      <c r="K1147" s="7"/>
      <c r="L1147" s="10"/>
      <c r="M1147" s="10"/>
      <c r="N1147" s="10"/>
      <c r="O1147" s="10"/>
      <c r="P1147" s="10"/>
      <c r="Q1147" s="10"/>
      <c r="R1147" s="10"/>
      <c r="S1147" s="10"/>
      <c r="T1147" s="14"/>
      <c r="U1147" s="10"/>
      <c r="V1147" s="10"/>
      <c r="W1147" s="10"/>
      <c r="X1147" s="7"/>
      <c r="Y1147" s="7"/>
      <c r="Z1147" s="7"/>
      <c r="AA1147" s="34"/>
      <c r="AB1147" s="7"/>
      <c r="AC1147" s="34"/>
      <c r="AD1147" s="10"/>
      <c r="AE1147"/>
      <c r="AF1147"/>
    </row>
    <row r="1148" spans="1:32" x14ac:dyDescent="0.25">
      <c r="A1148" s="16"/>
      <c r="C1148" s="70"/>
      <c r="D1148" s="70"/>
      <c r="E1148" s="73"/>
      <c r="F1148" s="9"/>
      <c r="H1148" s="9"/>
      <c r="I1148" s="10"/>
      <c r="J1148" s="7"/>
      <c r="K1148" s="7"/>
      <c r="L1148" s="10"/>
      <c r="M1148" s="10"/>
      <c r="N1148" s="10"/>
      <c r="O1148" s="10"/>
      <c r="P1148" s="10"/>
      <c r="Q1148" s="10"/>
      <c r="R1148" s="10"/>
      <c r="S1148" s="10"/>
      <c r="T1148" s="14"/>
      <c r="U1148" s="10"/>
      <c r="V1148" s="10"/>
      <c r="W1148" s="10"/>
      <c r="X1148" s="7"/>
      <c r="Y1148" s="7"/>
      <c r="Z1148" s="7"/>
      <c r="AA1148" s="34"/>
      <c r="AB1148" s="7"/>
      <c r="AC1148" s="34"/>
      <c r="AD1148" s="10"/>
      <c r="AE1148"/>
      <c r="AF1148"/>
    </row>
    <row r="1149" spans="1:32" x14ac:dyDescent="0.25">
      <c r="A1149" s="16"/>
      <c r="C1149" s="70"/>
      <c r="D1149" s="70"/>
      <c r="E1149" s="73"/>
      <c r="F1149" s="9"/>
      <c r="H1149" s="9"/>
      <c r="I1149" s="10"/>
      <c r="J1149" s="7"/>
      <c r="K1149" s="7"/>
      <c r="L1149" s="10"/>
      <c r="M1149" s="10"/>
      <c r="N1149" s="10"/>
      <c r="O1149" s="10"/>
      <c r="P1149" s="10"/>
      <c r="Q1149" s="10"/>
      <c r="R1149" s="10"/>
      <c r="S1149" s="10"/>
      <c r="T1149" s="14"/>
      <c r="U1149" s="10"/>
      <c r="V1149" s="10"/>
      <c r="W1149" s="10"/>
      <c r="X1149" s="7"/>
      <c r="Y1149" s="7"/>
      <c r="Z1149" s="7"/>
      <c r="AA1149" s="34"/>
      <c r="AB1149" s="7"/>
      <c r="AC1149" s="34"/>
      <c r="AD1149" s="10"/>
      <c r="AE1149"/>
      <c r="AF1149"/>
    </row>
    <row r="1150" spans="1:32" x14ac:dyDescent="0.25">
      <c r="A1150" s="16"/>
      <c r="C1150" s="70"/>
      <c r="D1150" s="70"/>
      <c r="E1150" s="73"/>
      <c r="F1150" s="9"/>
      <c r="H1150" s="9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4"/>
      <c r="U1150" s="10"/>
      <c r="V1150" s="10"/>
      <c r="W1150" s="10"/>
      <c r="X1150" s="7"/>
      <c r="Y1150" s="7"/>
      <c r="Z1150" s="7"/>
      <c r="AA1150" s="34"/>
      <c r="AB1150" s="7"/>
      <c r="AC1150" s="34"/>
      <c r="AD1150" s="10"/>
      <c r="AE1150"/>
      <c r="AF1150"/>
    </row>
    <row r="1151" spans="1:32" x14ac:dyDescent="0.25">
      <c r="A1151" s="16"/>
      <c r="C1151" s="70"/>
      <c r="D1151" s="70"/>
      <c r="E1151" s="79"/>
      <c r="F1151" s="45"/>
      <c r="H1151" s="45"/>
      <c r="I1151" s="10"/>
      <c r="J1151" s="7"/>
      <c r="K1151" s="7"/>
      <c r="L1151" s="10"/>
      <c r="M1151" s="10"/>
      <c r="N1151" s="10"/>
      <c r="O1151" s="10"/>
      <c r="P1151" s="10"/>
      <c r="Q1151" s="10"/>
      <c r="R1151" s="10"/>
      <c r="S1151" s="10"/>
      <c r="T1151" s="14"/>
      <c r="U1151" s="10"/>
      <c r="V1151" s="10"/>
      <c r="W1151" s="10"/>
      <c r="X1151" s="7"/>
      <c r="Y1151" s="7"/>
      <c r="Z1151" s="7"/>
      <c r="AA1151" s="34"/>
      <c r="AB1151" s="7"/>
      <c r="AC1151" s="34"/>
      <c r="AD1151" s="10"/>
      <c r="AE1151"/>
      <c r="AF1151"/>
    </row>
    <row r="1152" spans="1:32" x14ac:dyDescent="0.25">
      <c r="A1152" s="16"/>
      <c r="C1152" s="70"/>
      <c r="D1152" s="70"/>
      <c r="E1152" s="73"/>
      <c r="F1152" s="9"/>
      <c r="H1152" s="9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4"/>
      <c r="U1152" s="10"/>
      <c r="V1152" s="10"/>
      <c r="W1152" s="10"/>
      <c r="X1152" s="7"/>
      <c r="Y1152" s="7"/>
      <c r="Z1152" s="7"/>
      <c r="AA1152" s="34"/>
      <c r="AB1152" s="7"/>
      <c r="AC1152" s="34"/>
      <c r="AD1152" s="10"/>
      <c r="AE1152"/>
      <c r="AF1152"/>
    </row>
    <row r="1153" spans="1:32" x14ac:dyDescent="0.25">
      <c r="A1153" s="16"/>
      <c r="C1153" s="70"/>
      <c r="D1153" s="70"/>
      <c r="E1153" s="73"/>
      <c r="F1153" s="9"/>
      <c r="H1153" s="9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4"/>
      <c r="U1153" s="10"/>
      <c r="V1153" s="10"/>
      <c r="W1153" s="10"/>
      <c r="X1153" s="7"/>
      <c r="Y1153" s="7"/>
      <c r="Z1153" s="7"/>
      <c r="AA1153" s="34"/>
      <c r="AB1153" s="7"/>
      <c r="AC1153" s="34"/>
      <c r="AD1153" s="10"/>
      <c r="AE1153"/>
      <c r="AF1153"/>
    </row>
    <row r="1154" spans="1:32" x14ac:dyDescent="0.25">
      <c r="A1154" s="16"/>
      <c r="C1154" s="70"/>
      <c r="D1154" s="70"/>
      <c r="E1154" s="73"/>
      <c r="F1154" s="9"/>
      <c r="H1154" s="9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4"/>
      <c r="U1154" s="10"/>
      <c r="V1154" s="10"/>
      <c r="W1154" s="10"/>
      <c r="X1154" s="7"/>
      <c r="Y1154" s="7"/>
      <c r="Z1154" s="7"/>
      <c r="AA1154" s="34"/>
      <c r="AB1154" s="7"/>
      <c r="AC1154" s="34"/>
      <c r="AD1154" s="10"/>
      <c r="AE1154"/>
      <c r="AF1154"/>
    </row>
    <row r="1155" spans="1:32" x14ac:dyDescent="0.25">
      <c r="A1155" s="43"/>
      <c r="C1155" s="70"/>
      <c r="D1155" s="70"/>
      <c r="E1155" s="73"/>
      <c r="F1155" s="9"/>
      <c r="H1155" s="9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4"/>
      <c r="U1155" s="10"/>
      <c r="V1155" s="10"/>
      <c r="W1155" s="10"/>
      <c r="X1155" s="7"/>
      <c r="Y1155" s="7"/>
      <c r="Z1155" s="7"/>
      <c r="AA1155" s="34"/>
      <c r="AB1155" s="7"/>
      <c r="AC1155" s="34"/>
      <c r="AD1155" s="10"/>
      <c r="AE1155"/>
      <c r="AF1155"/>
    </row>
    <row r="1156" spans="1:32" x14ac:dyDescent="0.25">
      <c r="A1156" s="16"/>
      <c r="C1156" s="70"/>
      <c r="D1156" s="70"/>
      <c r="E1156" s="73"/>
      <c r="F1156" s="45"/>
      <c r="G1156" s="49"/>
      <c r="H1156" s="9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4"/>
      <c r="U1156" s="10"/>
      <c r="V1156" s="10"/>
      <c r="W1156" s="10"/>
      <c r="X1156" s="7"/>
      <c r="Y1156" s="7"/>
      <c r="Z1156" s="7"/>
      <c r="AA1156" s="34"/>
      <c r="AB1156" s="7"/>
      <c r="AC1156" s="34"/>
      <c r="AD1156" s="10"/>
      <c r="AE1156"/>
      <c r="AF1156"/>
    </row>
    <row r="1157" spans="1:32" x14ac:dyDescent="0.25">
      <c r="A1157" s="16"/>
      <c r="C1157" s="70"/>
      <c r="D1157" s="70"/>
      <c r="E1157" s="73"/>
      <c r="F1157" s="9"/>
      <c r="H1157" s="9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4"/>
      <c r="U1157" s="10"/>
      <c r="V1157" s="10"/>
      <c r="W1157" s="10"/>
      <c r="X1157" s="7"/>
      <c r="Y1157" s="7"/>
      <c r="Z1157" s="7"/>
      <c r="AA1157" s="34"/>
      <c r="AB1157" s="7"/>
      <c r="AC1157" s="34"/>
      <c r="AD1157" s="10"/>
      <c r="AE1157"/>
      <c r="AF1157"/>
    </row>
    <row r="1158" spans="1:32" x14ac:dyDescent="0.25">
      <c r="A1158" s="16"/>
      <c r="C1158" s="70"/>
      <c r="D1158" s="70"/>
      <c r="E1158" s="73"/>
      <c r="F1158" s="9"/>
      <c r="H1158" s="9"/>
      <c r="I1158" s="10"/>
      <c r="J1158" s="7"/>
      <c r="K1158" s="7"/>
      <c r="L1158" s="34"/>
      <c r="M1158" s="34"/>
      <c r="N1158" s="10"/>
      <c r="O1158" s="10"/>
      <c r="P1158" s="10"/>
      <c r="Q1158" s="10"/>
      <c r="R1158" s="10"/>
      <c r="S1158" s="10"/>
      <c r="T1158" s="14"/>
      <c r="U1158" s="10"/>
      <c r="V1158" s="10"/>
      <c r="W1158" s="10"/>
      <c r="X1158" s="7"/>
      <c r="Y1158" s="7"/>
      <c r="Z1158" s="7"/>
      <c r="AA1158" s="34"/>
      <c r="AB1158" s="7"/>
      <c r="AC1158" s="34"/>
      <c r="AD1158" s="10"/>
      <c r="AE1158"/>
      <c r="AF1158"/>
    </row>
    <row r="1159" spans="1:32" x14ac:dyDescent="0.25">
      <c r="A1159" s="16"/>
      <c r="C1159" s="70"/>
      <c r="D1159" s="70"/>
      <c r="E1159" s="73"/>
      <c r="F1159" s="45"/>
      <c r="H1159" s="9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4"/>
      <c r="U1159" s="10"/>
      <c r="V1159" s="10"/>
      <c r="W1159" s="10"/>
      <c r="X1159" s="7"/>
      <c r="Y1159" s="34"/>
      <c r="Z1159" s="7"/>
      <c r="AA1159" s="34"/>
      <c r="AB1159" s="7"/>
      <c r="AC1159" s="34"/>
      <c r="AD1159" s="10"/>
      <c r="AE1159"/>
      <c r="AF1159"/>
    </row>
    <row r="1160" spans="1:32" x14ac:dyDescent="0.25">
      <c r="A1160" s="16"/>
      <c r="C1160" s="70"/>
      <c r="D1160" s="70"/>
      <c r="E1160" s="73"/>
      <c r="F1160" s="9"/>
      <c r="H1160" s="9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4"/>
      <c r="U1160" s="10"/>
      <c r="V1160" s="10"/>
      <c r="W1160" s="10"/>
      <c r="X1160" s="7"/>
      <c r="Y1160" s="7"/>
      <c r="Z1160" s="7"/>
      <c r="AA1160" s="34"/>
      <c r="AB1160" s="7"/>
      <c r="AC1160" s="34"/>
      <c r="AD1160" s="10"/>
      <c r="AE1160"/>
      <c r="AF1160"/>
    </row>
    <row r="1161" spans="1:32" x14ac:dyDescent="0.25">
      <c r="A1161" s="16"/>
      <c r="C1161" s="70"/>
      <c r="D1161" s="70"/>
      <c r="E1161" s="73"/>
      <c r="F1161" s="9"/>
      <c r="H1161" s="9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4"/>
      <c r="U1161" s="10"/>
      <c r="V1161" s="10"/>
      <c r="W1161" s="10"/>
      <c r="X1161" s="7"/>
      <c r="Y1161" s="7"/>
      <c r="Z1161" s="7"/>
      <c r="AA1161" s="34"/>
      <c r="AB1161" s="7"/>
      <c r="AC1161" s="34"/>
      <c r="AD1161" s="10"/>
      <c r="AE1161"/>
      <c r="AF1161"/>
    </row>
    <row r="1162" spans="1:32" x14ac:dyDescent="0.25">
      <c r="A1162" s="16"/>
      <c r="C1162" s="70"/>
      <c r="D1162" s="70"/>
      <c r="E1162" s="73"/>
      <c r="F1162" s="9"/>
      <c r="H1162" s="9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4"/>
      <c r="U1162" s="10"/>
      <c r="V1162" s="10"/>
      <c r="W1162" s="10"/>
      <c r="X1162" s="7"/>
      <c r="Y1162" s="7"/>
      <c r="Z1162" s="7"/>
      <c r="AA1162" s="34"/>
      <c r="AB1162" s="7"/>
      <c r="AC1162" s="34"/>
      <c r="AD1162" s="10"/>
      <c r="AE1162"/>
      <c r="AF1162"/>
    </row>
    <row r="1163" spans="1:32" x14ac:dyDescent="0.25">
      <c r="A1163" s="16"/>
      <c r="C1163" s="70"/>
      <c r="D1163" s="70"/>
      <c r="E1163" s="73"/>
      <c r="F1163" s="9"/>
      <c r="H1163" s="9"/>
      <c r="I1163" s="10"/>
      <c r="J1163" s="7"/>
      <c r="K1163" s="7"/>
      <c r="L1163" s="10"/>
      <c r="M1163" s="10"/>
      <c r="N1163" s="10"/>
      <c r="O1163" s="10"/>
      <c r="P1163" s="10"/>
      <c r="Q1163" s="10"/>
      <c r="R1163" s="10"/>
      <c r="S1163" s="10"/>
      <c r="T1163" s="14"/>
      <c r="U1163" s="10"/>
      <c r="V1163" s="10"/>
      <c r="W1163" s="10"/>
      <c r="X1163" s="7"/>
      <c r="Y1163" s="7"/>
      <c r="Z1163" s="7"/>
      <c r="AA1163" s="34"/>
      <c r="AB1163" s="7"/>
      <c r="AC1163" s="34"/>
      <c r="AD1163" s="10"/>
      <c r="AE1163"/>
      <c r="AF1163"/>
    </row>
    <row r="1164" spans="1:32" x14ac:dyDescent="0.25">
      <c r="A1164" s="16"/>
      <c r="C1164" s="70"/>
      <c r="D1164" s="70"/>
      <c r="E1164" s="73"/>
      <c r="F1164" s="9"/>
      <c r="H1164" s="9"/>
      <c r="I1164" s="10"/>
      <c r="J1164" s="7"/>
      <c r="K1164" s="7"/>
      <c r="L1164" s="10"/>
      <c r="M1164" s="10"/>
      <c r="N1164" s="10"/>
      <c r="O1164" s="10"/>
      <c r="P1164" s="10"/>
      <c r="Q1164" s="10"/>
      <c r="R1164" s="10"/>
      <c r="S1164" s="10"/>
      <c r="T1164" s="14"/>
      <c r="U1164" s="10"/>
      <c r="V1164" s="10"/>
      <c r="W1164" s="10"/>
      <c r="X1164" s="7"/>
      <c r="Y1164" s="7"/>
      <c r="Z1164" s="7"/>
      <c r="AA1164" s="34"/>
      <c r="AB1164" s="7"/>
      <c r="AC1164" s="34"/>
      <c r="AD1164" s="10"/>
      <c r="AE1164"/>
      <c r="AF1164"/>
    </row>
    <row r="1165" spans="1:32" x14ac:dyDescent="0.25">
      <c r="A1165" s="16"/>
      <c r="C1165" s="70"/>
      <c r="D1165" s="70"/>
      <c r="E1165" s="73"/>
      <c r="F1165" s="9"/>
      <c r="H1165" s="9"/>
      <c r="I1165" s="10"/>
      <c r="J1165" s="7"/>
      <c r="K1165" s="7"/>
      <c r="L1165" s="10"/>
      <c r="M1165" s="10"/>
      <c r="N1165" s="10"/>
      <c r="O1165" s="10"/>
      <c r="P1165" s="10"/>
      <c r="Q1165" s="10"/>
      <c r="R1165" s="10"/>
      <c r="S1165" s="10"/>
      <c r="T1165" s="14"/>
      <c r="U1165" s="10"/>
      <c r="V1165" s="10"/>
      <c r="W1165" s="10"/>
      <c r="X1165" s="7"/>
      <c r="Y1165" s="7"/>
      <c r="Z1165" s="7"/>
      <c r="AA1165" s="34"/>
      <c r="AB1165" s="7"/>
      <c r="AC1165" s="34"/>
      <c r="AD1165" s="10"/>
      <c r="AE1165"/>
      <c r="AF1165"/>
    </row>
    <row r="1166" spans="1:32" x14ac:dyDescent="0.25">
      <c r="A1166" s="16"/>
      <c r="C1166" s="70"/>
      <c r="D1166" s="70"/>
      <c r="E1166" s="73"/>
      <c r="F1166" s="9"/>
      <c r="H1166" s="9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4"/>
      <c r="U1166" s="10"/>
      <c r="V1166" s="10"/>
      <c r="W1166" s="10"/>
      <c r="X1166" s="7"/>
      <c r="Y1166" s="7"/>
      <c r="Z1166" s="34"/>
      <c r="AA1166" s="34"/>
      <c r="AB1166" s="7"/>
      <c r="AC1166" s="34"/>
      <c r="AD1166" s="10"/>
      <c r="AE1166"/>
      <c r="AF1166"/>
    </row>
    <row r="1167" spans="1:32" x14ac:dyDescent="0.25">
      <c r="A1167" s="16"/>
      <c r="C1167" s="70"/>
      <c r="D1167" s="70"/>
      <c r="E1167" s="73"/>
      <c r="F1167" s="9"/>
      <c r="H1167" s="9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4"/>
      <c r="U1167" s="10"/>
      <c r="V1167" s="10"/>
      <c r="W1167" s="10"/>
      <c r="X1167" s="7"/>
      <c r="Y1167" s="7"/>
      <c r="Z1167" s="7"/>
      <c r="AA1167" s="34"/>
      <c r="AB1167" s="7"/>
      <c r="AC1167" s="34"/>
      <c r="AD1167" s="10"/>
      <c r="AE1167"/>
      <c r="AF1167"/>
    </row>
    <row r="1168" spans="1:32" x14ac:dyDescent="0.25">
      <c r="A1168" s="16"/>
      <c r="C1168" s="70"/>
      <c r="D1168" s="70"/>
      <c r="E1168" s="73"/>
      <c r="F1168" s="9"/>
      <c r="H1168" s="9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4"/>
      <c r="U1168" s="10"/>
      <c r="V1168" s="10"/>
      <c r="W1168" s="10"/>
      <c r="X1168" s="7"/>
      <c r="Y1168" s="7"/>
      <c r="Z1168" s="7"/>
      <c r="AA1168" s="34"/>
      <c r="AB1168" s="7"/>
      <c r="AC1168" s="34"/>
      <c r="AD1168" s="10"/>
      <c r="AE1168"/>
      <c r="AF1168"/>
    </row>
    <row r="1169" spans="1:32" x14ac:dyDescent="0.25">
      <c r="A1169" s="16"/>
      <c r="C1169" s="70"/>
      <c r="D1169" s="70"/>
      <c r="E1169" s="73"/>
      <c r="F1169" s="9"/>
      <c r="H1169" s="9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4"/>
      <c r="U1169" s="10"/>
      <c r="V1169" s="10"/>
      <c r="W1169" s="10"/>
      <c r="X1169" s="7"/>
      <c r="Y1169" s="7"/>
      <c r="Z1169" s="7"/>
      <c r="AA1169" s="34"/>
      <c r="AB1169" s="7"/>
      <c r="AC1169" s="34"/>
      <c r="AD1169" s="10"/>
      <c r="AE1169"/>
      <c r="AF1169"/>
    </row>
    <row r="1170" spans="1:32" x14ac:dyDescent="0.25">
      <c r="A1170" s="16"/>
      <c r="C1170" s="70"/>
      <c r="D1170" s="70"/>
      <c r="E1170" s="73"/>
      <c r="F1170" s="9"/>
      <c r="H1170" s="9"/>
      <c r="I1170" s="10"/>
      <c r="J1170" s="7"/>
      <c r="K1170" s="7"/>
      <c r="L1170" s="10"/>
      <c r="M1170" s="10"/>
      <c r="N1170" s="10"/>
      <c r="O1170" s="10"/>
      <c r="P1170" s="10"/>
      <c r="Q1170" s="10"/>
      <c r="R1170" s="10"/>
      <c r="S1170" s="10"/>
      <c r="T1170" s="14"/>
      <c r="U1170" s="10"/>
      <c r="V1170" s="10"/>
      <c r="W1170" s="10"/>
      <c r="X1170" s="7"/>
      <c r="Y1170" s="7"/>
      <c r="Z1170" s="7"/>
      <c r="AA1170" s="34"/>
      <c r="AB1170" s="7"/>
      <c r="AC1170" s="34"/>
      <c r="AD1170" s="10"/>
      <c r="AE1170"/>
      <c r="AF1170"/>
    </row>
    <row r="1171" spans="1:32" x14ac:dyDescent="0.25">
      <c r="A1171" s="16"/>
      <c r="C1171" s="70"/>
      <c r="D1171" s="70"/>
      <c r="E1171" s="73"/>
      <c r="F1171" s="9"/>
      <c r="H1171" s="9"/>
      <c r="I1171" s="10"/>
      <c r="J1171" s="7"/>
      <c r="K1171" s="7"/>
      <c r="L1171" s="10"/>
      <c r="M1171" s="10"/>
      <c r="N1171" s="10"/>
      <c r="O1171" s="10"/>
      <c r="P1171" s="10"/>
      <c r="Q1171" s="10"/>
      <c r="R1171" s="10"/>
      <c r="S1171" s="10"/>
      <c r="T1171" s="14"/>
      <c r="U1171" s="10"/>
      <c r="V1171" s="10"/>
      <c r="W1171" s="10"/>
      <c r="X1171" s="7"/>
      <c r="Y1171" s="7"/>
      <c r="Z1171" s="7"/>
      <c r="AA1171" s="34"/>
      <c r="AB1171" s="7"/>
      <c r="AC1171" s="34"/>
      <c r="AD1171" s="10"/>
      <c r="AE1171"/>
      <c r="AF1171"/>
    </row>
    <row r="1172" spans="1:32" x14ac:dyDescent="0.25">
      <c r="A1172" s="16"/>
      <c r="C1172" s="70"/>
      <c r="D1172" s="70"/>
      <c r="E1172" s="73"/>
      <c r="F1172" s="9"/>
      <c r="H1172" s="9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4"/>
      <c r="U1172" s="10"/>
      <c r="V1172" s="10"/>
      <c r="W1172" s="10"/>
      <c r="X1172" s="7"/>
      <c r="Y1172" s="7"/>
      <c r="Z1172" s="7"/>
      <c r="AA1172" s="34"/>
      <c r="AB1172" s="7"/>
      <c r="AC1172" s="34"/>
      <c r="AD1172" s="10"/>
      <c r="AE1172"/>
      <c r="AF1172"/>
    </row>
    <row r="1173" spans="1:32" x14ac:dyDescent="0.25">
      <c r="A1173" s="16"/>
      <c r="C1173" s="70"/>
      <c r="D1173" s="70"/>
      <c r="E1173" s="73"/>
      <c r="F1173" s="9"/>
      <c r="H1173" s="9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4"/>
      <c r="U1173" s="10"/>
      <c r="V1173" s="10"/>
      <c r="W1173" s="10"/>
      <c r="X1173" s="7"/>
      <c r="Y1173" s="7"/>
      <c r="Z1173" s="7"/>
      <c r="AA1173" s="34"/>
      <c r="AB1173" s="7"/>
      <c r="AC1173" s="34"/>
      <c r="AD1173" s="10"/>
      <c r="AE1173"/>
      <c r="AF1173"/>
    </row>
    <row r="1174" spans="1:32" x14ac:dyDescent="0.25">
      <c r="A1174" s="16"/>
      <c r="C1174" s="70"/>
      <c r="D1174" s="70"/>
      <c r="E1174" s="73"/>
      <c r="F1174" s="9"/>
      <c r="H1174" s="9"/>
      <c r="I1174" s="10"/>
      <c r="J1174" s="7"/>
      <c r="K1174" s="7"/>
      <c r="L1174" s="10"/>
      <c r="M1174" s="10"/>
      <c r="N1174" s="10"/>
      <c r="O1174" s="10"/>
      <c r="P1174" s="10"/>
      <c r="Q1174" s="10"/>
      <c r="R1174" s="10"/>
      <c r="S1174" s="10"/>
      <c r="T1174" s="14"/>
      <c r="U1174" s="10"/>
      <c r="V1174" s="10"/>
      <c r="W1174" s="10"/>
      <c r="X1174" s="7"/>
      <c r="Y1174" s="7"/>
      <c r="Z1174" s="7"/>
      <c r="AA1174" s="34"/>
      <c r="AB1174" s="7"/>
      <c r="AC1174" s="34"/>
      <c r="AD1174" s="10"/>
      <c r="AE1174"/>
      <c r="AF1174"/>
    </row>
    <row r="1175" spans="1:32" x14ac:dyDescent="0.25">
      <c r="A1175" s="16"/>
      <c r="C1175" s="70"/>
      <c r="D1175" s="70"/>
      <c r="E1175" s="73"/>
      <c r="F1175" s="9"/>
      <c r="H1175" s="9"/>
      <c r="I1175" s="10"/>
      <c r="J1175" s="7"/>
      <c r="K1175" s="7"/>
      <c r="L1175" s="10"/>
      <c r="M1175" s="10"/>
      <c r="N1175" s="10"/>
      <c r="O1175" s="10"/>
      <c r="P1175" s="10"/>
      <c r="Q1175" s="10"/>
      <c r="R1175" s="10"/>
      <c r="S1175" s="10"/>
      <c r="T1175" s="14"/>
      <c r="U1175" s="10"/>
      <c r="V1175" s="10"/>
      <c r="W1175" s="10"/>
      <c r="X1175" s="7"/>
      <c r="Y1175" s="7"/>
      <c r="Z1175" s="7"/>
      <c r="AA1175" s="34"/>
      <c r="AB1175" s="7"/>
      <c r="AC1175" s="34"/>
      <c r="AD1175" s="10"/>
      <c r="AE1175"/>
      <c r="AF1175"/>
    </row>
    <row r="1176" spans="1:32" x14ac:dyDescent="0.25">
      <c r="A1176" s="16"/>
      <c r="C1176" s="70"/>
      <c r="D1176" s="70"/>
      <c r="E1176" s="73"/>
      <c r="F1176" s="9"/>
      <c r="H1176" s="9"/>
      <c r="I1176" s="10"/>
      <c r="J1176" s="7"/>
      <c r="K1176" s="7"/>
      <c r="L1176" s="10"/>
      <c r="M1176" s="10"/>
      <c r="N1176" s="10"/>
      <c r="O1176" s="10"/>
      <c r="P1176" s="10"/>
      <c r="Q1176" s="10"/>
      <c r="R1176" s="10"/>
      <c r="S1176" s="10"/>
      <c r="T1176" s="14"/>
      <c r="U1176" s="10"/>
      <c r="V1176" s="10"/>
      <c r="W1176" s="10"/>
      <c r="X1176" s="7"/>
      <c r="Y1176" s="7"/>
      <c r="Z1176" s="7"/>
      <c r="AA1176" s="34"/>
      <c r="AB1176" s="7"/>
      <c r="AC1176" s="34"/>
      <c r="AD1176" s="10"/>
      <c r="AE1176"/>
      <c r="AF1176"/>
    </row>
    <row r="1177" spans="1:32" x14ac:dyDescent="0.25">
      <c r="A1177" s="16"/>
      <c r="C1177" s="70"/>
      <c r="D1177" s="70"/>
      <c r="E1177" s="73"/>
      <c r="F1177" s="9"/>
      <c r="H1177" s="9"/>
      <c r="I1177" s="10"/>
      <c r="J1177" s="7"/>
      <c r="K1177" s="7"/>
      <c r="L1177" s="10"/>
      <c r="M1177" s="10"/>
      <c r="N1177" s="10"/>
      <c r="O1177" s="10"/>
      <c r="P1177" s="10"/>
      <c r="Q1177" s="10"/>
      <c r="R1177" s="10"/>
      <c r="S1177" s="10"/>
      <c r="T1177" s="14"/>
      <c r="U1177" s="10"/>
      <c r="V1177" s="10"/>
      <c r="W1177" s="10"/>
      <c r="X1177" s="7"/>
      <c r="Y1177" s="7"/>
      <c r="Z1177" s="7"/>
      <c r="AA1177" s="34"/>
      <c r="AB1177" s="7"/>
      <c r="AC1177" s="34"/>
      <c r="AD1177" s="10"/>
      <c r="AE1177"/>
      <c r="AF1177"/>
    </row>
    <row r="1178" spans="1:32" x14ac:dyDescent="0.25">
      <c r="A1178" s="16"/>
      <c r="C1178" s="70"/>
      <c r="D1178" s="70"/>
      <c r="E1178" s="73"/>
      <c r="F1178" s="9"/>
      <c r="H1178" s="9"/>
      <c r="I1178" s="10"/>
      <c r="J1178" s="7"/>
      <c r="K1178" s="7"/>
      <c r="L1178" s="10"/>
      <c r="M1178" s="10"/>
      <c r="N1178" s="10"/>
      <c r="O1178" s="10"/>
      <c r="P1178" s="10"/>
      <c r="Q1178" s="10"/>
      <c r="R1178" s="10"/>
      <c r="S1178" s="10"/>
      <c r="T1178" s="14"/>
      <c r="U1178" s="10"/>
      <c r="V1178" s="10"/>
      <c r="W1178" s="10"/>
      <c r="X1178" s="7"/>
      <c r="Y1178" s="7"/>
      <c r="Z1178" s="7"/>
      <c r="AA1178" s="34"/>
      <c r="AB1178" s="7"/>
      <c r="AC1178" s="34"/>
      <c r="AD1178" s="10"/>
      <c r="AE1178"/>
      <c r="AF1178"/>
    </row>
    <row r="1179" spans="1:32" x14ac:dyDescent="0.25">
      <c r="A1179" s="16"/>
      <c r="C1179" s="70"/>
      <c r="D1179" s="70"/>
      <c r="E1179" s="73"/>
      <c r="F1179" s="9"/>
      <c r="H1179" s="9"/>
      <c r="I1179" s="10"/>
      <c r="J1179" s="60"/>
      <c r="K1179" s="42"/>
      <c r="L1179" s="10"/>
      <c r="M1179" s="10"/>
      <c r="N1179" s="10"/>
      <c r="O1179" s="10"/>
      <c r="P1179" s="10"/>
      <c r="Q1179" s="10"/>
      <c r="R1179" s="10"/>
      <c r="S1179" s="10"/>
      <c r="T1179" s="14"/>
      <c r="U1179" s="10"/>
      <c r="V1179" s="10"/>
      <c r="W1179" s="10"/>
      <c r="X1179" s="7"/>
      <c r="Y1179" s="7"/>
      <c r="Z1179" s="7"/>
      <c r="AA1179" s="34"/>
      <c r="AB1179" s="7"/>
      <c r="AC1179" s="34"/>
      <c r="AD1179" s="10"/>
      <c r="AE1179"/>
      <c r="AF1179"/>
    </row>
    <row r="1180" spans="1:32" x14ac:dyDescent="0.25">
      <c r="A1180" s="16"/>
      <c r="C1180" s="70"/>
      <c r="D1180" s="70"/>
      <c r="E1180" s="73"/>
      <c r="F1180" s="9"/>
      <c r="H1180" s="9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4"/>
      <c r="U1180" s="10"/>
      <c r="V1180" s="10"/>
      <c r="W1180" s="10"/>
      <c r="X1180" s="7"/>
      <c r="Y1180" s="7"/>
      <c r="Z1180" s="7"/>
      <c r="AA1180" s="34"/>
      <c r="AB1180" s="7"/>
      <c r="AC1180" s="34"/>
      <c r="AD1180" s="10"/>
      <c r="AE1180"/>
      <c r="AF1180"/>
    </row>
    <row r="1181" spans="1:32" x14ac:dyDescent="0.25">
      <c r="A1181" s="16"/>
      <c r="C1181" s="70"/>
      <c r="D1181" s="70"/>
      <c r="E1181" s="73"/>
      <c r="F1181" s="9"/>
      <c r="H1181" s="9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4"/>
      <c r="U1181" s="10"/>
      <c r="V1181" s="10"/>
      <c r="W1181" s="10"/>
      <c r="X1181" s="7"/>
      <c r="Y1181" s="7"/>
      <c r="Z1181" s="7"/>
      <c r="AA1181" s="34"/>
      <c r="AB1181" s="7"/>
      <c r="AC1181" s="34"/>
      <c r="AD1181" s="10"/>
      <c r="AE1181"/>
      <c r="AF1181"/>
    </row>
    <row r="1182" spans="1:32" x14ac:dyDescent="0.25">
      <c r="A1182" s="16"/>
      <c r="C1182" s="70"/>
      <c r="D1182" s="70"/>
      <c r="E1182" s="73"/>
      <c r="F1182" s="9"/>
      <c r="H1182" s="9"/>
      <c r="I1182" s="10"/>
      <c r="J1182" s="7"/>
      <c r="K1182" s="7"/>
      <c r="L1182" s="10"/>
      <c r="M1182" s="10"/>
      <c r="N1182" s="10"/>
      <c r="O1182" s="10"/>
      <c r="P1182" s="10"/>
      <c r="Q1182" s="10"/>
      <c r="R1182" s="10"/>
      <c r="S1182" s="10"/>
      <c r="T1182" s="14"/>
      <c r="U1182" s="10"/>
      <c r="V1182" s="10"/>
      <c r="W1182" s="10"/>
      <c r="X1182" s="7"/>
      <c r="Y1182" s="7"/>
      <c r="Z1182" s="7"/>
      <c r="AA1182" s="34"/>
      <c r="AB1182" s="7"/>
      <c r="AC1182" s="34"/>
      <c r="AD1182" s="10"/>
      <c r="AE1182"/>
      <c r="AF1182"/>
    </row>
    <row r="1183" spans="1:32" x14ac:dyDescent="0.25">
      <c r="A1183" s="16"/>
      <c r="C1183" s="70"/>
      <c r="D1183" s="70"/>
      <c r="E1183" s="73"/>
      <c r="F1183" s="9"/>
      <c r="H1183" s="9"/>
      <c r="I1183" s="10"/>
      <c r="J1183" s="7"/>
      <c r="K1183" s="7"/>
      <c r="L1183" s="10"/>
      <c r="M1183" s="10"/>
      <c r="N1183" s="10"/>
      <c r="O1183" s="10"/>
      <c r="P1183" s="10"/>
      <c r="Q1183" s="10"/>
      <c r="R1183" s="10"/>
      <c r="S1183" s="10"/>
      <c r="T1183" s="14"/>
      <c r="U1183" s="10"/>
      <c r="V1183" s="10"/>
      <c r="W1183" s="10"/>
      <c r="X1183" s="7"/>
      <c r="Y1183" s="7"/>
      <c r="Z1183" s="7"/>
      <c r="AA1183" s="34"/>
      <c r="AB1183" s="7"/>
      <c r="AC1183" s="34"/>
      <c r="AD1183" s="10"/>
      <c r="AE1183"/>
      <c r="AF1183"/>
    </row>
    <row r="1184" spans="1:32" x14ac:dyDescent="0.25">
      <c r="A1184" s="16"/>
      <c r="C1184" s="70"/>
      <c r="D1184" s="70"/>
      <c r="E1184" s="73"/>
      <c r="F1184" s="9"/>
      <c r="H1184" s="9"/>
      <c r="I1184" s="10"/>
      <c r="J1184" s="7"/>
      <c r="K1184" s="7"/>
      <c r="L1184" s="10"/>
      <c r="M1184" s="10"/>
      <c r="N1184" s="10"/>
      <c r="O1184" s="10"/>
      <c r="P1184" s="10"/>
      <c r="Q1184" s="10"/>
      <c r="R1184" s="10"/>
      <c r="S1184" s="10"/>
      <c r="T1184" s="14"/>
      <c r="U1184" s="10"/>
      <c r="V1184" s="10"/>
      <c r="W1184" s="10"/>
      <c r="X1184" s="7"/>
      <c r="Y1184" s="7"/>
      <c r="Z1184" s="7"/>
      <c r="AA1184" s="34"/>
      <c r="AB1184" s="7"/>
      <c r="AC1184" s="34"/>
      <c r="AD1184" s="10"/>
      <c r="AE1184"/>
      <c r="AF1184"/>
    </row>
    <row r="1185" spans="1:32" x14ac:dyDescent="0.25">
      <c r="A1185" s="16"/>
      <c r="C1185" s="70"/>
      <c r="D1185" s="70"/>
      <c r="E1185" s="73"/>
      <c r="F1185" s="9"/>
      <c r="H1185" s="9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4"/>
      <c r="U1185" s="10"/>
      <c r="V1185" s="10"/>
      <c r="W1185" s="10"/>
      <c r="X1185" s="7"/>
      <c r="Y1185" s="7"/>
      <c r="Z1185" s="7"/>
      <c r="AA1185" s="34"/>
      <c r="AB1185" s="7"/>
      <c r="AC1185" s="34"/>
      <c r="AD1185" s="10"/>
      <c r="AE1185"/>
      <c r="AF1185"/>
    </row>
    <row r="1186" spans="1:32" x14ac:dyDescent="0.25">
      <c r="A1186" s="16"/>
      <c r="C1186" s="70"/>
      <c r="D1186" s="70"/>
      <c r="E1186" s="73"/>
      <c r="F1186" s="9"/>
      <c r="H1186" s="9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4"/>
      <c r="U1186" s="10"/>
      <c r="V1186" s="10"/>
      <c r="W1186" s="10"/>
      <c r="X1186" s="7"/>
      <c r="Y1186" s="7"/>
      <c r="Z1186" s="7"/>
      <c r="AA1186" s="34"/>
      <c r="AB1186" s="7"/>
      <c r="AC1186" s="34"/>
      <c r="AD1186" s="10"/>
      <c r="AE1186"/>
      <c r="AF1186"/>
    </row>
    <row r="1187" spans="1:32" x14ac:dyDescent="0.25">
      <c r="A1187" s="16"/>
      <c r="C1187" s="70"/>
      <c r="D1187" s="70"/>
      <c r="E1187" s="73"/>
      <c r="F1187" s="9"/>
      <c r="H1187" s="9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4"/>
      <c r="U1187" s="10"/>
      <c r="V1187" s="10"/>
      <c r="W1187" s="10"/>
      <c r="X1187" s="7"/>
      <c r="Y1187" s="7"/>
      <c r="Z1187" s="7"/>
      <c r="AA1187" s="34"/>
      <c r="AB1187" s="7"/>
      <c r="AC1187" s="34"/>
      <c r="AD1187" s="10"/>
      <c r="AE1187"/>
      <c r="AF1187"/>
    </row>
    <row r="1188" spans="1:32" x14ac:dyDescent="0.25">
      <c r="A1188" s="16"/>
      <c r="C1188" s="70"/>
      <c r="D1188" s="70"/>
      <c r="E1188" s="73"/>
      <c r="F1188" s="9"/>
      <c r="H1188" s="9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4"/>
      <c r="U1188" s="10"/>
      <c r="V1188" s="10"/>
      <c r="W1188" s="10"/>
      <c r="X1188" s="7"/>
      <c r="Y1188" s="7"/>
      <c r="Z1188" s="7"/>
      <c r="AA1188" s="34"/>
      <c r="AB1188" s="7"/>
      <c r="AC1188" s="34"/>
      <c r="AD1188" s="10"/>
      <c r="AE1188"/>
      <c r="AF1188"/>
    </row>
    <row r="1189" spans="1:32" x14ac:dyDescent="0.25">
      <c r="A1189" s="16"/>
      <c r="C1189" s="70"/>
      <c r="D1189" s="70"/>
      <c r="E1189" s="73"/>
      <c r="F1189" s="9"/>
      <c r="H1189" s="9"/>
      <c r="I1189" s="10"/>
      <c r="J1189" s="7"/>
      <c r="K1189" s="7"/>
      <c r="L1189" s="10"/>
      <c r="M1189" s="10"/>
      <c r="N1189" s="10"/>
      <c r="O1189" s="10"/>
      <c r="P1189" s="10"/>
      <c r="Q1189" s="10"/>
      <c r="R1189" s="10"/>
      <c r="S1189" s="10"/>
      <c r="T1189" s="14"/>
      <c r="U1189" s="10"/>
      <c r="V1189" s="10"/>
      <c r="W1189" s="10"/>
      <c r="X1189" s="7"/>
      <c r="Y1189" s="7"/>
      <c r="Z1189" s="7"/>
      <c r="AA1189" s="34"/>
      <c r="AB1189" s="7"/>
      <c r="AC1189" s="34"/>
      <c r="AD1189" s="10"/>
      <c r="AE1189"/>
      <c r="AF1189"/>
    </row>
    <row r="1190" spans="1:32" x14ac:dyDescent="0.25">
      <c r="A1190" s="16"/>
      <c r="C1190" s="70"/>
      <c r="D1190" s="70"/>
      <c r="E1190" s="73"/>
      <c r="F1190" s="9"/>
      <c r="H1190" s="9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4"/>
      <c r="U1190" s="10"/>
      <c r="V1190" s="10"/>
      <c r="W1190" s="10"/>
      <c r="X1190" s="7"/>
      <c r="Y1190" s="7"/>
      <c r="Z1190" s="7"/>
      <c r="AA1190" s="34"/>
      <c r="AB1190" s="7"/>
      <c r="AC1190" s="34"/>
      <c r="AD1190" s="10"/>
      <c r="AE1190"/>
      <c r="AF1190"/>
    </row>
    <row r="1191" spans="1:32" x14ac:dyDescent="0.25">
      <c r="A1191" s="16"/>
      <c r="C1191" s="70"/>
      <c r="D1191" s="70"/>
      <c r="E1191" s="73"/>
      <c r="F1191" s="9"/>
      <c r="H1191" s="9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4"/>
      <c r="U1191" s="10"/>
      <c r="V1191" s="10"/>
      <c r="W1191" s="10"/>
      <c r="X1191" s="7"/>
      <c r="Y1191" s="34"/>
      <c r="Z1191" s="7"/>
      <c r="AA1191" s="34"/>
      <c r="AB1191" s="7"/>
      <c r="AC1191" s="34"/>
      <c r="AD1191" s="10"/>
      <c r="AE1191"/>
      <c r="AF1191"/>
    </row>
    <row r="1192" spans="1:32" x14ac:dyDescent="0.25">
      <c r="A1192" s="16"/>
      <c r="C1192" s="70"/>
      <c r="D1192" s="70"/>
      <c r="E1192" s="73"/>
      <c r="F1192" s="9"/>
      <c r="H1192" s="9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4"/>
      <c r="U1192" s="10"/>
      <c r="V1192" s="10"/>
      <c r="W1192" s="10"/>
      <c r="X1192" s="7"/>
      <c r="Y1192" s="7"/>
      <c r="Z1192" s="7"/>
      <c r="AA1192" s="34"/>
      <c r="AB1192" s="7"/>
      <c r="AC1192" s="34"/>
      <c r="AD1192" s="10"/>
      <c r="AE1192"/>
      <c r="AF1192"/>
    </row>
    <row r="1193" spans="1:32" x14ac:dyDescent="0.25">
      <c r="A1193" s="16"/>
      <c r="C1193" s="70"/>
      <c r="D1193" s="70"/>
      <c r="E1193" s="73"/>
      <c r="F1193" s="9"/>
      <c r="H1193" s="9"/>
      <c r="I1193" s="10"/>
      <c r="J1193" s="7"/>
      <c r="K1193" s="7"/>
      <c r="L1193" s="10"/>
      <c r="M1193" s="10"/>
      <c r="N1193" s="10"/>
      <c r="O1193" s="10"/>
      <c r="P1193" s="10"/>
      <c r="Q1193" s="10"/>
      <c r="R1193" s="10"/>
      <c r="S1193" s="10"/>
      <c r="T1193" s="14"/>
      <c r="U1193" s="10"/>
      <c r="V1193" s="10"/>
      <c r="W1193" s="10"/>
      <c r="X1193" s="7"/>
      <c r="Y1193" s="7"/>
      <c r="Z1193" s="7"/>
      <c r="AA1193" s="34"/>
      <c r="AB1193" s="7"/>
      <c r="AC1193" s="34"/>
      <c r="AD1193" s="10"/>
      <c r="AE1193"/>
      <c r="AF1193"/>
    </row>
    <row r="1194" spans="1:32" x14ac:dyDescent="0.25">
      <c r="A1194" s="16"/>
      <c r="C1194" s="70"/>
      <c r="D1194" s="70"/>
      <c r="E1194" s="73"/>
      <c r="F1194" s="9"/>
      <c r="H1194" s="9"/>
      <c r="I1194" s="10"/>
      <c r="J1194" s="7"/>
      <c r="K1194" s="7"/>
      <c r="L1194" s="10"/>
      <c r="M1194" s="10"/>
      <c r="N1194" s="10"/>
      <c r="O1194" s="10"/>
      <c r="P1194" s="10"/>
      <c r="Q1194" s="10"/>
      <c r="R1194" s="10"/>
      <c r="S1194" s="10"/>
      <c r="T1194" s="14"/>
      <c r="U1194" s="10"/>
      <c r="V1194" s="10"/>
      <c r="W1194" s="10"/>
      <c r="X1194" s="7"/>
      <c r="Y1194" s="7"/>
      <c r="Z1194" s="7"/>
      <c r="AA1194" s="34"/>
      <c r="AB1194" s="7"/>
      <c r="AC1194" s="34"/>
      <c r="AD1194" s="10"/>
      <c r="AE1194"/>
      <c r="AF1194"/>
    </row>
    <row r="1195" spans="1:32" x14ac:dyDescent="0.25">
      <c r="A1195" s="16"/>
      <c r="C1195" s="70"/>
      <c r="D1195" s="70"/>
      <c r="E1195" s="73"/>
      <c r="F1195" s="9"/>
      <c r="H1195" s="9"/>
      <c r="I1195" s="10"/>
      <c r="J1195" s="60"/>
      <c r="K1195" s="42"/>
      <c r="L1195" s="10"/>
      <c r="M1195" s="10"/>
      <c r="N1195" s="10"/>
      <c r="O1195" s="10"/>
      <c r="P1195" s="10"/>
      <c r="Q1195" s="10"/>
      <c r="R1195" s="10"/>
      <c r="S1195" s="10"/>
      <c r="T1195" s="14"/>
      <c r="U1195" s="10"/>
      <c r="V1195" s="10"/>
      <c r="W1195" s="10"/>
      <c r="X1195" s="7"/>
      <c r="Y1195" s="7"/>
      <c r="Z1195" s="7"/>
      <c r="AA1195" s="34"/>
      <c r="AB1195" s="7"/>
      <c r="AC1195" s="34"/>
      <c r="AD1195" s="10"/>
      <c r="AE1195"/>
      <c r="AF1195"/>
    </row>
    <row r="1196" spans="1:32" x14ac:dyDescent="0.25">
      <c r="A1196" s="16"/>
      <c r="C1196" s="70"/>
      <c r="D1196" s="70"/>
      <c r="E1196" s="73"/>
      <c r="F1196" s="9"/>
      <c r="H1196" s="9"/>
      <c r="I1196" s="10"/>
      <c r="J1196" s="7"/>
      <c r="K1196" s="7"/>
      <c r="L1196" s="10"/>
      <c r="M1196" s="10"/>
      <c r="N1196" s="10"/>
      <c r="O1196" s="10"/>
      <c r="P1196" s="10"/>
      <c r="Q1196" s="10"/>
      <c r="R1196" s="10"/>
      <c r="S1196" s="10"/>
      <c r="T1196" s="14"/>
      <c r="U1196" s="10"/>
      <c r="V1196" s="10"/>
      <c r="W1196" s="10"/>
      <c r="X1196" s="7"/>
      <c r="Y1196" s="7"/>
      <c r="Z1196" s="7"/>
      <c r="AA1196" s="34"/>
      <c r="AB1196" s="7"/>
      <c r="AC1196" s="34"/>
      <c r="AD1196" s="10"/>
      <c r="AE1196"/>
      <c r="AF1196"/>
    </row>
    <row r="1197" spans="1:32" x14ac:dyDescent="0.25">
      <c r="A1197" s="16"/>
      <c r="C1197" s="70"/>
      <c r="D1197" s="70"/>
      <c r="E1197" s="73"/>
      <c r="F1197" s="9"/>
      <c r="H1197" s="9"/>
      <c r="I1197" s="10"/>
      <c r="J1197" s="60"/>
      <c r="K1197" s="42"/>
      <c r="L1197" s="10"/>
      <c r="M1197" s="10"/>
      <c r="N1197" s="10"/>
      <c r="O1197" s="10"/>
      <c r="P1197" s="10"/>
      <c r="Q1197" s="10"/>
      <c r="R1197" s="10"/>
      <c r="S1197" s="10"/>
      <c r="T1197" s="14"/>
      <c r="U1197" s="10"/>
      <c r="V1197" s="10"/>
      <c r="W1197" s="10"/>
      <c r="X1197" s="7"/>
      <c r="Y1197" s="7"/>
      <c r="Z1197" s="7"/>
      <c r="AA1197" s="34"/>
      <c r="AB1197" s="7"/>
      <c r="AC1197" s="34"/>
      <c r="AD1197" s="10"/>
      <c r="AE1197"/>
      <c r="AF1197"/>
    </row>
    <row r="1198" spans="1:32" x14ac:dyDescent="0.25">
      <c r="A1198" s="16"/>
      <c r="C1198" s="70"/>
      <c r="D1198" s="70"/>
      <c r="E1198" s="73"/>
      <c r="F1198" s="9"/>
      <c r="H1198" s="9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4"/>
      <c r="U1198" s="10"/>
      <c r="V1198" s="10"/>
      <c r="W1198" s="10"/>
      <c r="X1198" s="7"/>
      <c r="Y1198" s="7"/>
      <c r="Z1198" s="7"/>
      <c r="AA1198" s="34"/>
      <c r="AB1198" s="7"/>
      <c r="AC1198" s="34"/>
      <c r="AD1198" s="10"/>
      <c r="AE1198"/>
      <c r="AF1198"/>
    </row>
    <row r="1199" spans="1:32" x14ac:dyDescent="0.25">
      <c r="A1199" s="16"/>
      <c r="C1199" s="70"/>
      <c r="D1199" s="70"/>
      <c r="E1199" s="73"/>
      <c r="F1199" s="9"/>
      <c r="H1199" s="9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4"/>
      <c r="U1199" s="10"/>
      <c r="V1199" s="10"/>
      <c r="W1199" s="10"/>
      <c r="X1199" s="7"/>
      <c r="Y1199" s="7"/>
      <c r="Z1199" s="7"/>
      <c r="AA1199" s="34"/>
      <c r="AB1199" s="7"/>
      <c r="AC1199" s="34"/>
      <c r="AD1199" s="10"/>
      <c r="AE1199"/>
      <c r="AF1199"/>
    </row>
    <row r="1200" spans="1:32" x14ac:dyDescent="0.25">
      <c r="A1200" s="16"/>
      <c r="C1200" s="70"/>
      <c r="D1200" s="70"/>
      <c r="E1200" s="73"/>
      <c r="F1200" s="9"/>
      <c r="H1200" s="9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4"/>
      <c r="U1200" s="10"/>
      <c r="V1200" s="10"/>
      <c r="W1200" s="10"/>
      <c r="X1200" s="7"/>
      <c r="Y1200" s="7"/>
      <c r="Z1200" s="7"/>
      <c r="AA1200" s="34"/>
      <c r="AB1200" s="7"/>
      <c r="AC1200" s="34"/>
      <c r="AD1200" s="10"/>
      <c r="AE1200"/>
      <c r="AF1200"/>
    </row>
    <row r="1201" spans="1:32" x14ac:dyDescent="0.25">
      <c r="A1201" s="16"/>
      <c r="C1201" s="70"/>
      <c r="D1201" s="70"/>
      <c r="E1201" s="73"/>
      <c r="F1201" s="9"/>
      <c r="H1201" s="9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4"/>
      <c r="U1201" s="10"/>
      <c r="V1201" s="10"/>
      <c r="W1201" s="10"/>
      <c r="X1201" s="7"/>
      <c r="Y1201" s="7"/>
      <c r="Z1201" s="7"/>
      <c r="AA1201" s="34"/>
      <c r="AB1201" s="7"/>
      <c r="AC1201" s="34"/>
      <c r="AD1201" s="10"/>
      <c r="AE1201"/>
      <c r="AF1201"/>
    </row>
    <row r="1202" spans="1:32" x14ac:dyDescent="0.25">
      <c r="A1202" s="16"/>
      <c r="C1202" s="70"/>
      <c r="D1202" s="70"/>
      <c r="E1202" s="73"/>
      <c r="F1202" s="9"/>
      <c r="H1202" s="9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4"/>
      <c r="U1202" s="10"/>
      <c r="V1202" s="10"/>
      <c r="W1202" s="10"/>
      <c r="X1202" s="7"/>
      <c r="Y1202" s="7"/>
      <c r="Z1202" s="7"/>
      <c r="AA1202" s="34"/>
      <c r="AB1202" s="7"/>
      <c r="AC1202" s="34"/>
      <c r="AD1202" s="10"/>
      <c r="AE1202"/>
      <c r="AF1202"/>
    </row>
    <row r="1203" spans="1:32" x14ac:dyDescent="0.25">
      <c r="A1203" s="16"/>
      <c r="C1203" s="70"/>
      <c r="D1203" s="70"/>
      <c r="E1203" s="73"/>
      <c r="F1203" s="9"/>
      <c r="H1203" s="9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4"/>
      <c r="U1203" s="10"/>
      <c r="V1203" s="10"/>
      <c r="W1203" s="10"/>
      <c r="X1203" s="7"/>
      <c r="Y1203" s="7"/>
      <c r="Z1203" s="7"/>
      <c r="AA1203" s="34"/>
      <c r="AB1203" s="7"/>
      <c r="AC1203" s="34"/>
      <c r="AD1203" s="10"/>
      <c r="AE1203"/>
      <c r="AF1203"/>
    </row>
    <row r="1204" spans="1:32" x14ac:dyDescent="0.25">
      <c r="A1204" s="16"/>
      <c r="C1204" s="70"/>
      <c r="D1204" s="70"/>
      <c r="E1204" s="73"/>
      <c r="F1204" s="9"/>
      <c r="H1204" s="9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4"/>
      <c r="U1204" s="10"/>
      <c r="V1204" s="10"/>
      <c r="W1204" s="10"/>
      <c r="X1204" s="7"/>
      <c r="Y1204" s="7"/>
      <c r="Z1204" s="34"/>
      <c r="AA1204" s="34"/>
      <c r="AB1204" s="7"/>
      <c r="AC1204" s="34"/>
      <c r="AD1204" s="10"/>
      <c r="AE1204"/>
      <c r="AF1204"/>
    </row>
    <row r="1205" spans="1:32" x14ac:dyDescent="0.25">
      <c r="A1205" s="16"/>
      <c r="C1205" s="70"/>
      <c r="D1205" s="70"/>
      <c r="E1205" s="73"/>
      <c r="F1205" s="9"/>
      <c r="H1205" s="9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4"/>
      <c r="U1205" s="10"/>
      <c r="V1205" s="10"/>
      <c r="W1205" s="10"/>
      <c r="X1205" s="7"/>
      <c r="Y1205" s="7"/>
      <c r="Z1205" s="7"/>
      <c r="AA1205" s="34"/>
      <c r="AB1205" s="7"/>
      <c r="AC1205" s="34"/>
      <c r="AD1205" s="10"/>
      <c r="AE1205"/>
      <c r="AF1205"/>
    </row>
    <row r="1206" spans="1:32" x14ac:dyDescent="0.25">
      <c r="A1206" s="16"/>
      <c r="C1206" s="70"/>
      <c r="D1206" s="70"/>
      <c r="E1206" s="73"/>
      <c r="F1206" s="9"/>
      <c r="H1206" s="9"/>
      <c r="I1206" s="10"/>
      <c r="J1206" s="7"/>
      <c r="K1206" s="7"/>
      <c r="L1206" s="10"/>
      <c r="M1206" s="10"/>
      <c r="N1206" s="10"/>
      <c r="O1206" s="10"/>
      <c r="P1206" s="10"/>
      <c r="Q1206" s="10"/>
      <c r="R1206" s="10"/>
      <c r="S1206" s="10"/>
      <c r="T1206" s="14"/>
      <c r="U1206" s="10"/>
      <c r="V1206" s="10"/>
      <c r="W1206" s="10"/>
      <c r="X1206" s="7"/>
      <c r="Y1206" s="7"/>
      <c r="Z1206" s="7"/>
      <c r="AA1206" s="34"/>
      <c r="AB1206" s="7"/>
      <c r="AC1206" s="34"/>
      <c r="AD1206" s="10"/>
      <c r="AE1206"/>
      <c r="AF1206"/>
    </row>
    <row r="1207" spans="1:32" x14ac:dyDescent="0.25">
      <c r="A1207" s="16"/>
      <c r="C1207" s="70"/>
      <c r="D1207" s="70"/>
      <c r="E1207" s="73"/>
      <c r="F1207" s="9"/>
      <c r="H1207" s="9"/>
      <c r="I1207" s="10"/>
      <c r="J1207" s="7"/>
      <c r="K1207" s="7"/>
      <c r="L1207" s="10"/>
      <c r="M1207" s="10"/>
      <c r="N1207" s="10"/>
      <c r="O1207" s="10"/>
      <c r="P1207" s="10"/>
      <c r="Q1207" s="10"/>
      <c r="R1207" s="10"/>
      <c r="S1207" s="10"/>
      <c r="T1207" s="14"/>
      <c r="U1207" s="10"/>
      <c r="V1207" s="10"/>
      <c r="W1207" s="10"/>
      <c r="X1207" s="7"/>
      <c r="Y1207" s="7"/>
      <c r="Z1207" s="7"/>
      <c r="AA1207" s="34"/>
      <c r="AB1207" s="7"/>
      <c r="AC1207" s="34"/>
      <c r="AD1207" s="10"/>
      <c r="AE1207"/>
      <c r="AF1207"/>
    </row>
    <row r="1208" spans="1:32" x14ac:dyDescent="0.25">
      <c r="A1208" s="16"/>
      <c r="C1208" s="70"/>
      <c r="D1208" s="70"/>
      <c r="E1208" s="73"/>
      <c r="F1208" s="9"/>
      <c r="H1208" s="9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4"/>
      <c r="U1208" s="10"/>
      <c r="V1208" s="10"/>
      <c r="W1208" s="10"/>
      <c r="X1208" s="7"/>
      <c r="Y1208" s="7"/>
      <c r="Z1208" s="7"/>
      <c r="AA1208" s="34"/>
      <c r="AB1208" s="7"/>
      <c r="AC1208" s="34"/>
      <c r="AD1208" s="10"/>
      <c r="AE1208"/>
      <c r="AF1208"/>
    </row>
    <row r="1209" spans="1:32" x14ac:dyDescent="0.25">
      <c r="A1209" s="16"/>
      <c r="C1209" s="70"/>
      <c r="D1209" s="70"/>
      <c r="E1209" s="73"/>
      <c r="F1209" s="9"/>
      <c r="H1209" s="9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4"/>
      <c r="U1209" s="10"/>
      <c r="V1209" s="10"/>
      <c r="W1209" s="10"/>
      <c r="X1209" s="7"/>
      <c r="Y1209" s="7"/>
      <c r="Z1209" s="7"/>
      <c r="AA1209" s="34"/>
      <c r="AB1209" s="7"/>
      <c r="AC1209" s="34"/>
      <c r="AD1209" s="10"/>
      <c r="AE1209"/>
      <c r="AF1209"/>
    </row>
    <row r="1210" spans="1:32" x14ac:dyDescent="0.25">
      <c r="A1210" s="16"/>
      <c r="C1210" s="70"/>
      <c r="D1210" s="70"/>
      <c r="E1210" s="73"/>
      <c r="F1210" s="9"/>
      <c r="H1210" s="9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4"/>
      <c r="U1210" s="10"/>
      <c r="V1210" s="10"/>
      <c r="W1210" s="10"/>
      <c r="X1210" s="7"/>
      <c r="Y1210" s="7"/>
      <c r="Z1210" s="7"/>
      <c r="AA1210" s="34"/>
      <c r="AB1210" s="7"/>
      <c r="AC1210" s="34"/>
      <c r="AD1210" s="10"/>
      <c r="AE1210"/>
      <c r="AF1210"/>
    </row>
    <row r="1211" spans="1:32" x14ac:dyDescent="0.25">
      <c r="A1211" s="16"/>
      <c r="C1211" s="70"/>
      <c r="D1211" s="70"/>
      <c r="E1211" s="73"/>
      <c r="F1211" s="9"/>
      <c r="H1211" s="9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4"/>
      <c r="U1211" s="10"/>
      <c r="V1211" s="10"/>
      <c r="W1211" s="10"/>
      <c r="X1211" s="7"/>
      <c r="Y1211" s="34"/>
      <c r="Z1211" s="7"/>
      <c r="AA1211" s="34"/>
      <c r="AB1211" s="7"/>
      <c r="AC1211" s="34"/>
      <c r="AD1211" s="10"/>
      <c r="AE1211"/>
      <c r="AF1211"/>
    </row>
    <row r="1212" spans="1:32" x14ac:dyDescent="0.25">
      <c r="A1212" s="16"/>
      <c r="C1212" s="70"/>
      <c r="D1212" s="70"/>
      <c r="E1212" s="73"/>
      <c r="F1212" s="9"/>
      <c r="H1212" s="9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4"/>
      <c r="U1212" s="10"/>
      <c r="V1212" s="10"/>
      <c r="W1212" s="10"/>
      <c r="X1212" s="7"/>
      <c r="Y1212" s="7"/>
      <c r="Z1212" s="7"/>
      <c r="AA1212" s="34"/>
      <c r="AB1212" s="7"/>
      <c r="AC1212" s="34"/>
      <c r="AD1212" s="10"/>
      <c r="AE1212"/>
      <c r="AF1212"/>
    </row>
    <row r="1213" spans="1:32" x14ac:dyDescent="0.25">
      <c r="A1213" s="16"/>
      <c r="C1213" s="70"/>
      <c r="D1213" s="70"/>
      <c r="E1213" s="73"/>
      <c r="F1213" s="9"/>
      <c r="H1213" s="9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4"/>
      <c r="U1213" s="10"/>
      <c r="V1213" s="10"/>
      <c r="W1213" s="10"/>
      <c r="X1213" s="7"/>
      <c r="Y1213" s="7"/>
      <c r="Z1213" s="7"/>
      <c r="AA1213" s="34"/>
      <c r="AB1213" s="7"/>
      <c r="AC1213" s="34"/>
      <c r="AD1213" s="10"/>
      <c r="AE1213"/>
      <c r="AF1213"/>
    </row>
    <row r="1214" spans="1:32" x14ac:dyDescent="0.25">
      <c r="A1214" s="16"/>
      <c r="C1214" s="70"/>
      <c r="D1214" s="70"/>
      <c r="E1214" s="73"/>
      <c r="F1214" s="9"/>
      <c r="H1214" s="9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4"/>
      <c r="U1214" s="10"/>
      <c r="V1214" s="10"/>
      <c r="W1214" s="10"/>
      <c r="X1214" s="7"/>
      <c r="Y1214" s="7"/>
      <c r="Z1214" s="7"/>
      <c r="AA1214" s="34"/>
      <c r="AB1214" s="7"/>
      <c r="AC1214" s="34"/>
      <c r="AD1214" s="10"/>
      <c r="AE1214"/>
      <c r="AF1214"/>
    </row>
    <row r="1215" spans="1:32" x14ac:dyDescent="0.25">
      <c r="A1215" s="16"/>
      <c r="C1215" s="70"/>
      <c r="D1215" s="70"/>
      <c r="E1215" s="73"/>
      <c r="F1215" s="9"/>
      <c r="H1215" s="9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4"/>
      <c r="U1215" s="10"/>
      <c r="V1215" s="10"/>
      <c r="W1215" s="10"/>
      <c r="X1215" s="7"/>
      <c r="Y1215" s="7"/>
      <c r="Z1215" s="7"/>
      <c r="AA1215" s="34"/>
      <c r="AB1215" s="7"/>
      <c r="AC1215" s="34"/>
      <c r="AD1215" s="10"/>
      <c r="AE1215"/>
      <c r="AF1215"/>
    </row>
    <row r="1216" spans="1:32" x14ac:dyDescent="0.25">
      <c r="A1216" s="16"/>
      <c r="C1216" s="70"/>
      <c r="D1216" s="70"/>
      <c r="E1216" s="73"/>
      <c r="F1216" s="9"/>
      <c r="H1216" s="9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4"/>
      <c r="U1216" s="10"/>
      <c r="V1216" s="10"/>
      <c r="W1216" s="10"/>
      <c r="X1216" s="7"/>
      <c r="Y1216" s="7"/>
      <c r="Z1216" s="7"/>
      <c r="AA1216" s="34"/>
      <c r="AB1216" s="7"/>
      <c r="AC1216" s="34"/>
      <c r="AD1216" s="10"/>
      <c r="AE1216"/>
      <c r="AF1216"/>
    </row>
    <row r="1217" spans="1:32" x14ac:dyDescent="0.25">
      <c r="A1217" s="16"/>
      <c r="C1217" s="70"/>
      <c r="D1217" s="70"/>
      <c r="E1217" s="73"/>
      <c r="F1217" s="9"/>
      <c r="H1217" s="9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4"/>
      <c r="U1217" s="10"/>
      <c r="V1217" s="10"/>
      <c r="W1217" s="10"/>
      <c r="X1217" s="7"/>
      <c r="Y1217" s="34"/>
      <c r="Z1217" s="7"/>
      <c r="AA1217" s="34"/>
      <c r="AB1217" s="7"/>
      <c r="AC1217" s="34"/>
      <c r="AD1217" s="10"/>
      <c r="AE1217"/>
      <c r="AF1217"/>
    </row>
    <row r="1218" spans="1:32" x14ac:dyDescent="0.25">
      <c r="A1218" s="16"/>
      <c r="C1218" s="70"/>
      <c r="D1218" s="70"/>
      <c r="E1218" s="73"/>
      <c r="F1218" s="9"/>
      <c r="H1218" s="9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4"/>
      <c r="U1218" s="10"/>
      <c r="V1218" s="10"/>
      <c r="W1218" s="10"/>
      <c r="X1218" s="7"/>
      <c r="Y1218" s="34"/>
      <c r="Z1218" s="7"/>
      <c r="AA1218" s="34"/>
      <c r="AB1218" s="7"/>
      <c r="AC1218" s="34"/>
      <c r="AD1218" s="10"/>
      <c r="AE1218"/>
      <c r="AF1218"/>
    </row>
    <row r="1219" spans="1:32" x14ac:dyDescent="0.25">
      <c r="A1219" s="16"/>
      <c r="C1219" s="70"/>
      <c r="D1219" s="70"/>
      <c r="E1219" s="73"/>
      <c r="F1219" s="9"/>
      <c r="H1219" s="9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4"/>
      <c r="U1219" s="10"/>
      <c r="V1219" s="10"/>
      <c r="W1219" s="10"/>
      <c r="X1219" s="7"/>
      <c r="Y1219" s="7"/>
      <c r="Z1219" s="7"/>
      <c r="AA1219" s="34"/>
      <c r="AB1219" s="7"/>
      <c r="AC1219" s="34"/>
      <c r="AD1219" s="10"/>
      <c r="AE1219"/>
      <c r="AF1219"/>
    </row>
    <row r="1220" spans="1:32" x14ac:dyDescent="0.25">
      <c r="A1220" s="16"/>
      <c r="C1220" s="70"/>
      <c r="D1220" s="70"/>
      <c r="E1220" s="73"/>
      <c r="F1220" s="9"/>
      <c r="H1220" s="9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4"/>
      <c r="U1220" s="10"/>
      <c r="V1220" s="10"/>
      <c r="W1220" s="10"/>
      <c r="X1220" s="7"/>
      <c r="Y1220" s="7"/>
      <c r="Z1220" s="7"/>
      <c r="AA1220" s="34"/>
      <c r="AB1220" s="7"/>
      <c r="AC1220" s="34"/>
      <c r="AD1220" s="10"/>
      <c r="AE1220"/>
      <c r="AF1220"/>
    </row>
    <row r="1221" spans="1:32" x14ac:dyDescent="0.25">
      <c r="A1221" s="16"/>
      <c r="C1221" s="70"/>
      <c r="D1221" s="70"/>
      <c r="E1221" s="73"/>
      <c r="F1221" s="9"/>
      <c r="H1221" s="9"/>
      <c r="I1221" s="10"/>
      <c r="J1221" s="10"/>
      <c r="K1221" s="7"/>
      <c r="L1221" s="10"/>
      <c r="M1221" s="10"/>
      <c r="N1221" s="10"/>
      <c r="O1221" s="10"/>
      <c r="P1221" s="10"/>
      <c r="Q1221" s="10"/>
      <c r="R1221" s="10"/>
      <c r="S1221" s="10"/>
      <c r="T1221" s="14"/>
      <c r="U1221" s="10"/>
      <c r="V1221" s="10"/>
      <c r="W1221" s="10"/>
      <c r="X1221" s="7"/>
      <c r="Y1221" s="7"/>
      <c r="Z1221" s="7"/>
      <c r="AA1221" s="34"/>
      <c r="AB1221" s="7"/>
      <c r="AC1221" s="34"/>
      <c r="AD1221" s="10"/>
      <c r="AE1221"/>
      <c r="AF1221"/>
    </row>
    <row r="1222" spans="1:32" x14ac:dyDescent="0.25">
      <c r="A1222" s="16"/>
      <c r="C1222" s="70"/>
      <c r="D1222" s="70"/>
      <c r="E1222" s="73"/>
      <c r="F1222" s="9"/>
      <c r="H1222" s="9"/>
      <c r="I1222" s="10"/>
      <c r="J1222" s="10"/>
      <c r="K1222" s="7"/>
      <c r="L1222" s="10"/>
      <c r="M1222" s="10"/>
      <c r="N1222" s="10"/>
      <c r="O1222" s="10"/>
      <c r="P1222" s="10"/>
      <c r="Q1222" s="10"/>
      <c r="R1222" s="10"/>
      <c r="S1222" s="10"/>
      <c r="T1222" s="14"/>
      <c r="U1222" s="10"/>
      <c r="V1222" s="10"/>
      <c r="W1222" s="10"/>
      <c r="X1222" s="7"/>
      <c r="Y1222" s="7"/>
      <c r="Z1222" s="7"/>
      <c r="AA1222" s="34"/>
      <c r="AB1222" s="7"/>
      <c r="AC1222" s="34"/>
      <c r="AD1222" s="10"/>
      <c r="AE1222"/>
      <c r="AF1222"/>
    </row>
    <row r="1223" spans="1:32" x14ac:dyDescent="0.25">
      <c r="A1223" s="16"/>
      <c r="C1223" s="70"/>
      <c r="D1223" s="70"/>
      <c r="E1223" s="73"/>
      <c r="F1223" s="9"/>
      <c r="H1223" s="9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4"/>
      <c r="U1223" s="10"/>
      <c r="V1223" s="10"/>
      <c r="W1223" s="10"/>
      <c r="X1223" s="7"/>
      <c r="Y1223" s="7"/>
      <c r="Z1223" s="7"/>
      <c r="AA1223" s="34"/>
      <c r="AB1223" s="7"/>
      <c r="AC1223" s="34"/>
      <c r="AD1223" s="10"/>
      <c r="AE1223"/>
      <c r="AF1223"/>
    </row>
    <row r="1224" spans="1:32" x14ac:dyDescent="0.25">
      <c r="A1224" s="16"/>
      <c r="C1224" s="70"/>
      <c r="D1224" s="70"/>
      <c r="E1224" s="73"/>
      <c r="F1224" s="9"/>
      <c r="H1224" s="9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4"/>
      <c r="U1224" s="10"/>
      <c r="V1224" s="10"/>
      <c r="W1224" s="10"/>
      <c r="X1224" s="7"/>
      <c r="Y1224" s="7"/>
      <c r="Z1224" s="7"/>
      <c r="AA1224" s="34"/>
      <c r="AB1224" s="7"/>
      <c r="AC1224" s="34"/>
      <c r="AD1224" s="10"/>
      <c r="AE1224"/>
      <c r="AF1224"/>
    </row>
    <row r="1225" spans="1:32" x14ac:dyDescent="0.25">
      <c r="A1225" s="16"/>
      <c r="C1225" s="70"/>
      <c r="D1225" s="70"/>
      <c r="E1225" s="73"/>
      <c r="F1225" s="9"/>
      <c r="H1225" s="9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4"/>
      <c r="U1225" s="10"/>
      <c r="V1225" s="10"/>
      <c r="W1225" s="10"/>
      <c r="X1225" s="7"/>
      <c r="Y1225" s="7"/>
      <c r="Z1225" s="7"/>
      <c r="AA1225" s="34"/>
      <c r="AB1225" s="7"/>
      <c r="AC1225" s="34"/>
      <c r="AD1225" s="10"/>
      <c r="AE1225"/>
      <c r="AF1225"/>
    </row>
    <row r="1226" spans="1:32" x14ac:dyDescent="0.25">
      <c r="A1226" s="16"/>
      <c r="C1226" s="70"/>
      <c r="D1226" s="70"/>
      <c r="E1226" s="73"/>
      <c r="F1226" s="9"/>
      <c r="H1226" s="9"/>
      <c r="I1226" s="10"/>
      <c r="J1226" s="7"/>
      <c r="K1226" s="7"/>
      <c r="L1226" s="10"/>
      <c r="M1226" s="10"/>
      <c r="N1226" s="10"/>
      <c r="O1226" s="10"/>
      <c r="P1226" s="10"/>
      <c r="Q1226" s="10"/>
      <c r="R1226" s="10"/>
      <c r="S1226" s="10"/>
      <c r="T1226" s="14"/>
      <c r="U1226" s="10"/>
      <c r="V1226" s="10"/>
      <c r="W1226" s="10"/>
      <c r="X1226" s="7"/>
      <c r="Y1226" s="7"/>
      <c r="Z1226" s="7"/>
      <c r="AA1226" s="34"/>
      <c r="AB1226" s="7"/>
      <c r="AC1226" s="34"/>
      <c r="AD1226" s="10"/>
      <c r="AE1226"/>
      <c r="AF1226"/>
    </row>
    <row r="1227" spans="1:32" x14ac:dyDescent="0.25">
      <c r="A1227" s="16"/>
      <c r="C1227" s="70"/>
      <c r="D1227" s="70"/>
      <c r="E1227" s="73"/>
      <c r="F1227" s="9"/>
      <c r="H1227" s="9"/>
      <c r="I1227" s="10"/>
      <c r="J1227" s="7"/>
      <c r="K1227" s="7"/>
      <c r="L1227" s="10"/>
      <c r="M1227" s="10"/>
      <c r="N1227" s="10"/>
      <c r="O1227" s="10"/>
      <c r="P1227" s="10"/>
      <c r="Q1227" s="10"/>
      <c r="R1227" s="10"/>
      <c r="S1227" s="10"/>
      <c r="T1227" s="14"/>
      <c r="U1227" s="10"/>
      <c r="V1227" s="10"/>
      <c r="W1227" s="10"/>
      <c r="X1227" s="7"/>
      <c r="Y1227" s="7"/>
      <c r="Z1227" s="7"/>
      <c r="AA1227" s="34"/>
      <c r="AB1227" s="7"/>
      <c r="AC1227" s="34"/>
      <c r="AD1227" s="10"/>
      <c r="AE1227"/>
      <c r="AF1227"/>
    </row>
    <row r="1228" spans="1:32" x14ac:dyDescent="0.25">
      <c r="A1228" s="16"/>
      <c r="C1228" s="70"/>
      <c r="D1228" s="70"/>
      <c r="E1228" s="73"/>
      <c r="F1228" s="9"/>
      <c r="H1228" s="9"/>
      <c r="I1228" s="10"/>
      <c r="J1228" s="7"/>
      <c r="K1228" s="7"/>
      <c r="L1228" s="10"/>
      <c r="M1228" s="10"/>
      <c r="N1228" s="10"/>
      <c r="O1228" s="10"/>
      <c r="P1228" s="10"/>
      <c r="Q1228" s="10"/>
      <c r="R1228" s="10"/>
      <c r="S1228" s="10"/>
      <c r="T1228" s="14"/>
      <c r="U1228" s="10"/>
      <c r="V1228" s="10"/>
      <c r="W1228" s="10"/>
      <c r="X1228" s="7"/>
      <c r="Y1228" s="7"/>
      <c r="Z1228" s="7"/>
      <c r="AA1228" s="34"/>
      <c r="AB1228" s="7"/>
      <c r="AC1228" s="34"/>
      <c r="AD1228" s="10"/>
      <c r="AE1228"/>
      <c r="AF1228"/>
    </row>
    <row r="1229" spans="1:32" x14ac:dyDescent="0.25">
      <c r="A1229" s="16"/>
      <c r="C1229" s="70"/>
      <c r="D1229" s="70"/>
      <c r="E1229" s="73"/>
      <c r="F1229" s="9"/>
      <c r="H1229" s="9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4"/>
      <c r="U1229" s="10"/>
      <c r="V1229" s="10"/>
      <c r="W1229" s="10"/>
      <c r="X1229" s="7"/>
      <c r="Y1229" s="7"/>
      <c r="Z1229" s="7"/>
      <c r="AA1229" s="34"/>
      <c r="AB1229" s="7"/>
      <c r="AC1229" s="34"/>
      <c r="AD1229" s="10"/>
      <c r="AE1229"/>
      <c r="AF1229"/>
    </row>
    <row r="1230" spans="1:32" x14ac:dyDescent="0.25">
      <c r="A1230" s="16"/>
      <c r="C1230" s="70"/>
      <c r="D1230" s="70"/>
      <c r="E1230" s="73"/>
      <c r="F1230" s="9"/>
      <c r="H1230" s="9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4"/>
      <c r="U1230" s="10"/>
      <c r="V1230" s="10"/>
      <c r="W1230" s="10"/>
      <c r="X1230" s="7"/>
      <c r="Y1230" s="7"/>
      <c r="Z1230" s="7"/>
      <c r="AA1230" s="34"/>
      <c r="AB1230" s="7"/>
      <c r="AC1230" s="34"/>
      <c r="AD1230" s="10"/>
      <c r="AE1230"/>
      <c r="AF1230"/>
    </row>
    <row r="1231" spans="1:32" x14ac:dyDescent="0.25">
      <c r="A1231" s="16"/>
      <c r="C1231" s="70"/>
      <c r="D1231" s="70"/>
      <c r="E1231" s="73"/>
      <c r="F1231" s="9"/>
      <c r="H1231" s="9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4"/>
      <c r="U1231" s="10"/>
      <c r="V1231" s="10"/>
      <c r="W1231" s="10"/>
      <c r="X1231" s="7"/>
      <c r="Y1231" s="7"/>
      <c r="Z1231" s="7"/>
      <c r="AA1231" s="34"/>
      <c r="AB1231" s="7"/>
      <c r="AC1231" s="34"/>
      <c r="AD1231" s="10"/>
      <c r="AE1231"/>
      <c r="AF1231"/>
    </row>
    <row r="1232" spans="1:32" x14ac:dyDescent="0.25">
      <c r="A1232" s="16"/>
      <c r="C1232" s="70"/>
      <c r="D1232" s="70"/>
      <c r="E1232" s="73"/>
      <c r="F1232" s="9"/>
      <c r="H1232" s="9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4"/>
      <c r="U1232" s="10"/>
      <c r="V1232" s="10"/>
      <c r="W1232" s="10"/>
      <c r="X1232" s="7"/>
      <c r="Y1232" s="7"/>
      <c r="Z1232" s="7"/>
      <c r="AA1232" s="34"/>
      <c r="AB1232" s="7"/>
      <c r="AC1232" s="34"/>
      <c r="AD1232" s="10"/>
      <c r="AE1232"/>
      <c r="AF1232"/>
    </row>
    <row r="1233" spans="1:32" x14ac:dyDescent="0.25">
      <c r="A1233" s="16"/>
      <c r="C1233" s="70"/>
      <c r="D1233" s="70"/>
      <c r="E1233" s="73"/>
      <c r="F1233" s="9"/>
      <c r="H1233" s="9"/>
      <c r="I1233" s="10"/>
      <c r="J1233" s="7"/>
      <c r="K1233" s="7"/>
      <c r="L1233" s="10"/>
      <c r="M1233" s="10"/>
      <c r="N1233" s="10"/>
      <c r="O1233" s="10"/>
      <c r="P1233" s="10"/>
      <c r="Q1233" s="10"/>
      <c r="R1233" s="10"/>
      <c r="S1233" s="10"/>
      <c r="T1233" s="14"/>
      <c r="U1233" s="10"/>
      <c r="V1233" s="10"/>
      <c r="W1233" s="10"/>
      <c r="X1233" s="7"/>
      <c r="Y1233" s="7"/>
      <c r="Z1233" s="7"/>
      <c r="AA1233" s="34"/>
      <c r="AB1233" s="7"/>
      <c r="AC1233" s="34"/>
      <c r="AD1233" s="10"/>
      <c r="AE1233"/>
      <c r="AF1233"/>
    </row>
    <row r="1234" spans="1:32" x14ac:dyDescent="0.25">
      <c r="A1234" s="16"/>
      <c r="C1234" s="70"/>
      <c r="D1234" s="70"/>
      <c r="E1234" s="73"/>
      <c r="F1234" s="9"/>
      <c r="H1234" s="9"/>
      <c r="I1234" s="10"/>
      <c r="J1234" s="10"/>
      <c r="K1234" s="7"/>
      <c r="L1234" s="10"/>
      <c r="M1234" s="10"/>
      <c r="N1234" s="10"/>
      <c r="O1234" s="10"/>
      <c r="P1234" s="10"/>
      <c r="Q1234" s="10"/>
      <c r="R1234" s="10"/>
      <c r="S1234" s="10"/>
      <c r="T1234" s="14"/>
      <c r="U1234" s="10"/>
      <c r="V1234" s="10"/>
      <c r="W1234" s="10"/>
      <c r="X1234" s="7"/>
      <c r="Y1234" s="7"/>
      <c r="Z1234" s="7"/>
      <c r="AA1234" s="34"/>
      <c r="AB1234" s="7"/>
      <c r="AC1234" s="34"/>
      <c r="AD1234" s="10"/>
      <c r="AE1234"/>
      <c r="AF1234"/>
    </row>
    <row r="1235" spans="1:32" x14ac:dyDescent="0.25">
      <c r="A1235" s="16"/>
      <c r="C1235" s="70"/>
      <c r="D1235" s="70"/>
      <c r="E1235" s="73"/>
      <c r="F1235" s="9"/>
      <c r="H1235" s="9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4"/>
      <c r="U1235" s="10"/>
      <c r="V1235" s="10"/>
      <c r="W1235" s="10"/>
      <c r="X1235" s="7"/>
      <c r="Y1235" s="7"/>
      <c r="Z1235" s="7"/>
      <c r="AA1235" s="34"/>
      <c r="AB1235" s="7"/>
      <c r="AC1235" s="34"/>
      <c r="AD1235" s="10"/>
      <c r="AE1235"/>
      <c r="AF1235"/>
    </row>
    <row r="1236" spans="1:32" x14ac:dyDescent="0.25">
      <c r="A1236" s="16"/>
      <c r="C1236" s="70"/>
      <c r="D1236" s="70"/>
      <c r="E1236" s="73"/>
      <c r="F1236" s="9"/>
      <c r="H1236" s="9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4"/>
      <c r="U1236" s="10"/>
      <c r="V1236" s="10"/>
      <c r="W1236" s="10"/>
      <c r="X1236" s="7"/>
      <c r="Y1236" s="7"/>
      <c r="Z1236" s="7"/>
      <c r="AA1236" s="34"/>
      <c r="AB1236" s="7"/>
      <c r="AC1236" s="34"/>
      <c r="AD1236" s="10"/>
      <c r="AE1236"/>
      <c r="AF1236"/>
    </row>
    <row r="1237" spans="1:32" x14ac:dyDescent="0.25">
      <c r="A1237" s="43"/>
      <c r="C1237" s="70"/>
      <c r="D1237" s="70"/>
      <c r="E1237" s="73"/>
      <c r="F1237" s="9"/>
      <c r="H1237" s="9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4"/>
      <c r="U1237" s="10"/>
      <c r="V1237" s="10"/>
      <c r="W1237" s="10"/>
      <c r="X1237" s="7"/>
      <c r="Y1237" s="7"/>
      <c r="Z1237" s="7"/>
      <c r="AA1237" s="34"/>
      <c r="AB1237" s="7"/>
      <c r="AC1237" s="34"/>
      <c r="AD1237" s="10"/>
      <c r="AE1237"/>
      <c r="AF1237"/>
    </row>
    <row r="1238" spans="1:32" x14ac:dyDescent="0.25">
      <c r="A1238" s="16"/>
      <c r="C1238" s="70"/>
      <c r="D1238" s="70"/>
      <c r="E1238" s="73"/>
      <c r="F1238" s="9"/>
      <c r="H1238" s="9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4"/>
      <c r="U1238" s="10"/>
      <c r="V1238" s="10"/>
      <c r="W1238" s="10"/>
      <c r="X1238" s="7"/>
      <c r="Y1238" s="7"/>
      <c r="Z1238" s="7"/>
      <c r="AA1238" s="34"/>
      <c r="AB1238" s="7"/>
      <c r="AC1238" s="34"/>
      <c r="AD1238" s="10"/>
      <c r="AE1238"/>
      <c r="AF1238"/>
    </row>
    <row r="1239" spans="1:32" x14ac:dyDescent="0.25">
      <c r="A1239" s="16"/>
      <c r="C1239" s="70"/>
      <c r="D1239" s="70"/>
      <c r="E1239" s="73"/>
      <c r="F1239" s="9"/>
      <c r="H1239" s="9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4"/>
      <c r="U1239" s="10"/>
      <c r="V1239" s="10"/>
      <c r="W1239" s="10"/>
      <c r="X1239" s="7"/>
      <c r="Y1239" s="7"/>
      <c r="Z1239" s="7"/>
      <c r="AA1239" s="34"/>
      <c r="AB1239" s="7"/>
      <c r="AC1239" s="34"/>
      <c r="AD1239" s="10"/>
      <c r="AE1239"/>
      <c r="AF1239"/>
    </row>
    <row r="1240" spans="1:32" x14ac:dyDescent="0.25">
      <c r="A1240" s="16"/>
      <c r="C1240" s="70"/>
      <c r="D1240" s="70"/>
      <c r="E1240" s="73"/>
      <c r="F1240" s="9"/>
      <c r="H1240" s="9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4"/>
      <c r="U1240" s="10"/>
      <c r="V1240" s="10"/>
      <c r="W1240" s="10"/>
      <c r="X1240" s="7"/>
      <c r="Y1240" s="7"/>
      <c r="Z1240" s="7"/>
      <c r="AA1240" s="34"/>
      <c r="AB1240" s="7"/>
      <c r="AC1240" s="34"/>
      <c r="AD1240" s="10"/>
      <c r="AE1240"/>
      <c r="AF1240"/>
    </row>
    <row r="1241" spans="1:32" x14ac:dyDescent="0.25">
      <c r="A1241" s="16"/>
      <c r="C1241" s="70"/>
      <c r="D1241" s="70"/>
      <c r="E1241" s="73"/>
      <c r="F1241" s="9"/>
      <c r="H1241" s="9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4"/>
      <c r="U1241" s="10"/>
      <c r="V1241" s="10"/>
      <c r="W1241" s="10"/>
      <c r="X1241" s="7"/>
      <c r="Y1241" s="7"/>
      <c r="Z1241" s="7"/>
      <c r="AA1241" s="34"/>
      <c r="AB1241" s="7"/>
      <c r="AC1241" s="34"/>
      <c r="AD1241" s="10"/>
      <c r="AE1241"/>
      <c r="AF1241"/>
    </row>
    <row r="1242" spans="1:32" x14ac:dyDescent="0.25">
      <c r="A1242" s="16"/>
      <c r="C1242" s="70"/>
      <c r="D1242" s="70"/>
      <c r="E1242" s="73"/>
      <c r="F1242" s="9"/>
      <c r="H1242" s="9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4"/>
      <c r="U1242" s="10"/>
      <c r="V1242" s="10"/>
      <c r="W1242" s="10"/>
      <c r="X1242" s="7"/>
      <c r="Y1242" s="7"/>
      <c r="Z1242" s="7"/>
      <c r="AA1242" s="34"/>
      <c r="AB1242" s="7"/>
      <c r="AC1242" s="34"/>
      <c r="AD1242" s="10"/>
      <c r="AE1242"/>
      <c r="AF1242"/>
    </row>
    <row r="1243" spans="1:32" x14ac:dyDescent="0.25">
      <c r="A1243" s="16"/>
      <c r="C1243" s="70"/>
      <c r="D1243" s="70"/>
      <c r="E1243" s="73"/>
      <c r="F1243" s="9"/>
      <c r="H1243" s="9"/>
      <c r="I1243" s="10"/>
      <c r="J1243" s="7"/>
      <c r="K1243" s="7"/>
      <c r="L1243" s="10"/>
      <c r="M1243" s="10"/>
      <c r="N1243" s="10"/>
      <c r="O1243" s="10"/>
      <c r="P1243" s="10"/>
      <c r="Q1243" s="10"/>
      <c r="R1243" s="10"/>
      <c r="S1243" s="10"/>
      <c r="T1243" s="14"/>
      <c r="U1243" s="10"/>
      <c r="V1243" s="10"/>
      <c r="W1243" s="10"/>
      <c r="X1243" s="7"/>
      <c r="Y1243" s="7"/>
      <c r="Z1243" s="7"/>
      <c r="AA1243" s="34"/>
      <c r="AB1243" s="7"/>
      <c r="AC1243" s="34"/>
      <c r="AD1243" s="10"/>
      <c r="AE1243"/>
      <c r="AF1243"/>
    </row>
    <row r="1244" spans="1:32" x14ac:dyDescent="0.25">
      <c r="A1244" s="16"/>
      <c r="C1244" s="70"/>
      <c r="D1244" s="70"/>
      <c r="E1244" s="73"/>
      <c r="F1244" s="9"/>
      <c r="H1244" s="9"/>
      <c r="I1244" s="10"/>
      <c r="J1244" s="7"/>
      <c r="K1244" s="7"/>
      <c r="L1244" s="10"/>
      <c r="M1244" s="10"/>
      <c r="N1244" s="10"/>
      <c r="O1244" s="10"/>
      <c r="P1244" s="10"/>
      <c r="Q1244" s="10"/>
      <c r="R1244" s="10"/>
      <c r="S1244" s="10"/>
      <c r="T1244" s="14"/>
      <c r="U1244" s="10"/>
      <c r="V1244" s="10"/>
      <c r="W1244" s="10"/>
      <c r="X1244" s="7"/>
      <c r="Y1244" s="7"/>
      <c r="Z1244" s="7"/>
      <c r="AA1244" s="34"/>
      <c r="AB1244" s="7"/>
      <c r="AC1244" s="34"/>
      <c r="AD1244" s="10"/>
      <c r="AE1244"/>
      <c r="AF1244"/>
    </row>
    <row r="1245" spans="1:32" x14ac:dyDescent="0.25">
      <c r="A1245" s="16"/>
      <c r="C1245" s="70"/>
      <c r="D1245" s="70"/>
      <c r="E1245" s="73"/>
      <c r="F1245" s="9"/>
      <c r="H1245" s="9"/>
      <c r="I1245" s="10"/>
      <c r="J1245" s="10"/>
      <c r="K1245" s="7"/>
      <c r="L1245" s="10"/>
      <c r="M1245" s="10"/>
      <c r="N1245" s="10"/>
      <c r="O1245" s="10"/>
      <c r="P1245" s="10"/>
      <c r="Q1245" s="10"/>
      <c r="R1245" s="10"/>
      <c r="S1245" s="10"/>
      <c r="T1245" s="14"/>
      <c r="U1245" s="10"/>
      <c r="V1245" s="10"/>
      <c r="W1245" s="10"/>
      <c r="X1245" s="7"/>
      <c r="Y1245" s="7"/>
      <c r="Z1245" s="7"/>
      <c r="AA1245" s="34"/>
      <c r="AB1245" s="7"/>
      <c r="AC1245" s="34"/>
      <c r="AD1245" s="10"/>
      <c r="AE1245"/>
      <c r="AF1245"/>
    </row>
    <row r="1246" spans="1:32" x14ac:dyDescent="0.25">
      <c r="A1246" s="16"/>
      <c r="C1246" s="70"/>
      <c r="D1246" s="70"/>
      <c r="E1246" s="73"/>
      <c r="F1246" s="9"/>
      <c r="H1246" s="9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4"/>
      <c r="U1246" s="10"/>
      <c r="V1246" s="10"/>
      <c r="W1246" s="10"/>
      <c r="X1246" s="7"/>
      <c r="Y1246" s="7"/>
      <c r="Z1246" s="7"/>
      <c r="AA1246" s="34"/>
      <c r="AB1246" s="7"/>
      <c r="AC1246" s="34"/>
      <c r="AD1246" s="10"/>
      <c r="AE1246"/>
      <c r="AF1246"/>
    </row>
    <row r="1247" spans="1:32" x14ac:dyDescent="0.25">
      <c r="A1247" s="16"/>
      <c r="C1247" s="70"/>
      <c r="D1247" s="70"/>
      <c r="E1247" s="73"/>
      <c r="F1247" s="9"/>
      <c r="H1247" s="9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4"/>
      <c r="U1247" s="10"/>
      <c r="V1247" s="10"/>
      <c r="W1247" s="10"/>
      <c r="X1247" s="7"/>
      <c r="Y1247" s="7"/>
      <c r="Z1247" s="7"/>
      <c r="AA1247" s="34"/>
      <c r="AB1247" s="7"/>
      <c r="AC1247" s="34"/>
      <c r="AD1247" s="10"/>
      <c r="AE1247"/>
      <c r="AF1247"/>
    </row>
    <row r="1248" spans="1:32" x14ac:dyDescent="0.25">
      <c r="A1248" s="16"/>
      <c r="C1248" s="70"/>
      <c r="D1248" s="70"/>
      <c r="E1248" s="73"/>
      <c r="F1248" s="9"/>
      <c r="H1248" s="9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4"/>
      <c r="U1248" s="10"/>
      <c r="V1248" s="10"/>
      <c r="W1248" s="10"/>
      <c r="X1248" s="7"/>
      <c r="Y1248" s="7"/>
      <c r="Z1248" s="7"/>
      <c r="AA1248" s="34"/>
      <c r="AB1248" s="7"/>
      <c r="AC1248" s="34"/>
      <c r="AD1248" s="10"/>
      <c r="AE1248"/>
      <c r="AF1248"/>
    </row>
    <row r="1249" spans="1:32" x14ac:dyDescent="0.25">
      <c r="A1249" s="16"/>
      <c r="C1249" s="70"/>
      <c r="D1249" s="70"/>
      <c r="E1249" s="73"/>
      <c r="F1249" s="9"/>
      <c r="H1249" s="9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4"/>
      <c r="U1249" s="10"/>
      <c r="V1249" s="10"/>
      <c r="W1249" s="10"/>
      <c r="X1249" s="7"/>
      <c r="Y1249" s="34"/>
      <c r="Z1249" s="7"/>
      <c r="AA1249" s="34"/>
      <c r="AB1249" s="7"/>
      <c r="AC1249" s="34"/>
      <c r="AD1249" s="10"/>
      <c r="AE1249"/>
      <c r="AF1249"/>
    </row>
    <row r="1250" spans="1:32" x14ac:dyDescent="0.25">
      <c r="A1250" s="16"/>
      <c r="C1250" s="70"/>
      <c r="D1250" s="70"/>
      <c r="E1250" s="73"/>
      <c r="F1250" s="9"/>
      <c r="H1250" s="9"/>
      <c r="I1250" s="10"/>
      <c r="J1250" s="7"/>
      <c r="K1250" s="7"/>
      <c r="L1250" s="10"/>
      <c r="M1250" s="10"/>
      <c r="N1250" s="10"/>
      <c r="O1250" s="10"/>
      <c r="P1250" s="10"/>
      <c r="Q1250" s="10"/>
      <c r="R1250" s="10"/>
      <c r="S1250" s="10"/>
      <c r="T1250" s="14"/>
      <c r="U1250" s="10"/>
      <c r="V1250" s="10"/>
      <c r="W1250" s="10"/>
      <c r="X1250" s="7"/>
      <c r="Y1250" s="7"/>
      <c r="Z1250" s="7"/>
      <c r="AA1250" s="34"/>
      <c r="AB1250" s="7"/>
      <c r="AC1250" s="34"/>
      <c r="AD1250" s="10"/>
      <c r="AE1250"/>
      <c r="AF1250"/>
    </row>
    <row r="1251" spans="1:32" x14ac:dyDescent="0.25">
      <c r="A1251" s="16"/>
      <c r="C1251" s="70"/>
      <c r="D1251" s="70"/>
      <c r="E1251" s="73"/>
      <c r="F1251" s="9"/>
      <c r="H1251" s="9"/>
      <c r="I1251" s="10"/>
      <c r="J1251" s="7"/>
      <c r="K1251" s="7"/>
      <c r="L1251" s="10"/>
      <c r="M1251" s="10"/>
      <c r="N1251" s="10"/>
      <c r="O1251" s="10"/>
      <c r="P1251" s="10"/>
      <c r="Q1251" s="10"/>
      <c r="R1251" s="10"/>
      <c r="S1251" s="10"/>
      <c r="T1251" s="14"/>
      <c r="U1251" s="10"/>
      <c r="V1251" s="10"/>
      <c r="W1251" s="10"/>
      <c r="X1251" s="7"/>
      <c r="Y1251" s="7"/>
      <c r="Z1251" s="7"/>
      <c r="AA1251" s="34"/>
      <c r="AB1251" s="7"/>
      <c r="AC1251" s="34"/>
      <c r="AD1251" s="10"/>
      <c r="AE1251"/>
      <c r="AF1251"/>
    </row>
    <row r="1252" spans="1:32" x14ac:dyDescent="0.25">
      <c r="A1252" s="16"/>
      <c r="C1252" s="70"/>
      <c r="D1252" s="70"/>
      <c r="E1252" s="73"/>
      <c r="F1252" s="9"/>
      <c r="H1252" s="9"/>
      <c r="I1252" s="10"/>
      <c r="J1252" s="7"/>
      <c r="K1252" s="7"/>
      <c r="L1252" s="10"/>
      <c r="M1252" s="10"/>
      <c r="N1252" s="10"/>
      <c r="O1252" s="10"/>
      <c r="P1252" s="10"/>
      <c r="Q1252" s="10"/>
      <c r="R1252" s="10"/>
      <c r="S1252" s="10"/>
      <c r="T1252" s="14"/>
      <c r="U1252" s="10"/>
      <c r="V1252" s="10"/>
      <c r="W1252" s="10"/>
      <c r="X1252" s="7"/>
      <c r="Y1252" s="7"/>
      <c r="Z1252" s="7"/>
      <c r="AA1252" s="34"/>
      <c r="AB1252" s="7"/>
      <c r="AC1252" s="34"/>
      <c r="AD1252" s="10"/>
      <c r="AE1252"/>
      <c r="AF1252"/>
    </row>
    <row r="1253" spans="1:32" x14ac:dyDescent="0.25">
      <c r="A1253" s="16"/>
      <c r="C1253" s="70"/>
      <c r="D1253" s="70"/>
      <c r="E1253" s="73"/>
      <c r="F1253" s="9"/>
      <c r="H1253" s="9"/>
      <c r="I1253" s="10"/>
      <c r="J1253" s="60"/>
      <c r="K1253" s="42"/>
      <c r="L1253" s="10"/>
      <c r="M1253" s="10"/>
      <c r="N1253" s="10"/>
      <c r="O1253" s="10"/>
      <c r="P1253" s="10"/>
      <c r="Q1253" s="10"/>
      <c r="R1253" s="10"/>
      <c r="S1253" s="10"/>
      <c r="T1253" s="14"/>
      <c r="U1253" s="10"/>
      <c r="V1253" s="10"/>
      <c r="W1253" s="10"/>
      <c r="X1253" s="7"/>
      <c r="Y1253" s="7"/>
      <c r="Z1253" s="7"/>
      <c r="AA1253" s="34"/>
      <c r="AB1253" s="7"/>
      <c r="AC1253" s="34"/>
      <c r="AD1253" s="10"/>
      <c r="AE1253"/>
      <c r="AF1253"/>
    </row>
    <row r="1254" spans="1:32" x14ac:dyDescent="0.25">
      <c r="A1254" s="16"/>
      <c r="C1254" s="70"/>
      <c r="D1254" s="70"/>
      <c r="E1254" s="73"/>
      <c r="F1254" s="9"/>
      <c r="H1254" s="9"/>
      <c r="I1254" s="10"/>
      <c r="J1254" s="10"/>
      <c r="K1254" s="7"/>
      <c r="L1254" s="10"/>
      <c r="M1254" s="10"/>
      <c r="N1254" s="10"/>
      <c r="O1254" s="10"/>
      <c r="P1254" s="10"/>
      <c r="Q1254" s="10"/>
      <c r="R1254" s="10"/>
      <c r="S1254" s="10"/>
      <c r="T1254" s="14"/>
      <c r="U1254" s="10"/>
      <c r="V1254" s="10"/>
      <c r="W1254" s="10"/>
      <c r="X1254" s="7"/>
      <c r="Y1254" s="7"/>
      <c r="Z1254" s="7"/>
      <c r="AA1254" s="34"/>
      <c r="AB1254" s="7"/>
      <c r="AC1254" s="34"/>
      <c r="AD1254" s="10"/>
      <c r="AE1254"/>
      <c r="AF1254"/>
    </row>
    <row r="1255" spans="1:32" x14ac:dyDescent="0.25">
      <c r="A1255" s="16"/>
      <c r="C1255" s="70"/>
      <c r="D1255" s="70"/>
      <c r="E1255" s="73"/>
      <c r="F1255" s="9"/>
      <c r="H1255" s="9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4"/>
      <c r="U1255" s="10"/>
      <c r="V1255" s="10"/>
      <c r="W1255" s="10"/>
      <c r="X1255" s="7"/>
      <c r="Y1255" s="7"/>
      <c r="Z1255" s="7"/>
      <c r="AA1255" s="34"/>
      <c r="AB1255" s="7"/>
      <c r="AC1255" s="34"/>
      <c r="AD1255" s="10"/>
      <c r="AE1255"/>
      <c r="AF1255"/>
    </row>
    <row r="1256" spans="1:32" x14ac:dyDescent="0.25">
      <c r="A1256" s="16"/>
      <c r="C1256" s="70"/>
      <c r="D1256" s="70"/>
      <c r="E1256" s="73"/>
      <c r="F1256" s="9"/>
      <c r="H1256" s="9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4"/>
      <c r="U1256" s="10"/>
      <c r="V1256" s="10"/>
      <c r="W1256" s="10"/>
      <c r="X1256" s="7"/>
      <c r="Y1256" s="7"/>
      <c r="Z1256" s="7"/>
      <c r="AA1256" s="34"/>
      <c r="AB1256" s="7"/>
      <c r="AC1256" s="34"/>
      <c r="AD1256" s="10"/>
      <c r="AE1256"/>
      <c r="AF1256"/>
    </row>
    <row r="1257" spans="1:32" x14ac:dyDescent="0.25">
      <c r="A1257" s="16"/>
      <c r="C1257" s="70"/>
      <c r="D1257" s="70"/>
      <c r="E1257" s="73"/>
      <c r="F1257" s="9"/>
      <c r="H1257" s="9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4"/>
      <c r="U1257" s="10"/>
      <c r="V1257" s="10"/>
      <c r="W1257" s="10"/>
      <c r="X1257" s="7"/>
      <c r="Y1257" s="7"/>
      <c r="Z1257" s="7"/>
      <c r="AA1257" s="34"/>
      <c r="AB1257" s="7"/>
      <c r="AC1257" s="34"/>
      <c r="AD1257" s="10"/>
      <c r="AE1257"/>
      <c r="AF1257"/>
    </row>
    <row r="1258" spans="1:32" x14ac:dyDescent="0.25">
      <c r="A1258" s="16"/>
      <c r="C1258" s="70"/>
      <c r="D1258" s="70"/>
      <c r="E1258" s="73"/>
      <c r="F1258" s="9"/>
      <c r="H1258" s="9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4"/>
      <c r="U1258" s="10"/>
      <c r="V1258" s="10"/>
      <c r="W1258" s="10"/>
      <c r="X1258" s="7"/>
      <c r="Y1258" s="7"/>
      <c r="Z1258" s="7"/>
      <c r="AA1258" s="34"/>
      <c r="AB1258" s="7"/>
      <c r="AC1258" s="34"/>
      <c r="AD1258" s="10"/>
      <c r="AE1258"/>
      <c r="AF1258"/>
    </row>
    <row r="1259" spans="1:32" x14ac:dyDescent="0.25">
      <c r="A1259" s="16"/>
      <c r="C1259" s="70"/>
      <c r="D1259" s="70"/>
      <c r="E1259" s="73"/>
      <c r="F1259" s="9"/>
      <c r="H1259" s="9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4"/>
      <c r="U1259" s="10"/>
      <c r="V1259" s="10"/>
      <c r="W1259" s="10"/>
      <c r="X1259" s="7"/>
      <c r="Y1259" s="7"/>
      <c r="Z1259" s="34"/>
      <c r="AA1259" s="34"/>
      <c r="AB1259" s="7"/>
      <c r="AC1259" s="34"/>
      <c r="AD1259" s="10"/>
      <c r="AE1259"/>
      <c r="AF1259"/>
    </row>
    <row r="1260" spans="1:32" x14ac:dyDescent="0.25">
      <c r="A1260" s="16"/>
      <c r="C1260" s="70"/>
      <c r="D1260" s="70"/>
      <c r="E1260" s="73"/>
      <c r="F1260" s="9"/>
      <c r="H1260" s="9"/>
      <c r="I1260" s="10"/>
      <c r="J1260" s="10"/>
      <c r="K1260" s="7"/>
      <c r="L1260" s="10"/>
      <c r="M1260" s="10"/>
      <c r="N1260" s="10"/>
      <c r="O1260" s="10"/>
      <c r="P1260" s="10"/>
      <c r="Q1260" s="10"/>
      <c r="R1260" s="10"/>
      <c r="S1260" s="10"/>
      <c r="T1260" s="14"/>
      <c r="U1260" s="10"/>
      <c r="V1260" s="10"/>
      <c r="W1260" s="10"/>
      <c r="X1260" s="7"/>
      <c r="Y1260" s="7"/>
      <c r="Z1260" s="7"/>
      <c r="AA1260" s="34"/>
      <c r="AB1260" s="7"/>
      <c r="AC1260" s="34"/>
      <c r="AD1260" s="10"/>
      <c r="AE1260"/>
      <c r="AF1260"/>
    </row>
    <row r="1261" spans="1:32" x14ac:dyDescent="0.25">
      <c r="A1261" s="16"/>
      <c r="C1261" s="70"/>
      <c r="D1261" s="70"/>
      <c r="E1261" s="73"/>
      <c r="F1261" s="9"/>
      <c r="H1261" s="9"/>
      <c r="I1261" s="10"/>
      <c r="J1261" s="7"/>
      <c r="K1261" s="7"/>
      <c r="L1261" s="10"/>
      <c r="M1261" s="10"/>
      <c r="N1261" s="10"/>
      <c r="O1261" s="10"/>
      <c r="P1261" s="10"/>
      <c r="Q1261" s="10"/>
      <c r="R1261" s="10"/>
      <c r="S1261" s="10"/>
      <c r="T1261" s="14"/>
      <c r="U1261" s="10"/>
      <c r="V1261" s="10"/>
      <c r="W1261" s="10"/>
      <c r="X1261" s="7"/>
      <c r="Y1261" s="7"/>
      <c r="Z1261" s="7"/>
      <c r="AA1261" s="34"/>
      <c r="AB1261" s="7"/>
      <c r="AC1261" s="34"/>
      <c r="AD1261" s="10"/>
      <c r="AE1261"/>
      <c r="AF1261"/>
    </row>
    <row r="1262" spans="1:32" x14ac:dyDescent="0.25">
      <c r="A1262" s="16"/>
      <c r="C1262" s="70"/>
      <c r="D1262" s="70"/>
      <c r="E1262" s="73"/>
      <c r="F1262" s="9"/>
      <c r="H1262" s="9"/>
      <c r="I1262" s="10"/>
      <c r="J1262" s="10"/>
      <c r="K1262" s="7"/>
      <c r="L1262" s="10"/>
      <c r="M1262" s="10"/>
      <c r="N1262" s="10"/>
      <c r="O1262" s="10"/>
      <c r="P1262" s="10"/>
      <c r="Q1262" s="10"/>
      <c r="R1262" s="10"/>
      <c r="S1262" s="10"/>
      <c r="T1262" s="14"/>
      <c r="U1262" s="10"/>
      <c r="V1262" s="10"/>
      <c r="W1262" s="10"/>
      <c r="X1262" s="7"/>
      <c r="Y1262" s="7"/>
      <c r="Z1262" s="7"/>
      <c r="AA1262" s="34"/>
      <c r="AB1262" s="7"/>
      <c r="AC1262" s="34"/>
      <c r="AD1262" s="10"/>
      <c r="AE1262"/>
      <c r="AF1262"/>
    </row>
    <row r="1263" spans="1:32" x14ac:dyDescent="0.25">
      <c r="A1263" s="16"/>
      <c r="C1263" s="70"/>
      <c r="D1263" s="70"/>
      <c r="E1263" s="73"/>
      <c r="F1263" s="9"/>
      <c r="H1263" s="9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4"/>
      <c r="U1263" s="10"/>
      <c r="V1263" s="10"/>
      <c r="W1263" s="10"/>
      <c r="X1263" s="7"/>
      <c r="Y1263" s="7"/>
      <c r="Z1263" s="7"/>
      <c r="AA1263" s="34"/>
      <c r="AB1263" s="7"/>
      <c r="AC1263" s="34"/>
      <c r="AD1263" s="10"/>
      <c r="AE1263"/>
      <c r="AF1263"/>
    </row>
    <row r="1264" spans="1:32" x14ac:dyDescent="0.25">
      <c r="A1264" s="16"/>
      <c r="C1264" s="70"/>
      <c r="D1264" s="70"/>
      <c r="E1264" s="73"/>
      <c r="F1264" s="9"/>
      <c r="H1264" s="9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4"/>
      <c r="U1264" s="10"/>
      <c r="V1264" s="10"/>
      <c r="W1264" s="10"/>
      <c r="X1264" s="7"/>
      <c r="Y1264" s="7"/>
      <c r="Z1264" s="7"/>
      <c r="AA1264" s="34"/>
      <c r="AB1264" s="7"/>
      <c r="AC1264" s="34"/>
      <c r="AD1264" s="10"/>
      <c r="AE1264"/>
      <c r="AF1264"/>
    </row>
    <row r="1265" spans="1:32" x14ac:dyDescent="0.25">
      <c r="A1265" s="16"/>
      <c r="C1265" s="70"/>
      <c r="D1265" s="70"/>
      <c r="E1265" s="73"/>
      <c r="F1265" s="9"/>
      <c r="H1265" s="9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4"/>
      <c r="U1265" s="10"/>
      <c r="V1265" s="10"/>
      <c r="W1265" s="10"/>
      <c r="X1265" s="7"/>
      <c r="Y1265" s="7"/>
      <c r="Z1265" s="7"/>
      <c r="AA1265" s="34"/>
      <c r="AB1265" s="7"/>
      <c r="AC1265" s="34"/>
      <c r="AD1265" s="10"/>
      <c r="AE1265"/>
      <c r="AF1265"/>
    </row>
    <row r="1266" spans="1:32" x14ac:dyDescent="0.25">
      <c r="A1266" s="16"/>
      <c r="C1266" s="70"/>
      <c r="D1266" s="70"/>
      <c r="E1266" s="73"/>
      <c r="F1266" s="9"/>
      <c r="H1266" s="9"/>
      <c r="I1266" s="10"/>
      <c r="J1266" s="10"/>
      <c r="K1266" s="7"/>
      <c r="L1266" s="10"/>
      <c r="M1266" s="10"/>
      <c r="N1266" s="10"/>
      <c r="O1266" s="10"/>
      <c r="P1266" s="10"/>
      <c r="Q1266" s="10"/>
      <c r="R1266" s="10"/>
      <c r="S1266" s="10"/>
      <c r="T1266" s="14"/>
      <c r="U1266" s="10"/>
      <c r="V1266" s="10"/>
      <c r="W1266" s="10"/>
      <c r="X1266" s="7"/>
      <c r="Y1266" s="7"/>
      <c r="Z1266" s="7"/>
      <c r="AA1266" s="34"/>
      <c r="AB1266" s="7"/>
      <c r="AC1266" s="34"/>
      <c r="AD1266" s="10"/>
      <c r="AE1266"/>
      <c r="AF1266"/>
    </row>
    <row r="1267" spans="1:32" x14ac:dyDescent="0.25">
      <c r="A1267" s="16"/>
      <c r="C1267" s="70"/>
      <c r="D1267" s="70"/>
      <c r="E1267" s="73"/>
      <c r="F1267" s="45"/>
      <c r="H1267" s="9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4"/>
      <c r="U1267" s="10"/>
      <c r="V1267" s="10"/>
      <c r="W1267" s="10"/>
      <c r="X1267" s="7"/>
      <c r="Y1267" s="7"/>
      <c r="Z1267" s="7"/>
      <c r="AA1267" s="34"/>
      <c r="AB1267" s="7"/>
      <c r="AC1267" s="34"/>
      <c r="AD1267" s="10"/>
      <c r="AE1267"/>
      <c r="AF1267"/>
    </row>
    <row r="1268" spans="1:32" x14ac:dyDescent="0.25">
      <c r="A1268" s="16"/>
      <c r="C1268" s="70"/>
      <c r="D1268" s="70"/>
      <c r="E1268" s="73"/>
      <c r="F1268" s="9"/>
      <c r="H1268" s="9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4"/>
      <c r="U1268" s="10"/>
      <c r="V1268" s="10"/>
      <c r="W1268" s="10"/>
      <c r="X1268" s="7"/>
      <c r="Y1268" s="7"/>
      <c r="Z1268" s="34"/>
      <c r="AA1268" s="34"/>
      <c r="AB1268" s="7"/>
      <c r="AC1268" s="34"/>
      <c r="AD1268" s="10"/>
      <c r="AE1268"/>
      <c r="AF1268"/>
    </row>
    <row r="1269" spans="1:32" x14ac:dyDescent="0.25">
      <c r="A1269" s="16"/>
      <c r="C1269" s="70"/>
      <c r="D1269" s="70"/>
      <c r="E1269" s="73"/>
      <c r="F1269" s="9"/>
      <c r="H1269" s="9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4"/>
      <c r="U1269" s="10"/>
      <c r="V1269" s="10"/>
      <c r="W1269" s="10"/>
      <c r="X1269" s="7"/>
      <c r="Y1269" s="7"/>
      <c r="Z1269" s="34"/>
      <c r="AA1269" s="34"/>
      <c r="AB1269" s="7"/>
      <c r="AC1269" s="34"/>
      <c r="AD1269" s="10"/>
      <c r="AE1269"/>
      <c r="AF1269"/>
    </row>
    <row r="1270" spans="1:32" x14ac:dyDescent="0.25">
      <c r="A1270" s="16"/>
      <c r="C1270" s="70"/>
      <c r="D1270" s="70"/>
      <c r="E1270" s="73"/>
      <c r="F1270" s="9"/>
      <c r="H1270" s="9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4"/>
      <c r="U1270" s="10"/>
      <c r="V1270" s="10"/>
      <c r="W1270" s="10"/>
      <c r="X1270" s="7"/>
      <c r="Y1270" s="7"/>
      <c r="Z1270" s="7"/>
      <c r="AA1270" s="34"/>
      <c r="AB1270" s="7"/>
      <c r="AC1270" s="34"/>
      <c r="AD1270" s="10"/>
      <c r="AE1270"/>
      <c r="AF1270"/>
    </row>
    <row r="1271" spans="1:32" x14ac:dyDescent="0.25">
      <c r="A1271" s="16"/>
      <c r="C1271" s="70"/>
      <c r="D1271" s="70"/>
      <c r="E1271" s="73"/>
      <c r="F1271" s="9"/>
      <c r="H1271" s="9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4"/>
      <c r="U1271" s="10"/>
      <c r="V1271" s="10"/>
      <c r="W1271" s="10"/>
      <c r="X1271" s="7"/>
      <c r="Y1271" s="7"/>
      <c r="Z1271" s="7"/>
      <c r="AA1271" s="34"/>
      <c r="AB1271" s="7"/>
      <c r="AC1271" s="34"/>
      <c r="AD1271" s="10"/>
      <c r="AE1271"/>
      <c r="AF1271"/>
    </row>
    <row r="1272" spans="1:32" x14ac:dyDescent="0.25">
      <c r="A1272" s="16"/>
      <c r="C1272" s="70"/>
      <c r="D1272" s="70"/>
      <c r="E1272" s="73"/>
      <c r="F1272" s="9"/>
      <c r="H1272" s="9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4"/>
      <c r="U1272" s="10"/>
      <c r="V1272" s="10"/>
      <c r="W1272" s="10"/>
      <c r="X1272" s="7"/>
      <c r="Y1272" s="7"/>
      <c r="Z1272" s="7"/>
      <c r="AA1272" s="34"/>
      <c r="AB1272" s="7"/>
      <c r="AC1272" s="34"/>
      <c r="AD1272" s="10"/>
      <c r="AE1272"/>
      <c r="AF1272"/>
    </row>
    <row r="1273" spans="1:32" x14ac:dyDescent="0.25">
      <c r="A1273" s="16"/>
      <c r="C1273" s="70"/>
      <c r="D1273" s="70"/>
      <c r="E1273" s="73"/>
      <c r="F1273" s="9"/>
      <c r="H1273" s="9"/>
      <c r="I1273" s="10"/>
      <c r="J1273" s="7"/>
      <c r="K1273" s="7"/>
      <c r="L1273" s="10"/>
      <c r="M1273" s="10"/>
      <c r="N1273" s="10"/>
      <c r="O1273" s="10"/>
      <c r="P1273" s="10"/>
      <c r="Q1273" s="10"/>
      <c r="R1273" s="10"/>
      <c r="S1273" s="10"/>
      <c r="T1273" s="14"/>
      <c r="U1273" s="10"/>
      <c r="V1273" s="10"/>
      <c r="W1273" s="10"/>
      <c r="X1273" s="7"/>
      <c r="Y1273" s="7"/>
      <c r="Z1273" s="7"/>
      <c r="AA1273" s="34"/>
      <c r="AB1273" s="7"/>
      <c r="AC1273" s="34"/>
      <c r="AD1273" s="10"/>
      <c r="AE1273"/>
      <c r="AF1273"/>
    </row>
    <row r="1274" spans="1:32" x14ac:dyDescent="0.25">
      <c r="A1274" s="16"/>
      <c r="C1274" s="70"/>
      <c r="D1274" s="70"/>
      <c r="E1274" s="73"/>
      <c r="F1274" s="9"/>
      <c r="H1274" s="9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4"/>
      <c r="U1274" s="10"/>
      <c r="V1274" s="10"/>
      <c r="W1274" s="10"/>
      <c r="X1274" s="7"/>
      <c r="Y1274" s="7"/>
      <c r="Z1274" s="7"/>
      <c r="AA1274" s="34"/>
      <c r="AB1274" s="7"/>
      <c r="AC1274" s="34"/>
      <c r="AD1274" s="10"/>
      <c r="AE1274"/>
      <c r="AF1274"/>
    </row>
    <row r="1275" spans="1:32" x14ac:dyDescent="0.25">
      <c r="A1275" s="16"/>
      <c r="C1275" s="70"/>
      <c r="D1275" s="70"/>
      <c r="E1275" s="73"/>
      <c r="F1275" s="9"/>
      <c r="H1275" s="9"/>
      <c r="I1275" s="10"/>
      <c r="J1275" s="7"/>
      <c r="K1275" s="7"/>
      <c r="L1275" s="10"/>
      <c r="M1275" s="10"/>
      <c r="N1275" s="10"/>
      <c r="O1275" s="10"/>
      <c r="P1275" s="10"/>
      <c r="Q1275" s="10"/>
      <c r="R1275" s="10"/>
      <c r="S1275" s="10"/>
      <c r="T1275" s="14"/>
      <c r="U1275" s="10"/>
      <c r="V1275" s="10"/>
      <c r="W1275" s="10"/>
      <c r="X1275" s="7"/>
      <c r="Y1275" s="7"/>
      <c r="Z1275" s="7"/>
      <c r="AA1275" s="34"/>
      <c r="AB1275" s="7"/>
      <c r="AC1275" s="34"/>
      <c r="AD1275" s="10"/>
      <c r="AE1275"/>
      <c r="AF1275"/>
    </row>
    <row r="1276" spans="1:32" x14ac:dyDescent="0.25">
      <c r="A1276" s="16"/>
      <c r="C1276" s="70"/>
      <c r="D1276" s="70"/>
      <c r="E1276" s="73"/>
      <c r="F1276" s="9"/>
      <c r="H1276" s="9"/>
      <c r="I1276" s="10"/>
      <c r="J1276" s="7"/>
      <c r="K1276" s="7"/>
      <c r="L1276" s="10"/>
      <c r="M1276" s="10"/>
      <c r="N1276" s="10"/>
      <c r="O1276" s="10"/>
      <c r="P1276" s="10"/>
      <c r="Q1276" s="10"/>
      <c r="R1276" s="10"/>
      <c r="S1276" s="10"/>
      <c r="T1276" s="14"/>
      <c r="U1276" s="10"/>
      <c r="V1276" s="10"/>
      <c r="W1276" s="10"/>
      <c r="X1276" s="7"/>
      <c r="Y1276" s="7"/>
      <c r="Z1276" s="7"/>
      <c r="AA1276" s="34"/>
      <c r="AB1276" s="7"/>
      <c r="AC1276" s="34"/>
      <c r="AD1276" s="10"/>
      <c r="AE1276"/>
      <c r="AF1276"/>
    </row>
    <row r="1277" spans="1:32" x14ac:dyDescent="0.25">
      <c r="A1277" s="16"/>
      <c r="C1277" s="70"/>
      <c r="D1277" s="70"/>
      <c r="E1277" s="73"/>
      <c r="F1277" s="9"/>
      <c r="H1277" s="9"/>
      <c r="I1277" s="10"/>
      <c r="J1277" s="10"/>
      <c r="K1277" s="7"/>
      <c r="L1277" s="10"/>
      <c r="M1277" s="10"/>
      <c r="N1277" s="10"/>
      <c r="O1277" s="10"/>
      <c r="P1277" s="10"/>
      <c r="Q1277" s="10"/>
      <c r="R1277" s="10"/>
      <c r="S1277" s="10"/>
      <c r="T1277" s="14"/>
      <c r="U1277" s="10"/>
      <c r="V1277" s="10"/>
      <c r="W1277" s="10"/>
      <c r="X1277" s="7"/>
      <c r="Y1277" s="7"/>
      <c r="Z1277" s="7"/>
      <c r="AA1277" s="34"/>
      <c r="AB1277" s="7"/>
      <c r="AC1277" s="34"/>
      <c r="AD1277" s="10"/>
      <c r="AE1277"/>
      <c r="AF1277"/>
    </row>
    <row r="1278" spans="1:32" x14ac:dyDescent="0.25">
      <c r="A1278" s="16"/>
      <c r="C1278" s="70"/>
      <c r="D1278" s="70"/>
      <c r="E1278" s="73"/>
      <c r="F1278" s="9"/>
      <c r="H1278" s="9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4"/>
      <c r="U1278" s="10"/>
      <c r="V1278" s="10"/>
      <c r="W1278" s="10"/>
      <c r="X1278" s="7"/>
      <c r="Y1278" s="7"/>
      <c r="Z1278" s="7"/>
      <c r="AA1278" s="34"/>
      <c r="AB1278" s="7"/>
      <c r="AC1278" s="34"/>
      <c r="AD1278" s="10"/>
      <c r="AE1278"/>
      <c r="AF1278"/>
    </row>
    <row r="1279" spans="1:32" x14ac:dyDescent="0.25">
      <c r="A1279" s="16"/>
      <c r="C1279" s="70"/>
      <c r="D1279" s="70"/>
      <c r="E1279" s="73"/>
      <c r="F1279" s="9"/>
      <c r="H1279" s="9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4"/>
      <c r="U1279" s="10"/>
      <c r="V1279" s="10"/>
      <c r="W1279" s="10"/>
      <c r="X1279" s="7"/>
      <c r="Y1279" s="7"/>
      <c r="Z1279" s="7"/>
      <c r="AA1279" s="34"/>
      <c r="AB1279" s="7"/>
      <c r="AC1279" s="34"/>
      <c r="AD1279" s="10"/>
      <c r="AE1279"/>
      <c r="AF1279"/>
    </row>
    <row r="1280" spans="1:32" x14ac:dyDescent="0.25">
      <c r="A1280" s="16"/>
      <c r="C1280" s="70"/>
      <c r="D1280" s="70"/>
      <c r="E1280" s="73"/>
      <c r="F1280" s="9"/>
      <c r="H1280" s="9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4"/>
      <c r="U1280" s="10"/>
      <c r="V1280" s="10"/>
      <c r="W1280" s="10"/>
      <c r="X1280" s="7"/>
      <c r="Y1280" s="7"/>
      <c r="Z1280" s="7"/>
      <c r="AA1280" s="34"/>
      <c r="AB1280" s="7"/>
      <c r="AC1280" s="34"/>
      <c r="AD1280" s="10"/>
      <c r="AE1280"/>
      <c r="AF1280"/>
    </row>
    <row r="1281" spans="1:32" x14ac:dyDescent="0.25">
      <c r="A1281" s="16"/>
      <c r="C1281" s="70"/>
      <c r="D1281" s="70"/>
      <c r="E1281" s="73"/>
      <c r="F1281" s="9"/>
      <c r="H1281" s="9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4"/>
      <c r="U1281" s="10"/>
      <c r="V1281" s="10"/>
      <c r="W1281" s="10"/>
      <c r="X1281" s="7"/>
      <c r="Y1281" s="7"/>
      <c r="Z1281" s="7"/>
      <c r="AA1281" s="34"/>
      <c r="AB1281" s="7"/>
      <c r="AC1281" s="34"/>
      <c r="AD1281" s="10"/>
      <c r="AE1281"/>
      <c r="AF1281"/>
    </row>
    <row r="1282" spans="1:32" x14ac:dyDescent="0.25">
      <c r="A1282" s="16"/>
      <c r="C1282" s="70"/>
      <c r="D1282" s="70"/>
      <c r="E1282" s="73"/>
      <c r="F1282" s="9"/>
      <c r="H1282" s="9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4"/>
      <c r="U1282" s="10"/>
      <c r="V1282" s="10"/>
      <c r="W1282" s="10"/>
      <c r="X1282" s="7"/>
      <c r="Y1282" s="7"/>
      <c r="Z1282" s="7"/>
      <c r="AA1282" s="34"/>
      <c r="AB1282" s="7"/>
      <c r="AC1282" s="34"/>
      <c r="AD1282" s="10"/>
      <c r="AE1282"/>
      <c r="AF1282"/>
    </row>
    <row r="1283" spans="1:32" x14ac:dyDescent="0.25">
      <c r="A1283" s="16"/>
      <c r="C1283" s="70"/>
      <c r="D1283" s="70"/>
      <c r="E1283" s="73"/>
      <c r="F1283" s="9"/>
      <c r="H1283" s="9"/>
      <c r="I1283" s="10"/>
      <c r="J1283" s="7"/>
      <c r="K1283" s="7"/>
      <c r="L1283" s="10"/>
      <c r="M1283" s="10"/>
      <c r="N1283" s="10"/>
      <c r="O1283" s="10"/>
      <c r="P1283" s="10"/>
      <c r="Q1283" s="10"/>
      <c r="R1283" s="10"/>
      <c r="S1283" s="10"/>
      <c r="T1283" s="14"/>
      <c r="U1283" s="10"/>
      <c r="V1283" s="10"/>
      <c r="W1283" s="10"/>
      <c r="X1283" s="7"/>
      <c r="Y1283" s="7"/>
      <c r="Z1283" s="7"/>
      <c r="AA1283" s="34"/>
      <c r="AB1283" s="7"/>
      <c r="AC1283" s="34"/>
      <c r="AD1283" s="10"/>
      <c r="AE1283"/>
      <c r="AF1283"/>
    </row>
    <row r="1284" spans="1:32" x14ac:dyDescent="0.25">
      <c r="A1284" s="16"/>
      <c r="C1284" s="70"/>
      <c r="D1284" s="70"/>
      <c r="E1284" s="73"/>
      <c r="F1284" s="9"/>
      <c r="H1284" s="9"/>
      <c r="I1284" s="10"/>
      <c r="J1284" s="10"/>
      <c r="K1284" s="7"/>
      <c r="L1284" s="10"/>
      <c r="M1284" s="10"/>
      <c r="N1284" s="10"/>
      <c r="O1284" s="10"/>
      <c r="P1284" s="10"/>
      <c r="Q1284" s="10"/>
      <c r="R1284" s="10"/>
      <c r="S1284" s="10"/>
      <c r="T1284" s="14"/>
      <c r="U1284" s="10"/>
      <c r="V1284" s="10"/>
      <c r="W1284" s="10"/>
      <c r="X1284" s="7"/>
      <c r="Y1284" s="7"/>
      <c r="Z1284" s="7"/>
      <c r="AA1284" s="34"/>
      <c r="AB1284" s="7"/>
      <c r="AC1284" s="34"/>
      <c r="AD1284" s="10"/>
      <c r="AE1284"/>
      <c r="AF1284"/>
    </row>
    <row r="1285" spans="1:32" x14ac:dyDescent="0.25">
      <c r="A1285" s="16"/>
      <c r="C1285" s="70"/>
      <c r="D1285" s="70"/>
      <c r="E1285" s="73"/>
      <c r="F1285" s="9"/>
      <c r="H1285" s="9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4"/>
      <c r="U1285" s="10"/>
      <c r="V1285" s="10"/>
      <c r="W1285" s="10"/>
      <c r="X1285" s="7"/>
      <c r="Y1285" s="7"/>
      <c r="Z1285" s="7"/>
      <c r="AA1285" s="34"/>
      <c r="AB1285" s="7"/>
      <c r="AC1285" s="34"/>
      <c r="AD1285" s="10"/>
      <c r="AE1285"/>
      <c r="AF1285"/>
    </row>
    <row r="1286" spans="1:32" x14ac:dyDescent="0.25">
      <c r="A1286" s="16"/>
      <c r="C1286" s="70"/>
      <c r="D1286" s="70"/>
      <c r="E1286" s="73"/>
      <c r="F1286" s="9"/>
      <c r="H1286" s="9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4"/>
      <c r="U1286" s="10"/>
      <c r="V1286" s="10"/>
      <c r="W1286" s="10"/>
      <c r="X1286" s="7"/>
      <c r="Y1286" s="34"/>
      <c r="Z1286" s="7"/>
      <c r="AA1286" s="34"/>
      <c r="AB1286" s="7"/>
      <c r="AC1286" s="34"/>
      <c r="AD1286" s="10"/>
      <c r="AE1286"/>
      <c r="AF1286"/>
    </row>
    <row r="1287" spans="1:32" x14ac:dyDescent="0.25">
      <c r="A1287" s="16"/>
      <c r="C1287" s="70"/>
      <c r="D1287" s="70"/>
      <c r="E1287" s="73"/>
      <c r="F1287" s="9"/>
      <c r="H1287" s="9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4"/>
      <c r="U1287" s="10"/>
      <c r="V1287" s="10"/>
      <c r="W1287" s="10"/>
      <c r="X1287" s="7"/>
      <c r="Y1287" s="34"/>
      <c r="Z1287" s="7"/>
      <c r="AA1287" s="34"/>
      <c r="AB1287" s="7"/>
      <c r="AC1287" s="34"/>
      <c r="AD1287" s="10"/>
      <c r="AE1287"/>
      <c r="AF1287"/>
    </row>
    <row r="1288" spans="1:32" x14ac:dyDescent="0.25">
      <c r="A1288" s="16"/>
      <c r="C1288" s="70"/>
      <c r="D1288" s="70"/>
      <c r="E1288" s="73"/>
      <c r="F1288" s="9"/>
      <c r="H1288" s="9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4"/>
      <c r="U1288" s="10"/>
      <c r="V1288" s="10"/>
      <c r="W1288" s="10"/>
      <c r="X1288" s="7"/>
      <c r="Y1288" s="7"/>
      <c r="Z1288" s="7"/>
      <c r="AA1288" s="34"/>
      <c r="AB1288" s="7"/>
      <c r="AC1288" s="34"/>
      <c r="AD1288" s="10"/>
      <c r="AE1288"/>
      <c r="AF1288"/>
    </row>
    <row r="1289" spans="1:32" x14ac:dyDescent="0.25">
      <c r="A1289" s="16"/>
      <c r="C1289" s="70"/>
      <c r="D1289" s="70"/>
      <c r="E1289" s="73"/>
      <c r="F1289" s="9"/>
      <c r="H1289" s="9"/>
      <c r="I1289" s="10"/>
      <c r="J1289" s="10"/>
      <c r="K1289" s="7"/>
      <c r="L1289" s="10"/>
      <c r="M1289" s="10"/>
      <c r="N1289" s="10"/>
      <c r="O1289" s="10"/>
      <c r="P1289" s="10"/>
      <c r="Q1289" s="10"/>
      <c r="R1289" s="10"/>
      <c r="S1289" s="10"/>
      <c r="T1289" s="14"/>
      <c r="U1289" s="10"/>
      <c r="V1289" s="10"/>
      <c r="W1289" s="10"/>
      <c r="X1289" s="7"/>
      <c r="Y1289" s="7"/>
      <c r="Z1289" s="7"/>
      <c r="AA1289" s="34"/>
      <c r="AB1289" s="7"/>
      <c r="AC1289" s="34"/>
      <c r="AD1289" s="10"/>
      <c r="AE1289"/>
      <c r="AF1289"/>
    </row>
    <row r="1290" spans="1:32" x14ac:dyDescent="0.25">
      <c r="A1290" s="16"/>
      <c r="C1290" s="70"/>
      <c r="D1290" s="70"/>
      <c r="E1290" s="73"/>
      <c r="F1290" s="9"/>
      <c r="H1290" s="9"/>
      <c r="I1290" s="10"/>
      <c r="J1290" s="7"/>
      <c r="K1290" s="7"/>
      <c r="L1290" s="10"/>
      <c r="M1290" s="10"/>
      <c r="N1290" s="10"/>
      <c r="O1290" s="10"/>
      <c r="P1290" s="10"/>
      <c r="Q1290" s="10"/>
      <c r="R1290" s="10"/>
      <c r="S1290" s="10"/>
      <c r="T1290" s="14"/>
      <c r="U1290" s="10"/>
      <c r="V1290" s="10"/>
      <c r="W1290" s="10"/>
      <c r="X1290" s="7"/>
      <c r="Y1290" s="7"/>
      <c r="Z1290" s="7"/>
      <c r="AA1290" s="34"/>
      <c r="AB1290" s="7"/>
      <c r="AC1290" s="34"/>
      <c r="AD1290" s="10"/>
      <c r="AE1290"/>
      <c r="AF1290"/>
    </row>
    <row r="1291" spans="1:32" x14ac:dyDescent="0.25">
      <c r="A1291" s="16"/>
      <c r="C1291" s="70"/>
      <c r="D1291" s="70"/>
      <c r="E1291" s="73"/>
      <c r="F1291" s="9"/>
      <c r="H1291" s="9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4"/>
      <c r="U1291" s="10"/>
      <c r="V1291" s="10"/>
      <c r="W1291" s="10"/>
      <c r="X1291" s="7"/>
      <c r="Y1291" s="7"/>
      <c r="Z1291" s="7"/>
      <c r="AA1291" s="34"/>
      <c r="AB1291" s="7"/>
      <c r="AC1291" s="34"/>
      <c r="AD1291" s="10"/>
      <c r="AE1291"/>
      <c r="AF1291"/>
    </row>
    <row r="1292" spans="1:32" x14ac:dyDescent="0.25">
      <c r="A1292" s="16"/>
      <c r="C1292" s="70"/>
      <c r="D1292" s="70"/>
      <c r="E1292" s="73"/>
      <c r="F1292" s="9"/>
      <c r="H1292" s="9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4"/>
      <c r="U1292" s="10"/>
      <c r="V1292" s="10"/>
      <c r="W1292" s="10"/>
      <c r="X1292" s="7"/>
      <c r="Y1292" s="7"/>
      <c r="Z1292" s="7"/>
      <c r="AA1292" s="34"/>
      <c r="AB1292" s="7"/>
      <c r="AC1292" s="34"/>
      <c r="AD1292" s="10"/>
      <c r="AE1292"/>
      <c r="AF1292"/>
    </row>
    <row r="1293" spans="1:32" x14ac:dyDescent="0.25">
      <c r="A1293" s="16"/>
      <c r="C1293" s="70"/>
      <c r="D1293" s="70"/>
      <c r="E1293" s="73"/>
      <c r="F1293" s="9"/>
      <c r="H1293" s="9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4"/>
      <c r="U1293" s="10"/>
      <c r="V1293" s="10"/>
      <c r="W1293" s="10"/>
      <c r="X1293" s="7"/>
      <c r="Y1293" s="7"/>
      <c r="Z1293" s="7"/>
      <c r="AA1293" s="34"/>
      <c r="AB1293" s="7"/>
      <c r="AC1293" s="34"/>
      <c r="AD1293" s="10"/>
      <c r="AE1293"/>
      <c r="AF1293"/>
    </row>
    <row r="1294" spans="1:32" x14ac:dyDescent="0.25">
      <c r="A1294" s="16"/>
      <c r="C1294" s="70"/>
      <c r="D1294" s="70"/>
      <c r="E1294" s="73"/>
      <c r="F1294" s="45"/>
      <c r="H1294" s="9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4"/>
      <c r="U1294" s="10"/>
      <c r="V1294" s="10"/>
      <c r="W1294" s="10"/>
      <c r="X1294" s="7"/>
      <c r="Y1294" s="7"/>
      <c r="Z1294" s="7"/>
      <c r="AA1294" s="34"/>
      <c r="AB1294" s="7"/>
      <c r="AC1294" s="34"/>
      <c r="AD1294" s="10"/>
      <c r="AE1294"/>
      <c r="AF1294"/>
    </row>
    <row r="1295" spans="1:32" x14ac:dyDescent="0.25">
      <c r="A1295" s="16"/>
      <c r="C1295" s="70"/>
      <c r="D1295" s="70"/>
      <c r="E1295" s="73"/>
      <c r="F1295" s="9"/>
      <c r="H1295" s="9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4"/>
      <c r="U1295" s="10"/>
      <c r="V1295" s="10"/>
      <c r="W1295" s="10"/>
      <c r="X1295" s="7"/>
      <c r="Y1295" s="7"/>
      <c r="Z1295" s="34"/>
      <c r="AA1295" s="34"/>
      <c r="AB1295" s="7"/>
      <c r="AC1295" s="34"/>
      <c r="AD1295" s="10"/>
      <c r="AE1295"/>
      <c r="AF1295"/>
    </row>
    <row r="1296" spans="1:32" x14ac:dyDescent="0.25">
      <c r="A1296" s="16"/>
      <c r="C1296" s="70"/>
      <c r="D1296" s="70"/>
      <c r="E1296" s="73"/>
      <c r="F1296" s="9"/>
      <c r="H1296" s="9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4"/>
      <c r="U1296" s="10"/>
      <c r="V1296" s="10"/>
      <c r="W1296" s="10"/>
      <c r="X1296" s="7"/>
      <c r="Y1296" s="7"/>
      <c r="Z1296" s="7"/>
      <c r="AA1296" s="34"/>
      <c r="AB1296" s="7"/>
      <c r="AC1296" s="34"/>
      <c r="AD1296" s="10"/>
      <c r="AE1296"/>
      <c r="AF1296"/>
    </row>
    <row r="1297" spans="1:32" x14ac:dyDescent="0.25">
      <c r="A1297" s="16"/>
      <c r="C1297" s="70"/>
      <c r="D1297" s="70"/>
      <c r="E1297" s="73"/>
      <c r="F1297" s="9"/>
      <c r="H1297" s="9"/>
      <c r="I1297" s="10"/>
      <c r="J1297" s="7"/>
      <c r="K1297" s="7"/>
      <c r="L1297" s="10"/>
      <c r="M1297" s="10"/>
      <c r="N1297" s="10"/>
      <c r="O1297" s="10"/>
      <c r="P1297" s="10"/>
      <c r="Q1297" s="10"/>
      <c r="R1297" s="10"/>
      <c r="S1297" s="10"/>
      <c r="T1297" s="14"/>
      <c r="U1297" s="10"/>
      <c r="V1297" s="10"/>
      <c r="W1297" s="10"/>
      <c r="X1297" s="7"/>
      <c r="Y1297" s="7"/>
      <c r="Z1297" s="7"/>
      <c r="AA1297" s="34"/>
      <c r="AB1297" s="7"/>
      <c r="AC1297" s="34"/>
      <c r="AD1297" s="10"/>
      <c r="AE1297"/>
      <c r="AF1297"/>
    </row>
    <row r="1298" spans="1:32" x14ac:dyDescent="0.25">
      <c r="A1298" s="16"/>
      <c r="C1298" s="70"/>
      <c r="D1298" s="70"/>
      <c r="E1298" s="73"/>
      <c r="F1298" s="9"/>
      <c r="H1298" s="9"/>
      <c r="I1298" s="10"/>
      <c r="J1298" s="7"/>
      <c r="K1298" s="7"/>
      <c r="L1298" s="10"/>
      <c r="M1298" s="10"/>
      <c r="N1298" s="10"/>
      <c r="O1298" s="10"/>
      <c r="P1298" s="10"/>
      <c r="Q1298" s="10"/>
      <c r="R1298" s="10"/>
      <c r="S1298" s="10"/>
      <c r="T1298" s="14"/>
      <c r="U1298" s="10"/>
      <c r="V1298" s="10"/>
      <c r="W1298" s="10"/>
      <c r="X1298" s="7"/>
      <c r="Y1298" s="7"/>
      <c r="Z1298" s="7"/>
      <c r="AA1298" s="34"/>
      <c r="AB1298" s="7"/>
      <c r="AC1298" s="34"/>
      <c r="AD1298" s="10"/>
      <c r="AE1298"/>
      <c r="AF1298"/>
    </row>
    <row r="1299" spans="1:32" x14ac:dyDescent="0.25">
      <c r="A1299" s="16"/>
      <c r="C1299" s="70"/>
      <c r="D1299" s="70"/>
      <c r="E1299" s="73"/>
      <c r="F1299" s="9"/>
      <c r="H1299" s="9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4"/>
      <c r="U1299" s="10"/>
      <c r="V1299" s="10"/>
      <c r="W1299" s="10"/>
      <c r="X1299" s="7"/>
      <c r="Y1299" s="7"/>
      <c r="Z1299" s="7"/>
      <c r="AA1299" s="34"/>
      <c r="AB1299" s="7"/>
      <c r="AC1299" s="34"/>
      <c r="AD1299" s="10"/>
      <c r="AE1299"/>
      <c r="AF1299"/>
    </row>
    <row r="1300" spans="1:32" x14ac:dyDescent="0.25">
      <c r="A1300" s="16"/>
      <c r="C1300" s="70"/>
      <c r="D1300" s="70"/>
      <c r="E1300" s="73"/>
      <c r="F1300" s="9"/>
      <c r="H1300" s="9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4"/>
      <c r="U1300" s="10"/>
      <c r="V1300" s="10"/>
      <c r="W1300" s="10"/>
      <c r="X1300" s="7"/>
      <c r="Y1300" s="7"/>
      <c r="Z1300" s="7"/>
      <c r="AA1300" s="34"/>
      <c r="AB1300" s="7"/>
      <c r="AC1300" s="34"/>
      <c r="AD1300" s="10"/>
      <c r="AE1300"/>
      <c r="AF1300"/>
    </row>
    <row r="1301" spans="1:32" x14ac:dyDescent="0.25">
      <c r="A1301" s="16"/>
      <c r="C1301" s="70"/>
      <c r="D1301" s="70"/>
      <c r="E1301" s="73"/>
      <c r="F1301" s="9"/>
      <c r="H1301" s="9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4"/>
      <c r="U1301" s="10"/>
      <c r="V1301" s="10"/>
      <c r="W1301" s="10"/>
      <c r="X1301" s="7"/>
      <c r="Y1301" s="7"/>
      <c r="Z1301" s="7"/>
      <c r="AA1301" s="34"/>
      <c r="AB1301" s="7"/>
      <c r="AC1301" s="34"/>
      <c r="AD1301" s="10"/>
      <c r="AE1301"/>
      <c r="AF1301"/>
    </row>
    <row r="1302" spans="1:32" x14ac:dyDescent="0.25">
      <c r="A1302" s="16"/>
      <c r="C1302" s="70"/>
      <c r="D1302" s="70"/>
      <c r="E1302" s="73"/>
      <c r="F1302" s="9"/>
      <c r="H1302" s="9"/>
      <c r="I1302" s="10"/>
      <c r="J1302" s="10"/>
      <c r="K1302" s="7"/>
      <c r="L1302" s="10"/>
      <c r="M1302" s="10"/>
      <c r="N1302" s="10"/>
      <c r="O1302" s="10"/>
      <c r="P1302" s="10"/>
      <c r="Q1302" s="10"/>
      <c r="R1302" s="10"/>
      <c r="S1302" s="10"/>
      <c r="T1302" s="14"/>
      <c r="U1302" s="10"/>
      <c r="V1302" s="10"/>
      <c r="W1302" s="10"/>
      <c r="X1302" s="7"/>
      <c r="Y1302" s="7"/>
      <c r="Z1302" s="7"/>
      <c r="AA1302" s="34"/>
      <c r="AB1302" s="7"/>
      <c r="AC1302" s="34"/>
      <c r="AD1302" s="10"/>
      <c r="AE1302"/>
      <c r="AF1302"/>
    </row>
    <row r="1303" spans="1:32" x14ac:dyDescent="0.25">
      <c r="A1303" s="16"/>
      <c r="C1303" s="70"/>
      <c r="D1303" s="70"/>
      <c r="E1303" s="73"/>
      <c r="F1303" s="9"/>
      <c r="H1303" s="9"/>
      <c r="I1303" s="10"/>
      <c r="J1303" s="7"/>
      <c r="K1303" s="7"/>
      <c r="L1303" s="10"/>
      <c r="M1303" s="10"/>
      <c r="N1303" s="10"/>
      <c r="O1303" s="10"/>
      <c r="P1303" s="10"/>
      <c r="Q1303" s="10"/>
      <c r="R1303" s="10"/>
      <c r="S1303" s="10"/>
      <c r="T1303" s="14"/>
      <c r="U1303" s="10"/>
      <c r="V1303" s="10"/>
      <c r="W1303" s="10"/>
      <c r="X1303" s="7"/>
      <c r="Y1303" s="7"/>
      <c r="Z1303" s="7"/>
      <c r="AA1303" s="34"/>
      <c r="AB1303" s="7"/>
      <c r="AC1303" s="34"/>
      <c r="AD1303" s="10"/>
      <c r="AE1303"/>
      <c r="AF1303"/>
    </row>
    <row r="1304" spans="1:32" x14ac:dyDescent="0.25">
      <c r="A1304" s="16"/>
      <c r="C1304" s="70"/>
      <c r="D1304" s="70"/>
      <c r="E1304" s="73"/>
      <c r="F1304" s="9"/>
      <c r="H1304" s="9"/>
      <c r="I1304" s="10"/>
      <c r="J1304" s="7"/>
      <c r="K1304" s="7"/>
      <c r="L1304" s="10"/>
      <c r="M1304" s="10"/>
      <c r="N1304" s="10"/>
      <c r="O1304" s="10"/>
      <c r="P1304" s="10"/>
      <c r="Q1304" s="10"/>
      <c r="R1304" s="10"/>
      <c r="S1304" s="10"/>
      <c r="T1304" s="14"/>
      <c r="U1304" s="10"/>
      <c r="V1304" s="10"/>
      <c r="W1304" s="10"/>
      <c r="X1304" s="7"/>
      <c r="Y1304" s="7"/>
      <c r="Z1304" s="7"/>
      <c r="AA1304" s="34"/>
      <c r="AB1304" s="7"/>
      <c r="AC1304" s="34"/>
      <c r="AD1304" s="10"/>
      <c r="AE1304"/>
      <c r="AF1304"/>
    </row>
    <row r="1305" spans="1:32" x14ac:dyDescent="0.25">
      <c r="A1305" s="16"/>
      <c r="C1305" s="70"/>
      <c r="D1305" s="70"/>
      <c r="E1305" s="73"/>
      <c r="F1305" s="9"/>
      <c r="H1305" s="9"/>
      <c r="I1305" s="10"/>
      <c r="J1305" s="10"/>
      <c r="K1305" s="7"/>
      <c r="L1305" s="10"/>
      <c r="M1305" s="10"/>
      <c r="N1305" s="10"/>
      <c r="O1305" s="10"/>
      <c r="P1305" s="10"/>
      <c r="Q1305" s="10"/>
      <c r="R1305" s="10"/>
      <c r="S1305" s="10"/>
      <c r="T1305" s="14"/>
      <c r="U1305" s="10"/>
      <c r="V1305" s="10"/>
      <c r="W1305" s="10"/>
      <c r="X1305" s="7"/>
      <c r="Y1305" s="7"/>
      <c r="Z1305" s="7"/>
      <c r="AA1305" s="34"/>
      <c r="AB1305" s="7"/>
      <c r="AC1305" s="34"/>
      <c r="AD1305" s="10"/>
      <c r="AE1305"/>
      <c r="AF1305"/>
    </row>
    <row r="1306" spans="1:32" x14ac:dyDescent="0.25">
      <c r="A1306" s="16"/>
      <c r="C1306" s="70"/>
      <c r="D1306" s="70"/>
      <c r="E1306" s="73"/>
      <c r="F1306" s="9"/>
      <c r="H1306" s="9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4"/>
      <c r="U1306" s="10"/>
      <c r="V1306" s="10"/>
      <c r="W1306" s="10"/>
      <c r="X1306" s="7"/>
      <c r="Y1306" s="7"/>
      <c r="Z1306" s="7"/>
      <c r="AA1306" s="34"/>
      <c r="AB1306" s="7"/>
      <c r="AC1306" s="34"/>
      <c r="AD1306" s="10"/>
      <c r="AE1306"/>
      <c r="AF1306"/>
    </row>
    <row r="1307" spans="1:32" x14ac:dyDescent="0.25">
      <c r="A1307" s="16"/>
      <c r="C1307" s="70"/>
      <c r="D1307" s="70"/>
      <c r="E1307" s="73"/>
      <c r="F1307" s="9"/>
      <c r="H1307" s="9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4"/>
      <c r="U1307" s="10"/>
      <c r="V1307" s="10"/>
      <c r="W1307" s="10"/>
      <c r="X1307" s="7"/>
      <c r="Y1307" s="7"/>
      <c r="Z1307" s="7"/>
      <c r="AA1307" s="34"/>
      <c r="AB1307" s="7"/>
      <c r="AC1307" s="34"/>
      <c r="AD1307" s="10"/>
      <c r="AE1307"/>
      <c r="AF1307"/>
    </row>
    <row r="1308" spans="1:32" x14ac:dyDescent="0.25">
      <c r="A1308" s="16"/>
      <c r="C1308" s="70"/>
      <c r="D1308" s="70"/>
      <c r="E1308" s="73"/>
      <c r="F1308" s="9"/>
      <c r="H1308" s="9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4"/>
      <c r="U1308" s="10"/>
      <c r="V1308" s="10"/>
      <c r="W1308" s="10"/>
      <c r="X1308" s="7"/>
      <c r="Y1308" s="7"/>
      <c r="Z1308" s="7"/>
      <c r="AA1308" s="34"/>
      <c r="AB1308" s="7"/>
      <c r="AC1308" s="34"/>
      <c r="AD1308" s="10"/>
      <c r="AE1308"/>
      <c r="AF1308"/>
    </row>
    <row r="1309" spans="1:32" x14ac:dyDescent="0.25">
      <c r="A1309" s="16"/>
      <c r="C1309" s="70"/>
      <c r="D1309" s="70"/>
      <c r="E1309" s="73"/>
      <c r="F1309" s="9"/>
      <c r="H1309" s="9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4"/>
      <c r="U1309" s="10"/>
      <c r="V1309" s="10"/>
      <c r="W1309" s="10"/>
      <c r="X1309" s="7"/>
      <c r="Y1309" s="7"/>
      <c r="Z1309" s="7"/>
      <c r="AA1309" s="34"/>
      <c r="AB1309" s="7"/>
      <c r="AC1309" s="34"/>
      <c r="AD1309" s="10"/>
      <c r="AE1309"/>
      <c r="AF1309"/>
    </row>
    <row r="1310" spans="1:32" x14ac:dyDescent="0.25">
      <c r="A1310" s="16"/>
      <c r="C1310" s="70"/>
      <c r="D1310" s="70"/>
      <c r="E1310" s="73"/>
      <c r="F1310" s="9"/>
      <c r="H1310" s="9"/>
      <c r="I1310" s="14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4"/>
      <c r="U1310" s="10"/>
      <c r="V1310" s="10"/>
      <c r="W1310" s="10"/>
      <c r="X1310" s="7"/>
      <c r="Y1310" s="7"/>
      <c r="Z1310" s="7"/>
      <c r="AA1310" s="34"/>
      <c r="AB1310" s="7"/>
      <c r="AC1310" s="34"/>
      <c r="AD1310" s="10"/>
      <c r="AE1310"/>
      <c r="AF1310"/>
    </row>
    <row r="1311" spans="1:32" x14ac:dyDescent="0.25">
      <c r="A1311" s="16"/>
      <c r="C1311" s="70"/>
      <c r="D1311" s="70"/>
      <c r="E1311" s="73"/>
      <c r="F1311" s="9"/>
      <c r="H1311" s="9"/>
      <c r="I1311" s="14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4"/>
      <c r="U1311" s="10"/>
      <c r="V1311" s="10"/>
      <c r="W1311" s="10"/>
      <c r="X1311" s="7"/>
      <c r="Y1311" s="7"/>
      <c r="Z1311" s="7"/>
      <c r="AA1311" s="34"/>
      <c r="AB1311" s="7"/>
      <c r="AC1311" s="34"/>
      <c r="AD1311" s="10"/>
      <c r="AE1311"/>
      <c r="AF1311"/>
    </row>
    <row r="1312" spans="1:32" ht="15.75" thickBot="1" x14ac:dyDescent="0.3">
      <c r="A1312" s="16"/>
      <c r="C1312" s="70"/>
      <c r="D1312" s="70"/>
      <c r="E1312" s="73"/>
      <c r="F1312" s="9"/>
      <c r="H1312" s="9"/>
      <c r="I1312" s="14"/>
      <c r="J1312" s="10"/>
      <c r="K1312" s="7"/>
      <c r="L1312" s="10"/>
      <c r="M1312" s="10"/>
      <c r="N1312" s="10"/>
      <c r="O1312" s="10"/>
      <c r="P1312" s="10"/>
      <c r="Q1312" s="10"/>
      <c r="R1312" s="10"/>
      <c r="S1312" s="10"/>
      <c r="T1312" s="14"/>
      <c r="U1312" s="10"/>
      <c r="V1312" s="10"/>
      <c r="W1312" s="10"/>
      <c r="X1312" s="7"/>
      <c r="Y1312" s="7"/>
      <c r="Z1312" s="7"/>
      <c r="AA1312" s="34"/>
      <c r="AB1312" s="7"/>
      <c r="AC1312" s="34"/>
      <c r="AD1312" s="10"/>
      <c r="AE1312"/>
      <c r="AF1312"/>
    </row>
    <row r="1313" spans="1:32" ht="19.5" thickBot="1" x14ac:dyDescent="0.35">
      <c r="A1313" s="6" t="s">
        <v>8</v>
      </c>
      <c r="B1313" s="67"/>
      <c r="C1313" s="75"/>
      <c r="D1313" s="75"/>
      <c r="E1313" s="81"/>
      <c r="F1313" s="29"/>
      <c r="G1313" s="29"/>
      <c r="H1313" s="29"/>
      <c r="I1313" s="37" t="e">
        <f>SUM(#REF!)</f>
        <v>#REF!</v>
      </c>
      <c r="J1313" s="38" t="e">
        <f>SUM(#REF!)</f>
        <v>#REF!</v>
      </c>
      <c r="K1313" s="38" t="e">
        <f>SUM(#REF!)</f>
        <v>#REF!</v>
      </c>
      <c r="L1313" s="38" t="e">
        <f>SUM(#REF!)</f>
        <v>#REF!</v>
      </c>
      <c r="M1313" s="38" t="e">
        <f>SUM(#REF!)</f>
        <v>#REF!</v>
      </c>
      <c r="N1313" s="38" t="e">
        <f>SUM(#REF!)</f>
        <v>#REF!</v>
      </c>
      <c r="O1313" s="38" t="e">
        <f>SUM(#REF!)</f>
        <v>#REF!</v>
      </c>
      <c r="P1313" s="38" t="e">
        <f>SUM(#REF!)</f>
        <v>#REF!</v>
      </c>
      <c r="Q1313" s="38" t="e">
        <f>SUM(#REF!)</f>
        <v>#REF!</v>
      </c>
      <c r="R1313" s="38" t="e">
        <f>SUM(#REF!)</f>
        <v>#REF!</v>
      </c>
      <c r="S1313" s="38" t="e">
        <f>SUM(#REF!)</f>
        <v>#REF!</v>
      </c>
      <c r="T1313" s="37" t="e">
        <f>SUM(#REF!)</f>
        <v>#REF!</v>
      </c>
      <c r="U1313" s="38"/>
      <c r="V1313" s="38"/>
      <c r="W1313" s="10" t="e">
        <f>SUM(T1313:V1313)-SUM(I1313:S1313)</f>
        <v>#REF!</v>
      </c>
      <c r="X1313" s="7"/>
      <c r="Y1313" s="7"/>
      <c r="Z1313" s="7"/>
      <c r="AA1313" s="17"/>
      <c r="AB1313" s="7"/>
      <c r="AC1313" s="17"/>
      <c r="AE1313"/>
      <c r="AF1313"/>
    </row>
    <row r="1314" spans="1:32" ht="15.75" thickTop="1" x14ac:dyDescent="0.25">
      <c r="C1314" s="70"/>
      <c r="D1314" s="70"/>
      <c r="E1314" s="73"/>
      <c r="F1314" s="9"/>
      <c r="H1314" s="9"/>
      <c r="I1314" s="14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4"/>
      <c r="U1314" s="10"/>
      <c r="V1314" s="10"/>
      <c r="W1314" s="10"/>
      <c r="X1314" s="7"/>
      <c r="Y1314" s="7"/>
      <c r="Z1314" s="7"/>
      <c r="AA1314" s="17"/>
      <c r="AB1314" s="7"/>
      <c r="AC1314" s="17"/>
      <c r="AE1314"/>
      <c r="AF1314"/>
    </row>
    <row r="1315" spans="1:32" x14ac:dyDescent="0.25">
      <c r="C1315" s="70"/>
      <c r="D1315" s="70"/>
      <c r="E1315" s="73"/>
      <c r="F1315" s="9"/>
      <c r="H1315" s="9"/>
      <c r="I1315" s="14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4"/>
      <c r="U1315" s="10"/>
      <c r="V1315" s="10"/>
      <c r="W1315" s="10"/>
      <c r="X1315" s="7"/>
      <c r="Y1315" s="7"/>
      <c r="Z1315" s="7"/>
      <c r="AA1315" s="17"/>
      <c r="AB1315" s="7"/>
      <c r="AC1315" s="17"/>
      <c r="AE1315"/>
      <c r="AF1315"/>
    </row>
  </sheetData>
  <mergeCells count="3">
    <mergeCell ref="A7:K7"/>
    <mergeCell ref="L7:AA7"/>
    <mergeCell ref="AB7:AC7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7C2C-EC06-4ECA-B2C9-5A837125CC7A}">
  <dimension ref="A1:AF1329"/>
  <sheetViews>
    <sheetView zoomScaleNormal="100" workbookViewId="0">
      <pane xSplit="11" ySplit="8" topLeftCell="L240" activePane="bottomRight" state="frozen"/>
      <selection pane="topRight" activeCell="L1" sqref="L1"/>
      <selection pane="bottomLeft" activeCell="A9" sqref="A9"/>
      <selection pane="bottomRight" activeCell="I245" sqref="I245"/>
    </sheetView>
  </sheetViews>
  <sheetFormatPr defaultRowHeight="15" x14ac:dyDescent="0.25"/>
  <cols>
    <col min="1" max="1" width="9.42578125" customWidth="1"/>
    <col min="2" max="2" width="10.85546875" style="9" customWidth="1"/>
    <col min="3" max="3" width="8.42578125" style="69" bestFit="1" customWidth="1"/>
    <col min="4" max="4" width="6.28515625" style="69" customWidth="1"/>
    <col min="5" max="5" width="7.5703125" style="76" bestFit="1" customWidth="1"/>
    <col min="6" max="6" width="24.140625" style="1" bestFit="1" customWidth="1"/>
    <col min="7" max="7" width="12.85546875" style="9" bestFit="1" customWidth="1"/>
    <col min="8" max="8" width="7.85546875" style="1" customWidth="1"/>
    <col min="9" max="9" width="47" style="5" bestFit="1" customWidth="1"/>
    <col min="10" max="10" width="14.28515625" style="2" customWidth="1"/>
    <col min="11" max="11" width="16.7109375" style="2" customWidth="1"/>
    <col min="12" max="12" width="19.5703125" style="2" customWidth="1"/>
    <col min="13" max="13" width="20.5703125" style="2" customWidth="1"/>
    <col min="14" max="14" width="16.42578125" style="2" customWidth="1"/>
    <col min="15" max="15" width="11.5703125" style="2" customWidth="1"/>
    <col min="16" max="16" width="20.140625" style="2" customWidth="1"/>
    <col min="17" max="17" width="18.140625" style="2" customWidth="1"/>
    <col min="18" max="18" width="15" style="2" customWidth="1"/>
    <col min="19" max="19" width="18" style="2" customWidth="1"/>
    <col min="20" max="20" width="18.28515625" style="5" customWidth="1"/>
    <col min="21" max="22" width="12" style="2" customWidth="1"/>
    <col min="23" max="23" width="15.28515625" style="2" customWidth="1"/>
    <col min="24" max="24" width="11.42578125" bestFit="1" customWidth="1"/>
    <col min="25" max="25" width="10.42578125" bestFit="1" customWidth="1"/>
    <col min="26" max="26" width="13" customWidth="1"/>
    <col min="27" max="27" width="15.28515625" style="30" customWidth="1"/>
    <col min="28" max="28" width="3.7109375" customWidth="1"/>
    <col min="29" max="29" width="13" style="30" customWidth="1"/>
    <col min="30" max="30" width="12.5703125" style="7" customWidth="1"/>
    <col min="31" max="31" width="20.140625" style="7" bestFit="1" customWidth="1"/>
    <col min="32" max="32" width="10.42578125" style="17" bestFit="1" customWidth="1"/>
  </cols>
  <sheetData>
    <row r="1" spans="1:32" ht="26.25" x14ac:dyDescent="0.4">
      <c r="A1" s="3" t="s">
        <v>57</v>
      </c>
      <c r="I1"/>
      <c r="J1"/>
      <c r="K1"/>
      <c r="T1" s="2"/>
      <c r="X1" s="2"/>
      <c r="Y1" s="2"/>
      <c r="Z1" s="2"/>
      <c r="AB1" s="2"/>
      <c r="AD1" s="10"/>
    </row>
    <row r="2" spans="1:32" x14ac:dyDescent="0.25">
      <c r="A2" t="s">
        <v>9</v>
      </c>
      <c r="I2"/>
      <c r="J2"/>
      <c r="K2"/>
      <c r="T2" s="2"/>
      <c r="X2" s="2"/>
      <c r="Y2" s="2"/>
      <c r="Z2" s="2"/>
      <c r="AB2" s="2"/>
      <c r="AD2" s="10"/>
    </row>
    <row r="3" spans="1:32" x14ac:dyDescent="0.25">
      <c r="A3" s="4" t="s">
        <v>3442</v>
      </c>
      <c r="I3"/>
      <c r="J3"/>
      <c r="K3"/>
      <c r="T3" s="2"/>
      <c r="X3" s="2"/>
      <c r="Y3" s="2"/>
      <c r="Z3" s="2"/>
      <c r="AB3" s="2"/>
      <c r="AD3" s="10"/>
    </row>
    <row r="4" spans="1:32" x14ac:dyDescent="0.25">
      <c r="I4"/>
      <c r="J4"/>
      <c r="K4"/>
      <c r="T4" s="2"/>
      <c r="X4" s="2"/>
      <c r="Y4" s="2"/>
      <c r="Z4" s="2"/>
      <c r="AB4" s="2"/>
      <c r="AD4" s="10"/>
    </row>
    <row r="5" spans="1:32" x14ac:dyDescent="0.25">
      <c r="A5" s="7"/>
      <c r="C5" s="70"/>
      <c r="D5" s="70"/>
      <c r="E5" s="73"/>
      <c r="F5" s="9"/>
      <c r="H5" s="9"/>
      <c r="I5" s="7"/>
      <c r="J5" s="7"/>
      <c r="K5" s="7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7"/>
      <c r="AB5" s="10"/>
      <c r="AC5" s="17"/>
      <c r="AD5" s="10"/>
    </row>
    <row r="6" spans="1:32" ht="15.75" thickBot="1" x14ac:dyDescent="0.3">
      <c r="A6" s="7"/>
      <c r="C6" s="70"/>
      <c r="D6" s="70"/>
      <c r="E6" s="73"/>
      <c r="F6" s="9"/>
      <c r="H6" s="9"/>
      <c r="I6" s="7"/>
      <c r="J6" s="7"/>
      <c r="K6" s="7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7"/>
      <c r="AB6" s="10"/>
      <c r="AC6" s="17"/>
      <c r="AD6" s="10"/>
    </row>
    <row r="7" spans="1:32" ht="15.75" thickBot="1" x14ac:dyDescent="0.3">
      <c r="A7" s="180" t="s">
        <v>11</v>
      </c>
      <c r="B7" s="181"/>
      <c r="C7" s="181"/>
      <c r="D7" s="181"/>
      <c r="E7" s="181"/>
      <c r="F7" s="181"/>
      <c r="G7" s="181"/>
      <c r="H7" s="181"/>
      <c r="I7" s="181"/>
      <c r="J7" s="181"/>
      <c r="K7" s="182"/>
      <c r="L7" s="183" t="s">
        <v>7</v>
      </c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5"/>
      <c r="AC7" s="186"/>
      <c r="AD7" s="10"/>
    </row>
    <row r="8" spans="1:32" ht="36" x14ac:dyDescent="0.25">
      <c r="A8" s="8" t="s">
        <v>10</v>
      </c>
      <c r="B8" s="8" t="s">
        <v>5</v>
      </c>
      <c r="C8" s="71" t="s">
        <v>6</v>
      </c>
      <c r="D8" s="71" t="s">
        <v>15</v>
      </c>
      <c r="E8" s="71" t="s">
        <v>2</v>
      </c>
      <c r="F8" s="8" t="s">
        <v>14</v>
      </c>
      <c r="G8" s="8" t="s">
        <v>27</v>
      </c>
      <c r="H8" s="8" t="s">
        <v>28</v>
      </c>
      <c r="I8" s="8" t="s">
        <v>0</v>
      </c>
      <c r="J8" s="8" t="s">
        <v>12</v>
      </c>
      <c r="K8" s="15" t="s">
        <v>1</v>
      </c>
      <c r="L8" s="11" t="s">
        <v>3</v>
      </c>
      <c r="M8" s="11" t="s">
        <v>16</v>
      </c>
      <c r="N8" s="11" t="s">
        <v>21</v>
      </c>
      <c r="O8" s="11" t="s">
        <v>17</v>
      </c>
      <c r="P8" s="11" t="s">
        <v>42</v>
      </c>
      <c r="Q8" s="11" t="s">
        <v>23</v>
      </c>
      <c r="R8" s="11" t="s">
        <v>18</v>
      </c>
      <c r="S8" s="11" t="s">
        <v>209</v>
      </c>
      <c r="T8" s="11" t="s">
        <v>19</v>
      </c>
      <c r="U8" s="11" t="s">
        <v>20</v>
      </c>
      <c r="V8" s="11" t="s">
        <v>81</v>
      </c>
      <c r="W8" s="11" t="s">
        <v>22</v>
      </c>
      <c r="X8" s="11" t="s">
        <v>24</v>
      </c>
      <c r="Y8" s="11" t="s">
        <v>25</v>
      </c>
      <c r="Z8" s="11" t="s">
        <v>41</v>
      </c>
      <c r="AA8" s="36" t="s">
        <v>26</v>
      </c>
      <c r="AB8" s="12"/>
      <c r="AC8" s="31" t="s">
        <v>4</v>
      </c>
      <c r="AD8" s="13" t="s">
        <v>13</v>
      </c>
      <c r="AE8" s="13" t="s">
        <v>134</v>
      </c>
      <c r="AF8" s="94" t="s">
        <v>1096</v>
      </c>
    </row>
    <row r="9" spans="1:32" x14ac:dyDescent="0.25">
      <c r="A9" s="18"/>
      <c r="B9" s="19"/>
      <c r="C9" s="72"/>
      <c r="D9" s="72"/>
      <c r="E9" s="77"/>
      <c r="F9" s="19"/>
      <c r="G9" s="19"/>
      <c r="H9" s="19"/>
      <c r="I9" s="20"/>
      <c r="J9" s="20"/>
      <c r="K9" s="2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32"/>
      <c r="AB9" s="22"/>
      <c r="AC9" s="32"/>
      <c r="AD9" s="22"/>
    </row>
    <row r="10" spans="1:32" x14ac:dyDescent="0.25">
      <c r="A10" s="25">
        <v>45292</v>
      </c>
      <c r="B10" s="19"/>
      <c r="C10" s="72"/>
      <c r="D10" s="72"/>
      <c r="E10" s="77"/>
      <c r="F10" s="19"/>
      <c r="G10" s="19"/>
      <c r="H10" s="19"/>
      <c r="I10" s="20"/>
      <c r="J10" s="20"/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32"/>
      <c r="AB10" s="22"/>
      <c r="AC10" s="32"/>
      <c r="AD10" s="22"/>
    </row>
    <row r="11" spans="1:32" x14ac:dyDescent="0.25">
      <c r="A11" s="7"/>
      <c r="C11" s="70"/>
      <c r="D11" s="70"/>
      <c r="E11" s="73"/>
      <c r="F11" s="9"/>
      <c r="H11" s="9"/>
      <c r="I11" s="7" t="s">
        <v>3443</v>
      </c>
      <c r="J11" s="51" t="s">
        <v>132</v>
      </c>
      <c r="K11" s="26"/>
      <c r="L11" s="10"/>
      <c r="M11" s="10"/>
      <c r="N11" s="10"/>
      <c r="O11" s="10"/>
      <c r="P11" s="10"/>
      <c r="Q11" s="10">
        <v>84790.67</v>
      </c>
      <c r="R11" s="10"/>
      <c r="S11" s="10"/>
      <c r="T11" s="10"/>
      <c r="U11" s="10"/>
      <c r="V11" s="10"/>
      <c r="W11" s="10"/>
      <c r="X11" s="10"/>
      <c r="Y11" s="10"/>
      <c r="Z11" s="10"/>
      <c r="AA11" s="33"/>
      <c r="AB11" s="10"/>
      <c r="AC11" s="33">
        <v>84790.67</v>
      </c>
      <c r="AD11" s="10">
        <f t="shared" ref="AD11:AD59" si="0">SUM(AB11:AC11)-SUM(L11:AA11)</f>
        <v>0</v>
      </c>
      <c r="AE11" s="82" t="s">
        <v>133</v>
      </c>
    </row>
    <row r="12" spans="1:32" x14ac:dyDescent="0.25">
      <c r="A12" s="7" t="s">
        <v>3444</v>
      </c>
      <c r="B12" s="9">
        <v>4134557</v>
      </c>
      <c r="C12" s="70">
        <v>45294</v>
      </c>
      <c r="D12" s="70">
        <v>45294</v>
      </c>
      <c r="E12" s="73"/>
      <c r="F12" s="9"/>
      <c r="H12" s="9" t="s">
        <v>3497</v>
      </c>
      <c r="I12" s="7" t="s">
        <v>1174</v>
      </c>
      <c r="J12" s="51" t="s">
        <v>65</v>
      </c>
      <c r="K12" s="7"/>
      <c r="L12" s="10"/>
      <c r="M12" s="10"/>
      <c r="N12" s="10"/>
      <c r="O12" s="10"/>
      <c r="P12" s="10"/>
      <c r="Q12" s="10"/>
      <c r="R12" s="10"/>
      <c r="S12" s="10"/>
      <c r="T12" s="10">
        <v>7616</v>
      </c>
      <c r="U12" s="10"/>
      <c r="V12" s="10"/>
      <c r="W12" s="10"/>
      <c r="X12" s="10"/>
      <c r="Y12" s="10"/>
      <c r="Z12" s="10"/>
      <c r="AA12" s="33"/>
      <c r="AB12" s="10"/>
      <c r="AC12" s="33">
        <v>7616</v>
      </c>
      <c r="AD12" s="10">
        <f t="shared" si="0"/>
        <v>0</v>
      </c>
      <c r="AE12" s="82"/>
    </row>
    <row r="13" spans="1:32" x14ac:dyDescent="0.25">
      <c r="A13" s="7" t="s">
        <v>3445</v>
      </c>
      <c r="B13" s="9">
        <v>4134558</v>
      </c>
      <c r="C13" s="70">
        <v>45326</v>
      </c>
      <c r="D13" s="70">
        <v>45294</v>
      </c>
      <c r="E13" s="73">
        <v>45302</v>
      </c>
      <c r="F13" s="9" t="s">
        <v>3505</v>
      </c>
      <c r="G13" s="9" t="s">
        <v>2448</v>
      </c>
      <c r="H13" s="9"/>
      <c r="I13" s="7" t="s">
        <v>1131</v>
      </c>
      <c r="J13" s="51" t="s">
        <v>1226</v>
      </c>
      <c r="K13" s="7" t="s">
        <v>2924</v>
      </c>
      <c r="L13" s="10">
        <v>8035.71</v>
      </c>
      <c r="M13" s="10">
        <v>66964.289999999994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33"/>
      <c r="AB13" s="10"/>
      <c r="AC13" s="33">
        <v>75000</v>
      </c>
      <c r="AD13" s="10">
        <f t="shared" si="0"/>
        <v>0</v>
      </c>
      <c r="AE13" s="82"/>
      <c r="AF13" s="17">
        <v>669.64</v>
      </c>
    </row>
    <row r="14" spans="1:32" x14ac:dyDescent="0.25">
      <c r="A14" s="7" t="s">
        <v>3446</v>
      </c>
      <c r="B14" s="9">
        <v>4134559</v>
      </c>
      <c r="C14" s="70">
        <v>45320</v>
      </c>
      <c r="D14" s="70">
        <v>45294</v>
      </c>
      <c r="E14" s="79" t="s">
        <v>48</v>
      </c>
      <c r="F14" s="45" t="s">
        <v>48</v>
      </c>
      <c r="G14" s="9" t="s">
        <v>2484</v>
      </c>
      <c r="H14" s="9"/>
      <c r="I14" s="7" t="s">
        <v>3493</v>
      </c>
      <c r="J14" s="51" t="s">
        <v>83</v>
      </c>
      <c r="K14" s="7" t="s">
        <v>1336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33"/>
      <c r="AB14" s="10"/>
      <c r="AC14" s="33"/>
      <c r="AD14" s="10">
        <f t="shared" si="0"/>
        <v>0</v>
      </c>
      <c r="AE14" s="82"/>
      <c r="AF14" s="17">
        <v>781.25</v>
      </c>
    </row>
    <row r="15" spans="1:32" x14ac:dyDescent="0.25">
      <c r="A15" s="7" t="s">
        <v>3447</v>
      </c>
      <c r="B15" s="9">
        <v>4134560</v>
      </c>
      <c r="C15" s="70">
        <v>45326</v>
      </c>
      <c r="D15" s="70">
        <v>45294</v>
      </c>
      <c r="E15" s="73">
        <v>45302</v>
      </c>
      <c r="F15" s="9" t="s">
        <v>3694</v>
      </c>
      <c r="G15" s="9" t="s">
        <v>2403</v>
      </c>
      <c r="H15" s="9"/>
      <c r="I15" s="7" t="s">
        <v>1131</v>
      </c>
      <c r="J15" s="51" t="s">
        <v>1226</v>
      </c>
      <c r="K15" s="7" t="s">
        <v>2924</v>
      </c>
      <c r="L15" s="10">
        <v>8035.71</v>
      </c>
      <c r="M15" s="10">
        <v>66964.289999999994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33"/>
      <c r="AB15" s="10"/>
      <c r="AC15" s="33">
        <v>75000</v>
      </c>
      <c r="AD15" s="10">
        <f t="shared" si="0"/>
        <v>0</v>
      </c>
      <c r="AE15" s="82"/>
      <c r="AF15" s="17">
        <v>669.64</v>
      </c>
    </row>
    <row r="16" spans="1:32" x14ac:dyDescent="0.25">
      <c r="A16" s="7" t="s">
        <v>3448</v>
      </c>
      <c r="B16" s="9">
        <v>4134562</v>
      </c>
      <c r="C16" s="70">
        <v>45299</v>
      </c>
      <c r="D16" s="70">
        <v>45299</v>
      </c>
      <c r="E16" s="73"/>
      <c r="F16" s="9"/>
      <c r="H16" s="9" t="s">
        <v>3498</v>
      </c>
      <c r="I16" s="7" t="s">
        <v>1174</v>
      </c>
      <c r="J16" s="51" t="s">
        <v>65</v>
      </c>
      <c r="K16" s="7"/>
      <c r="L16" s="10"/>
      <c r="M16" s="10"/>
      <c r="N16" s="10"/>
      <c r="O16" s="10"/>
      <c r="P16" s="10"/>
      <c r="Q16" s="10"/>
      <c r="R16" s="10"/>
      <c r="S16" s="10"/>
      <c r="T16" s="10">
        <v>20213.38</v>
      </c>
      <c r="U16" s="10"/>
      <c r="V16" s="10"/>
      <c r="W16" s="10"/>
      <c r="X16" s="10"/>
      <c r="Y16" s="10"/>
      <c r="Z16" s="10"/>
      <c r="AA16" s="33"/>
      <c r="AB16" s="10"/>
      <c r="AC16" s="33">
        <v>20213.38</v>
      </c>
      <c r="AD16" s="10">
        <f t="shared" si="0"/>
        <v>0</v>
      </c>
      <c r="AE16" s="82"/>
    </row>
    <row r="17" spans="1:32" x14ac:dyDescent="0.25">
      <c r="A17" s="7" t="s">
        <v>3449</v>
      </c>
      <c r="B17" s="9">
        <v>4134563</v>
      </c>
      <c r="C17" s="70">
        <v>45299</v>
      </c>
      <c r="D17" s="70">
        <v>45299</v>
      </c>
      <c r="E17" s="73"/>
      <c r="F17" s="9"/>
      <c r="H17" s="9"/>
      <c r="I17" s="7" t="s">
        <v>3499</v>
      </c>
      <c r="J17" s="51" t="s">
        <v>33</v>
      </c>
      <c r="K17" s="7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33">
        <v>10000</v>
      </c>
      <c r="AB17" s="10"/>
      <c r="AC17" s="33">
        <v>10000</v>
      </c>
      <c r="AD17" s="10">
        <f t="shared" si="0"/>
        <v>0</v>
      </c>
      <c r="AE17" s="82"/>
    </row>
    <row r="18" spans="1:32" x14ac:dyDescent="0.25">
      <c r="A18" s="7" t="s">
        <v>3450</v>
      </c>
      <c r="B18" s="9">
        <v>4134564</v>
      </c>
      <c r="C18" s="70">
        <v>45299</v>
      </c>
      <c r="D18" s="70">
        <v>45299</v>
      </c>
      <c r="E18" s="73"/>
      <c r="F18" s="9"/>
      <c r="H18" s="9"/>
      <c r="I18" s="7" t="s">
        <v>3500</v>
      </c>
      <c r="J18" s="51" t="s">
        <v>126</v>
      </c>
      <c r="K18" s="7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33">
        <v>13250</v>
      </c>
      <c r="AB18" s="10"/>
      <c r="AC18" s="33">
        <v>13250</v>
      </c>
      <c r="AD18" s="10">
        <f t="shared" si="0"/>
        <v>0</v>
      </c>
      <c r="AE18" s="82"/>
    </row>
    <row r="19" spans="1:32" x14ac:dyDescent="0.25">
      <c r="A19" s="7" t="s">
        <v>3451</v>
      </c>
      <c r="B19" s="9" t="s">
        <v>3501</v>
      </c>
      <c r="C19" s="70">
        <v>45299</v>
      </c>
      <c r="D19" s="70">
        <v>45299</v>
      </c>
      <c r="E19" s="73"/>
      <c r="F19" s="9"/>
      <c r="H19" s="9"/>
      <c r="I19" s="7" t="s">
        <v>55</v>
      </c>
      <c r="J19" s="51" t="s">
        <v>54</v>
      </c>
      <c r="K19" s="7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>
        <v>250000</v>
      </c>
      <c r="AA19" s="33"/>
      <c r="AB19" s="10"/>
      <c r="AC19" s="33">
        <v>250000</v>
      </c>
      <c r="AD19" s="10">
        <f t="shared" si="0"/>
        <v>0</v>
      </c>
      <c r="AE19" s="82"/>
    </row>
    <row r="20" spans="1:32" x14ac:dyDescent="0.25">
      <c r="A20" s="7" t="s">
        <v>3452</v>
      </c>
      <c r="B20" s="9">
        <v>4134565</v>
      </c>
      <c r="C20" s="70">
        <v>45300</v>
      </c>
      <c r="D20" s="70">
        <v>45300</v>
      </c>
      <c r="E20" s="73"/>
      <c r="F20" s="9"/>
      <c r="H20" s="9"/>
      <c r="I20" s="7" t="s">
        <v>3502</v>
      </c>
      <c r="J20" s="51" t="s">
        <v>18</v>
      </c>
      <c r="K20" s="7"/>
      <c r="L20" s="10">
        <v>151.09</v>
      </c>
      <c r="M20" s="10"/>
      <c r="N20" s="10"/>
      <c r="O20" s="10"/>
      <c r="P20" s="10"/>
      <c r="Q20" s="10"/>
      <c r="R20" s="10">
        <v>1259.06</v>
      </c>
      <c r="S20" s="10"/>
      <c r="T20" s="10"/>
      <c r="U20" s="10"/>
      <c r="V20" s="10"/>
      <c r="W20" s="10"/>
      <c r="X20" s="10"/>
      <c r="Y20" s="10"/>
      <c r="Z20" s="10"/>
      <c r="AA20" s="33"/>
      <c r="AB20" s="10"/>
      <c r="AC20" s="33">
        <v>1410.15</v>
      </c>
      <c r="AD20" s="10">
        <f t="shared" si="0"/>
        <v>0</v>
      </c>
      <c r="AE20" s="82"/>
    </row>
    <row r="21" spans="1:32" x14ac:dyDescent="0.25">
      <c r="A21" s="7" t="s">
        <v>3453</v>
      </c>
      <c r="B21" s="9">
        <v>4134566</v>
      </c>
      <c r="C21" s="70">
        <v>45300</v>
      </c>
      <c r="D21" s="70">
        <v>45300</v>
      </c>
      <c r="E21" s="73"/>
      <c r="F21" s="9"/>
      <c r="H21" s="9"/>
      <c r="I21" s="7" t="s">
        <v>3502</v>
      </c>
      <c r="J21" s="51" t="s">
        <v>18</v>
      </c>
      <c r="K21" s="7"/>
      <c r="L21" s="10">
        <v>811.09</v>
      </c>
      <c r="M21" s="10"/>
      <c r="N21" s="10"/>
      <c r="O21" s="10"/>
      <c r="P21" s="10"/>
      <c r="Q21" s="10"/>
      <c r="R21" s="10">
        <v>6759.06</v>
      </c>
      <c r="S21" s="10"/>
      <c r="T21" s="10"/>
      <c r="U21" s="10"/>
      <c r="V21" s="10"/>
      <c r="W21" s="10"/>
      <c r="X21" s="10"/>
      <c r="Y21" s="10"/>
      <c r="Z21" s="10"/>
      <c r="AA21" s="33"/>
      <c r="AB21" s="10"/>
      <c r="AC21" s="33">
        <v>7570.15</v>
      </c>
      <c r="AD21" s="10">
        <f t="shared" si="0"/>
        <v>0</v>
      </c>
      <c r="AE21" s="82"/>
    </row>
    <row r="22" spans="1:32" x14ac:dyDescent="0.25">
      <c r="A22" s="7" t="s">
        <v>3454</v>
      </c>
      <c r="B22" s="9">
        <v>4134567</v>
      </c>
      <c r="C22" s="70">
        <v>45300</v>
      </c>
      <c r="D22" s="70">
        <v>45300</v>
      </c>
      <c r="E22" s="73"/>
      <c r="F22" s="9"/>
      <c r="H22" s="9"/>
      <c r="I22" s="7" t="s">
        <v>3503</v>
      </c>
      <c r="J22" s="51" t="s">
        <v>65</v>
      </c>
      <c r="K22" s="7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33">
        <v>27500</v>
      </c>
      <c r="AB22" s="10"/>
      <c r="AC22" s="33">
        <v>27500</v>
      </c>
      <c r="AD22" s="10">
        <f t="shared" si="0"/>
        <v>0</v>
      </c>
      <c r="AE22" s="82"/>
    </row>
    <row r="23" spans="1:32" x14ac:dyDescent="0.25">
      <c r="A23" s="7" t="s">
        <v>3455</v>
      </c>
      <c r="B23" s="9">
        <v>4134568</v>
      </c>
      <c r="C23" s="70">
        <v>45330</v>
      </c>
      <c r="D23" s="70">
        <v>45300</v>
      </c>
      <c r="E23" s="73">
        <v>45320</v>
      </c>
      <c r="F23" s="9" t="s">
        <v>3536</v>
      </c>
      <c r="G23" s="9" t="s">
        <v>3444</v>
      </c>
      <c r="H23" s="9"/>
      <c r="I23" s="7" t="s">
        <v>3504</v>
      </c>
      <c r="J23" s="51" t="s">
        <v>37</v>
      </c>
      <c r="K23" s="7" t="s">
        <v>38</v>
      </c>
      <c r="L23" s="10">
        <v>1714.29</v>
      </c>
      <c r="M23" s="10">
        <v>14285.71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33"/>
      <c r="AB23" s="10"/>
      <c r="AC23" s="33">
        <v>16000</v>
      </c>
      <c r="AD23" s="10">
        <f t="shared" si="0"/>
        <v>0</v>
      </c>
      <c r="AE23" s="82"/>
      <c r="AF23" s="17">
        <v>142.86000000000001</v>
      </c>
    </row>
    <row r="24" spans="1:32" x14ac:dyDescent="0.25">
      <c r="A24" s="7" t="s">
        <v>3456</v>
      </c>
      <c r="B24" s="9">
        <v>4134569</v>
      </c>
      <c r="C24" s="70">
        <v>45303</v>
      </c>
      <c r="D24" s="70">
        <v>45303</v>
      </c>
      <c r="E24" s="73"/>
      <c r="F24" s="9"/>
      <c r="H24" s="9"/>
      <c r="I24" s="7" t="s">
        <v>118</v>
      </c>
      <c r="J24" s="51" t="s">
        <v>1847</v>
      </c>
      <c r="K24" s="7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33">
        <v>17874.36</v>
      </c>
      <c r="AB24" s="10"/>
      <c r="AC24" s="33">
        <v>17874.36</v>
      </c>
      <c r="AD24" s="10">
        <f t="shared" si="0"/>
        <v>0</v>
      </c>
      <c r="AE24" s="82"/>
    </row>
    <row r="25" spans="1:32" x14ac:dyDescent="0.25">
      <c r="A25" s="7" t="s">
        <v>3457</v>
      </c>
      <c r="B25" s="9">
        <v>4134570</v>
      </c>
      <c r="C25" s="70">
        <v>45303</v>
      </c>
      <c r="D25" s="70">
        <v>45303</v>
      </c>
      <c r="E25" s="73"/>
      <c r="F25" s="9"/>
      <c r="H25" s="9" t="s">
        <v>3517</v>
      </c>
      <c r="I25" s="7" t="s">
        <v>2588</v>
      </c>
      <c r="J25" s="51" t="s">
        <v>65</v>
      </c>
      <c r="K25" s="7"/>
      <c r="L25" s="10"/>
      <c r="M25" s="10"/>
      <c r="N25" s="10"/>
      <c r="O25" s="10"/>
      <c r="P25" s="10"/>
      <c r="Q25" s="10"/>
      <c r="R25" s="10"/>
      <c r="S25" s="10"/>
      <c r="T25" s="10">
        <v>8176.09</v>
      </c>
      <c r="U25" s="10"/>
      <c r="V25" s="10"/>
      <c r="W25" s="10"/>
      <c r="X25" s="10"/>
      <c r="Y25" s="10"/>
      <c r="Z25" s="10"/>
      <c r="AA25" s="33"/>
      <c r="AB25" s="10"/>
      <c r="AC25" s="33">
        <v>8176.09</v>
      </c>
      <c r="AD25" s="10">
        <f t="shared" si="0"/>
        <v>0</v>
      </c>
      <c r="AE25" s="82"/>
    </row>
    <row r="26" spans="1:32" x14ac:dyDescent="0.25">
      <c r="A26" s="7" t="s">
        <v>3458</v>
      </c>
      <c r="B26" s="9">
        <v>4134571</v>
      </c>
      <c r="C26" s="70">
        <v>45332</v>
      </c>
      <c r="D26" s="70">
        <v>45303</v>
      </c>
      <c r="E26" s="73">
        <v>45320</v>
      </c>
      <c r="F26" s="9" t="s">
        <v>3534</v>
      </c>
      <c r="G26" s="9" t="s">
        <v>3445</v>
      </c>
      <c r="H26" s="9"/>
      <c r="I26" s="7" t="s">
        <v>3507</v>
      </c>
      <c r="J26" s="51" t="s">
        <v>37</v>
      </c>
      <c r="K26" s="7" t="s">
        <v>38</v>
      </c>
      <c r="L26" s="10">
        <v>857.14</v>
      </c>
      <c r="M26" s="10">
        <v>7142.86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33"/>
      <c r="AB26" s="10"/>
      <c r="AC26" s="33">
        <v>8000</v>
      </c>
      <c r="AD26" s="10">
        <f t="shared" si="0"/>
        <v>0</v>
      </c>
      <c r="AE26" s="82"/>
      <c r="AF26" s="17">
        <v>71.430000000000007</v>
      </c>
    </row>
    <row r="27" spans="1:32" x14ac:dyDescent="0.25">
      <c r="A27" s="7" t="s">
        <v>3459</v>
      </c>
      <c r="B27" s="9">
        <v>4134572</v>
      </c>
      <c r="C27" s="70">
        <v>45348</v>
      </c>
      <c r="D27" s="70">
        <v>45303</v>
      </c>
      <c r="E27" s="73">
        <v>45324</v>
      </c>
      <c r="F27" s="9" t="s">
        <v>3543</v>
      </c>
      <c r="G27" s="9" t="s">
        <v>3447</v>
      </c>
      <c r="H27" s="9"/>
      <c r="I27" s="7" t="s">
        <v>3508</v>
      </c>
      <c r="J27" s="51" t="s">
        <v>1226</v>
      </c>
      <c r="K27" s="7" t="s">
        <v>2924</v>
      </c>
      <c r="L27" s="10">
        <v>2410.71</v>
      </c>
      <c r="M27" s="10">
        <v>20089.29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33"/>
      <c r="AB27" s="10"/>
      <c r="AC27" s="33">
        <v>22500</v>
      </c>
      <c r="AD27" s="10">
        <f t="shared" si="0"/>
        <v>0</v>
      </c>
      <c r="AE27" s="82"/>
      <c r="AF27" s="17">
        <v>200.89</v>
      </c>
    </row>
    <row r="28" spans="1:32" x14ac:dyDescent="0.25">
      <c r="A28" s="7" t="s">
        <v>3460</v>
      </c>
      <c r="B28" s="9">
        <v>4134573</v>
      </c>
      <c r="C28" s="70">
        <v>45303</v>
      </c>
      <c r="D28" s="70">
        <v>45303</v>
      </c>
      <c r="E28" s="73"/>
      <c r="F28" s="9"/>
      <c r="H28" s="9"/>
      <c r="I28" s="7" t="s">
        <v>3509</v>
      </c>
      <c r="J28" s="51" t="s">
        <v>43</v>
      </c>
      <c r="K28" s="7"/>
      <c r="L28" s="10">
        <v>64.180000000000007</v>
      </c>
      <c r="M28" s="10"/>
      <c r="N28" s="10"/>
      <c r="O28" s="10"/>
      <c r="P28" s="10"/>
      <c r="Q28" s="10"/>
      <c r="R28" s="10"/>
      <c r="S28" s="10">
        <v>534.82000000000005</v>
      </c>
      <c r="T28" s="10"/>
      <c r="U28" s="10"/>
      <c r="V28" s="10"/>
      <c r="W28" s="10"/>
      <c r="X28" s="10"/>
      <c r="Y28" s="10"/>
      <c r="Z28" s="10"/>
      <c r="AA28" s="33"/>
      <c r="AB28" s="10"/>
      <c r="AC28" s="33">
        <v>599</v>
      </c>
      <c r="AD28" s="10">
        <f t="shared" si="0"/>
        <v>0</v>
      </c>
      <c r="AE28" s="82"/>
    </row>
    <row r="29" spans="1:32" x14ac:dyDescent="0.25">
      <c r="A29" s="7" t="s">
        <v>3461</v>
      </c>
      <c r="B29" s="9">
        <v>4134574</v>
      </c>
      <c r="C29" s="70">
        <v>45303</v>
      </c>
      <c r="D29" s="70">
        <v>45303</v>
      </c>
      <c r="E29" s="73"/>
      <c r="F29" s="9"/>
      <c r="H29" s="9"/>
      <c r="I29" s="7" t="s">
        <v>3417</v>
      </c>
      <c r="J29" s="51" t="s">
        <v>43</v>
      </c>
      <c r="K29" s="7"/>
      <c r="L29" s="10">
        <v>34.82</v>
      </c>
      <c r="M29" s="10"/>
      <c r="N29" s="10"/>
      <c r="O29" s="10"/>
      <c r="P29" s="10"/>
      <c r="Q29" s="10"/>
      <c r="R29" s="10"/>
      <c r="S29" s="10">
        <v>290.18</v>
      </c>
      <c r="T29" s="10"/>
      <c r="U29" s="10"/>
      <c r="V29" s="10"/>
      <c r="W29" s="10"/>
      <c r="X29" s="10"/>
      <c r="Y29" s="10"/>
      <c r="Z29" s="10"/>
      <c r="AA29" s="33"/>
      <c r="AB29" s="10"/>
      <c r="AC29" s="33">
        <v>325</v>
      </c>
      <c r="AD29" s="10">
        <f t="shared" si="0"/>
        <v>0</v>
      </c>
      <c r="AE29" s="82"/>
    </row>
    <row r="30" spans="1:32" x14ac:dyDescent="0.25">
      <c r="A30" s="7" t="s">
        <v>3462</v>
      </c>
      <c r="B30" s="9">
        <v>4134575</v>
      </c>
      <c r="C30" s="70">
        <v>45303</v>
      </c>
      <c r="D30" s="70">
        <v>45303</v>
      </c>
      <c r="E30" s="73"/>
      <c r="F30" s="9"/>
      <c r="H30" s="9"/>
      <c r="I30" s="7" t="s">
        <v>3510</v>
      </c>
      <c r="J30" s="51" t="s">
        <v>3511</v>
      </c>
      <c r="K30" s="7"/>
      <c r="L30" s="10">
        <v>160.61000000000001</v>
      </c>
      <c r="M30" s="10"/>
      <c r="N30" s="10"/>
      <c r="O30" s="10"/>
      <c r="P30" s="10"/>
      <c r="Q30" s="10"/>
      <c r="R30" s="10"/>
      <c r="S30" s="10">
        <v>1338.39</v>
      </c>
      <c r="T30" s="10"/>
      <c r="U30" s="10"/>
      <c r="V30" s="10"/>
      <c r="W30" s="10"/>
      <c r="X30" s="10"/>
      <c r="Y30" s="10"/>
      <c r="Z30" s="10"/>
      <c r="AA30" s="33"/>
      <c r="AB30" s="10"/>
      <c r="AC30" s="33">
        <v>1499</v>
      </c>
      <c r="AD30" s="10">
        <f t="shared" si="0"/>
        <v>0</v>
      </c>
      <c r="AE30" s="82"/>
    </row>
    <row r="31" spans="1:32" x14ac:dyDescent="0.25">
      <c r="A31" s="7" t="s">
        <v>3463</v>
      </c>
      <c r="B31" s="9">
        <v>4134576</v>
      </c>
      <c r="C31" s="70">
        <v>45303</v>
      </c>
      <c r="D31" s="70">
        <v>45303</v>
      </c>
      <c r="E31" s="73"/>
      <c r="F31" s="9"/>
      <c r="H31" s="9"/>
      <c r="I31" s="7" t="s">
        <v>3510</v>
      </c>
      <c r="J31" s="51" t="s">
        <v>3511</v>
      </c>
      <c r="K31" s="7"/>
      <c r="L31" s="10">
        <v>107.04</v>
      </c>
      <c r="M31" s="10"/>
      <c r="N31" s="10"/>
      <c r="O31" s="10"/>
      <c r="P31" s="10"/>
      <c r="Q31" s="10"/>
      <c r="R31" s="10"/>
      <c r="S31" s="10">
        <v>891.96</v>
      </c>
      <c r="T31" s="10"/>
      <c r="U31" s="10"/>
      <c r="V31" s="10"/>
      <c r="W31" s="10"/>
      <c r="X31" s="10"/>
      <c r="Y31" s="10"/>
      <c r="Z31" s="10"/>
      <c r="AA31" s="33"/>
      <c r="AB31" s="10"/>
      <c r="AC31" s="33">
        <v>999</v>
      </c>
      <c r="AD31" s="10">
        <f t="shared" si="0"/>
        <v>0</v>
      </c>
      <c r="AE31" s="82"/>
    </row>
    <row r="32" spans="1:32" x14ac:dyDescent="0.25">
      <c r="A32" s="7" t="s">
        <v>3464</v>
      </c>
      <c r="B32" s="9" t="s">
        <v>3512</v>
      </c>
      <c r="C32" s="70">
        <v>45303</v>
      </c>
      <c r="D32" s="70">
        <v>45303</v>
      </c>
      <c r="E32" s="73">
        <v>45306</v>
      </c>
      <c r="F32" s="9" t="s">
        <v>3545</v>
      </c>
      <c r="H32" s="9"/>
      <c r="I32" s="7" t="s">
        <v>63</v>
      </c>
      <c r="J32" s="51" t="s">
        <v>109</v>
      </c>
      <c r="K32" s="7"/>
      <c r="L32" s="10"/>
      <c r="M32" s="10"/>
      <c r="N32" s="10">
        <v>109165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33"/>
      <c r="AB32" s="10"/>
      <c r="AC32" s="33">
        <v>109165</v>
      </c>
      <c r="AD32" s="10">
        <f t="shared" si="0"/>
        <v>0</v>
      </c>
      <c r="AE32" s="82"/>
    </row>
    <row r="33" spans="1:32" x14ac:dyDescent="0.25">
      <c r="A33" s="7" t="s">
        <v>3465</v>
      </c>
      <c r="B33" s="9" t="s">
        <v>3513</v>
      </c>
      <c r="C33" s="70">
        <v>45303</v>
      </c>
      <c r="D33" s="70">
        <v>45303</v>
      </c>
      <c r="E33" s="73"/>
      <c r="F33" s="9"/>
      <c r="H33" s="9" t="s">
        <v>3619</v>
      </c>
      <c r="I33" s="7" t="s">
        <v>2754</v>
      </c>
      <c r="J33" s="51" t="s">
        <v>39</v>
      </c>
      <c r="K33" s="7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33">
        <v>24046.98</v>
      </c>
      <c r="AB33" s="10"/>
      <c r="AC33" s="33">
        <v>25000</v>
      </c>
      <c r="AD33" s="10">
        <f t="shared" si="0"/>
        <v>953.02000000000044</v>
      </c>
      <c r="AE33" s="82" t="s">
        <v>3620</v>
      </c>
    </row>
    <row r="34" spans="1:32" x14ac:dyDescent="0.25">
      <c r="A34" s="7" t="s">
        <v>3466</v>
      </c>
      <c r="B34" s="9">
        <v>4134577</v>
      </c>
      <c r="C34" s="70">
        <v>45307</v>
      </c>
      <c r="D34" s="70">
        <v>45307</v>
      </c>
      <c r="E34" s="73"/>
      <c r="F34" s="9"/>
      <c r="H34" s="9"/>
      <c r="I34" s="7" t="s">
        <v>3520</v>
      </c>
      <c r="J34" s="51" t="s">
        <v>44</v>
      </c>
      <c r="K34" s="7"/>
      <c r="L34" s="10">
        <v>804.26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>
        <v>6702.16</v>
      </c>
      <c r="Y34" s="10"/>
      <c r="Z34" s="10"/>
      <c r="AA34" s="33"/>
      <c r="AB34" s="10"/>
      <c r="AC34" s="33">
        <v>7506.42</v>
      </c>
      <c r="AD34" s="10">
        <f t="shared" si="0"/>
        <v>0</v>
      </c>
      <c r="AE34" s="82"/>
    </row>
    <row r="35" spans="1:32" x14ac:dyDescent="0.25">
      <c r="A35" s="7" t="s">
        <v>3467</v>
      </c>
      <c r="B35" s="9">
        <v>4134578</v>
      </c>
      <c r="C35" s="70">
        <v>45307</v>
      </c>
      <c r="D35" s="70">
        <v>45307</v>
      </c>
      <c r="E35" s="73"/>
      <c r="F35" s="9"/>
      <c r="H35" s="9"/>
      <c r="I35" s="40" t="s">
        <v>3510</v>
      </c>
      <c r="J35" s="51" t="s">
        <v>46</v>
      </c>
      <c r="K35" s="7"/>
      <c r="L35" s="10">
        <v>107.04</v>
      </c>
      <c r="M35" s="10"/>
      <c r="N35" s="10"/>
      <c r="O35" s="10"/>
      <c r="P35" s="10"/>
      <c r="Q35" s="10"/>
      <c r="R35" s="10"/>
      <c r="S35" s="10">
        <v>891.96</v>
      </c>
      <c r="T35" s="10"/>
      <c r="U35" s="10"/>
      <c r="V35" s="10"/>
      <c r="W35" s="10"/>
      <c r="X35" s="10"/>
      <c r="Y35" s="10"/>
      <c r="Z35" s="10"/>
      <c r="AA35" s="33"/>
      <c r="AB35" s="10"/>
      <c r="AC35" s="33">
        <v>999</v>
      </c>
      <c r="AD35" s="10">
        <f t="shared" si="0"/>
        <v>0</v>
      </c>
      <c r="AE35" s="82"/>
    </row>
    <row r="36" spans="1:32" x14ac:dyDescent="0.25">
      <c r="A36" s="7" t="s">
        <v>3468</v>
      </c>
      <c r="B36" s="9">
        <v>4134579</v>
      </c>
      <c r="C36" s="70">
        <v>45307</v>
      </c>
      <c r="D36" s="70">
        <v>45307</v>
      </c>
      <c r="E36" s="73"/>
      <c r="F36" s="9"/>
      <c r="H36" s="9"/>
      <c r="I36" s="40" t="s">
        <v>3518</v>
      </c>
      <c r="J36" s="51" t="s">
        <v>46</v>
      </c>
      <c r="K36" s="7"/>
      <c r="L36" s="10">
        <v>107.04</v>
      </c>
      <c r="M36" s="10"/>
      <c r="N36" s="10"/>
      <c r="O36" s="10"/>
      <c r="P36" s="10"/>
      <c r="Q36" s="10"/>
      <c r="R36" s="10"/>
      <c r="S36" s="10">
        <v>891.96</v>
      </c>
      <c r="T36" s="10"/>
      <c r="U36" s="10"/>
      <c r="V36" s="10"/>
      <c r="W36" s="10"/>
      <c r="X36" s="10"/>
      <c r="Y36" s="10"/>
      <c r="Z36" s="10"/>
      <c r="AA36" s="33"/>
      <c r="AB36" s="10"/>
      <c r="AC36" s="33">
        <v>999</v>
      </c>
      <c r="AD36" s="10">
        <f t="shared" si="0"/>
        <v>0</v>
      </c>
      <c r="AE36" s="82"/>
    </row>
    <row r="37" spans="1:32" x14ac:dyDescent="0.25">
      <c r="A37" s="7" t="s">
        <v>3469</v>
      </c>
      <c r="B37" s="9" t="s">
        <v>3519</v>
      </c>
      <c r="C37" s="70">
        <v>45307</v>
      </c>
      <c r="D37" s="70">
        <v>45307</v>
      </c>
      <c r="E37" s="73"/>
      <c r="F37" s="9"/>
      <c r="H37" s="9"/>
      <c r="I37" s="7" t="s">
        <v>82</v>
      </c>
      <c r="J37" s="51" t="s">
        <v>54</v>
      </c>
      <c r="K37" s="7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>
        <v>300000</v>
      </c>
      <c r="AA37" s="33"/>
      <c r="AB37" s="10"/>
      <c r="AC37" s="33">
        <v>300000</v>
      </c>
      <c r="AD37" s="10">
        <f t="shared" si="0"/>
        <v>0</v>
      </c>
      <c r="AE37" s="82"/>
    </row>
    <row r="38" spans="1:32" x14ac:dyDescent="0.25">
      <c r="A38" s="7" t="s">
        <v>3470</v>
      </c>
      <c r="B38" s="9">
        <v>4134580</v>
      </c>
      <c r="C38" s="70">
        <v>45307</v>
      </c>
      <c r="D38" s="70">
        <v>45307</v>
      </c>
      <c r="E38" s="73"/>
      <c r="F38" s="9"/>
      <c r="H38" s="9"/>
      <c r="I38" s="7" t="s">
        <v>468</v>
      </c>
      <c r="J38" s="51" t="s">
        <v>3521</v>
      </c>
      <c r="K38" s="7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33">
        <v>3379.61</v>
      </c>
      <c r="AB38" s="10"/>
      <c r="AC38" s="33">
        <v>3379.61</v>
      </c>
      <c r="AD38" s="10">
        <f t="shared" si="0"/>
        <v>0</v>
      </c>
      <c r="AE38" s="82"/>
    </row>
    <row r="39" spans="1:32" x14ac:dyDescent="0.25">
      <c r="A39" s="7" t="s">
        <v>3471</v>
      </c>
      <c r="B39" s="9">
        <v>4134581</v>
      </c>
      <c r="C39" s="70">
        <v>45314</v>
      </c>
      <c r="D39" s="70">
        <v>45314</v>
      </c>
      <c r="E39" s="73"/>
      <c r="F39" s="9"/>
      <c r="H39" s="9"/>
      <c r="I39" s="7" t="s">
        <v>3523</v>
      </c>
      <c r="J39" s="51" t="s">
        <v>65</v>
      </c>
      <c r="K39" s="7"/>
      <c r="L39" s="10">
        <v>1082.6099999999999</v>
      </c>
      <c r="M39" s="10"/>
      <c r="N39" s="10"/>
      <c r="O39" s="10"/>
      <c r="P39" s="10"/>
      <c r="Q39" s="10"/>
      <c r="R39" s="10"/>
      <c r="S39" s="10">
        <v>9021.7099999999991</v>
      </c>
      <c r="T39" s="10"/>
      <c r="U39" s="10"/>
      <c r="V39" s="10"/>
      <c r="W39" s="10"/>
      <c r="X39" s="10"/>
      <c r="Y39" s="10"/>
      <c r="Z39" s="10"/>
      <c r="AA39" s="33"/>
      <c r="AB39" s="10"/>
      <c r="AC39" s="33">
        <v>10104.32</v>
      </c>
      <c r="AD39" s="10">
        <f t="shared" si="0"/>
        <v>0</v>
      </c>
      <c r="AE39" s="82"/>
      <c r="AF39" s="17">
        <v>180.48</v>
      </c>
    </row>
    <row r="40" spans="1:32" x14ac:dyDescent="0.25">
      <c r="A40" s="7" t="s">
        <v>3472</v>
      </c>
      <c r="B40" s="9">
        <v>4134582</v>
      </c>
      <c r="C40" s="70">
        <v>45314</v>
      </c>
      <c r="D40" s="70">
        <v>45314</v>
      </c>
      <c r="E40" s="73">
        <v>45324</v>
      </c>
      <c r="F40" s="9" t="s">
        <v>3541</v>
      </c>
      <c r="H40" s="9"/>
      <c r="I40" s="7" t="s">
        <v>3524</v>
      </c>
      <c r="J40" s="51" t="s">
        <v>187</v>
      </c>
      <c r="K40" s="7"/>
      <c r="L40" s="10">
        <v>907.2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33">
        <v>7560</v>
      </c>
      <c r="AB40" s="10"/>
      <c r="AC40" s="33">
        <v>8467.2000000000007</v>
      </c>
      <c r="AD40" s="10">
        <f t="shared" si="0"/>
        <v>0</v>
      </c>
      <c r="AE40" s="82"/>
    </row>
    <row r="41" spans="1:32" x14ac:dyDescent="0.25">
      <c r="A41" s="7" t="s">
        <v>3473</v>
      </c>
      <c r="B41" s="9" t="s">
        <v>3525</v>
      </c>
      <c r="C41" s="70">
        <v>45314</v>
      </c>
      <c r="D41" s="70">
        <v>45314</v>
      </c>
      <c r="E41" s="73">
        <v>45314</v>
      </c>
      <c r="F41" s="9" t="s">
        <v>3526</v>
      </c>
      <c r="G41" s="9" t="s">
        <v>3448</v>
      </c>
      <c r="H41" s="9"/>
      <c r="I41" s="7" t="s">
        <v>2938</v>
      </c>
      <c r="J41" s="51" t="s">
        <v>1999</v>
      </c>
      <c r="K41" s="7" t="s">
        <v>2271</v>
      </c>
      <c r="L41" s="10">
        <v>16125</v>
      </c>
      <c r="M41" s="10">
        <v>134375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33"/>
      <c r="AB41" s="10"/>
      <c r="AC41" s="33">
        <v>150500</v>
      </c>
      <c r="AD41" s="10">
        <f t="shared" si="0"/>
        <v>0</v>
      </c>
      <c r="AE41" s="82"/>
      <c r="AF41" s="17">
        <v>1343.75</v>
      </c>
    </row>
    <row r="42" spans="1:32" x14ac:dyDescent="0.25">
      <c r="A42" s="7" t="s">
        <v>3474</v>
      </c>
      <c r="B42" s="9">
        <v>4134583</v>
      </c>
      <c r="C42" s="70">
        <v>45315</v>
      </c>
      <c r="D42" s="70">
        <v>45315</v>
      </c>
      <c r="E42" s="73"/>
      <c r="F42" s="9"/>
      <c r="H42" s="9"/>
      <c r="I42" s="7" t="s">
        <v>123</v>
      </c>
      <c r="J42" s="51" t="s">
        <v>2855</v>
      </c>
      <c r="K42" s="7"/>
      <c r="L42" s="10"/>
      <c r="M42" s="10">
        <v>23000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33"/>
      <c r="AB42" s="10"/>
      <c r="AC42" s="33">
        <v>23000</v>
      </c>
      <c r="AD42" s="10">
        <f t="shared" si="0"/>
        <v>0</v>
      </c>
      <c r="AE42" s="82"/>
    </row>
    <row r="43" spans="1:32" x14ac:dyDescent="0.25">
      <c r="A43" s="7" t="s">
        <v>3475</v>
      </c>
      <c r="B43" s="9">
        <v>4134584</v>
      </c>
      <c r="C43" s="70">
        <v>45315</v>
      </c>
      <c r="D43" s="70">
        <v>45315</v>
      </c>
      <c r="H43" s="9" t="s">
        <v>3537</v>
      </c>
      <c r="I43" s="10" t="s">
        <v>2588</v>
      </c>
      <c r="J43" s="97" t="s">
        <v>65</v>
      </c>
      <c r="K43" s="7"/>
      <c r="L43" s="10"/>
      <c r="M43" s="10"/>
      <c r="N43" s="10"/>
      <c r="O43" s="10"/>
      <c r="P43" s="10"/>
      <c r="Q43" s="10"/>
      <c r="R43" s="10"/>
      <c r="S43" s="10"/>
      <c r="T43" s="10">
        <v>8628</v>
      </c>
      <c r="U43" s="10"/>
      <c r="V43" s="10"/>
      <c r="W43" s="10"/>
      <c r="X43" s="10"/>
      <c r="Y43" s="10"/>
      <c r="Z43" s="10"/>
      <c r="AA43" s="33"/>
      <c r="AB43" s="10"/>
      <c r="AC43" s="33">
        <v>8628</v>
      </c>
      <c r="AD43" s="10">
        <f t="shared" si="0"/>
        <v>0</v>
      </c>
      <c r="AE43" s="82"/>
    </row>
    <row r="44" spans="1:32" x14ac:dyDescent="0.25">
      <c r="A44" s="7" t="s">
        <v>3476</v>
      </c>
      <c r="B44" s="9">
        <v>4134585</v>
      </c>
      <c r="C44" s="70">
        <v>45320</v>
      </c>
      <c r="D44" s="70">
        <v>45317</v>
      </c>
      <c r="E44" s="73">
        <v>45324</v>
      </c>
      <c r="F44" s="9" t="s">
        <v>3559</v>
      </c>
      <c r="G44" s="9" t="s">
        <v>2484</v>
      </c>
      <c r="H44" s="9"/>
      <c r="I44" s="7" t="s">
        <v>3493</v>
      </c>
      <c r="J44" s="51" t="s">
        <v>83</v>
      </c>
      <c r="K44" s="7" t="s">
        <v>1336</v>
      </c>
      <c r="L44" s="10">
        <v>8625</v>
      </c>
      <c r="M44" s="10">
        <v>71875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33"/>
      <c r="AB44" s="10"/>
      <c r="AC44" s="33">
        <v>80500</v>
      </c>
      <c r="AD44" s="10">
        <f t="shared" si="0"/>
        <v>0</v>
      </c>
      <c r="AE44" s="82"/>
      <c r="AF44" s="17">
        <v>718.75</v>
      </c>
    </row>
    <row r="45" spans="1:32" x14ac:dyDescent="0.25">
      <c r="A45" s="7" t="s">
        <v>3477</v>
      </c>
      <c r="B45" s="9">
        <v>4134586</v>
      </c>
      <c r="C45" s="70">
        <v>45317</v>
      </c>
      <c r="D45" s="70">
        <v>45317</v>
      </c>
      <c r="E45" s="73"/>
      <c r="F45" s="9"/>
      <c r="H45" s="9" t="s">
        <v>3538</v>
      </c>
      <c r="I45" s="7" t="s">
        <v>1174</v>
      </c>
      <c r="J45" s="97" t="s">
        <v>65</v>
      </c>
      <c r="K45" s="7"/>
      <c r="L45" s="10"/>
      <c r="M45" s="10"/>
      <c r="N45" s="10"/>
      <c r="O45" s="10"/>
      <c r="P45" s="10"/>
      <c r="Q45" s="10"/>
      <c r="R45" s="10"/>
      <c r="S45" s="10"/>
      <c r="T45" s="10">
        <v>12704</v>
      </c>
      <c r="U45" s="10"/>
      <c r="V45" s="10"/>
      <c r="W45" s="10"/>
      <c r="X45" s="10"/>
      <c r="Y45" s="10"/>
      <c r="Z45" s="10"/>
      <c r="AA45" s="33"/>
      <c r="AB45" s="10"/>
      <c r="AC45" s="33">
        <v>12704</v>
      </c>
      <c r="AD45" s="10">
        <f t="shared" si="0"/>
        <v>0</v>
      </c>
      <c r="AE45" s="82"/>
    </row>
    <row r="46" spans="1:32" x14ac:dyDescent="0.25">
      <c r="A46" s="7" t="s">
        <v>3478</v>
      </c>
      <c r="B46" s="9">
        <v>4134587</v>
      </c>
      <c r="C46" s="70">
        <v>45317</v>
      </c>
      <c r="D46" s="70">
        <v>45317</v>
      </c>
      <c r="E46" s="73">
        <v>45320</v>
      </c>
      <c r="F46" s="9" t="s">
        <v>3535</v>
      </c>
      <c r="G46" s="9" t="s">
        <v>3447</v>
      </c>
      <c r="H46" s="9"/>
      <c r="I46" s="7" t="s">
        <v>3528</v>
      </c>
      <c r="J46" s="51" t="s">
        <v>3527</v>
      </c>
      <c r="K46" s="7" t="s">
        <v>3530</v>
      </c>
      <c r="L46" s="10">
        <v>175.71</v>
      </c>
      <c r="M46" s="10">
        <v>1464.29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33"/>
      <c r="AB46" s="10"/>
      <c r="AC46" s="33">
        <v>1640</v>
      </c>
      <c r="AD46" s="10">
        <f t="shared" si="0"/>
        <v>0</v>
      </c>
      <c r="AE46" s="82"/>
      <c r="AF46" s="17">
        <v>14.64</v>
      </c>
    </row>
    <row r="47" spans="1:32" x14ac:dyDescent="0.25">
      <c r="A47" s="7" t="s">
        <v>3479</v>
      </c>
      <c r="B47" s="9">
        <v>4134588</v>
      </c>
      <c r="C47" s="70">
        <v>45340</v>
      </c>
      <c r="D47" s="70">
        <v>45317</v>
      </c>
      <c r="E47" s="73">
        <v>45328</v>
      </c>
      <c r="F47" s="9" t="s">
        <v>3562</v>
      </c>
      <c r="G47" s="9" t="s">
        <v>3450</v>
      </c>
      <c r="H47" s="9"/>
      <c r="I47" s="7" t="s">
        <v>3529</v>
      </c>
      <c r="J47" s="51" t="s">
        <v>2687</v>
      </c>
      <c r="K47" s="7" t="s">
        <v>2688</v>
      </c>
      <c r="L47" s="10">
        <v>1242.8599999999999</v>
      </c>
      <c r="M47" s="10">
        <v>10357.14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33"/>
      <c r="AB47" s="10"/>
      <c r="AC47" s="33">
        <v>11600</v>
      </c>
      <c r="AD47" s="10">
        <f t="shared" si="0"/>
        <v>0</v>
      </c>
      <c r="AE47" s="82"/>
      <c r="AF47" s="17">
        <v>103.57</v>
      </c>
    </row>
    <row r="48" spans="1:32" x14ac:dyDescent="0.25">
      <c r="A48" s="7" t="s">
        <v>3480</v>
      </c>
      <c r="B48" s="9">
        <v>4134589</v>
      </c>
      <c r="C48" s="70">
        <v>45340</v>
      </c>
      <c r="D48" s="70">
        <v>45317</v>
      </c>
      <c r="E48" s="73">
        <v>45320</v>
      </c>
      <c r="F48" s="9" t="s">
        <v>3533</v>
      </c>
      <c r="G48" s="9" t="s">
        <v>3451</v>
      </c>
      <c r="H48" s="9"/>
      <c r="I48" s="7" t="s">
        <v>756</v>
      </c>
      <c r="J48" s="51" t="s">
        <v>3527</v>
      </c>
      <c r="K48" s="7" t="s">
        <v>3530</v>
      </c>
      <c r="L48" s="10">
        <v>4682.1400000000003</v>
      </c>
      <c r="M48" s="10">
        <v>39017.86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33"/>
      <c r="AB48" s="10"/>
      <c r="AC48" s="33">
        <v>43700</v>
      </c>
      <c r="AD48" s="10">
        <f t="shared" si="0"/>
        <v>0</v>
      </c>
      <c r="AE48" s="82"/>
      <c r="AF48" s="17">
        <v>390.18</v>
      </c>
    </row>
    <row r="49" spans="1:32" x14ac:dyDescent="0.25">
      <c r="A49" s="7" t="s">
        <v>3481</v>
      </c>
      <c r="B49" s="9">
        <v>4134590</v>
      </c>
      <c r="C49" s="70">
        <v>45345</v>
      </c>
      <c r="D49" s="70">
        <v>45317</v>
      </c>
      <c r="E49" s="73">
        <v>45345</v>
      </c>
      <c r="F49" s="9" t="s">
        <v>3632</v>
      </c>
      <c r="G49" s="9" t="s">
        <v>3452</v>
      </c>
      <c r="H49" s="9"/>
      <c r="I49" s="7" t="s">
        <v>3294</v>
      </c>
      <c r="J49" s="51" t="s">
        <v>45</v>
      </c>
      <c r="K49" s="7" t="s">
        <v>3295</v>
      </c>
      <c r="L49" s="10">
        <v>1071.43</v>
      </c>
      <c r="M49" s="10">
        <v>8928.57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33"/>
      <c r="AB49" s="10"/>
      <c r="AC49" s="33">
        <v>10000</v>
      </c>
      <c r="AD49" s="10">
        <f t="shared" si="0"/>
        <v>0</v>
      </c>
      <c r="AE49" s="82"/>
      <c r="AF49" s="17">
        <v>89.29</v>
      </c>
    </row>
    <row r="50" spans="1:32" x14ac:dyDescent="0.25">
      <c r="A50" s="7" t="s">
        <v>3482</v>
      </c>
      <c r="B50" s="9">
        <v>4134591</v>
      </c>
      <c r="C50" s="70">
        <v>45346</v>
      </c>
      <c r="D50" s="70">
        <v>45317</v>
      </c>
      <c r="E50" s="73">
        <v>45345</v>
      </c>
      <c r="F50" s="9" t="s">
        <v>3643</v>
      </c>
      <c r="G50" s="9" t="s">
        <v>3454</v>
      </c>
      <c r="H50" s="9"/>
      <c r="I50" s="7" t="s">
        <v>2381</v>
      </c>
      <c r="J50" s="51" t="s">
        <v>83</v>
      </c>
      <c r="K50" s="7" t="s">
        <v>1336</v>
      </c>
      <c r="L50" s="10">
        <v>1435.71</v>
      </c>
      <c r="M50" s="10">
        <v>11964.29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33"/>
      <c r="AB50" s="10"/>
      <c r="AC50" s="33">
        <v>13400</v>
      </c>
      <c r="AD50" s="10">
        <f t="shared" si="0"/>
        <v>0</v>
      </c>
      <c r="AE50" s="82"/>
      <c r="AF50" s="17">
        <v>119.64</v>
      </c>
    </row>
    <row r="51" spans="1:32" x14ac:dyDescent="0.25">
      <c r="A51" s="7" t="s">
        <v>3483</v>
      </c>
      <c r="B51" s="9">
        <v>4134592</v>
      </c>
      <c r="C51" s="70">
        <v>45361</v>
      </c>
      <c r="D51" s="70">
        <v>45317</v>
      </c>
      <c r="E51" s="73">
        <v>45324</v>
      </c>
      <c r="F51" s="9" t="s">
        <v>3544</v>
      </c>
      <c r="G51" s="9" t="s">
        <v>3453</v>
      </c>
      <c r="H51" s="9"/>
      <c r="I51" s="7" t="s">
        <v>3531</v>
      </c>
      <c r="J51" s="51" t="s">
        <v>1226</v>
      </c>
      <c r="K51" s="7" t="s">
        <v>2924</v>
      </c>
      <c r="L51" s="10">
        <v>2410.71</v>
      </c>
      <c r="M51" s="10">
        <v>20089.29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33"/>
      <c r="AB51" s="10"/>
      <c r="AC51" s="33">
        <v>22500</v>
      </c>
      <c r="AD51" s="10">
        <f t="shared" si="0"/>
        <v>0</v>
      </c>
      <c r="AE51" s="82"/>
      <c r="AF51" s="17">
        <v>200.89</v>
      </c>
    </row>
    <row r="52" spans="1:32" x14ac:dyDescent="0.25">
      <c r="A52" s="7" t="s">
        <v>3484</v>
      </c>
      <c r="B52" s="9" t="s">
        <v>3532</v>
      </c>
      <c r="C52" s="70">
        <v>45317</v>
      </c>
      <c r="D52" s="70">
        <v>45317</v>
      </c>
      <c r="E52" s="73"/>
      <c r="F52" s="9"/>
      <c r="H52" s="9"/>
      <c r="I52" s="7" t="s">
        <v>970</v>
      </c>
      <c r="J52" s="51" t="s">
        <v>35</v>
      </c>
      <c r="K52" s="7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33">
        <v>51214.37</v>
      </c>
      <c r="AB52" s="10"/>
      <c r="AC52" s="33">
        <v>51214.37</v>
      </c>
      <c r="AD52" s="10">
        <f t="shared" si="0"/>
        <v>0</v>
      </c>
      <c r="AE52" s="82"/>
    </row>
    <row r="53" spans="1:32" x14ac:dyDescent="0.25">
      <c r="A53" s="7" t="s">
        <v>3485</v>
      </c>
      <c r="B53" s="9">
        <v>4134593</v>
      </c>
      <c r="C53" s="70">
        <v>45320</v>
      </c>
      <c r="D53" s="70">
        <v>45320</v>
      </c>
      <c r="E53" s="73"/>
      <c r="F53" s="9"/>
      <c r="H53" s="9"/>
      <c r="I53" s="7" t="s">
        <v>118</v>
      </c>
      <c r="J53" s="51" t="s">
        <v>1847</v>
      </c>
      <c r="K53" s="7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33">
        <v>24901.599999999999</v>
      </c>
      <c r="AB53" s="10"/>
      <c r="AC53" s="33">
        <v>24901.599999999999</v>
      </c>
      <c r="AD53" s="10">
        <f t="shared" si="0"/>
        <v>0</v>
      </c>
      <c r="AE53" s="82"/>
    </row>
    <row r="54" spans="1:32" x14ac:dyDescent="0.25">
      <c r="A54" s="7" t="s">
        <v>3486</v>
      </c>
      <c r="B54" s="9">
        <v>4134594</v>
      </c>
      <c r="C54" s="70">
        <v>45323</v>
      </c>
      <c r="D54" s="70">
        <v>45320</v>
      </c>
      <c r="E54" s="73"/>
      <c r="F54" s="9"/>
      <c r="H54" s="9"/>
      <c r="I54" s="7" t="s">
        <v>123</v>
      </c>
      <c r="J54" s="51" t="s">
        <v>47</v>
      </c>
      <c r="K54" s="7"/>
      <c r="L54" s="10"/>
      <c r="M54" s="10">
        <v>23000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33"/>
      <c r="AB54" s="10"/>
      <c r="AC54" s="33">
        <v>23000</v>
      </c>
      <c r="AD54" s="10">
        <f t="shared" si="0"/>
        <v>0</v>
      </c>
      <c r="AE54" s="82"/>
    </row>
    <row r="55" spans="1:32" x14ac:dyDescent="0.25">
      <c r="A55" s="7" t="s">
        <v>3487</v>
      </c>
      <c r="B55" s="9">
        <v>4134595</v>
      </c>
      <c r="C55" s="70">
        <v>45350</v>
      </c>
      <c r="D55" s="70">
        <v>45321</v>
      </c>
      <c r="E55" s="73">
        <v>45341</v>
      </c>
      <c r="F55" s="9" t="s">
        <v>3623</v>
      </c>
      <c r="G55" s="9" t="s">
        <v>3455</v>
      </c>
      <c r="H55" s="9"/>
      <c r="I55" s="7" t="s">
        <v>3333</v>
      </c>
      <c r="J55" s="51" t="s">
        <v>3527</v>
      </c>
      <c r="K55" s="7" t="s">
        <v>3530</v>
      </c>
      <c r="L55" s="10">
        <v>433.93</v>
      </c>
      <c r="M55" s="10">
        <v>3616.07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33"/>
      <c r="AB55" s="10"/>
      <c r="AC55" s="33">
        <v>4050</v>
      </c>
      <c r="AD55" s="10">
        <f t="shared" si="0"/>
        <v>0</v>
      </c>
      <c r="AE55" s="82"/>
      <c r="AF55" s="17">
        <v>36.159999999999997</v>
      </c>
    </row>
    <row r="56" spans="1:32" x14ac:dyDescent="0.25">
      <c r="A56" s="7" t="s">
        <v>3488</v>
      </c>
      <c r="B56" s="9">
        <v>4134596</v>
      </c>
      <c r="C56" s="70">
        <v>45350</v>
      </c>
      <c r="D56" s="70">
        <v>45321</v>
      </c>
      <c r="E56" s="73">
        <v>45341</v>
      </c>
      <c r="F56" s="9" t="s">
        <v>3622</v>
      </c>
      <c r="G56" s="9" t="s">
        <v>3457</v>
      </c>
      <c r="H56" s="9"/>
      <c r="I56" s="56" t="s">
        <v>3507</v>
      </c>
      <c r="J56" s="51" t="s">
        <v>3527</v>
      </c>
      <c r="K56" s="7" t="s">
        <v>3530</v>
      </c>
      <c r="L56" s="10">
        <v>857.14</v>
      </c>
      <c r="M56" s="10">
        <v>7142.86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33"/>
      <c r="AB56" s="10"/>
      <c r="AC56" s="33">
        <v>8000</v>
      </c>
      <c r="AD56" s="10">
        <f t="shared" si="0"/>
        <v>0</v>
      </c>
      <c r="AE56" s="82"/>
      <c r="AF56" s="17">
        <v>71.430000000000007</v>
      </c>
    </row>
    <row r="57" spans="1:32" x14ac:dyDescent="0.25">
      <c r="A57" s="7" t="s">
        <v>3489</v>
      </c>
      <c r="B57" s="9">
        <v>4134597</v>
      </c>
      <c r="C57" s="70">
        <v>45321</v>
      </c>
      <c r="D57" s="70">
        <v>45321</v>
      </c>
      <c r="E57" s="73"/>
      <c r="F57" s="9"/>
      <c r="H57" s="9"/>
      <c r="I57" s="7" t="s">
        <v>3539</v>
      </c>
      <c r="J57" s="51" t="s">
        <v>65</v>
      </c>
      <c r="K57" s="7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33">
        <v>5880</v>
      </c>
      <c r="AB57" s="10"/>
      <c r="AC57" s="33">
        <v>5880</v>
      </c>
      <c r="AD57" s="10">
        <f t="shared" si="0"/>
        <v>0</v>
      </c>
      <c r="AE57" s="82"/>
    </row>
    <row r="58" spans="1:32" x14ac:dyDescent="0.25">
      <c r="A58" s="7" t="s">
        <v>3490</v>
      </c>
      <c r="B58" s="9">
        <v>4134598</v>
      </c>
      <c r="C58" s="70">
        <v>45351</v>
      </c>
      <c r="D58" s="70">
        <v>45322</v>
      </c>
      <c r="E58" s="73">
        <v>45341</v>
      </c>
      <c r="F58" s="9" t="s">
        <v>3621</v>
      </c>
      <c r="G58" s="9" t="s">
        <v>3456</v>
      </c>
      <c r="H58" s="9"/>
      <c r="I58" s="7" t="s">
        <v>3540</v>
      </c>
      <c r="J58" s="51" t="s">
        <v>3527</v>
      </c>
      <c r="K58" s="7" t="s">
        <v>3530</v>
      </c>
      <c r="L58" s="10">
        <v>642.86</v>
      </c>
      <c r="M58" s="10">
        <v>5357.14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33"/>
      <c r="AB58" s="10"/>
      <c r="AC58" s="33">
        <v>6000</v>
      </c>
      <c r="AD58" s="10">
        <f t="shared" si="0"/>
        <v>0</v>
      </c>
      <c r="AE58" s="82"/>
      <c r="AF58" s="17">
        <v>53.57</v>
      </c>
    </row>
    <row r="59" spans="1:32" x14ac:dyDescent="0.25">
      <c r="A59" s="7" t="s">
        <v>3491</v>
      </c>
      <c r="B59" s="9" t="s">
        <v>3542</v>
      </c>
      <c r="C59" s="70">
        <v>45323</v>
      </c>
      <c r="D59" s="70">
        <v>45322</v>
      </c>
      <c r="E59" s="73">
        <v>45324</v>
      </c>
      <c r="F59" s="9" t="s">
        <v>3561</v>
      </c>
      <c r="G59" s="9" t="s">
        <v>3459</v>
      </c>
      <c r="H59" s="9"/>
      <c r="I59" s="7" t="s">
        <v>3560</v>
      </c>
      <c r="J59" s="51" t="s">
        <v>1999</v>
      </c>
      <c r="K59" s="7" t="s">
        <v>2271</v>
      </c>
      <c r="L59" s="10">
        <v>17544.64</v>
      </c>
      <c r="M59" s="10">
        <v>146205.35999999999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33"/>
      <c r="AB59" s="10"/>
      <c r="AC59" s="33">
        <v>163750</v>
      </c>
      <c r="AD59" s="10">
        <f t="shared" si="0"/>
        <v>0</v>
      </c>
      <c r="AE59" s="82"/>
      <c r="AF59" s="17">
        <v>1462.05</v>
      </c>
    </row>
    <row r="60" spans="1:32" x14ac:dyDescent="0.25">
      <c r="A60" s="20"/>
      <c r="B60" s="19"/>
      <c r="C60" s="72"/>
      <c r="D60" s="72"/>
      <c r="E60" s="77"/>
      <c r="F60" s="19"/>
      <c r="G60" s="19"/>
      <c r="H60" s="19"/>
      <c r="I60" s="20"/>
      <c r="J60" s="20"/>
      <c r="K60" s="20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32"/>
      <c r="AB60" s="22"/>
      <c r="AC60" s="32"/>
      <c r="AD60" s="22"/>
      <c r="AE60" s="96"/>
      <c r="AF60" s="35"/>
    </row>
    <row r="61" spans="1:32" x14ac:dyDescent="0.25">
      <c r="A61" s="25">
        <v>45323</v>
      </c>
      <c r="B61" s="19"/>
      <c r="C61" s="72"/>
      <c r="D61" s="72"/>
      <c r="E61" s="77"/>
      <c r="F61" s="19"/>
      <c r="G61" s="19"/>
      <c r="H61" s="19"/>
      <c r="I61" s="20"/>
      <c r="J61" s="20"/>
      <c r="K61" s="20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32"/>
      <c r="AB61" s="22"/>
      <c r="AC61" s="32"/>
      <c r="AD61" s="22"/>
      <c r="AE61" s="96"/>
      <c r="AF61" s="35"/>
    </row>
    <row r="62" spans="1:32" x14ac:dyDescent="0.25">
      <c r="A62" s="7" t="s">
        <v>3492</v>
      </c>
      <c r="B62" s="9" t="s">
        <v>3546</v>
      </c>
      <c r="C62" s="70">
        <v>45324</v>
      </c>
      <c r="D62" s="70">
        <v>45324</v>
      </c>
      <c r="E62" s="73"/>
      <c r="F62" s="9"/>
      <c r="H62" s="9"/>
      <c r="I62" s="7" t="s">
        <v>3547</v>
      </c>
      <c r="J62" s="51" t="s">
        <v>94</v>
      </c>
      <c r="K62" s="7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33">
        <v>30000.01</v>
      </c>
      <c r="AB62" s="10"/>
      <c r="AC62" s="33">
        <v>30000.01</v>
      </c>
      <c r="AD62" s="10">
        <f>SUM(AB62:AC62)-SUM(L62:AA62)</f>
        <v>0</v>
      </c>
      <c r="AE62" s="82"/>
    </row>
    <row r="63" spans="1:32" x14ac:dyDescent="0.25">
      <c r="A63" s="7" t="s">
        <v>3548</v>
      </c>
      <c r="B63" s="9">
        <v>4134599</v>
      </c>
      <c r="C63" s="70">
        <v>45324</v>
      </c>
      <c r="D63" s="70">
        <v>45324</v>
      </c>
      <c r="E63" s="73">
        <v>45324</v>
      </c>
      <c r="F63" s="9" t="s">
        <v>3558</v>
      </c>
      <c r="H63" s="9"/>
      <c r="I63" s="7" t="s">
        <v>3556</v>
      </c>
      <c r="J63" s="51" t="s">
        <v>83</v>
      </c>
      <c r="K63" s="7" t="s">
        <v>1336</v>
      </c>
      <c r="L63" s="10">
        <v>278.57</v>
      </c>
      <c r="M63" s="10">
        <v>2321.4299999999998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33"/>
      <c r="AB63" s="10"/>
      <c r="AC63" s="33">
        <v>2600</v>
      </c>
      <c r="AD63" s="10">
        <f t="shared" ref="AD63:AD128" si="1">SUM(AB63:AC63)-SUM(L63:AA63)</f>
        <v>0</v>
      </c>
      <c r="AE63" s="82"/>
      <c r="AF63" s="34">
        <v>23.21</v>
      </c>
    </row>
    <row r="64" spans="1:32" x14ac:dyDescent="0.25">
      <c r="A64" s="7" t="s">
        <v>3549</v>
      </c>
      <c r="B64" s="9">
        <v>4134600</v>
      </c>
      <c r="C64" s="70">
        <v>45367</v>
      </c>
      <c r="D64" s="70">
        <v>45324</v>
      </c>
      <c r="E64" s="73">
        <v>45344</v>
      </c>
      <c r="F64" s="9" t="s">
        <v>3628</v>
      </c>
      <c r="G64" s="9" t="s">
        <v>3453</v>
      </c>
      <c r="H64" s="9"/>
      <c r="I64" s="7" t="s">
        <v>3557</v>
      </c>
      <c r="J64" s="51" t="s">
        <v>1226</v>
      </c>
      <c r="K64" s="7" t="s">
        <v>2924</v>
      </c>
      <c r="L64" s="10">
        <v>2410.71</v>
      </c>
      <c r="M64" s="10">
        <v>20089.29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33"/>
      <c r="AB64" s="10"/>
      <c r="AC64" s="33">
        <v>22500</v>
      </c>
      <c r="AD64" s="10">
        <f t="shared" si="1"/>
        <v>0</v>
      </c>
      <c r="AE64" s="82"/>
      <c r="AF64" s="34">
        <v>200.89</v>
      </c>
    </row>
    <row r="65" spans="1:32" x14ac:dyDescent="0.25">
      <c r="A65" s="7" t="s">
        <v>3550</v>
      </c>
      <c r="B65" s="9" t="s">
        <v>3563</v>
      </c>
      <c r="C65" s="70">
        <v>45328</v>
      </c>
      <c r="D65" s="70">
        <v>45328</v>
      </c>
      <c r="E65" s="73"/>
      <c r="F65" s="9"/>
      <c r="H65" s="9"/>
      <c r="I65" s="7" t="s">
        <v>82</v>
      </c>
      <c r="J65" s="51" t="s">
        <v>35</v>
      </c>
      <c r="K65" s="7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>
        <v>85000</v>
      </c>
      <c r="AA65" s="33"/>
      <c r="AB65" s="10"/>
      <c r="AC65" s="33">
        <v>85000</v>
      </c>
      <c r="AD65" s="10">
        <f t="shared" si="1"/>
        <v>0</v>
      </c>
      <c r="AE65" s="82"/>
      <c r="AF65" s="34"/>
    </row>
    <row r="66" spans="1:32" x14ac:dyDescent="0.25">
      <c r="A66" s="7" t="s">
        <v>3551</v>
      </c>
      <c r="B66" s="9">
        <v>4134601</v>
      </c>
      <c r="C66" s="70">
        <v>45328</v>
      </c>
      <c r="D66" s="70">
        <v>45328</v>
      </c>
      <c r="E66" s="73"/>
      <c r="F66" s="9"/>
      <c r="H66" s="9" t="s">
        <v>3564</v>
      </c>
      <c r="I66" s="7" t="s">
        <v>1174</v>
      </c>
      <c r="J66" s="51" t="s">
        <v>65</v>
      </c>
      <c r="K66" s="7"/>
      <c r="L66" s="10"/>
      <c r="M66" s="10"/>
      <c r="N66" s="10"/>
      <c r="O66" s="10"/>
      <c r="P66" s="10"/>
      <c r="Q66" s="10"/>
      <c r="R66" s="10"/>
      <c r="S66" s="10"/>
      <c r="T66" s="10">
        <v>7762.42</v>
      </c>
      <c r="U66" s="10"/>
      <c r="V66" s="10"/>
      <c r="W66" s="10"/>
      <c r="X66" s="10"/>
      <c r="Y66" s="10"/>
      <c r="Z66" s="10"/>
      <c r="AA66" s="33"/>
      <c r="AB66" s="10"/>
      <c r="AC66" s="33">
        <v>7762.42</v>
      </c>
      <c r="AD66" s="10">
        <f t="shared" si="1"/>
        <v>0</v>
      </c>
      <c r="AE66" s="82"/>
      <c r="AF66" s="34"/>
    </row>
    <row r="67" spans="1:32" x14ac:dyDescent="0.25">
      <c r="A67" s="7" t="s">
        <v>3552</v>
      </c>
      <c r="B67" s="9">
        <v>4134602</v>
      </c>
      <c r="C67" s="47">
        <v>45335</v>
      </c>
      <c r="D67" s="70">
        <v>45329</v>
      </c>
      <c r="E67" s="73"/>
      <c r="F67" s="9"/>
      <c r="H67" s="9"/>
      <c r="I67" s="7" t="s">
        <v>3565</v>
      </c>
      <c r="J67" s="51" t="s">
        <v>43</v>
      </c>
      <c r="K67" s="7"/>
      <c r="L67" s="10">
        <v>64.180000000000007</v>
      </c>
      <c r="M67" s="10"/>
      <c r="N67" s="10"/>
      <c r="O67" s="10"/>
      <c r="P67" s="10"/>
      <c r="Q67" s="10"/>
      <c r="R67" s="10"/>
      <c r="S67" s="10">
        <v>534.82000000000005</v>
      </c>
      <c r="T67" s="10"/>
      <c r="U67" s="10"/>
      <c r="V67" s="10"/>
      <c r="W67" s="10"/>
      <c r="X67" s="10"/>
      <c r="Y67" s="10"/>
      <c r="Z67" s="10"/>
      <c r="AA67" s="33"/>
      <c r="AB67" s="10"/>
      <c r="AC67" s="33">
        <v>599</v>
      </c>
      <c r="AD67" s="10">
        <f t="shared" si="1"/>
        <v>0</v>
      </c>
      <c r="AE67" s="82"/>
      <c r="AF67" s="34"/>
    </row>
    <row r="68" spans="1:32" x14ac:dyDescent="0.25">
      <c r="A68" s="7" t="s">
        <v>3553</v>
      </c>
      <c r="B68" s="9">
        <v>4134603</v>
      </c>
      <c r="C68" s="70">
        <v>45335</v>
      </c>
      <c r="D68" s="70">
        <v>45329</v>
      </c>
      <c r="E68" s="73"/>
      <c r="F68" s="9"/>
      <c r="H68" s="9"/>
      <c r="I68" s="7" t="s">
        <v>3571</v>
      </c>
      <c r="J68" s="51" t="s">
        <v>18</v>
      </c>
      <c r="K68" s="7"/>
      <c r="L68" s="10">
        <v>151.09</v>
      </c>
      <c r="M68" s="10"/>
      <c r="N68" s="10"/>
      <c r="O68" s="10"/>
      <c r="P68" s="10"/>
      <c r="Q68" s="10"/>
      <c r="R68" s="10">
        <v>1259.06</v>
      </c>
      <c r="S68" s="10"/>
      <c r="T68" s="10"/>
      <c r="U68" s="10"/>
      <c r="V68" s="10"/>
      <c r="W68" s="10"/>
      <c r="X68" s="10"/>
      <c r="Y68" s="10"/>
      <c r="Z68" s="10"/>
      <c r="AA68" s="33"/>
      <c r="AB68" s="10"/>
      <c r="AC68" s="33">
        <v>1410.15</v>
      </c>
      <c r="AD68" s="10">
        <f t="shared" si="1"/>
        <v>0</v>
      </c>
      <c r="AE68" s="82"/>
      <c r="AF68" s="34"/>
    </row>
    <row r="69" spans="1:32" x14ac:dyDescent="0.25">
      <c r="A69" s="7" t="s">
        <v>3554</v>
      </c>
      <c r="B69" s="9">
        <v>4134604</v>
      </c>
      <c r="C69" s="70">
        <v>45335</v>
      </c>
      <c r="D69" s="70">
        <v>45329</v>
      </c>
      <c r="E69" s="73"/>
      <c r="F69" s="9"/>
      <c r="H69" s="9"/>
      <c r="I69" s="7" t="s">
        <v>3571</v>
      </c>
      <c r="J69" s="51" t="s">
        <v>18</v>
      </c>
      <c r="K69" s="7"/>
      <c r="L69" s="10">
        <v>811.09</v>
      </c>
      <c r="M69" s="10"/>
      <c r="N69" s="10"/>
      <c r="O69" s="10"/>
      <c r="P69" s="10"/>
      <c r="Q69" s="10"/>
      <c r="R69" s="10">
        <v>6759.06</v>
      </c>
      <c r="S69" s="10"/>
      <c r="T69" s="10"/>
      <c r="U69" s="10"/>
      <c r="V69" s="10"/>
      <c r="W69" s="10"/>
      <c r="X69" s="10"/>
      <c r="Y69" s="10"/>
      <c r="Z69" s="10"/>
      <c r="AA69" s="33"/>
      <c r="AB69" s="10"/>
      <c r="AC69" s="33">
        <v>7570.15</v>
      </c>
      <c r="AD69" s="10">
        <f t="shared" si="1"/>
        <v>0</v>
      </c>
      <c r="AE69" s="82"/>
      <c r="AF69" s="34"/>
    </row>
    <row r="70" spans="1:32" x14ac:dyDescent="0.25">
      <c r="A70" s="7" t="s">
        <v>3555</v>
      </c>
      <c r="B70" s="9" t="s">
        <v>3572</v>
      </c>
      <c r="C70" s="70">
        <v>45329</v>
      </c>
      <c r="D70" s="70">
        <v>45329</v>
      </c>
      <c r="E70" s="73"/>
      <c r="F70" s="9"/>
      <c r="H70" s="9"/>
      <c r="I70" s="7" t="s">
        <v>82</v>
      </c>
      <c r="J70" s="51" t="s">
        <v>39</v>
      </c>
      <c r="K70" s="7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>
        <v>39000</v>
      </c>
      <c r="AA70" s="33"/>
      <c r="AB70" s="10"/>
      <c r="AC70" s="33">
        <v>39000</v>
      </c>
      <c r="AD70" s="10">
        <f t="shared" si="1"/>
        <v>0</v>
      </c>
      <c r="AE70" s="82"/>
      <c r="AF70" s="34"/>
    </row>
    <row r="71" spans="1:32" x14ac:dyDescent="0.25">
      <c r="A71" s="7" t="s">
        <v>3566</v>
      </c>
      <c r="B71" s="9" t="s">
        <v>3573</v>
      </c>
      <c r="C71" s="70">
        <v>45334</v>
      </c>
      <c r="D71" s="70">
        <v>45334</v>
      </c>
      <c r="E71" s="73"/>
      <c r="F71" s="9"/>
      <c r="H71" s="9"/>
      <c r="I71" s="7" t="s">
        <v>82</v>
      </c>
      <c r="J71" s="51" t="s">
        <v>54</v>
      </c>
      <c r="K71" s="7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400000</v>
      </c>
      <c r="AA71" s="33"/>
      <c r="AB71" s="10"/>
      <c r="AC71" s="33">
        <v>400000</v>
      </c>
      <c r="AD71" s="10">
        <f t="shared" si="1"/>
        <v>0</v>
      </c>
      <c r="AE71" s="82"/>
      <c r="AF71" s="34"/>
    </row>
    <row r="72" spans="1:32" x14ac:dyDescent="0.25">
      <c r="A72" s="7" t="s">
        <v>3567</v>
      </c>
      <c r="B72" s="9" t="s">
        <v>3574</v>
      </c>
      <c r="C72" s="70">
        <v>45334</v>
      </c>
      <c r="D72" s="70">
        <v>45334</v>
      </c>
      <c r="E72" s="73"/>
      <c r="F72" s="9"/>
      <c r="H72" s="9"/>
      <c r="I72" s="7" t="s">
        <v>3575</v>
      </c>
      <c r="J72" s="51" t="s">
        <v>54</v>
      </c>
      <c r="K72" s="7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>
        <v>100000</v>
      </c>
      <c r="AA72" s="33"/>
      <c r="AB72" s="10"/>
      <c r="AC72" s="33">
        <v>100000</v>
      </c>
      <c r="AD72" s="10">
        <f t="shared" si="1"/>
        <v>0</v>
      </c>
      <c r="AE72" s="82"/>
      <c r="AF72" s="34"/>
    </row>
    <row r="73" spans="1:32" x14ac:dyDescent="0.25">
      <c r="A73" s="7" t="s">
        <v>3568</v>
      </c>
      <c r="B73" s="9" t="s">
        <v>3588</v>
      </c>
      <c r="C73" s="70">
        <v>45334</v>
      </c>
      <c r="D73" s="70">
        <v>45334</v>
      </c>
      <c r="E73" s="73">
        <v>45334</v>
      </c>
      <c r="F73" s="9" t="s">
        <v>3605</v>
      </c>
      <c r="H73" s="9"/>
      <c r="I73" s="7" t="s">
        <v>3589</v>
      </c>
      <c r="J73" s="51" t="s">
        <v>3590</v>
      </c>
      <c r="K73" s="7" t="s">
        <v>3604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33">
        <v>600000</v>
      </c>
      <c r="AB73" s="10"/>
      <c r="AC73" s="33">
        <v>600000</v>
      </c>
      <c r="AD73" s="10">
        <f t="shared" si="1"/>
        <v>0</v>
      </c>
      <c r="AE73" s="82"/>
      <c r="AF73" s="34"/>
    </row>
    <row r="74" spans="1:32" x14ac:dyDescent="0.25">
      <c r="A74" s="7" t="s">
        <v>3569</v>
      </c>
      <c r="B74" s="9" t="s">
        <v>3591</v>
      </c>
      <c r="C74" s="70">
        <v>45334</v>
      </c>
      <c r="D74" s="70">
        <v>45334</v>
      </c>
      <c r="E74" s="73"/>
      <c r="F74" s="9"/>
      <c r="H74" s="9"/>
      <c r="I74" s="7" t="s">
        <v>3592</v>
      </c>
      <c r="J74" s="51" t="s">
        <v>3590</v>
      </c>
      <c r="K74" s="7" t="s">
        <v>3604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33">
        <v>14870.4</v>
      </c>
      <c r="AB74" s="10"/>
      <c r="AC74" s="33">
        <v>14870.4</v>
      </c>
      <c r="AD74" s="10">
        <f t="shared" si="1"/>
        <v>0</v>
      </c>
      <c r="AE74" s="82"/>
      <c r="AF74" s="34"/>
    </row>
    <row r="75" spans="1:32" x14ac:dyDescent="0.25">
      <c r="A75" s="7" t="s">
        <v>3570</v>
      </c>
      <c r="B75" s="9" t="s">
        <v>3585</v>
      </c>
      <c r="C75" s="70">
        <v>45334</v>
      </c>
      <c r="D75" s="70">
        <v>45334</v>
      </c>
      <c r="E75" s="73"/>
      <c r="F75" s="9"/>
      <c r="H75" s="9"/>
      <c r="I75" s="7" t="s">
        <v>3586</v>
      </c>
      <c r="J75" s="51" t="s">
        <v>79</v>
      </c>
      <c r="K75" s="7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33">
        <v>26305.5</v>
      </c>
      <c r="AB75" s="10"/>
      <c r="AC75" s="33">
        <v>26305.5</v>
      </c>
      <c r="AD75" s="10">
        <f t="shared" si="1"/>
        <v>0</v>
      </c>
      <c r="AE75" s="82"/>
      <c r="AF75" s="34"/>
    </row>
    <row r="76" spans="1:32" x14ac:dyDescent="0.25">
      <c r="A76" s="7" t="s">
        <v>3576</v>
      </c>
      <c r="B76" s="9" t="s">
        <v>3587</v>
      </c>
      <c r="C76" s="70">
        <v>45334</v>
      </c>
      <c r="D76" s="70">
        <v>45334</v>
      </c>
      <c r="E76" s="73"/>
      <c r="F76" s="9"/>
      <c r="H76" s="9"/>
      <c r="I76" s="7" t="s">
        <v>3586</v>
      </c>
      <c r="J76" s="51" t="s">
        <v>79</v>
      </c>
      <c r="K76" s="7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33">
        <v>21070</v>
      </c>
      <c r="AB76" s="10"/>
      <c r="AC76" s="33">
        <v>21070</v>
      </c>
      <c r="AD76" s="10">
        <f t="shared" si="1"/>
        <v>0</v>
      </c>
      <c r="AE76" s="82"/>
      <c r="AF76" s="34"/>
    </row>
    <row r="77" spans="1:32" x14ac:dyDescent="0.25">
      <c r="A77" s="7" t="s">
        <v>3577</v>
      </c>
      <c r="B77" s="9" t="s">
        <v>3582</v>
      </c>
      <c r="C77" s="70">
        <v>45334</v>
      </c>
      <c r="D77" s="70">
        <v>45334</v>
      </c>
      <c r="E77" s="73"/>
      <c r="F77" s="9"/>
      <c r="H77" s="9"/>
      <c r="I77" s="7" t="s">
        <v>3583</v>
      </c>
      <c r="J77" s="51" t="s">
        <v>3584</v>
      </c>
      <c r="K77" s="7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33">
        <v>34633.85</v>
      </c>
      <c r="AB77" s="10"/>
      <c r="AC77" s="33">
        <v>34633.85</v>
      </c>
      <c r="AD77" s="10">
        <f t="shared" si="1"/>
        <v>0</v>
      </c>
      <c r="AE77" s="82"/>
      <c r="AF77" s="34"/>
    </row>
    <row r="78" spans="1:32" x14ac:dyDescent="0.25">
      <c r="A78" s="7" t="s">
        <v>3578</v>
      </c>
      <c r="B78" s="9">
        <v>4134605</v>
      </c>
      <c r="C78" s="70">
        <v>45335</v>
      </c>
      <c r="D78" s="70">
        <v>45335</v>
      </c>
      <c r="E78" s="73"/>
      <c r="F78" s="9"/>
      <c r="H78" s="9"/>
      <c r="I78" s="7" t="s">
        <v>3593</v>
      </c>
      <c r="J78" s="51" t="s">
        <v>44</v>
      </c>
      <c r="K78" s="7"/>
      <c r="L78" s="10">
        <v>1005.6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>
        <v>8379.9599999999991</v>
      </c>
      <c r="Y78" s="10"/>
      <c r="Z78" s="10"/>
      <c r="AA78" s="33"/>
      <c r="AB78" s="10"/>
      <c r="AC78" s="33">
        <v>9385.56</v>
      </c>
      <c r="AD78" s="10">
        <f t="shared" si="1"/>
        <v>0</v>
      </c>
      <c r="AE78" s="82"/>
      <c r="AF78" s="34"/>
    </row>
    <row r="79" spans="1:32" x14ac:dyDescent="0.25">
      <c r="A79" s="7" t="s">
        <v>3579</v>
      </c>
      <c r="B79" s="9">
        <v>4134606</v>
      </c>
      <c r="C79" s="70">
        <v>45335</v>
      </c>
      <c r="D79" s="70">
        <v>45335</v>
      </c>
      <c r="E79" s="73"/>
      <c r="F79" s="9"/>
      <c r="H79" s="9" t="s">
        <v>3601</v>
      </c>
      <c r="I79" s="7" t="s">
        <v>2588</v>
      </c>
      <c r="J79" s="51" t="s">
        <v>65</v>
      </c>
      <c r="K79" s="7"/>
      <c r="L79" s="10"/>
      <c r="M79" s="10"/>
      <c r="N79" s="10"/>
      <c r="O79" s="10"/>
      <c r="P79" s="10"/>
      <c r="Q79" s="10"/>
      <c r="R79" s="10"/>
      <c r="S79" s="10"/>
      <c r="T79" s="10">
        <v>6992.61</v>
      </c>
      <c r="U79" s="10"/>
      <c r="V79" s="10"/>
      <c r="W79" s="10"/>
      <c r="X79" s="10"/>
      <c r="Y79" s="10"/>
      <c r="Z79" s="10"/>
      <c r="AA79" s="33"/>
      <c r="AB79" s="10"/>
      <c r="AC79" s="33">
        <v>6992.61</v>
      </c>
      <c r="AD79" s="10">
        <f t="shared" si="1"/>
        <v>0</v>
      </c>
      <c r="AE79" s="82"/>
      <c r="AF79" s="34"/>
    </row>
    <row r="80" spans="1:32" x14ac:dyDescent="0.25">
      <c r="A80" s="7" t="s">
        <v>3580</v>
      </c>
      <c r="B80" s="9">
        <v>4134607</v>
      </c>
      <c r="C80" s="70">
        <v>45336</v>
      </c>
      <c r="D80" s="70">
        <v>45336</v>
      </c>
      <c r="E80" s="73"/>
      <c r="F80" s="9"/>
      <c r="H80" s="9"/>
      <c r="I80" s="7" t="s">
        <v>3539</v>
      </c>
      <c r="J80" s="51" t="s">
        <v>65</v>
      </c>
      <c r="K80" s="7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33">
        <v>8280</v>
      </c>
      <c r="AB80" s="10"/>
      <c r="AC80" s="33">
        <v>8280</v>
      </c>
      <c r="AD80" s="10">
        <f t="shared" si="1"/>
        <v>0</v>
      </c>
      <c r="AE80" s="82"/>
      <c r="AF80" s="34"/>
    </row>
    <row r="81" spans="1:32" x14ac:dyDescent="0.25">
      <c r="A81" s="7" t="s">
        <v>3581</v>
      </c>
      <c r="B81" s="9">
        <v>4134608</v>
      </c>
      <c r="C81" s="70">
        <v>45336</v>
      </c>
      <c r="D81" s="70">
        <v>45336</v>
      </c>
      <c r="E81" s="73"/>
      <c r="F81" s="9"/>
      <c r="H81" s="9" t="s">
        <v>3627</v>
      </c>
      <c r="I81" s="7" t="s">
        <v>1174</v>
      </c>
      <c r="J81" s="51" t="s">
        <v>65</v>
      </c>
      <c r="K81" s="7"/>
      <c r="L81" s="10"/>
      <c r="M81" s="10"/>
      <c r="N81" s="10"/>
      <c r="O81" s="10"/>
      <c r="P81" s="10"/>
      <c r="Q81" s="10"/>
      <c r="R81" s="10"/>
      <c r="S81" s="10"/>
      <c r="T81" s="10">
        <v>4501</v>
      </c>
      <c r="U81" s="10"/>
      <c r="V81" s="10"/>
      <c r="W81" s="10"/>
      <c r="X81" s="10"/>
      <c r="Y81" s="10"/>
      <c r="Z81" s="10"/>
      <c r="AA81" s="33"/>
      <c r="AB81" s="10"/>
      <c r="AC81" s="33">
        <v>4501</v>
      </c>
      <c r="AD81" s="10">
        <f t="shared" si="1"/>
        <v>0</v>
      </c>
      <c r="AE81" s="82"/>
      <c r="AF81" s="34"/>
    </row>
    <row r="82" spans="1:32" x14ac:dyDescent="0.25">
      <c r="A82" s="7" t="s">
        <v>3594</v>
      </c>
      <c r="B82" s="9">
        <v>4134609</v>
      </c>
      <c r="C82" s="70">
        <v>45336</v>
      </c>
      <c r="D82" s="70">
        <v>45336</v>
      </c>
      <c r="E82" s="73"/>
      <c r="F82" s="9"/>
      <c r="H82" s="9"/>
      <c r="I82" s="7" t="s">
        <v>118</v>
      </c>
      <c r="J82" s="51" t="s">
        <v>1847</v>
      </c>
      <c r="K82" s="7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33">
        <v>18212.61</v>
      </c>
      <c r="AB82" s="10"/>
      <c r="AC82" s="33">
        <v>18212.61</v>
      </c>
      <c r="AD82" s="10">
        <f t="shared" si="1"/>
        <v>0</v>
      </c>
      <c r="AE82" s="82"/>
      <c r="AF82" s="34"/>
    </row>
    <row r="83" spans="1:32" x14ac:dyDescent="0.25">
      <c r="A83" s="7" t="s">
        <v>3595</v>
      </c>
      <c r="B83" s="9">
        <v>4134610</v>
      </c>
      <c r="C83" s="70">
        <v>45360</v>
      </c>
      <c r="D83" s="70">
        <v>45336</v>
      </c>
      <c r="E83" s="73">
        <v>45356</v>
      </c>
      <c r="F83" s="9" t="s">
        <v>3659</v>
      </c>
      <c r="G83" s="9" t="s">
        <v>3449</v>
      </c>
      <c r="H83" s="9"/>
      <c r="I83" s="7" t="s">
        <v>313</v>
      </c>
      <c r="J83" s="51" t="s">
        <v>83</v>
      </c>
      <c r="K83" s="7" t="s">
        <v>1336</v>
      </c>
      <c r="L83" s="10">
        <v>18780</v>
      </c>
      <c r="M83" s="10">
        <v>156500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33"/>
      <c r="AB83" s="10"/>
      <c r="AC83" s="33">
        <v>175280</v>
      </c>
      <c r="AD83" s="10">
        <f t="shared" si="1"/>
        <v>0</v>
      </c>
      <c r="AE83" s="82"/>
      <c r="AF83" s="34">
        <v>1565</v>
      </c>
    </row>
    <row r="84" spans="1:32" x14ac:dyDescent="0.25">
      <c r="A84" s="7" t="s">
        <v>3596</v>
      </c>
      <c r="B84" s="9" t="s">
        <v>3602</v>
      </c>
      <c r="C84" s="70">
        <v>45341</v>
      </c>
      <c r="D84" s="70">
        <v>45341</v>
      </c>
      <c r="E84" s="73"/>
      <c r="F84" s="9"/>
      <c r="H84" s="9"/>
      <c r="I84" s="7" t="s">
        <v>64</v>
      </c>
      <c r="J84" s="97" t="s">
        <v>3603</v>
      </c>
      <c r="K84" s="7"/>
      <c r="L84" s="10"/>
      <c r="M84" s="10"/>
      <c r="N84" s="10"/>
      <c r="O84" s="10"/>
      <c r="P84" s="10">
        <v>50000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33"/>
      <c r="AB84" s="10"/>
      <c r="AC84" s="33">
        <v>50000</v>
      </c>
      <c r="AD84" s="10">
        <f t="shared" si="1"/>
        <v>0</v>
      </c>
      <c r="AE84" s="82"/>
      <c r="AF84" s="34"/>
    </row>
    <row r="85" spans="1:32" x14ac:dyDescent="0.25">
      <c r="A85" s="7" t="s">
        <v>3597</v>
      </c>
      <c r="B85" s="9">
        <v>4134611</v>
      </c>
      <c r="C85" s="70">
        <v>45341</v>
      </c>
      <c r="D85" s="70">
        <v>45341</v>
      </c>
      <c r="E85" s="73"/>
      <c r="F85" s="9"/>
      <c r="H85" s="9"/>
      <c r="I85" s="7" t="s">
        <v>118</v>
      </c>
      <c r="J85" s="51" t="s">
        <v>125</v>
      </c>
      <c r="K85" s="7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33">
        <v>21000</v>
      </c>
      <c r="AB85" s="10"/>
      <c r="AC85" s="33">
        <v>21000</v>
      </c>
      <c r="AD85" s="10">
        <f t="shared" si="1"/>
        <v>0</v>
      </c>
      <c r="AE85" s="82"/>
      <c r="AF85" s="34"/>
    </row>
    <row r="86" spans="1:32" x14ac:dyDescent="0.25">
      <c r="A86" s="7" t="s">
        <v>3598</v>
      </c>
      <c r="B86" s="9">
        <v>4134612</v>
      </c>
      <c r="C86" s="70">
        <v>45341</v>
      </c>
      <c r="D86" s="70">
        <v>45341</v>
      </c>
      <c r="E86" s="73"/>
      <c r="F86" s="9"/>
      <c r="H86" s="9"/>
      <c r="I86" s="7" t="s">
        <v>3617</v>
      </c>
      <c r="J86" s="51" t="s">
        <v>46</v>
      </c>
      <c r="K86" s="7"/>
      <c r="L86" s="10">
        <v>160.61000000000001</v>
      </c>
      <c r="M86" s="10"/>
      <c r="N86" s="10"/>
      <c r="O86" s="10"/>
      <c r="P86" s="10"/>
      <c r="Q86" s="10"/>
      <c r="R86" s="10"/>
      <c r="S86" s="10">
        <v>1338.39</v>
      </c>
      <c r="T86" s="10"/>
      <c r="U86" s="10"/>
      <c r="V86" s="10"/>
      <c r="W86" s="10"/>
      <c r="X86" s="10"/>
      <c r="Y86" s="10"/>
      <c r="Z86" s="10"/>
      <c r="AA86" s="33"/>
      <c r="AB86" s="10"/>
      <c r="AC86" s="33">
        <v>1499</v>
      </c>
      <c r="AD86" s="10">
        <f t="shared" si="1"/>
        <v>0</v>
      </c>
      <c r="AE86" s="82"/>
      <c r="AF86" s="34"/>
    </row>
    <row r="87" spans="1:32" x14ac:dyDescent="0.25">
      <c r="A87" s="7" t="s">
        <v>3599</v>
      </c>
      <c r="B87" s="9">
        <v>4134613</v>
      </c>
      <c r="C87" s="70">
        <v>45341</v>
      </c>
      <c r="D87" s="70">
        <v>45341</v>
      </c>
      <c r="E87" s="73"/>
      <c r="F87" s="9"/>
      <c r="H87" s="9"/>
      <c r="I87" s="7" t="s">
        <v>3617</v>
      </c>
      <c r="J87" s="51" t="s">
        <v>46</v>
      </c>
      <c r="K87" s="7"/>
      <c r="L87" s="10">
        <v>107.04</v>
      </c>
      <c r="M87" s="10"/>
      <c r="N87" s="10"/>
      <c r="O87" s="10"/>
      <c r="P87" s="10"/>
      <c r="Q87" s="10"/>
      <c r="R87" s="10"/>
      <c r="S87" s="10">
        <v>891.96</v>
      </c>
      <c r="T87" s="10"/>
      <c r="U87" s="10"/>
      <c r="V87" s="10"/>
      <c r="W87" s="10"/>
      <c r="X87" s="10"/>
      <c r="Y87" s="10"/>
      <c r="Z87" s="10"/>
      <c r="AA87" s="33"/>
      <c r="AB87" s="10"/>
      <c r="AC87" s="33">
        <v>999</v>
      </c>
      <c r="AD87" s="10">
        <f t="shared" si="1"/>
        <v>0</v>
      </c>
      <c r="AE87" s="82"/>
      <c r="AF87" s="10"/>
    </row>
    <row r="88" spans="1:32" x14ac:dyDescent="0.25">
      <c r="A88" s="7" t="s">
        <v>3600</v>
      </c>
      <c r="B88" s="9">
        <v>4134614</v>
      </c>
      <c r="C88" s="70">
        <v>45341</v>
      </c>
      <c r="D88" s="70">
        <v>45341</v>
      </c>
      <c r="E88" s="73"/>
      <c r="F88" s="9"/>
      <c r="H88" s="9"/>
      <c r="I88" s="7" t="s">
        <v>3617</v>
      </c>
      <c r="J88" s="51" t="s">
        <v>46</v>
      </c>
      <c r="K88" s="7"/>
      <c r="L88" s="10">
        <v>107.04</v>
      </c>
      <c r="M88" s="10"/>
      <c r="N88" s="10"/>
      <c r="O88" s="10"/>
      <c r="P88" s="10"/>
      <c r="Q88" s="10"/>
      <c r="R88" s="10"/>
      <c r="S88" s="10">
        <v>891.96</v>
      </c>
      <c r="T88" s="10"/>
      <c r="U88" s="10"/>
      <c r="V88" s="10"/>
      <c r="W88" s="10"/>
      <c r="X88" s="10"/>
      <c r="Y88" s="10"/>
      <c r="Z88" s="10"/>
      <c r="AA88" s="33"/>
      <c r="AB88" s="10"/>
      <c r="AC88" s="33">
        <v>999</v>
      </c>
      <c r="AD88" s="10">
        <f t="shared" si="1"/>
        <v>0</v>
      </c>
      <c r="AE88" s="82"/>
      <c r="AF88" s="34"/>
    </row>
    <row r="89" spans="1:32" x14ac:dyDescent="0.25">
      <c r="A89" s="7" t="s">
        <v>3606</v>
      </c>
      <c r="B89" s="9">
        <v>4134615</v>
      </c>
      <c r="C89" s="70">
        <v>45341</v>
      </c>
      <c r="D89" s="70">
        <v>45341</v>
      </c>
      <c r="E89" s="73"/>
      <c r="F89" s="9"/>
      <c r="H89" s="9"/>
      <c r="I89" s="7" t="s">
        <v>3618</v>
      </c>
      <c r="J89" s="51" t="s">
        <v>46</v>
      </c>
      <c r="K89" s="7"/>
      <c r="L89" s="10">
        <v>107.04</v>
      </c>
      <c r="M89" s="10"/>
      <c r="N89" s="10"/>
      <c r="O89" s="10"/>
      <c r="P89" s="10"/>
      <c r="Q89" s="10"/>
      <c r="R89" s="10"/>
      <c r="S89" s="10">
        <v>891.96</v>
      </c>
      <c r="T89" s="10"/>
      <c r="U89" s="10"/>
      <c r="V89" s="10"/>
      <c r="W89" s="10"/>
      <c r="X89" s="10"/>
      <c r="Y89" s="10"/>
      <c r="Z89" s="10"/>
      <c r="AA89" s="33"/>
      <c r="AB89" s="10"/>
      <c r="AC89" s="33">
        <v>999</v>
      </c>
      <c r="AD89" s="10">
        <f t="shared" si="1"/>
        <v>0</v>
      </c>
      <c r="AE89" s="82"/>
      <c r="AF89" s="34"/>
    </row>
    <row r="90" spans="1:32" x14ac:dyDescent="0.25">
      <c r="A90" s="7" t="s">
        <v>3607</v>
      </c>
      <c r="B90" s="9">
        <v>4134616</v>
      </c>
      <c r="C90" s="70">
        <v>45341</v>
      </c>
      <c r="D90" s="70">
        <v>45341</v>
      </c>
      <c r="E90" s="73"/>
      <c r="F90" s="9"/>
      <c r="H90" s="9"/>
      <c r="I90" s="7" t="s">
        <v>2379</v>
      </c>
      <c r="J90" s="51" t="s">
        <v>43</v>
      </c>
      <c r="K90" s="7"/>
      <c r="L90" s="10">
        <v>34.82</v>
      </c>
      <c r="M90" s="10"/>
      <c r="N90" s="10"/>
      <c r="O90" s="10"/>
      <c r="P90" s="10"/>
      <c r="Q90" s="10"/>
      <c r="R90" s="10"/>
      <c r="S90" s="10">
        <v>290.18</v>
      </c>
      <c r="T90" s="10"/>
      <c r="U90" s="10"/>
      <c r="V90" s="10"/>
      <c r="W90" s="10"/>
      <c r="X90" s="10"/>
      <c r="Y90" s="10"/>
      <c r="Z90" s="10"/>
      <c r="AA90" s="33"/>
      <c r="AB90" s="10"/>
      <c r="AC90" s="33">
        <v>325</v>
      </c>
      <c r="AD90" s="10">
        <f t="shared" si="1"/>
        <v>0</v>
      </c>
      <c r="AE90" s="82"/>
      <c r="AF90" s="34"/>
    </row>
    <row r="91" spans="1:32" x14ac:dyDescent="0.25">
      <c r="A91" s="7" t="s">
        <v>3608</v>
      </c>
      <c r="B91" s="9">
        <v>4134617</v>
      </c>
      <c r="C91" s="70">
        <v>45341</v>
      </c>
      <c r="D91" s="70">
        <v>45341</v>
      </c>
      <c r="E91" s="73"/>
      <c r="F91" s="9"/>
      <c r="H91" s="9" t="s">
        <v>3630</v>
      </c>
      <c r="I91" s="7" t="s">
        <v>3616</v>
      </c>
      <c r="J91" s="51" t="s">
        <v>709</v>
      </c>
      <c r="K91" s="7" t="s">
        <v>2432</v>
      </c>
      <c r="L91" s="10">
        <v>964.29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33">
        <v>8035.71</v>
      </c>
      <c r="AB91" s="10"/>
      <c r="AC91" s="33">
        <v>10000</v>
      </c>
      <c r="AD91" s="10">
        <f t="shared" si="1"/>
        <v>1000</v>
      </c>
      <c r="AE91" s="82" t="s">
        <v>3624</v>
      </c>
      <c r="AF91" s="34"/>
    </row>
    <row r="92" spans="1:32" x14ac:dyDescent="0.25">
      <c r="A92" s="7" t="s">
        <v>3609</v>
      </c>
      <c r="B92" s="9">
        <v>4134618</v>
      </c>
      <c r="C92" s="70">
        <v>45343</v>
      </c>
      <c r="D92" s="70">
        <v>45343</v>
      </c>
      <c r="E92" s="73"/>
      <c r="F92" s="9"/>
      <c r="H92" s="9"/>
      <c r="I92" s="7" t="s">
        <v>3625</v>
      </c>
      <c r="J92" s="51" t="s">
        <v>3626</v>
      </c>
      <c r="K92" s="7"/>
      <c r="L92" s="10">
        <v>1059.97</v>
      </c>
      <c r="M92" s="10"/>
      <c r="N92" s="10"/>
      <c r="O92" s="10"/>
      <c r="P92" s="10"/>
      <c r="Q92" s="10"/>
      <c r="R92" s="10"/>
      <c r="S92" s="10">
        <v>8833.0400000000009</v>
      </c>
      <c r="T92" s="10"/>
      <c r="U92" s="10"/>
      <c r="V92" s="10"/>
      <c r="W92" s="10"/>
      <c r="X92" s="10"/>
      <c r="Y92" s="10"/>
      <c r="Z92" s="10"/>
      <c r="AA92" s="33"/>
      <c r="AB92" s="10"/>
      <c r="AC92" s="33">
        <v>9893.01</v>
      </c>
      <c r="AD92" s="10">
        <f t="shared" si="1"/>
        <v>0</v>
      </c>
      <c r="AE92" s="82"/>
      <c r="AF92" s="34">
        <v>176.7</v>
      </c>
    </row>
    <row r="93" spans="1:32" x14ac:dyDescent="0.25">
      <c r="A93" s="7" t="s">
        <v>3610</v>
      </c>
      <c r="B93" s="9">
        <v>4134619</v>
      </c>
      <c r="C93" s="70">
        <v>45343</v>
      </c>
      <c r="D93" s="70">
        <v>45343</v>
      </c>
      <c r="E93" s="73"/>
      <c r="F93" s="9"/>
      <c r="H93" s="9" t="s">
        <v>3631</v>
      </c>
      <c r="I93" s="7" t="s">
        <v>1174</v>
      </c>
      <c r="J93" s="51" t="s">
        <v>65</v>
      </c>
      <c r="K93" s="7"/>
      <c r="L93" s="10"/>
      <c r="M93" s="10"/>
      <c r="N93" s="10"/>
      <c r="O93" s="10"/>
      <c r="P93" s="10"/>
      <c r="Q93" s="10"/>
      <c r="R93" s="10"/>
      <c r="S93" s="10"/>
      <c r="T93" s="10">
        <v>8700.8700000000008</v>
      </c>
      <c r="U93" s="10"/>
      <c r="V93" s="10"/>
      <c r="W93" s="10"/>
      <c r="X93" s="10"/>
      <c r="Y93" s="10"/>
      <c r="Z93" s="10"/>
      <c r="AA93" s="33"/>
      <c r="AB93" s="10"/>
      <c r="AC93" s="33">
        <v>8700.8700000000008</v>
      </c>
      <c r="AD93" s="10">
        <f t="shared" si="1"/>
        <v>0</v>
      </c>
      <c r="AE93" s="82"/>
      <c r="AF93" s="34"/>
    </row>
    <row r="94" spans="1:32" x14ac:dyDescent="0.25">
      <c r="A94" s="7" t="s">
        <v>3611</v>
      </c>
      <c r="B94" s="9">
        <v>4134620</v>
      </c>
      <c r="C94" s="70">
        <v>45386</v>
      </c>
      <c r="D94" s="70">
        <v>45343</v>
      </c>
      <c r="E94" s="73">
        <v>45344</v>
      </c>
      <c r="F94" s="9" t="s">
        <v>3629</v>
      </c>
      <c r="G94" s="9" t="s">
        <v>3461</v>
      </c>
      <c r="H94" s="9"/>
      <c r="I94" s="7" t="s">
        <v>3531</v>
      </c>
      <c r="J94" s="51" t="s">
        <v>1226</v>
      </c>
      <c r="K94" s="7" t="s">
        <v>2924</v>
      </c>
      <c r="L94" s="10">
        <v>2410.71</v>
      </c>
      <c r="M94" s="10">
        <v>20089.29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33"/>
      <c r="AB94" s="10"/>
      <c r="AC94" s="33">
        <v>22500</v>
      </c>
      <c r="AD94" s="10">
        <f t="shared" si="1"/>
        <v>0</v>
      </c>
      <c r="AE94" s="82"/>
      <c r="AF94" s="34">
        <v>200.89</v>
      </c>
    </row>
    <row r="95" spans="1:32" x14ac:dyDescent="0.25">
      <c r="A95" s="7" t="s">
        <v>3612</v>
      </c>
      <c r="B95" s="9">
        <v>4134621</v>
      </c>
      <c r="C95" s="70">
        <v>45345</v>
      </c>
      <c r="D95" s="70">
        <v>45345</v>
      </c>
      <c r="E95" s="73"/>
      <c r="F95" s="9"/>
      <c r="H95" s="9"/>
      <c r="I95" s="7" t="s">
        <v>2544</v>
      </c>
      <c r="J95" s="51" t="s">
        <v>65</v>
      </c>
      <c r="K95" s="7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33">
        <v>18250</v>
      </c>
      <c r="AB95" s="10"/>
      <c r="AC95" s="33">
        <v>18250</v>
      </c>
      <c r="AD95" s="10">
        <f t="shared" si="1"/>
        <v>0</v>
      </c>
      <c r="AE95" s="82"/>
      <c r="AF95" s="34"/>
    </row>
    <row r="96" spans="1:32" x14ac:dyDescent="0.25">
      <c r="A96" s="7" t="s">
        <v>3613</v>
      </c>
      <c r="B96" s="9">
        <v>4134622</v>
      </c>
      <c r="C96" s="70">
        <v>45345</v>
      </c>
      <c r="D96" s="70">
        <v>45345</v>
      </c>
      <c r="E96" s="73"/>
      <c r="F96" s="9"/>
      <c r="H96" s="9"/>
      <c r="I96" s="7" t="s">
        <v>3640</v>
      </c>
      <c r="J96" s="51" t="s">
        <v>39</v>
      </c>
      <c r="K96" s="7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33">
        <v>67750.649999999994</v>
      </c>
      <c r="AB96" s="10"/>
      <c r="AC96" s="33">
        <v>67750.649999999994</v>
      </c>
      <c r="AD96" s="10">
        <f t="shared" si="1"/>
        <v>0</v>
      </c>
      <c r="AE96" s="82"/>
      <c r="AF96" s="34"/>
    </row>
    <row r="97" spans="1:32" x14ac:dyDescent="0.25">
      <c r="A97" s="7" t="s">
        <v>3614</v>
      </c>
      <c r="B97" s="9">
        <v>4134623</v>
      </c>
      <c r="C97" s="70">
        <v>45345</v>
      </c>
      <c r="D97" s="70">
        <v>45345</v>
      </c>
      <c r="E97" s="73">
        <v>45358</v>
      </c>
      <c r="F97" s="9" t="s">
        <v>3692</v>
      </c>
      <c r="H97" s="9"/>
      <c r="I97" s="7" t="s">
        <v>3720</v>
      </c>
      <c r="J97" s="51" t="s">
        <v>187</v>
      </c>
      <c r="K97" s="7"/>
      <c r="L97" s="10">
        <v>979.2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33">
        <v>7996.8</v>
      </c>
      <c r="AB97" s="10"/>
      <c r="AC97" s="33">
        <v>8976</v>
      </c>
      <c r="AD97" s="10">
        <f t="shared" si="1"/>
        <v>0</v>
      </c>
      <c r="AE97" s="82"/>
      <c r="AF97" s="34"/>
    </row>
    <row r="98" spans="1:32" x14ac:dyDescent="0.25">
      <c r="A98" s="7" t="s">
        <v>3615</v>
      </c>
      <c r="B98" s="9">
        <v>4134624</v>
      </c>
      <c r="C98" s="70">
        <v>45345</v>
      </c>
      <c r="D98" s="70">
        <v>45345</v>
      </c>
      <c r="E98" s="73">
        <v>45356</v>
      </c>
      <c r="F98" s="9" t="s">
        <v>3712</v>
      </c>
      <c r="G98" s="9" t="s">
        <v>3460</v>
      </c>
      <c r="H98" s="9"/>
      <c r="I98" s="7" t="s">
        <v>3641</v>
      </c>
      <c r="J98" s="51" t="s">
        <v>109</v>
      </c>
      <c r="K98" s="7"/>
      <c r="L98" s="10"/>
      <c r="M98" s="10">
        <v>27500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33"/>
      <c r="AB98" s="10"/>
      <c r="AC98" s="33">
        <v>27500</v>
      </c>
      <c r="AD98" s="10">
        <f t="shared" si="1"/>
        <v>0</v>
      </c>
      <c r="AE98" s="82"/>
      <c r="AF98" s="34"/>
    </row>
    <row r="99" spans="1:32" x14ac:dyDescent="0.25">
      <c r="A99" s="7" t="s">
        <v>3633</v>
      </c>
      <c r="B99" s="9">
        <v>4134625</v>
      </c>
      <c r="C99" s="70">
        <v>45389</v>
      </c>
      <c r="D99" s="70">
        <v>45345</v>
      </c>
      <c r="E99" s="73">
        <v>45351</v>
      </c>
      <c r="F99" s="9" t="s">
        <v>3655</v>
      </c>
      <c r="G99" s="9" t="s">
        <v>3463</v>
      </c>
      <c r="H99" s="9"/>
      <c r="I99" s="7" t="s">
        <v>3642</v>
      </c>
      <c r="J99" s="51" t="s">
        <v>1226</v>
      </c>
      <c r="K99" s="7" t="s">
        <v>2924</v>
      </c>
      <c r="L99" s="10">
        <v>5185.71</v>
      </c>
      <c r="M99" s="10">
        <v>43214.29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33"/>
      <c r="AB99" s="10"/>
      <c r="AC99" s="33">
        <v>48400</v>
      </c>
      <c r="AD99" s="10">
        <f t="shared" si="1"/>
        <v>0</v>
      </c>
      <c r="AE99" s="82"/>
      <c r="AF99" s="34">
        <v>432.14</v>
      </c>
    </row>
    <row r="100" spans="1:32" x14ac:dyDescent="0.25">
      <c r="A100" s="7" t="s">
        <v>3634</v>
      </c>
      <c r="B100" s="9">
        <v>4134626</v>
      </c>
      <c r="C100" s="70">
        <v>45374</v>
      </c>
      <c r="D100" s="70">
        <v>45348</v>
      </c>
      <c r="E100" s="73">
        <v>45349</v>
      </c>
      <c r="F100" s="9" t="s">
        <v>3647</v>
      </c>
      <c r="G100" s="9" t="s">
        <v>3462</v>
      </c>
      <c r="H100" s="9"/>
      <c r="I100" s="7" t="s">
        <v>3644</v>
      </c>
      <c r="J100" s="51" t="s">
        <v>2043</v>
      </c>
      <c r="K100" s="7" t="s">
        <v>3645</v>
      </c>
      <c r="L100" s="10">
        <v>2437.5</v>
      </c>
      <c r="M100" s="10">
        <v>20312.5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33"/>
      <c r="AB100" s="10"/>
      <c r="AC100" s="33">
        <v>22750</v>
      </c>
      <c r="AD100" s="10">
        <f t="shared" si="1"/>
        <v>0</v>
      </c>
      <c r="AE100" s="82"/>
      <c r="AF100" s="34">
        <v>203.13</v>
      </c>
    </row>
    <row r="101" spans="1:32" x14ac:dyDescent="0.25">
      <c r="A101" s="7" t="s">
        <v>3635</v>
      </c>
      <c r="B101" s="9">
        <v>4134627</v>
      </c>
      <c r="C101" s="70">
        <v>45348</v>
      </c>
      <c r="D101" s="70">
        <v>45348</v>
      </c>
      <c r="E101" s="73"/>
      <c r="F101" s="9"/>
      <c r="H101" s="9" t="s">
        <v>3646</v>
      </c>
      <c r="I101" s="7" t="s">
        <v>1174</v>
      </c>
      <c r="J101" s="51" t="s">
        <v>65</v>
      </c>
      <c r="K101" s="7"/>
      <c r="L101" s="10"/>
      <c r="M101" s="10"/>
      <c r="N101" s="10"/>
      <c r="O101" s="10"/>
      <c r="P101" s="10"/>
      <c r="Q101" s="10"/>
      <c r="R101" s="10"/>
      <c r="S101" s="10"/>
      <c r="T101" s="10">
        <v>5633</v>
      </c>
      <c r="U101" s="10"/>
      <c r="V101" s="10"/>
      <c r="W101" s="10"/>
      <c r="X101" s="10"/>
      <c r="Y101" s="10"/>
      <c r="Z101" s="10"/>
      <c r="AA101" s="33"/>
      <c r="AB101" s="10"/>
      <c r="AC101" s="33">
        <v>5633</v>
      </c>
      <c r="AD101" s="10">
        <f t="shared" si="1"/>
        <v>0</v>
      </c>
      <c r="AE101" s="82"/>
      <c r="AF101" s="34"/>
    </row>
    <row r="102" spans="1:32" x14ac:dyDescent="0.25">
      <c r="A102" s="7" t="s">
        <v>3636</v>
      </c>
      <c r="B102" s="9">
        <v>4134628</v>
      </c>
      <c r="C102" s="70">
        <v>45378</v>
      </c>
      <c r="D102" s="70">
        <v>45351</v>
      </c>
      <c r="E102" s="73">
        <v>45371</v>
      </c>
      <c r="F102" s="9" t="s">
        <v>3733</v>
      </c>
      <c r="G102" s="9" t="s">
        <v>3464</v>
      </c>
      <c r="H102" s="9"/>
      <c r="I102" s="7" t="s">
        <v>3654</v>
      </c>
      <c r="J102" s="51" t="s">
        <v>3527</v>
      </c>
      <c r="K102" s="7" t="s">
        <v>3530</v>
      </c>
      <c r="L102" s="10">
        <v>1542.86</v>
      </c>
      <c r="M102" s="10">
        <v>12857.14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33"/>
      <c r="AB102" s="10"/>
      <c r="AC102" s="33">
        <v>14400</v>
      </c>
      <c r="AD102" s="10">
        <f t="shared" si="1"/>
        <v>0</v>
      </c>
      <c r="AE102" s="82"/>
      <c r="AF102" s="34">
        <v>128.57</v>
      </c>
    </row>
    <row r="103" spans="1:32" x14ac:dyDescent="0.25">
      <c r="A103" s="7" t="s">
        <v>3637</v>
      </c>
      <c r="B103" s="9">
        <v>4134629</v>
      </c>
      <c r="C103" s="70">
        <v>45378</v>
      </c>
      <c r="D103" s="70">
        <v>45351</v>
      </c>
      <c r="E103" s="73">
        <v>45371</v>
      </c>
      <c r="F103" s="9" t="s">
        <v>3734</v>
      </c>
      <c r="G103" s="9" t="s">
        <v>3466</v>
      </c>
      <c r="H103" s="9"/>
      <c r="I103" s="7" t="s">
        <v>756</v>
      </c>
      <c r="J103" s="51" t="s">
        <v>3527</v>
      </c>
      <c r="K103" s="7" t="s">
        <v>3530</v>
      </c>
      <c r="L103" s="10">
        <v>4682.1400000000003</v>
      </c>
      <c r="M103" s="10">
        <v>39017.86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33"/>
      <c r="AB103" s="10"/>
      <c r="AC103" s="33">
        <v>43700</v>
      </c>
      <c r="AD103" s="10">
        <f t="shared" si="1"/>
        <v>0</v>
      </c>
      <c r="AE103" s="82"/>
      <c r="AF103" s="34">
        <v>390.18</v>
      </c>
    </row>
    <row r="104" spans="1:32" x14ac:dyDescent="0.25">
      <c r="A104" s="7" t="s">
        <v>3638</v>
      </c>
      <c r="B104" s="9">
        <v>4134630</v>
      </c>
      <c r="C104" s="70">
        <v>45351</v>
      </c>
      <c r="D104" s="70">
        <v>45351</v>
      </c>
      <c r="E104" s="73"/>
      <c r="F104" s="9"/>
      <c r="H104" s="9"/>
      <c r="I104" s="7" t="s">
        <v>118</v>
      </c>
      <c r="J104" s="51" t="s">
        <v>1847</v>
      </c>
      <c r="K104" s="7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33">
        <v>17768.400000000001</v>
      </c>
      <c r="AB104" s="10"/>
      <c r="AC104" s="33">
        <v>17768.400000000001</v>
      </c>
      <c r="AD104" s="10">
        <f t="shared" si="1"/>
        <v>0</v>
      </c>
      <c r="AE104" s="82"/>
      <c r="AF104" s="34"/>
    </row>
    <row r="105" spans="1:32" x14ac:dyDescent="0.25">
      <c r="A105" s="7" t="s">
        <v>3639</v>
      </c>
      <c r="B105" s="9">
        <v>4134631</v>
      </c>
      <c r="C105" s="70">
        <v>45351</v>
      </c>
      <c r="D105" s="70">
        <v>45351</v>
      </c>
      <c r="E105" s="73"/>
      <c r="F105" s="9"/>
      <c r="H105" s="9"/>
      <c r="I105" s="7" t="s">
        <v>3539</v>
      </c>
      <c r="J105" s="51" t="s">
        <v>65</v>
      </c>
      <c r="K105" s="7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33">
        <v>5280</v>
      </c>
      <c r="AB105" s="10"/>
      <c r="AC105" s="33">
        <v>5280</v>
      </c>
      <c r="AD105" s="10">
        <f t="shared" si="1"/>
        <v>0</v>
      </c>
      <c r="AE105" s="82"/>
      <c r="AF105" s="34"/>
    </row>
    <row r="106" spans="1:32" s="39" customFormat="1" x14ac:dyDescent="0.25">
      <c r="A106" s="20"/>
      <c r="B106" s="19"/>
      <c r="C106" s="72"/>
      <c r="D106" s="72"/>
      <c r="E106" s="77"/>
      <c r="F106" s="19"/>
      <c r="G106" s="19"/>
      <c r="H106" s="19"/>
      <c r="I106" s="20"/>
      <c r="J106" s="20"/>
      <c r="K106" s="20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32"/>
      <c r="AB106" s="22"/>
      <c r="AC106" s="32"/>
      <c r="AD106" s="22"/>
      <c r="AE106" s="96"/>
      <c r="AF106" s="35"/>
    </row>
    <row r="107" spans="1:32" s="39" customFormat="1" x14ac:dyDescent="0.25">
      <c r="A107" s="25">
        <v>45352</v>
      </c>
      <c r="B107" s="19"/>
      <c r="C107" s="72"/>
      <c r="D107" s="72"/>
      <c r="E107" s="77"/>
      <c r="F107" s="19"/>
      <c r="G107" s="19"/>
      <c r="H107" s="19"/>
      <c r="I107" s="20"/>
      <c r="J107" s="20"/>
      <c r="K107" s="20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32"/>
      <c r="AB107" s="22"/>
      <c r="AC107" s="32"/>
      <c r="AD107" s="22"/>
      <c r="AE107" s="96"/>
      <c r="AF107" s="35"/>
    </row>
    <row r="108" spans="1:32" x14ac:dyDescent="0.25">
      <c r="A108" s="7" t="s">
        <v>3648</v>
      </c>
      <c r="B108" s="9">
        <v>4134632</v>
      </c>
      <c r="C108" s="70">
        <v>45355</v>
      </c>
      <c r="D108" s="70">
        <v>45355</v>
      </c>
      <c r="E108" s="73"/>
      <c r="F108" s="9"/>
      <c r="H108" s="9" t="s">
        <v>3669</v>
      </c>
      <c r="I108" s="7" t="s">
        <v>2588</v>
      </c>
      <c r="J108" s="51" t="s">
        <v>65</v>
      </c>
      <c r="K108" s="7"/>
      <c r="L108" s="10"/>
      <c r="M108" s="10"/>
      <c r="N108" s="10"/>
      <c r="O108" s="10"/>
      <c r="P108" s="10"/>
      <c r="Q108" s="10"/>
      <c r="R108" s="10"/>
      <c r="S108" s="10"/>
      <c r="T108" s="10">
        <v>8593.8700000000008</v>
      </c>
      <c r="U108" s="10"/>
      <c r="V108" s="10"/>
      <c r="W108" s="10"/>
      <c r="X108" s="10"/>
      <c r="Y108" s="10"/>
      <c r="Z108" s="10"/>
      <c r="AA108" s="33"/>
      <c r="AB108" s="10"/>
      <c r="AC108" s="33">
        <v>8593.8700000000008</v>
      </c>
      <c r="AD108" s="10">
        <f t="shared" si="1"/>
        <v>0</v>
      </c>
      <c r="AE108" s="82"/>
      <c r="AF108" s="34"/>
    </row>
    <row r="109" spans="1:32" x14ac:dyDescent="0.25">
      <c r="A109" s="7" t="s">
        <v>3649</v>
      </c>
      <c r="B109" s="9">
        <v>4134633</v>
      </c>
      <c r="C109" s="70">
        <v>45380</v>
      </c>
      <c r="D109" s="70">
        <v>45355</v>
      </c>
      <c r="E109" s="73">
        <v>45370</v>
      </c>
      <c r="F109" s="9" t="s">
        <v>3729</v>
      </c>
      <c r="G109" s="9" t="s">
        <v>3467</v>
      </c>
      <c r="H109" s="9"/>
      <c r="I109" s="7" t="s">
        <v>3657</v>
      </c>
      <c r="J109" s="51" t="s">
        <v>83</v>
      </c>
      <c r="K109" s="7" t="s">
        <v>1336</v>
      </c>
      <c r="L109" s="10">
        <v>1200</v>
      </c>
      <c r="M109" s="10">
        <v>10000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33"/>
      <c r="AB109" s="10"/>
      <c r="AC109" s="33">
        <v>11200</v>
      </c>
      <c r="AD109" s="10">
        <f t="shared" si="1"/>
        <v>0</v>
      </c>
      <c r="AE109" s="82"/>
      <c r="AF109" s="34">
        <v>100</v>
      </c>
    </row>
    <row r="110" spans="1:32" x14ac:dyDescent="0.25">
      <c r="A110" s="7" t="s">
        <v>3650</v>
      </c>
      <c r="B110" s="9">
        <v>4134634</v>
      </c>
      <c r="C110" s="70">
        <v>45380</v>
      </c>
      <c r="D110" s="70">
        <v>45355</v>
      </c>
      <c r="E110" s="73">
        <v>45371</v>
      </c>
      <c r="F110" s="9" t="s">
        <v>3735</v>
      </c>
      <c r="G110" s="9" t="s">
        <v>3468</v>
      </c>
      <c r="H110" s="9"/>
      <c r="I110" s="7" t="s">
        <v>3014</v>
      </c>
      <c r="J110" s="51" t="s">
        <v>3527</v>
      </c>
      <c r="K110" s="7" t="s">
        <v>3530</v>
      </c>
      <c r="L110" s="10">
        <v>1414.29</v>
      </c>
      <c r="M110" s="10">
        <v>11785.71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33"/>
      <c r="AB110" s="10"/>
      <c r="AC110" s="33">
        <v>13200</v>
      </c>
      <c r="AD110" s="10">
        <f t="shared" si="1"/>
        <v>0</v>
      </c>
      <c r="AE110" s="82"/>
      <c r="AF110" s="34">
        <v>117.86</v>
      </c>
    </row>
    <row r="111" spans="1:32" x14ac:dyDescent="0.25">
      <c r="A111" s="7" t="s">
        <v>3651</v>
      </c>
      <c r="B111" s="9">
        <v>4134635</v>
      </c>
      <c r="C111" s="70">
        <v>45387</v>
      </c>
      <c r="D111" s="70">
        <v>45355</v>
      </c>
      <c r="E111" s="73">
        <v>45390</v>
      </c>
      <c r="F111" s="9" t="s">
        <v>3757</v>
      </c>
      <c r="G111" s="9" t="s">
        <v>3471</v>
      </c>
      <c r="H111" s="9"/>
      <c r="I111" s="7" t="s">
        <v>3658</v>
      </c>
      <c r="J111" s="51" t="s">
        <v>2687</v>
      </c>
      <c r="K111" s="7" t="s">
        <v>2688</v>
      </c>
      <c r="L111" s="10">
        <v>1596.43</v>
      </c>
      <c r="M111" s="10">
        <v>13303.57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33"/>
      <c r="AB111" s="10"/>
      <c r="AC111" s="33">
        <v>14900</v>
      </c>
      <c r="AD111" s="10">
        <f t="shared" si="1"/>
        <v>0</v>
      </c>
      <c r="AE111" s="82"/>
      <c r="AF111" s="34">
        <v>133.04</v>
      </c>
    </row>
    <row r="112" spans="1:32" x14ac:dyDescent="0.25">
      <c r="A112" s="7" t="s">
        <v>3652</v>
      </c>
      <c r="B112" s="9">
        <v>4134636</v>
      </c>
      <c r="C112" s="70">
        <v>45387</v>
      </c>
      <c r="D112" s="70">
        <v>45356</v>
      </c>
      <c r="E112" s="73">
        <v>45364</v>
      </c>
      <c r="F112" s="9" t="s">
        <v>3695</v>
      </c>
      <c r="G112" s="9" t="s">
        <v>3656</v>
      </c>
      <c r="H112" s="9"/>
      <c r="I112" s="7" t="s">
        <v>1001</v>
      </c>
      <c r="J112" s="51" t="s">
        <v>2087</v>
      </c>
      <c r="K112" s="7" t="s">
        <v>2088</v>
      </c>
      <c r="L112" s="10">
        <v>11250</v>
      </c>
      <c r="M112" s="10">
        <v>93750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33"/>
      <c r="AB112" s="10"/>
      <c r="AC112" s="33">
        <v>105000</v>
      </c>
      <c r="AD112" s="10">
        <f t="shared" si="1"/>
        <v>0</v>
      </c>
      <c r="AE112" s="82"/>
      <c r="AF112" s="34">
        <v>937.5</v>
      </c>
    </row>
    <row r="113" spans="1:32" x14ac:dyDescent="0.25">
      <c r="A113" s="7" t="s">
        <v>3653</v>
      </c>
      <c r="B113" s="9">
        <v>4134637</v>
      </c>
      <c r="C113" s="70">
        <v>45356</v>
      </c>
      <c r="D113" s="70">
        <v>45356</v>
      </c>
      <c r="E113" s="73"/>
      <c r="F113" s="9"/>
      <c r="H113" s="9"/>
      <c r="I113" s="7" t="s">
        <v>3666</v>
      </c>
      <c r="J113" s="51" t="s">
        <v>3667</v>
      </c>
      <c r="K113" s="7"/>
      <c r="L113" s="10"/>
      <c r="M113" s="10">
        <v>9464.6200000000008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33"/>
      <c r="AB113" s="10"/>
      <c r="AC113" s="33">
        <v>9464.6200000000008</v>
      </c>
      <c r="AD113" s="10">
        <f t="shared" si="1"/>
        <v>0</v>
      </c>
      <c r="AE113" s="82"/>
      <c r="AF113" s="34"/>
    </row>
    <row r="114" spans="1:32" x14ac:dyDescent="0.25">
      <c r="A114" s="7" t="s">
        <v>3660</v>
      </c>
      <c r="B114" s="9">
        <v>4134638</v>
      </c>
      <c r="C114" s="70">
        <v>45356</v>
      </c>
      <c r="D114" s="70">
        <v>45356</v>
      </c>
      <c r="E114" s="73"/>
      <c r="F114" s="9"/>
      <c r="H114" s="9"/>
      <c r="I114" s="7" t="s">
        <v>3668</v>
      </c>
      <c r="J114" s="51" t="s">
        <v>126</v>
      </c>
      <c r="K114" s="7"/>
      <c r="L114" s="10">
        <v>3375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33">
        <v>28125</v>
      </c>
      <c r="AB114" s="10"/>
      <c r="AC114" s="33">
        <v>31500</v>
      </c>
      <c r="AD114" s="10">
        <f t="shared" si="1"/>
        <v>0</v>
      </c>
      <c r="AE114" s="82"/>
      <c r="AF114" s="34"/>
    </row>
    <row r="115" spans="1:32" x14ac:dyDescent="0.25">
      <c r="A115" s="7" t="s">
        <v>3661</v>
      </c>
      <c r="B115" s="9">
        <v>4134639</v>
      </c>
      <c r="C115" s="70">
        <v>45356</v>
      </c>
      <c r="D115" s="70">
        <v>45356</v>
      </c>
      <c r="E115" s="73"/>
      <c r="F115" s="9"/>
      <c r="H115" s="9" t="s">
        <v>3670</v>
      </c>
      <c r="I115" s="7" t="s">
        <v>1174</v>
      </c>
      <c r="J115" s="51" t="s">
        <v>3667</v>
      </c>
      <c r="K115" s="7"/>
      <c r="L115" s="10"/>
      <c r="M115" s="10"/>
      <c r="N115" s="10"/>
      <c r="O115" s="10"/>
      <c r="P115" s="10"/>
      <c r="Q115" s="10"/>
      <c r="R115" s="10"/>
      <c r="S115" s="10"/>
      <c r="T115" s="10">
        <v>4443</v>
      </c>
      <c r="U115" s="10"/>
      <c r="V115" s="10"/>
      <c r="W115" s="10"/>
      <c r="X115" s="10"/>
      <c r="Y115" s="10"/>
      <c r="Z115" s="10"/>
      <c r="AA115" s="33"/>
      <c r="AB115" s="10"/>
      <c r="AC115" s="33">
        <v>4443</v>
      </c>
      <c r="AD115" s="10">
        <f t="shared" si="1"/>
        <v>0</v>
      </c>
      <c r="AE115" s="82"/>
      <c r="AF115" s="34"/>
    </row>
    <row r="116" spans="1:32" x14ac:dyDescent="0.25">
      <c r="A116" s="7" t="s">
        <v>3662</v>
      </c>
      <c r="B116" s="9">
        <v>4134640</v>
      </c>
      <c r="C116" s="70">
        <v>45357</v>
      </c>
      <c r="D116" s="70">
        <v>45357</v>
      </c>
      <c r="E116" s="73"/>
      <c r="F116" s="9"/>
      <c r="H116" s="9"/>
      <c r="I116" s="7" t="s">
        <v>50</v>
      </c>
      <c r="J116" s="51" t="s">
        <v>39</v>
      </c>
      <c r="K116" s="7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33">
        <v>11818.75</v>
      </c>
      <c r="AB116" s="10"/>
      <c r="AC116" s="33">
        <v>11818.75</v>
      </c>
      <c r="AD116" s="10">
        <f t="shared" si="1"/>
        <v>0</v>
      </c>
      <c r="AE116" s="82"/>
      <c r="AF116" s="34"/>
    </row>
    <row r="117" spans="1:32" x14ac:dyDescent="0.25">
      <c r="A117" s="7" t="s">
        <v>3663</v>
      </c>
      <c r="B117" s="9" t="s">
        <v>3678</v>
      </c>
      <c r="C117" s="70">
        <v>45362</v>
      </c>
      <c r="D117" s="70">
        <v>45362</v>
      </c>
      <c r="E117" s="73">
        <v>45363</v>
      </c>
      <c r="F117" s="9" t="s">
        <v>3711</v>
      </c>
      <c r="H117" s="9"/>
      <c r="I117" s="7" t="s">
        <v>63</v>
      </c>
      <c r="J117" s="51" t="s">
        <v>109</v>
      </c>
      <c r="K117" s="7"/>
      <c r="L117" s="10"/>
      <c r="M117" s="10"/>
      <c r="N117" s="10">
        <v>117526.5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33"/>
      <c r="AB117" s="10"/>
      <c r="AC117" s="33">
        <v>117526.5</v>
      </c>
      <c r="AD117" s="10">
        <f t="shared" si="1"/>
        <v>0</v>
      </c>
      <c r="AE117" s="82"/>
      <c r="AF117" s="34"/>
    </row>
    <row r="118" spans="1:32" x14ac:dyDescent="0.25">
      <c r="A118" s="7" t="s">
        <v>3664</v>
      </c>
      <c r="B118" s="9">
        <v>4134641</v>
      </c>
      <c r="C118" s="70">
        <v>45362</v>
      </c>
      <c r="D118" s="70">
        <v>45362</v>
      </c>
      <c r="E118" s="73"/>
      <c r="F118" s="9"/>
      <c r="H118" s="9"/>
      <c r="I118" s="7" t="s">
        <v>3679</v>
      </c>
      <c r="J118" s="51" t="s">
        <v>18</v>
      </c>
      <c r="K118" s="7"/>
      <c r="L118" s="10">
        <v>151.09</v>
      </c>
      <c r="M118" s="10"/>
      <c r="N118" s="10"/>
      <c r="O118" s="10"/>
      <c r="P118" s="10"/>
      <c r="Q118" s="10"/>
      <c r="R118" s="10">
        <v>1259.06</v>
      </c>
      <c r="S118" s="10"/>
      <c r="T118" s="10"/>
      <c r="U118" s="10"/>
      <c r="V118" s="10"/>
      <c r="W118" s="10"/>
      <c r="X118" s="10"/>
      <c r="Y118" s="10"/>
      <c r="Z118" s="10"/>
      <c r="AA118" s="33"/>
      <c r="AB118" s="10"/>
      <c r="AC118" s="33">
        <v>1410.15</v>
      </c>
      <c r="AD118" s="10">
        <f t="shared" si="1"/>
        <v>0</v>
      </c>
      <c r="AE118" s="82"/>
      <c r="AF118" s="34"/>
    </row>
    <row r="119" spans="1:32" x14ac:dyDescent="0.25">
      <c r="A119" s="7" t="s">
        <v>3665</v>
      </c>
      <c r="B119" s="9">
        <v>4134642</v>
      </c>
      <c r="C119" s="70">
        <v>45362</v>
      </c>
      <c r="D119" s="70">
        <v>45362</v>
      </c>
      <c r="E119" s="73"/>
      <c r="F119" s="9"/>
      <c r="H119" s="9"/>
      <c r="I119" s="7" t="s">
        <v>3679</v>
      </c>
      <c r="J119" s="51" t="s">
        <v>18</v>
      </c>
      <c r="K119" s="7"/>
      <c r="L119" s="10">
        <v>811.09</v>
      </c>
      <c r="M119" s="10"/>
      <c r="N119" s="10"/>
      <c r="O119" s="10"/>
      <c r="P119" s="10"/>
      <c r="Q119" s="10"/>
      <c r="R119" s="10">
        <v>6759.06</v>
      </c>
      <c r="S119" s="10"/>
      <c r="T119" s="10"/>
      <c r="U119" s="10"/>
      <c r="V119" s="10"/>
      <c r="W119" s="10"/>
      <c r="X119" s="10"/>
      <c r="Y119" s="10"/>
      <c r="Z119" s="10"/>
      <c r="AA119" s="33"/>
      <c r="AB119" s="10"/>
      <c r="AC119" s="33">
        <v>7570.15</v>
      </c>
      <c r="AD119" s="10">
        <f t="shared" si="1"/>
        <v>0</v>
      </c>
      <c r="AE119" s="82"/>
      <c r="AF119" s="34"/>
    </row>
    <row r="120" spans="1:32" x14ac:dyDescent="0.25">
      <c r="A120" s="7" t="s">
        <v>3671</v>
      </c>
      <c r="B120" s="9">
        <v>4134643</v>
      </c>
      <c r="C120" s="70">
        <v>45362</v>
      </c>
      <c r="D120" s="70">
        <v>45362</v>
      </c>
      <c r="E120" s="73"/>
      <c r="F120" s="9"/>
      <c r="H120" s="9"/>
      <c r="I120" s="7" t="s">
        <v>3680</v>
      </c>
      <c r="J120" s="51" t="s">
        <v>3667</v>
      </c>
      <c r="K120" s="7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33">
        <v>11700</v>
      </c>
      <c r="AB120" s="10"/>
      <c r="AC120" s="33">
        <v>11700</v>
      </c>
      <c r="AD120" s="10">
        <f t="shared" si="1"/>
        <v>0</v>
      </c>
      <c r="AE120" s="82"/>
      <c r="AF120" s="34"/>
    </row>
    <row r="121" spans="1:32" x14ac:dyDescent="0.25">
      <c r="A121" s="7" t="s">
        <v>3672</v>
      </c>
      <c r="B121" s="9">
        <v>4134644</v>
      </c>
      <c r="C121" s="70">
        <v>45362</v>
      </c>
      <c r="D121" s="70">
        <v>45362</v>
      </c>
      <c r="E121" s="73"/>
      <c r="F121" s="9"/>
      <c r="H121" s="9"/>
      <c r="I121" s="7" t="s">
        <v>123</v>
      </c>
      <c r="J121" s="51" t="s">
        <v>2855</v>
      </c>
      <c r="K121" s="7"/>
      <c r="L121" s="10"/>
      <c r="M121" s="10">
        <v>23000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33"/>
      <c r="AB121" s="10"/>
      <c r="AC121" s="33">
        <v>23000</v>
      </c>
      <c r="AD121" s="10">
        <f t="shared" si="1"/>
        <v>0</v>
      </c>
      <c r="AE121" s="82"/>
      <c r="AF121" s="34"/>
    </row>
    <row r="122" spans="1:32" x14ac:dyDescent="0.25">
      <c r="A122" s="7" t="s">
        <v>3673</v>
      </c>
      <c r="B122" s="9">
        <v>4134645</v>
      </c>
      <c r="C122" s="70">
        <v>45404</v>
      </c>
      <c r="D122" s="70">
        <v>45362</v>
      </c>
      <c r="E122" s="73">
        <v>45387</v>
      </c>
      <c r="F122" s="9" t="s">
        <v>3756</v>
      </c>
      <c r="G122" s="9" t="s">
        <v>2448</v>
      </c>
      <c r="H122" s="9"/>
      <c r="I122" s="7" t="s">
        <v>1131</v>
      </c>
      <c r="J122" s="51" t="s">
        <v>1226</v>
      </c>
      <c r="K122" s="7" t="s">
        <v>2924</v>
      </c>
      <c r="L122" s="10">
        <v>8035.71</v>
      </c>
      <c r="M122" s="10">
        <v>66964.289999999994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33"/>
      <c r="AB122" s="10"/>
      <c r="AC122" s="33">
        <v>75000</v>
      </c>
      <c r="AD122" s="10">
        <f t="shared" si="1"/>
        <v>0</v>
      </c>
      <c r="AE122" s="82"/>
      <c r="AF122" s="34">
        <v>669.64</v>
      </c>
    </row>
    <row r="123" spans="1:32" x14ac:dyDescent="0.25">
      <c r="A123" s="7" t="s">
        <v>3674</v>
      </c>
      <c r="B123" s="9">
        <v>4134646</v>
      </c>
      <c r="C123" s="70">
        <v>45362</v>
      </c>
      <c r="D123" s="70">
        <v>45362</v>
      </c>
      <c r="E123" s="73"/>
      <c r="F123" s="9"/>
      <c r="H123" s="9"/>
      <c r="I123" s="7" t="s">
        <v>118</v>
      </c>
      <c r="J123" s="51" t="s">
        <v>125</v>
      </c>
      <c r="K123" s="7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33">
        <v>18000</v>
      </c>
      <c r="AB123" s="10"/>
      <c r="AC123" s="33">
        <v>18000</v>
      </c>
      <c r="AD123" s="10">
        <f t="shared" si="1"/>
        <v>0</v>
      </c>
      <c r="AE123" s="82"/>
      <c r="AF123" s="34"/>
    </row>
    <row r="124" spans="1:32" x14ac:dyDescent="0.25">
      <c r="A124" s="7" t="s">
        <v>3675</v>
      </c>
      <c r="B124" s="9">
        <v>4134647</v>
      </c>
      <c r="C124" s="70">
        <v>45362</v>
      </c>
      <c r="D124" s="70">
        <v>45362</v>
      </c>
      <c r="E124" s="73"/>
      <c r="F124" s="9"/>
      <c r="H124" s="9"/>
      <c r="I124" s="7" t="s">
        <v>3688</v>
      </c>
      <c r="J124" s="51" t="s">
        <v>1261</v>
      </c>
      <c r="K124" s="7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33">
        <v>3360</v>
      </c>
      <c r="AB124" s="10"/>
      <c r="AC124" s="33">
        <v>3360</v>
      </c>
      <c r="AD124" s="10">
        <f t="shared" si="1"/>
        <v>0</v>
      </c>
      <c r="AE124" s="82"/>
      <c r="AF124" s="34"/>
    </row>
    <row r="125" spans="1:32" x14ac:dyDescent="0.25">
      <c r="A125" s="7" t="s">
        <v>3676</v>
      </c>
      <c r="B125" s="9">
        <v>4134648</v>
      </c>
      <c r="C125" s="70">
        <v>45362</v>
      </c>
      <c r="D125" s="70">
        <v>45362</v>
      </c>
      <c r="E125" s="73"/>
      <c r="F125" s="9"/>
      <c r="H125" s="9"/>
      <c r="I125" s="7" t="s">
        <v>3689</v>
      </c>
      <c r="J125" s="51" t="s">
        <v>1261</v>
      </c>
      <c r="K125" s="7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33">
        <v>3136</v>
      </c>
      <c r="AB125" s="10"/>
      <c r="AC125" s="33">
        <v>3136</v>
      </c>
      <c r="AD125" s="10">
        <f t="shared" si="1"/>
        <v>0</v>
      </c>
      <c r="AE125" s="82"/>
      <c r="AF125" s="34"/>
    </row>
    <row r="126" spans="1:32" x14ac:dyDescent="0.25">
      <c r="A126" s="7" t="s">
        <v>3677</v>
      </c>
      <c r="B126" s="9">
        <v>4134649</v>
      </c>
      <c r="C126" s="70">
        <v>45362</v>
      </c>
      <c r="D126" s="70">
        <v>45362</v>
      </c>
      <c r="E126" s="73"/>
      <c r="F126" s="9"/>
      <c r="H126" s="9"/>
      <c r="I126" s="7" t="s">
        <v>3690</v>
      </c>
      <c r="J126" s="51" t="s">
        <v>1261</v>
      </c>
      <c r="K126" s="7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33">
        <v>3136</v>
      </c>
      <c r="AB126" s="10"/>
      <c r="AC126" s="33">
        <v>3136</v>
      </c>
      <c r="AD126" s="10">
        <f t="shared" si="1"/>
        <v>0</v>
      </c>
      <c r="AE126" s="82"/>
      <c r="AF126" s="34"/>
    </row>
    <row r="127" spans="1:32" x14ac:dyDescent="0.25">
      <c r="A127" s="7" t="s">
        <v>3682</v>
      </c>
      <c r="B127" s="9">
        <v>4134650</v>
      </c>
      <c r="C127" s="70">
        <v>45362</v>
      </c>
      <c r="D127" s="70">
        <v>45362</v>
      </c>
      <c r="E127" s="73"/>
      <c r="F127" s="9"/>
      <c r="H127" s="9"/>
      <c r="I127" s="7" t="s">
        <v>3691</v>
      </c>
      <c r="J127" s="51" t="s">
        <v>43</v>
      </c>
      <c r="K127" s="7"/>
      <c r="L127" s="10">
        <v>64.180000000000007</v>
      </c>
      <c r="M127" s="10"/>
      <c r="N127" s="10"/>
      <c r="O127" s="10"/>
      <c r="P127" s="10"/>
      <c r="Q127" s="10"/>
      <c r="R127" s="10"/>
      <c r="S127" s="10">
        <v>534.82000000000005</v>
      </c>
      <c r="T127" s="10"/>
      <c r="U127" s="10"/>
      <c r="V127" s="10"/>
      <c r="W127" s="10"/>
      <c r="X127" s="10"/>
      <c r="Y127" s="10"/>
      <c r="Z127" s="10"/>
      <c r="AA127" s="33"/>
      <c r="AB127" s="10"/>
      <c r="AC127" s="33">
        <v>599</v>
      </c>
      <c r="AD127" s="10">
        <f t="shared" si="1"/>
        <v>0</v>
      </c>
      <c r="AE127" s="82"/>
      <c r="AF127" s="34"/>
    </row>
    <row r="128" spans="1:32" x14ac:dyDescent="0.25">
      <c r="A128" s="7" t="s">
        <v>3683</v>
      </c>
      <c r="B128" s="9">
        <v>4134651</v>
      </c>
      <c r="C128" s="70">
        <v>45362</v>
      </c>
      <c r="D128" s="70">
        <v>45362</v>
      </c>
      <c r="E128" s="73"/>
      <c r="F128" s="9"/>
      <c r="H128" s="9"/>
      <c r="I128" s="7" t="s">
        <v>3691</v>
      </c>
      <c r="J128" s="51" t="s">
        <v>43</v>
      </c>
      <c r="K128" s="7"/>
      <c r="L128" s="10">
        <v>29.46</v>
      </c>
      <c r="M128" s="10"/>
      <c r="N128" s="10"/>
      <c r="O128" s="10"/>
      <c r="P128" s="10"/>
      <c r="Q128" s="10"/>
      <c r="R128" s="10"/>
      <c r="S128" s="10">
        <v>245.54</v>
      </c>
      <c r="T128" s="10"/>
      <c r="U128" s="10"/>
      <c r="V128" s="10"/>
      <c r="W128" s="10"/>
      <c r="X128" s="10"/>
      <c r="Y128" s="10"/>
      <c r="Z128" s="10"/>
      <c r="AA128" s="33"/>
      <c r="AB128" s="10"/>
      <c r="AC128" s="33">
        <v>275</v>
      </c>
      <c r="AD128" s="10">
        <f t="shared" si="1"/>
        <v>0</v>
      </c>
      <c r="AE128" s="82"/>
      <c r="AF128" s="34"/>
    </row>
    <row r="129" spans="1:32" x14ac:dyDescent="0.25">
      <c r="A129" s="7" t="s">
        <v>3684</v>
      </c>
      <c r="B129" s="9" t="s">
        <v>3693</v>
      </c>
      <c r="C129" s="70">
        <v>45363</v>
      </c>
      <c r="D129" s="70">
        <v>45363</v>
      </c>
      <c r="E129" s="73"/>
      <c r="F129" s="9"/>
      <c r="H129" s="9"/>
      <c r="I129" s="7" t="s">
        <v>55</v>
      </c>
      <c r="J129" s="51" t="s">
        <v>54</v>
      </c>
      <c r="K129" s="7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>
        <v>200000</v>
      </c>
      <c r="AA129" s="33"/>
      <c r="AB129" s="10"/>
      <c r="AC129" s="33">
        <v>200000</v>
      </c>
      <c r="AD129" s="10">
        <f t="shared" ref="AD129:AD192" si="2">SUM(AB129:AC129)-SUM(L129:AA129)</f>
        <v>0</v>
      </c>
      <c r="AE129" s="82"/>
      <c r="AF129" s="34"/>
    </row>
    <row r="130" spans="1:32" x14ac:dyDescent="0.25">
      <c r="A130" s="7" t="s">
        <v>3685</v>
      </c>
      <c r="B130" s="9">
        <v>4134652</v>
      </c>
      <c r="C130" s="47">
        <v>45366</v>
      </c>
      <c r="D130" s="70">
        <v>45366</v>
      </c>
      <c r="E130" s="73">
        <v>45373</v>
      </c>
      <c r="F130" s="9" t="s">
        <v>3736</v>
      </c>
      <c r="H130" s="9"/>
      <c r="I130" s="7" t="s">
        <v>1307</v>
      </c>
      <c r="J130" s="51" t="s">
        <v>399</v>
      </c>
      <c r="K130" s="7"/>
      <c r="L130" s="10">
        <v>642.86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33">
        <v>5357.14</v>
      </c>
      <c r="AB130" s="10"/>
      <c r="AC130" s="33">
        <v>5000</v>
      </c>
      <c r="AD130" s="10">
        <f t="shared" si="2"/>
        <v>-1000</v>
      </c>
      <c r="AE130" s="82" t="s">
        <v>3751</v>
      </c>
      <c r="AF130" s="34"/>
    </row>
    <row r="131" spans="1:32" x14ac:dyDescent="0.25">
      <c r="A131" s="7" t="s">
        <v>3686</v>
      </c>
      <c r="B131" s="9">
        <v>4134653</v>
      </c>
      <c r="C131" s="47">
        <v>45366</v>
      </c>
      <c r="D131" s="70">
        <v>45366</v>
      </c>
      <c r="E131" s="73"/>
      <c r="F131" s="9"/>
      <c r="H131" s="9" t="s">
        <v>3732</v>
      </c>
      <c r="I131" s="7" t="s">
        <v>1174</v>
      </c>
      <c r="J131" s="51" t="s">
        <v>3667</v>
      </c>
      <c r="K131" s="7"/>
      <c r="L131" s="10"/>
      <c r="M131" s="10"/>
      <c r="N131" s="10"/>
      <c r="O131" s="10"/>
      <c r="P131" s="10"/>
      <c r="Q131" s="10"/>
      <c r="R131" s="10"/>
      <c r="S131" s="10"/>
      <c r="T131" s="10">
        <v>5038</v>
      </c>
      <c r="U131" s="10"/>
      <c r="V131" s="10"/>
      <c r="W131" s="10"/>
      <c r="X131" s="10"/>
      <c r="Y131" s="10"/>
      <c r="Z131" s="10"/>
      <c r="AA131" s="33"/>
      <c r="AB131" s="10"/>
      <c r="AC131" s="33">
        <v>5038</v>
      </c>
      <c r="AD131" s="10">
        <f t="shared" si="2"/>
        <v>0</v>
      </c>
      <c r="AE131" s="82"/>
      <c r="AF131" s="34"/>
    </row>
    <row r="132" spans="1:32" x14ac:dyDescent="0.25">
      <c r="A132" s="7" t="s">
        <v>3687</v>
      </c>
      <c r="B132" s="9">
        <v>4134654</v>
      </c>
      <c r="C132" s="70">
        <v>45366</v>
      </c>
      <c r="D132" s="70">
        <v>45366</v>
      </c>
      <c r="E132" s="73"/>
      <c r="F132" s="9"/>
      <c r="H132" s="9"/>
      <c r="I132" s="7" t="s">
        <v>118</v>
      </c>
      <c r="J132" s="51" t="s">
        <v>1847</v>
      </c>
      <c r="K132" s="7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33">
        <v>16213.67</v>
      </c>
      <c r="AB132" s="10"/>
      <c r="AC132" s="33">
        <v>16213.67</v>
      </c>
      <c r="AD132" s="10">
        <f t="shared" si="2"/>
        <v>0</v>
      </c>
      <c r="AE132" s="82"/>
      <c r="AF132" s="34"/>
    </row>
    <row r="133" spans="1:32" x14ac:dyDescent="0.25">
      <c r="A133" s="7" t="s">
        <v>3696</v>
      </c>
      <c r="B133" s="9">
        <v>4134655</v>
      </c>
      <c r="C133" s="70">
        <v>45366</v>
      </c>
      <c r="D133" s="70">
        <v>45366</v>
      </c>
      <c r="E133" s="73">
        <v>45366</v>
      </c>
      <c r="F133" s="9" t="s">
        <v>3710</v>
      </c>
      <c r="H133" s="9"/>
      <c r="I133" s="7" t="s">
        <v>3708</v>
      </c>
      <c r="J133" s="51" t="s">
        <v>3709</v>
      </c>
      <c r="K133" s="7" t="s">
        <v>3604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33">
        <v>1725</v>
      </c>
      <c r="AB133" s="10"/>
      <c r="AC133" s="33">
        <v>1725</v>
      </c>
      <c r="AD133" s="10">
        <f t="shared" si="2"/>
        <v>0</v>
      </c>
      <c r="AE133" s="82"/>
      <c r="AF133" s="34"/>
    </row>
    <row r="134" spans="1:32" x14ac:dyDescent="0.25">
      <c r="A134" s="7" t="s">
        <v>3681</v>
      </c>
      <c r="B134" s="9">
        <v>4134656</v>
      </c>
      <c r="C134" s="70">
        <v>45366</v>
      </c>
      <c r="D134" s="70">
        <v>45366</v>
      </c>
      <c r="E134" s="73"/>
      <c r="F134" s="9"/>
      <c r="H134" s="9"/>
      <c r="I134" s="7" t="s">
        <v>3707</v>
      </c>
      <c r="J134" s="51" t="s">
        <v>44</v>
      </c>
      <c r="K134" s="7"/>
      <c r="L134" s="10">
        <v>893.85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>
        <v>7448.77</v>
      </c>
      <c r="Y134" s="10"/>
      <c r="Z134" s="10"/>
      <c r="AA134" s="33"/>
      <c r="AB134" s="10"/>
      <c r="AC134" s="33">
        <v>8342.6200000000008</v>
      </c>
      <c r="AD134" s="10">
        <f t="shared" si="2"/>
        <v>0</v>
      </c>
      <c r="AE134" s="82"/>
      <c r="AF134" s="34"/>
    </row>
    <row r="135" spans="1:32" x14ac:dyDescent="0.25">
      <c r="A135" s="7" t="s">
        <v>3697</v>
      </c>
      <c r="B135" s="9">
        <v>4134657</v>
      </c>
      <c r="C135" s="70">
        <v>45396</v>
      </c>
      <c r="D135" s="70">
        <v>45366</v>
      </c>
      <c r="E135" s="73">
        <v>45370</v>
      </c>
      <c r="F135" s="9" t="s">
        <v>3730</v>
      </c>
      <c r="G135" s="9" t="s">
        <v>3467</v>
      </c>
      <c r="H135" s="9"/>
      <c r="I135" s="7" t="s">
        <v>3706</v>
      </c>
      <c r="J135" s="51" t="s">
        <v>83</v>
      </c>
      <c r="K135" s="7" t="s">
        <v>1336</v>
      </c>
      <c r="L135" s="10">
        <v>3120</v>
      </c>
      <c r="M135" s="10">
        <v>26000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33"/>
      <c r="AB135" s="10"/>
      <c r="AC135" s="33">
        <v>29120</v>
      </c>
      <c r="AD135" s="10">
        <f t="shared" si="2"/>
        <v>0</v>
      </c>
      <c r="AE135" s="82"/>
      <c r="AF135" s="34">
        <v>260</v>
      </c>
    </row>
    <row r="136" spans="1:32" x14ac:dyDescent="0.25">
      <c r="A136" s="7" t="s">
        <v>3698</v>
      </c>
      <c r="B136" s="9">
        <v>4134658</v>
      </c>
      <c r="C136" s="70">
        <v>45369</v>
      </c>
      <c r="D136" s="70">
        <v>45366</v>
      </c>
      <c r="E136" s="73">
        <v>45370</v>
      </c>
      <c r="F136" s="9" t="s">
        <v>3731</v>
      </c>
      <c r="G136" s="9" t="s">
        <v>3472</v>
      </c>
      <c r="H136" s="9"/>
      <c r="I136" s="7" t="s">
        <v>3705</v>
      </c>
      <c r="J136" s="51" t="s">
        <v>1999</v>
      </c>
      <c r="K136" s="7" t="s">
        <v>2297</v>
      </c>
      <c r="L136" s="10">
        <v>2839.29</v>
      </c>
      <c r="M136" s="10">
        <v>23660.71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33"/>
      <c r="AB136" s="10"/>
      <c r="AC136" s="33">
        <v>26500</v>
      </c>
      <c r="AD136" s="10">
        <f t="shared" si="2"/>
        <v>0</v>
      </c>
      <c r="AE136" s="82"/>
      <c r="AF136" s="34">
        <v>236.61</v>
      </c>
    </row>
    <row r="137" spans="1:32" x14ac:dyDescent="0.25">
      <c r="A137" s="7" t="s">
        <v>3699</v>
      </c>
      <c r="B137" s="9">
        <v>4134659</v>
      </c>
      <c r="C137" s="70">
        <v>45366</v>
      </c>
      <c r="D137" s="70">
        <v>45366</v>
      </c>
      <c r="E137" s="73"/>
      <c r="F137" s="9"/>
      <c r="H137" s="9"/>
      <c r="I137" s="7" t="s">
        <v>3704</v>
      </c>
      <c r="J137" s="51" t="s">
        <v>3667</v>
      </c>
      <c r="K137" s="7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33">
        <v>6480</v>
      </c>
      <c r="AB137" s="10"/>
      <c r="AC137" s="33">
        <v>6480</v>
      </c>
      <c r="AD137" s="10">
        <f t="shared" si="2"/>
        <v>0</v>
      </c>
      <c r="AE137" s="82"/>
      <c r="AF137" s="34"/>
    </row>
    <row r="138" spans="1:32" x14ac:dyDescent="0.25">
      <c r="A138" s="7" t="s">
        <v>3700</v>
      </c>
      <c r="B138" s="9">
        <v>4134660</v>
      </c>
      <c r="C138" s="70">
        <v>45369</v>
      </c>
      <c r="D138" s="70">
        <v>45369</v>
      </c>
      <c r="E138" s="73"/>
      <c r="F138" s="9"/>
      <c r="H138" s="9"/>
      <c r="I138" s="7" t="s">
        <v>3718</v>
      </c>
      <c r="J138" s="51" t="s">
        <v>46</v>
      </c>
      <c r="K138" s="7"/>
      <c r="L138" s="10">
        <v>1611.89</v>
      </c>
      <c r="M138" s="10"/>
      <c r="N138" s="10"/>
      <c r="O138" s="10"/>
      <c r="P138" s="10"/>
      <c r="Q138" s="10"/>
      <c r="R138" s="10"/>
      <c r="S138" s="10">
        <v>13432.38</v>
      </c>
      <c r="T138" s="10"/>
      <c r="U138" s="10"/>
      <c r="V138" s="10"/>
      <c r="W138" s="10"/>
      <c r="X138" s="10"/>
      <c r="Y138" s="10"/>
      <c r="Z138" s="10"/>
      <c r="AA138" s="33"/>
      <c r="AB138" s="10"/>
      <c r="AC138" s="33">
        <v>15044.27</v>
      </c>
      <c r="AD138" s="10">
        <f t="shared" si="2"/>
        <v>0</v>
      </c>
      <c r="AE138" s="82"/>
      <c r="AF138" s="34">
        <v>268.68</v>
      </c>
    </row>
    <row r="139" spans="1:32" x14ac:dyDescent="0.25">
      <c r="A139" s="7" t="s">
        <v>3701</v>
      </c>
      <c r="B139" s="9">
        <v>4134661</v>
      </c>
      <c r="C139" s="70">
        <v>45369</v>
      </c>
      <c r="D139" s="70">
        <v>45369</v>
      </c>
      <c r="E139" s="73"/>
      <c r="F139" s="9"/>
      <c r="H139" s="9"/>
      <c r="I139" s="7" t="s">
        <v>3719</v>
      </c>
      <c r="J139" s="51" t="s">
        <v>46</v>
      </c>
      <c r="K139" s="7"/>
      <c r="L139" s="10">
        <v>160.61000000000001</v>
      </c>
      <c r="M139" s="10"/>
      <c r="N139" s="10"/>
      <c r="O139" s="10"/>
      <c r="P139" s="10"/>
      <c r="Q139" s="10"/>
      <c r="R139" s="10"/>
      <c r="S139" s="10">
        <v>1338.39</v>
      </c>
      <c r="T139" s="10"/>
      <c r="U139" s="10"/>
      <c r="V139" s="10"/>
      <c r="W139" s="10"/>
      <c r="X139" s="10"/>
      <c r="Y139" s="10"/>
      <c r="Z139" s="10"/>
      <c r="AA139" s="33"/>
      <c r="AB139" s="10"/>
      <c r="AC139" s="33">
        <v>1499</v>
      </c>
      <c r="AD139" s="10">
        <f t="shared" si="2"/>
        <v>0</v>
      </c>
      <c r="AE139" s="82"/>
      <c r="AF139" s="34"/>
    </row>
    <row r="140" spans="1:32" x14ac:dyDescent="0.25">
      <c r="A140" s="7" t="s">
        <v>3702</v>
      </c>
      <c r="B140" s="9">
        <v>4134662</v>
      </c>
      <c r="C140" s="70">
        <v>45369</v>
      </c>
      <c r="D140" s="70">
        <v>45369</v>
      </c>
      <c r="E140" s="73"/>
      <c r="F140" s="9"/>
      <c r="H140" s="9"/>
      <c r="I140" s="7" t="s">
        <v>3719</v>
      </c>
      <c r="J140" s="51" t="s">
        <v>46</v>
      </c>
      <c r="K140" s="7"/>
      <c r="L140" s="10">
        <v>107.04</v>
      </c>
      <c r="M140" s="10"/>
      <c r="N140" s="10"/>
      <c r="O140" s="10"/>
      <c r="P140" s="10"/>
      <c r="Q140" s="10"/>
      <c r="R140" s="10"/>
      <c r="S140" s="10">
        <v>891.96</v>
      </c>
      <c r="T140" s="10"/>
      <c r="U140" s="10"/>
      <c r="V140" s="10"/>
      <c r="W140" s="10"/>
      <c r="X140" s="10"/>
      <c r="Y140" s="10"/>
      <c r="Z140" s="10"/>
      <c r="AA140" s="33"/>
      <c r="AB140" s="10"/>
      <c r="AC140" s="33">
        <v>999</v>
      </c>
      <c r="AD140" s="10">
        <f t="shared" si="2"/>
        <v>0</v>
      </c>
      <c r="AE140" s="82"/>
      <c r="AF140" s="34"/>
    </row>
    <row r="141" spans="1:32" x14ac:dyDescent="0.25">
      <c r="A141" s="7" t="s">
        <v>3703</v>
      </c>
      <c r="B141" s="9">
        <v>4134663</v>
      </c>
      <c r="C141" s="70">
        <v>45369</v>
      </c>
      <c r="D141" s="70">
        <v>45369</v>
      </c>
      <c r="E141" s="73"/>
      <c r="F141" s="9"/>
      <c r="H141" s="9"/>
      <c r="I141" s="7" t="s">
        <v>3719</v>
      </c>
      <c r="J141" s="51" t="s">
        <v>46</v>
      </c>
      <c r="K141" s="7"/>
      <c r="L141" s="10">
        <v>107.04</v>
      </c>
      <c r="M141" s="10"/>
      <c r="N141" s="10"/>
      <c r="O141" s="10"/>
      <c r="P141" s="10"/>
      <c r="Q141" s="10"/>
      <c r="R141" s="10"/>
      <c r="S141" s="10">
        <v>891.96</v>
      </c>
      <c r="T141" s="10"/>
      <c r="U141" s="10"/>
      <c r="V141" s="10"/>
      <c r="W141" s="10"/>
      <c r="X141" s="10"/>
      <c r="Y141" s="10"/>
      <c r="Z141" s="10"/>
      <c r="AA141" s="33"/>
      <c r="AB141" s="10"/>
      <c r="AC141" s="33">
        <v>999</v>
      </c>
      <c r="AD141" s="10">
        <f t="shared" si="2"/>
        <v>0</v>
      </c>
      <c r="AE141" s="82"/>
      <c r="AF141" s="34"/>
    </row>
    <row r="142" spans="1:32" x14ac:dyDescent="0.25">
      <c r="A142" s="7" t="s">
        <v>3713</v>
      </c>
      <c r="B142" s="9">
        <v>4134664</v>
      </c>
      <c r="C142" s="70">
        <v>45369</v>
      </c>
      <c r="D142" s="70">
        <v>45369</v>
      </c>
      <c r="E142" s="73"/>
      <c r="F142" s="9"/>
      <c r="H142" s="9"/>
      <c r="I142" s="7" t="s">
        <v>3719</v>
      </c>
      <c r="J142" s="51" t="s">
        <v>46</v>
      </c>
      <c r="K142" s="7"/>
      <c r="L142" s="10">
        <v>107.04</v>
      </c>
      <c r="M142" s="10"/>
      <c r="N142" s="10"/>
      <c r="O142" s="10"/>
      <c r="P142" s="10"/>
      <c r="Q142" s="10"/>
      <c r="R142" s="10"/>
      <c r="S142" s="10">
        <v>891.96</v>
      </c>
      <c r="T142" s="10"/>
      <c r="U142" s="10"/>
      <c r="V142" s="10"/>
      <c r="W142" s="10"/>
      <c r="X142" s="10"/>
      <c r="Y142" s="10"/>
      <c r="Z142" s="10"/>
      <c r="AA142" s="33"/>
      <c r="AB142" s="10"/>
      <c r="AC142" s="33">
        <v>999</v>
      </c>
      <c r="AD142" s="10">
        <f t="shared" si="2"/>
        <v>0</v>
      </c>
      <c r="AE142" s="82"/>
      <c r="AF142" s="34"/>
    </row>
    <row r="143" spans="1:32" x14ac:dyDescent="0.25">
      <c r="A143" s="7" t="s">
        <v>3714</v>
      </c>
      <c r="B143" s="9">
        <v>4134665</v>
      </c>
      <c r="C143" s="70">
        <v>45369</v>
      </c>
      <c r="D143" s="70">
        <v>45369</v>
      </c>
      <c r="E143" s="73">
        <v>45397</v>
      </c>
      <c r="F143" s="9" t="s">
        <v>3783</v>
      </c>
      <c r="H143" s="9"/>
      <c r="I143" s="7" t="s">
        <v>3721</v>
      </c>
      <c r="J143" s="51" t="s">
        <v>127</v>
      </c>
      <c r="K143" s="7"/>
      <c r="L143" s="10">
        <v>662.4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33">
        <v>5409.6</v>
      </c>
      <c r="AB143" s="10"/>
      <c r="AC143" s="33">
        <v>6072</v>
      </c>
      <c r="AD143" s="10">
        <f t="shared" si="2"/>
        <v>0</v>
      </c>
      <c r="AE143" s="82"/>
      <c r="AF143" s="34"/>
    </row>
    <row r="144" spans="1:32" x14ac:dyDescent="0.25">
      <c r="A144" s="7" t="s">
        <v>3715</v>
      </c>
      <c r="B144" s="9">
        <v>4134666</v>
      </c>
      <c r="C144" s="70">
        <v>45401</v>
      </c>
      <c r="D144" s="70">
        <v>45370</v>
      </c>
      <c r="E144" s="73">
        <v>45386</v>
      </c>
      <c r="F144" s="9" t="s">
        <v>3755</v>
      </c>
      <c r="G144" s="9" t="s">
        <v>3473</v>
      </c>
      <c r="H144" s="9"/>
      <c r="I144" s="7" t="s">
        <v>3644</v>
      </c>
      <c r="J144" s="51" t="s">
        <v>2043</v>
      </c>
      <c r="K144" s="7" t="s">
        <v>3645</v>
      </c>
      <c r="L144" s="10">
        <v>2437.5</v>
      </c>
      <c r="M144" s="10">
        <v>20312.5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33"/>
      <c r="AB144" s="10"/>
      <c r="AC144" s="33">
        <v>22750</v>
      </c>
      <c r="AD144" s="10">
        <f t="shared" si="2"/>
        <v>0</v>
      </c>
      <c r="AE144" s="82"/>
      <c r="AF144" s="34">
        <v>203.13</v>
      </c>
    </row>
    <row r="145" spans="1:32" x14ac:dyDescent="0.25">
      <c r="A145" s="7" t="s">
        <v>3716</v>
      </c>
      <c r="B145" s="9" t="s">
        <v>3737</v>
      </c>
      <c r="C145" s="70">
        <v>45372</v>
      </c>
      <c r="D145" s="70">
        <v>45372</v>
      </c>
      <c r="E145" s="73"/>
      <c r="F145" s="9"/>
      <c r="H145" s="9"/>
      <c r="I145" s="7" t="s">
        <v>64</v>
      </c>
      <c r="J145" s="51" t="s">
        <v>3603</v>
      </c>
      <c r="K145" s="7"/>
      <c r="L145" s="10"/>
      <c r="M145" s="10"/>
      <c r="N145" s="10"/>
      <c r="O145" s="10"/>
      <c r="P145" s="10">
        <v>120000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33"/>
      <c r="AB145" s="10"/>
      <c r="AC145" s="33">
        <v>120000</v>
      </c>
      <c r="AD145" s="10">
        <f t="shared" si="2"/>
        <v>0</v>
      </c>
      <c r="AE145" s="82"/>
      <c r="AF145" s="34"/>
    </row>
    <row r="146" spans="1:32" x14ac:dyDescent="0.25">
      <c r="A146" s="7" t="s">
        <v>3717</v>
      </c>
      <c r="B146" s="9">
        <v>4134667</v>
      </c>
      <c r="C146" s="70">
        <v>45373</v>
      </c>
      <c r="D146" s="70">
        <v>45373</v>
      </c>
      <c r="E146" s="73">
        <v>45378</v>
      </c>
      <c r="F146" s="9" t="s">
        <v>3752</v>
      </c>
      <c r="H146" s="9"/>
      <c r="I146" s="7" t="s">
        <v>3738</v>
      </c>
      <c r="J146" s="51" t="s">
        <v>1226</v>
      </c>
      <c r="K146" s="7" t="s">
        <v>2924</v>
      </c>
      <c r="L146" s="10">
        <v>370.93</v>
      </c>
      <c r="M146" s="10">
        <v>3091.07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33"/>
      <c r="AB146" s="10"/>
      <c r="AC146" s="33">
        <v>3462</v>
      </c>
      <c r="AD146" s="10">
        <f t="shared" si="2"/>
        <v>0</v>
      </c>
      <c r="AE146" s="82"/>
      <c r="AF146" s="34">
        <v>40.909999999999997</v>
      </c>
    </row>
    <row r="147" spans="1:32" x14ac:dyDescent="0.25">
      <c r="A147" s="7" t="s">
        <v>3722</v>
      </c>
      <c r="B147" s="9">
        <v>4134668</v>
      </c>
      <c r="C147" s="70">
        <v>45373</v>
      </c>
      <c r="D147" s="70">
        <v>45373</v>
      </c>
      <c r="E147" s="73">
        <v>45442</v>
      </c>
      <c r="F147" s="9" t="s">
        <v>3921</v>
      </c>
      <c r="H147" s="9"/>
      <c r="I147" s="7" t="s">
        <v>3739</v>
      </c>
      <c r="J147" s="51" t="s">
        <v>83</v>
      </c>
      <c r="K147" s="7" t="s">
        <v>1336</v>
      </c>
      <c r="L147" s="10">
        <v>160.71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33">
        <v>1339.29</v>
      </c>
      <c r="AB147" s="10"/>
      <c r="AC147" s="33">
        <v>1500</v>
      </c>
      <c r="AD147" s="10">
        <f t="shared" si="2"/>
        <v>0</v>
      </c>
      <c r="AE147" s="82"/>
      <c r="AF147" s="34">
        <v>13.39</v>
      </c>
    </row>
    <row r="148" spans="1:32" x14ac:dyDescent="0.25">
      <c r="A148" s="7" t="s">
        <v>3723</v>
      </c>
      <c r="B148" s="9">
        <v>4134669</v>
      </c>
      <c r="C148" s="70">
        <v>45373</v>
      </c>
      <c r="D148" s="70">
        <v>45373</v>
      </c>
      <c r="E148" s="73"/>
      <c r="F148" s="9"/>
      <c r="H148" s="9" t="s">
        <v>3740</v>
      </c>
      <c r="I148" s="7" t="s">
        <v>2588</v>
      </c>
      <c r="J148" s="51" t="s">
        <v>65</v>
      </c>
      <c r="K148" s="7"/>
      <c r="L148" s="10"/>
      <c r="M148" s="10"/>
      <c r="N148" s="10"/>
      <c r="O148" s="10"/>
      <c r="P148" s="10"/>
      <c r="Q148" s="10"/>
      <c r="R148" s="10"/>
      <c r="S148" s="10"/>
      <c r="T148" s="10">
        <v>6991.25</v>
      </c>
      <c r="U148" s="10"/>
      <c r="V148" s="10"/>
      <c r="W148" s="10"/>
      <c r="X148" s="10"/>
      <c r="Y148" s="10"/>
      <c r="Z148" s="10"/>
      <c r="AA148" s="33"/>
      <c r="AB148" s="10"/>
      <c r="AC148" s="33">
        <v>6991.25</v>
      </c>
      <c r="AD148" s="10">
        <f t="shared" si="2"/>
        <v>0</v>
      </c>
      <c r="AE148" s="82"/>
      <c r="AF148" s="34"/>
    </row>
    <row r="149" spans="1:32" x14ac:dyDescent="0.25">
      <c r="A149" s="7" t="s">
        <v>3724</v>
      </c>
      <c r="B149" s="9" t="s">
        <v>3741</v>
      </c>
      <c r="C149" s="70">
        <v>45373</v>
      </c>
      <c r="D149" s="70">
        <v>45373</v>
      </c>
      <c r="E149" s="73"/>
      <c r="F149" s="9"/>
      <c r="H149" s="9"/>
      <c r="I149" s="7" t="s">
        <v>3742</v>
      </c>
      <c r="J149" s="51" t="s">
        <v>39</v>
      </c>
      <c r="K149" s="7"/>
      <c r="L149" s="10"/>
      <c r="M149" s="10"/>
      <c r="N149" s="10"/>
      <c r="O149" s="10"/>
      <c r="P149" s="10">
        <v>130000</v>
      </c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33"/>
      <c r="AB149" s="10"/>
      <c r="AC149" s="33">
        <v>130000</v>
      </c>
      <c r="AD149" s="10">
        <f t="shared" si="2"/>
        <v>0</v>
      </c>
      <c r="AE149" s="82"/>
      <c r="AF149" s="34"/>
    </row>
    <row r="150" spans="1:32" x14ac:dyDescent="0.25">
      <c r="A150" s="7" t="s">
        <v>3725</v>
      </c>
      <c r="B150" s="9" t="s">
        <v>3748</v>
      </c>
      <c r="C150" s="70">
        <v>45376</v>
      </c>
      <c r="D150" s="70">
        <v>45376</v>
      </c>
      <c r="E150" s="73"/>
      <c r="F150" s="9"/>
      <c r="H150" s="9"/>
      <c r="I150" s="7" t="s">
        <v>55</v>
      </c>
      <c r="J150" s="51" t="s">
        <v>54</v>
      </c>
      <c r="K150" s="7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>
        <v>200000</v>
      </c>
      <c r="AA150" s="33"/>
      <c r="AB150" s="10"/>
      <c r="AC150" s="33">
        <v>200000</v>
      </c>
      <c r="AD150" s="10">
        <f t="shared" si="2"/>
        <v>0</v>
      </c>
      <c r="AE150" s="82"/>
      <c r="AF150" s="34"/>
    </row>
    <row r="151" spans="1:32" x14ac:dyDescent="0.25">
      <c r="A151" s="7" t="s">
        <v>3726</v>
      </c>
      <c r="B151" s="9">
        <v>4134670</v>
      </c>
      <c r="C151" s="70">
        <v>45376</v>
      </c>
      <c r="D151" s="70">
        <v>45376</v>
      </c>
      <c r="E151" s="73"/>
      <c r="F151" s="9"/>
      <c r="H151" s="9"/>
      <c r="I151" s="7" t="s">
        <v>3749</v>
      </c>
      <c r="J151" s="51" t="s">
        <v>33</v>
      </c>
      <c r="K151" s="7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33">
        <v>5000</v>
      </c>
      <c r="AB151" s="10"/>
      <c r="AC151" s="33">
        <v>5000</v>
      </c>
      <c r="AD151" s="10">
        <f t="shared" si="2"/>
        <v>0</v>
      </c>
      <c r="AE151" s="82"/>
      <c r="AF151" s="34"/>
    </row>
    <row r="152" spans="1:32" x14ac:dyDescent="0.25">
      <c r="A152" s="7" t="s">
        <v>3727</v>
      </c>
      <c r="B152" s="9">
        <v>4134671</v>
      </c>
      <c r="C152" s="70">
        <v>45376</v>
      </c>
      <c r="D152" s="70">
        <v>45376</v>
      </c>
      <c r="E152" s="73"/>
      <c r="F152" s="9"/>
      <c r="H152" s="9" t="s">
        <v>3750</v>
      </c>
      <c r="I152" s="7" t="s">
        <v>1174</v>
      </c>
      <c r="J152" s="51" t="s">
        <v>3667</v>
      </c>
      <c r="K152" s="7"/>
      <c r="L152" s="10"/>
      <c r="M152" s="10"/>
      <c r="N152" s="10"/>
      <c r="O152" s="10"/>
      <c r="P152" s="10"/>
      <c r="Q152" s="10"/>
      <c r="R152" s="10"/>
      <c r="S152" s="10"/>
      <c r="T152" s="10">
        <v>5728</v>
      </c>
      <c r="U152" s="10"/>
      <c r="V152" s="10"/>
      <c r="W152" s="10"/>
      <c r="X152" s="10"/>
      <c r="Y152" s="10"/>
      <c r="Z152" s="10"/>
      <c r="AA152" s="33"/>
      <c r="AB152" s="10"/>
      <c r="AC152" s="33">
        <v>5728</v>
      </c>
      <c r="AD152" s="10">
        <f t="shared" si="2"/>
        <v>0</v>
      </c>
      <c r="AE152" s="82"/>
      <c r="AF152" s="34"/>
    </row>
    <row r="153" spans="1:32" s="39" customFormat="1" x14ac:dyDescent="0.25">
      <c r="A153" s="20"/>
      <c r="B153" s="19"/>
      <c r="C153" s="72"/>
      <c r="D153" s="72"/>
      <c r="E153" s="77"/>
      <c r="F153" s="19"/>
      <c r="G153" s="19"/>
      <c r="H153" s="19"/>
      <c r="I153" s="20"/>
      <c r="J153" s="20"/>
      <c r="K153" s="20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32"/>
      <c r="AB153" s="22"/>
      <c r="AC153" s="32"/>
      <c r="AD153" s="22"/>
      <c r="AE153" s="96"/>
      <c r="AF153" s="35"/>
    </row>
    <row r="154" spans="1:32" s="39" customFormat="1" x14ac:dyDescent="0.25">
      <c r="A154" s="25">
        <v>45383</v>
      </c>
      <c r="B154" s="19"/>
      <c r="C154" s="72"/>
      <c r="D154" s="72"/>
      <c r="E154" s="77"/>
      <c r="F154" s="19"/>
      <c r="G154" s="19"/>
      <c r="H154" s="19"/>
      <c r="I154" s="20"/>
      <c r="J154" s="20"/>
      <c r="K154" s="20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32"/>
      <c r="AB154" s="22"/>
      <c r="AC154" s="32"/>
      <c r="AD154" s="22"/>
      <c r="AE154" s="96"/>
      <c r="AF154" s="35"/>
    </row>
    <row r="155" spans="1:32" x14ac:dyDescent="0.25">
      <c r="A155" s="7"/>
      <c r="C155" s="70"/>
      <c r="D155" s="70"/>
      <c r="E155" s="73"/>
      <c r="F155" s="9"/>
      <c r="H155" s="9"/>
      <c r="I155" s="7" t="s">
        <v>3753</v>
      </c>
      <c r="J155" s="51" t="s">
        <v>132</v>
      </c>
      <c r="K155" s="26"/>
      <c r="L155" s="10"/>
      <c r="M155" s="10"/>
      <c r="N155" s="10"/>
      <c r="O155" s="10"/>
      <c r="P155" s="10"/>
      <c r="Q155" s="10">
        <v>67084.259999999995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33"/>
      <c r="AB155" s="10"/>
      <c r="AC155" s="33">
        <v>67084.259999999995</v>
      </c>
      <c r="AD155" s="10">
        <f>SUM(AB155:AC155)-SUM(L155:AA155)</f>
        <v>0</v>
      </c>
      <c r="AE155" s="82" t="s">
        <v>133</v>
      </c>
    </row>
    <row r="156" spans="1:32" x14ac:dyDescent="0.25">
      <c r="A156" s="7" t="s">
        <v>3728</v>
      </c>
      <c r="B156" s="9">
        <v>4134672</v>
      </c>
      <c r="C156" s="70">
        <v>45383</v>
      </c>
      <c r="D156" s="70">
        <v>45383</v>
      </c>
      <c r="E156" s="73"/>
      <c r="F156" s="9"/>
      <c r="H156" s="9"/>
      <c r="I156" s="7" t="s">
        <v>118</v>
      </c>
      <c r="J156" s="51" t="s">
        <v>1847</v>
      </c>
      <c r="K156" s="7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33">
        <v>17323.8</v>
      </c>
      <c r="AB156" s="10"/>
      <c r="AC156" s="33">
        <v>17323.8</v>
      </c>
      <c r="AD156" s="10">
        <f t="shared" si="2"/>
        <v>0</v>
      </c>
      <c r="AE156" s="82"/>
      <c r="AF156" s="34"/>
    </row>
    <row r="157" spans="1:32" x14ac:dyDescent="0.25">
      <c r="A157" s="7" t="s">
        <v>3743</v>
      </c>
      <c r="B157" s="9">
        <v>4134673</v>
      </c>
      <c r="C157" s="70">
        <v>45384</v>
      </c>
      <c r="D157" s="70">
        <v>45384</v>
      </c>
      <c r="E157" s="73"/>
      <c r="F157" s="9"/>
      <c r="H157" s="9"/>
      <c r="I157" s="7" t="s">
        <v>3539</v>
      </c>
      <c r="J157" s="51" t="s">
        <v>3667</v>
      </c>
      <c r="K157" s="7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33">
        <v>7800</v>
      </c>
      <c r="AB157" s="10"/>
      <c r="AC157" s="33">
        <v>7800</v>
      </c>
      <c r="AD157" s="10">
        <f t="shared" si="2"/>
        <v>0</v>
      </c>
      <c r="AE157" s="82"/>
      <c r="AF157" s="34"/>
    </row>
    <row r="158" spans="1:32" x14ac:dyDescent="0.25">
      <c r="A158" s="7" t="s">
        <v>3744</v>
      </c>
      <c r="B158" s="9" t="s">
        <v>3754</v>
      </c>
      <c r="C158" s="70">
        <v>45385</v>
      </c>
      <c r="D158" s="70">
        <v>45385</v>
      </c>
      <c r="E158" s="73"/>
      <c r="F158" s="9"/>
      <c r="H158" s="9"/>
      <c r="I158" s="7" t="s">
        <v>64</v>
      </c>
      <c r="J158" s="51" t="s">
        <v>939</v>
      </c>
      <c r="K158" s="7"/>
      <c r="L158" s="10"/>
      <c r="M158" s="10"/>
      <c r="N158" s="10"/>
      <c r="O158" s="10"/>
      <c r="P158" s="10">
        <v>15000</v>
      </c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33"/>
      <c r="AB158" s="10"/>
      <c r="AC158" s="33">
        <v>15000</v>
      </c>
      <c r="AD158" s="10">
        <f t="shared" si="2"/>
        <v>0</v>
      </c>
      <c r="AE158" s="82"/>
      <c r="AF158" s="34"/>
    </row>
    <row r="159" spans="1:32" x14ac:dyDescent="0.25">
      <c r="A159" s="7" t="s">
        <v>3745</v>
      </c>
      <c r="B159" s="9">
        <v>4134675</v>
      </c>
      <c r="C159" s="70">
        <v>45387</v>
      </c>
      <c r="D159" s="70">
        <v>45387</v>
      </c>
      <c r="E159" s="73"/>
      <c r="F159" s="9"/>
      <c r="H159" s="9" t="s">
        <v>3758</v>
      </c>
      <c r="I159" s="7" t="s">
        <v>1174</v>
      </c>
      <c r="J159" s="51" t="s">
        <v>3667</v>
      </c>
      <c r="K159" s="7"/>
      <c r="L159" s="10"/>
      <c r="M159" s="10"/>
      <c r="N159" s="10"/>
      <c r="O159" s="10"/>
      <c r="P159" s="10"/>
      <c r="Q159" s="10"/>
      <c r="R159" s="10"/>
      <c r="S159" s="10"/>
      <c r="T159" s="10">
        <v>6885</v>
      </c>
      <c r="U159" s="10"/>
      <c r="V159" s="10"/>
      <c r="W159" s="10"/>
      <c r="X159" s="10"/>
      <c r="Y159" s="10"/>
      <c r="Z159" s="10"/>
      <c r="AA159" s="33"/>
      <c r="AB159" s="10"/>
      <c r="AC159" s="33">
        <v>6885</v>
      </c>
      <c r="AD159" s="10">
        <f t="shared" si="2"/>
        <v>0</v>
      </c>
      <c r="AE159" s="82"/>
      <c r="AF159" s="34"/>
    </row>
    <row r="160" spans="1:32" x14ac:dyDescent="0.25">
      <c r="A160" s="7" t="s">
        <v>3746</v>
      </c>
      <c r="B160" s="9">
        <v>4134676</v>
      </c>
      <c r="C160" s="70">
        <v>45394</v>
      </c>
      <c r="D160" s="70">
        <v>45394</v>
      </c>
      <c r="E160" s="73"/>
      <c r="F160" s="9"/>
      <c r="H160" s="9"/>
      <c r="I160" s="7" t="s">
        <v>3764</v>
      </c>
      <c r="J160" s="51" t="s">
        <v>44</v>
      </c>
      <c r="K160" s="7"/>
      <c r="L160" s="10">
        <v>799.63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>
        <v>6663.56</v>
      </c>
      <c r="Y160" s="10"/>
      <c r="Z160" s="10"/>
      <c r="AA160" s="33"/>
      <c r="AB160" s="10"/>
      <c r="AC160" s="33">
        <v>7463.19</v>
      </c>
      <c r="AD160" s="10">
        <f t="shared" si="2"/>
        <v>0</v>
      </c>
      <c r="AE160" s="82"/>
      <c r="AF160" s="34"/>
    </row>
    <row r="161" spans="1:32" x14ac:dyDescent="0.25">
      <c r="A161" s="7" t="s">
        <v>3747</v>
      </c>
      <c r="B161" s="9">
        <v>4134677</v>
      </c>
      <c r="C161" s="70">
        <v>45423</v>
      </c>
      <c r="D161" s="70">
        <v>45394</v>
      </c>
      <c r="E161" s="73">
        <v>45401</v>
      </c>
      <c r="F161" s="9" t="s">
        <v>3793</v>
      </c>
      <c r="G161" s="9" t="s">
        <v>3474</v>
      </c>
      <c r="H161" s="9"/>
      <c r="I161" s="7" t="s">
        <v>3765</v>
      </c>
      <c r="J161" s="51" t="s">
        <v>45</v>
      </c>
      <c r="K161" s="7" t="s">
        <v>3295</v>
      </c>
      <c r="L161" s="10">
        <v>1071.43</v>
      </c>
      <c r="M161" s="10">
        <v>8928.57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33"/>
      <c r="AB161" s="10"/>
      <c r="AC161" s="33">
        <v>10000</v>
      </c>
      <c r="AD161" s="10">
        <f t="shared" si="2"/>
        <v>0</v>
      </c>
      <c r="AE161" s="82"/>
      <c r="AF161" s="34">
        <v>89.29</v>
      </c>
    </row>
    <row r="162" spans="1:32" x14ac:dyDescent="0.25">
      <c r="A162" s="7" t="s">
        <v>3759</v>
      </c>
      <c r="B162" s="9">
        <v>4134679</v>
      </c>
      <c r="C162" s="70">
        <v>45420</v>
      </c>
      <c r="D162" s="70">
        <v>45394</v>
      </c>
      <c r="E162" s="73">
        <v>45419</v>
      </c>
      <c r="F162" s="9" t="s">
        <v>3833</v>
      </c>
      <c r="G162" s="9" t="s">
        <v>3475</v>
      </c>
      <c r="H162" s="9"/>
      <c r="I162" s="7" t="s">
        <v>3333</v>
      </c>
      <c r="J162" s="51" t="s">
        <v>3527</v>
      </c>
      <c r="K162" s="7" t="s">
        <v>3530</v>
      </c>
      <c r="L162" s="10">
        <v>433.93</v>
      </c>
      <c r="M162" s="10">
        <v>3616.07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33"/>
      <c r="AB162" s="10"/>
      <c r="AC162" s="33">
        <v>4050</v>
      </c>
      <c r="AD162" s="10">
        <f t="shared" si="2"/>
        <v>0</v>
      </c>
      <c r="AE162" s="82"/>
      <c r="AF162" s="34">
        <v>36.159999999999997</v>
      </c>
    </row>
    <row r="163" spans="1:32" x14ac:dyDescent="0.25">
      <c r="A163" s="7" t="s">
        <v>3760</v>
      </c>
      <c r="B163" s="9">
        <v>4134680</v>
      </c>
      <c r="C163" s="70">
        <v>45427</v>
      </c>
      <c r="D163" s="70">
        <v>45397</v>
      </c>
      <c r="E163" s="73">
        <v>45419</v>
      </c>
      <c r="F163" s="9" t="s">
        <v>3832</v>
      </c>
      <c r="G163" s="9" t="s">
        <v>3476</v>
      </c>
      <c r="H163" s="9"/>
      <c r="I163" s="7" t="s">
        <v>3771</v>
      </c>
      <c r="J163" s="51" t="s">
        <v>3527</v>
      </c>
      <c r="K163" s="7" t="s">
        <v>3530</v>
      </c>
      <c r="L163" s="10">
        <v>1060.71</v>
      </c>
      <c r="M163" s="10">
        <v>8839.2900000000009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33"/>
      <c r="AB163" s="10"/>
      <c r="AC163" s="33">
        <v>9900</v>
      </c>
      <c r="AD163" s="10">
        <f t="shared" si="2"/>
        <v>0</v>
      </c>
      <c r="AE163" s="82"/>
      <c r="AF163" s="34">
        <v>88.39</v>
      </c>
    </row>
    <row r="164" spans="1:32" x14ac:dyDescent="0.25">
      <c r="A164" s="7" t="s">
        <v>3761</v>
      </c>
      <c r="B164" s="9">
        <v>4134681</v>
      </c>
      <c r="C164" s="70">
        <v>45397</v>
      </c>
      <c r="D164" s="70">
        <v>45397</v>
      </c>
      <c r="E164" s="73"/>
      <c r="F164" s="9"/>
      <c r="H164" s="9"/>
      <c r="I164" s="7" t="s">
        <v>970</v>
      </c>
      <c r="J164" s="51" t="s">
        <v>1250</v>
      </c>
      <c r="K164" s="7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33">
        <v>11000</v>
      </c>
      <c r="AB164" s="10"/>
      <c r="AC164" s="33">
        <v>11000</v>
      </c>
      <c r="AD164" s="10">
        <f t="shared" si="2"/>
        <v>0</v>
      </c>
      <c r="AE164" s="82"/>
      <c r="AF164" s="34"/>
    </row>
    <row r="165" spans="1:32" x14ac:dyDescent="0.25">
      <c r="A165" s="7" t="s">
        <v>3762</v>
      </c>
      <c r="B165" s="9">
        <v>4134682</v>
      </c>
      <c r="C165" s="70">
        <v>45397</v>
      </c>
      <c r="D165" s="70">
        <v>45397</v>
      </c>
      <c r="E165" s="73"/>
      <c r="F165" s="9"/>
      <c r="H165" s="9"/>
      <c r="I165" s="7" t="s">
        <v>3772</v>
      </c>
      <c r="J165" s="51" t="s">
        <v>18</v>
      </c>
      <c r="K165" s="7"/>
      <c r="L165" s="10">
        <v>151.09</v>
      </c>
      <c r="M165" s="10"/>
      <c r="N165" s="10"/>
      <c r="O165" s="10"/>
      <c r="P165" s="10"/>
      <c r="Q165" s="10"/>
      <c r="R165" s="10">
        <v>1259.06</v>
      </c>
      <c r="S165" s="10"/>
      <c r="T165" s="10"/>
      <c r="U165" s="10"/>
      <c r="V165" s="10"/>
      <c r="W165" s="10"/>
      <c r="X165" s="10"/>
      <c r="Y165" s="10"/>
      <c r="Z165" s="10"/>
      <c r="AA165" s="33"/>
      <c r="AB165" s="10"/>
      <c r="AC165" s="33">
        <v>1410.15</v>
      </c>
      <c r="AD165" s="10">
        <f t="shared" si="2"/>
        <v>0</v>
      </c>
      <c r="AE165" s="82"/>
      <c r="AF165" s="34"/>
    </row>
    <row r="166" spans="1:32" x14ac:dyDescent="0.25">
      <c r="A166" s="7" t="s">
        <v>3763</v>
      </c>
      <c r="B166" s="9">
        <v>4134683</v>
      </c>
      <c r="C166" s="70">
        <v>45397</v>
      </c>
      <c r="D166" s="70">
        <v>45397</v>
      </c>
      <c r="E166" s="73"/>
      <c r="F166" s="9"/>
      <c r="H166" s="9"/>
      <c r="I166" s="7" t="s">
        <v>3772</v>
      </c>
      <c r="J166" s="51" t="s">
        <v>18</v>
      </c>
      <c r="K166" s="7"/>
      <c r="L166" s="10">
        <v>811.09</v>
      </c>
      <c r="M166" s="10"/>
      <c r="N166" s="10"/>
      <c r="O166" s="10"/>
      <c r="P166" s="10"/>
      <c r="Q166" s="10"/>
      <c r="R166" s="10">
        <v>6759.06</v>
      </c>
      <c r="S166" s="10"/>
      <c r="T166" s="10"/>
      <c r="U166" s="10"/>
      <c r="V166" s="10"/>
      <c r="W166" s="10"/>
      <c r="X166" s="10"/>
      <c r="Y166" s="10"/>
      <c r="Z166" s="10"/>
      <c r="AA166" s="33"/>
      <c r="AB166" s="10"/>
      <c r="AC166" s="33">
        <v>7570.15</v>
      </c>
      <c r="AD166" s="10">
        <f t="shared" si="2"/>
        <v>0</v>
      </c>
      <c r="AE166" s="82"/>
      <c r="AF166" s="34"/>
    </row>
    <row r="167" spans="1:32" x14ac:dyDescent="0.25">
      <c r="A167" s="7" t="s">
        <v>3766</v>
      </c>
      <c r="B167" s="9">
        <v>4134684</v>
      </c>
      <c r="C167" s="70">
        <v>45397</v>
      </c>
      <c r="D167" s="70">
        <v>45397</v>
      </c>
      <c r="E167" s="73"/>
      <c r="F167" s="9"/>
      <c r="H167" s="9"/>
      <c r="I167" s="7" t="s">
        <v>3773</v>
      </c>
      <c r="J167" s="51" t="s">
        <v>1202</v>
      </c>
      <c r="K167" s="7"/>
      <c r="L167" s="10">
        <v>160.61000000000001</v>
      </c>
      <c r="M167" s="10"/>
      <c r="N167" s="10"/>
      <c r="O167" s="10"/>
      <c r="P167" s="10"/>
      <c r="Q167" s="10"/>
      <c r="R167" s="10"/>
      <c r="S167" s="10">
        <v>1338.39</v>
      </c>
      <c r="T167" s="10"/>
      <c r="U167" s="10"/>
      <c r="V167" s="10"/>
      <c r="W167" s="10"/>
      <c r="X167" s="10"/>
      <c r="Y167" s="10"/>
      <c r="Z167" s="10"/>
      <c r="AA167" s="33"/>
      <c r="AB167" s="10"/>
      <c r="AC167" s="33">
        <v>1499</v>
      </c>
      <c r="AD167" s="10">
        <f t="shared" si="2"/>
        <v>0</v>
      </c>
      <c r="AE167" s="82"/>
      <c r="AF167" s="34"/>
    </row>
    <row r="168" spans="1:32" x14ac:dyDescent="0.25">
      <c r="A168" s="7" t="s">
        <v>3767</v>
      </c>
      <c r="B168" s="9">
        <v>4134685</v>
      </c>
      <c r="C168" s="70">
        <v>45397</v>
      </c>
      <c r="D168" s="70">
        <v>45397</v>
      </c>
      <c r="E168" s="73"/>
      <c r="F168" s="9"/>
      <c r="H168" s="9"/>
      <c r="I168" s="7" t="s">
        <v>3773</v>
      </c>
      <c r="J168" s="51" t="s">
        <v>1202</v>
      </c>
      <c r="K168" s="7"/>
      <c r="L168" s="10">
        <v>107.04</v>
      </c>
      <c r="M168" s="10"/>
      <c r="N168" s="10"/>
      <c r="O168" s="10"/>
      <c r="P168" s="10"/>
      <c r="Q168" s="10"/>
      <c r="R168" s="10"/>
      <c r="S168" s="10">
        <v>891.96</v>
      </c>
      <c r="T168" s="10"/>
      <c r="U168" s="10"/>
      <c r="V168" s="10"/>
      <c r="W168" s="10"/>
      <c r="X168" s="10"/>
      <c r="Y168" s="10"/>
      <c r="Z168" s="10"/>
      <c r="AA168" s="33"/>
      <c r="AB168" s="10"/>
      <c r="AC168" s="33">
        <v>999</v>
      </c>
      <c r="AD168" s="10">
        <f t="shared" si="2"/>
        <v>0</v>
      </c>
      <c r="AE168" s="82"/>
      <c r="AF168" s="34"/>
    </row>
    <row r="169" spans="1:32" x14ac:dyDescent="0.25">
      <c r="A169" s="7" t="s">
        <v>3768</v>
      </c>
      <c r="B169" s="9">
        <v>4134686</v>
      </c>
      <c r="C169" s="70">
        <v>45397</v>
      </c>
      <c r="D169" s="70">
        <v>45397</v>
      </c>
      <c r="E169" s="73"/>
      <c r="F169" s="9"/>
      <c r="H169" s="9"/>
      <c r="I169" s="7" t="s">
        <v>3773</v>
      </c>
      <c r="J169" s="51" t="s">
        <v>1202</v>
      </c>
      <c r="K169" s="7"/>
      <c r="L169" s="10">
        <v>107.04</v>
      </c>
      <c r="M169" s="10"/>
      <c r="N169" s="10"/>
      <c r="O169" s="10"/>
      <c r="P169" s="10"/>
      <c r="Q169" s="10"/>
      <c r="R169" s="10"/>
      <c r="S169" s="10">
        <v>891.96</v>
      </c>
      <c r="T169" s="10"/>
      <c r="U169" s="10"/>
      <c r="V169" s="10"/>
      <c r="W169" s="10"/>
      <c r="X169" s="10"/>
      <c r="Y169" s="10"/>
      <c r="Z169" s="10"/>
      <c r="AA169" s="33"/>
      <c r="AB169" s="10"/>
      <c r="AC169" s="33">
        <v>999</v>
      </c>
      <c r="AD169" s="10">
        <f t="shared" si="2"/>
        <v>0</v>
      </c>
      <c r="AE169" s="82"/>
      <c r="AF169" s="34"/>
    </row>
    <row r="170" spans="1:32" x14ac:dyDescent="0.25">
      <c r="A170" s="7" t="s">
        <v>3769</v>
      </c>
      <c r="B170" s="9">
        <v>4134687</v>
      </c>
      <c r="C170" s="70">
        <v>45397</v>
      </c>
      <c r="D170" s="70">
        <v>45397</v>
      </c>
      <c r="E170" s="73"/>
      <c r="F170" s="9"/>
      <c r="H170" s="9"/>
      <c r="I170" s="7" t="s">
        <v>3774</v>
      </c>
      <c r="J170" s="51" t="s">
        <v>1202</v>
      </c>
      <c r="K170" s="7"/>
      <c r="L170" s="10">
        <v>107.04</v>
      </c>
      <c r="M170" s="10"/>
      <c r="N170" s="10"/>
      <c r="O170" s="10"/>
      <c r="P170" s="10"/>
      <c r="Q170" s="10"/>
      <c r="R170" s="10"/>
      <c r="S170" s="10">
        <v>891.96</v>
      </c>
      <c r="T170" s="10"/>
      <c r="U170" s="10"/>
      <c r="V170" s="10"/>
      <c r="W170" s="10"/>
      <c r="X170" s="10"/>
      <c r="Y170" s="10"/>
      <c r="Z170" s="10"/>
      <c r="AA170" s="33"/>
      <c r="AB170" s="10"/>
      <c r="AC170" s="33">
        <v>999</v>
      </c>
      <c r="AD170" s="10">
        <f t="shared" si="2"/>
        <v>0</v>
      </c>
      <c r="AE170" s="82"/>
      <c r="AF170" s="34"/>
    </row>
    <row r="171" spans="1:32" x14ac:dyDescent="0.25">
      <c r="A171" s="7" t="s">
        <v>3770</v>
      </c>
      <c r="B171" s="9">
        <v>4134688</v>
      </c>
      <c r="C171" s="70">
        <v>45397</v>
      </c>
      <c r="D171" s="70">
        <v>45397</v>
      </c>
      <c r="E171" s="73"/>
      <c r="F171" s="9"/>
      <c r="H171" s="9"/>
      <c r="I171" s="7" t="s">
        <v>3775</v>
      </c>
      <c r="J171" s="51" t="s">
        <v>43</v>
      </c>
      <c r="K171" s="7"/>
      <c r="L171" s="10">
        <v>64.180000000000007</v>
      </c>
      <c r="M171" s="10"/>
      <c r="N171" s="10"/>
      <c r="O171" s="10"/>
      <c r="P171" s="10"/>
      <c r="Q171" s="10"/>
      <c r="R171" s="10"/>
      <c r="S171" s="10">
        <v>534.82000000000005</v>
      </c>
      <c r="T171" s="10"/>
      <c r="U171" s="10"/>
      <c r="V171" s="10"/>
      <c r="W171" s="10"/>
      <c r="X171" s="10"/>
      <c r="Y171" s="10"/>
      <c r="Z171" s="10"/>
      <c r="AA171" s="33"/>
      <c r="AB171" s="10"/>
      <c r="AC171" s="33">
        <v>599</v>
      </c>
      <c r="AD171" s="10">
        <f t="shared" si="2"/>
        <v>0</v>
      </c>
      <c r="AE171" s="82"/>
      <c r="AF171" s="34"/>
    </row>
    <row r="172" spans="1:32" x14ac:dyDescent="0.25">
      <c r="A172" s="7" t="s">
        <v>3776</v>
      </c>
      <c r="B172" s="9">
        <v>4134689</v>
      </c>
      <c r="C172" s="70">
        <v>45397</v>
      </c>
      <c r="D172" s="70">
        <v>45397</v>
      </c>
      <c r="E172" s="73"/>
      <c r="F172" s="9"/>
      <c r="H172" s="9"/>
      <c r="I172" s="7" t="s">
        <v>3775</v>
      </c>
      <c r="J172" s="51" t="s">
        <v>43</v>
      </c>
      <c r="K172" s="7"/>
      <c r="L172" s="10">
        <v>32.14</v>
      </c>
      <c r="M172" s="10"/>
      <c r="N172" s="10"/>
      <c r="O172" s="10"/>
      <c r="P172" s="10"/>
      <c r="Q172" s="10"/>
      <c r="R172" s="10"/>
      <c r="S172" s="10">
        <v>267.86</v>
      </c>
      <c r="T172" s="10"/>
      <c r="U172" s="10"/>
      <c r="V172" s="10"/>
      <c r="W172" s="10"/>
      <c r="X172" s="10"/>
      <c r="Y172" s="10"/>
      <c r="Z172" s="10"/>
      <c r="AA172" s="33"/>
      <c r="AB172" s="10"/>
      <c r="AC172" s="33">
        <v>300</v>
      </c>
      <c r="AD172" s="10">
        <f t="shared" si="2"/>
        <v>0</v>
      </c>
      <c r="AE172" s="82"/>
      <c r="AF172" s="34"/>
    </row>
    <row r="173" spans="1:32" x14ac:dyDescent="0.25">
      <c r="A173" s="7" t="s">
        <v>3777</v>
      </c>
      <c r="B173" s="9">
        <v>4134690</v>
      </c>
      <c r="C173" s="70">
        <v>45397</v>
      </c>
      <c r="D173" s="70">
        <v>45397</v>
      </c>
      <c r="E173" s="73"/>
      <c r="F173" s="9"/>
      <c r="H173" s="9"/>
      <c r="I173" s="7" t="s">
        <v>118</v>
      </c>
      <c r="J173" s="51" t="s">
        <v>1847</v>
      </c>
      <c r="K173" s="7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33">
        <v>36667.949999999997</v>
      </c>
      <c r="AB173" s="10"/>
      <c r="AC173" s="33">
        <v>36667.949999999997</v>
      </c>
      <c r="AD173" s="10">
        <f t="shared" si="2"/>
        <v>0</v>
      </c>
      <c r="AE173" s="82"/>
      <c r="AF173" s="34"/>
    </row>
    <row r="174" spans="1:32" x14ac:dyDescent="0.25">
      <c r="A174" s="7" t="s">
        <v>3778</v>
      </c>
      <c r="B174" s="9" t="s">
        <v>3782</v>
      </c>
      <c r="C174" s="70">
        <v>45397</v>
      </c>
      <c r="D174" s="70">
        <v>45397</v>
      </c>
      <c r="E174" s="73"/>
      <c r="F174" s="9"/>
      <c r="H174" s="9"/>
      <c r="I174" s="7" t="s">
        <v>64</v>
      </c>
      <c r="J174" s="51" t="s">
        <v>1250</v>
      </c>
      <c r="K174" s="7"/>
      <c r="L174" s="10"/>
      <c r="M174" s="10"/>
      <c r="N174" s="10"/>
      <c r="O174" s="10"/>
      <c r="P174" s="10">
        <v>5000</v>
      </c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33"/>
      <c r="AB174" s="10"/>
      <c r="AC174" s="33">
        <v>5000</v>
      </c>
      <c r="AD174" s="10">
        <f t="shared" si="2"/>
        <v>0</v>
      </c>
      <c r="AE174" s="82"/>
      <c r="AF174" s="34"/>
    </row>
    <row r="175" spans="1:32" x14ac:dyDescent="0.25">
      <c r="A175" s="7" t="s">
        <v>3779</v>
      </c>
      <c r="B175" s="9">
        <v>4134691</v>
      </c>
      <c r="C175" s="70">
        <v>45399</v>
      </c>
      <c r="D175" s="70">
        <v>45399</v>
      </c>
      <c r="E175" s="73"/>
      <c r="F175" s="9"/>
      <c r="H175" s="9" t="s">
        <v>3784</v>
      </c>
      <c r="I175" s="7" t="s">
        <v>1174</v>
      </c>
      <c r="J175" s="51" t="s">
        <v>3667</v>
      </c>
      <c r="K175" s="7"/>
      <c r="L175" s="10"/>
      <c r="M175" s="10"/>
      <c r="N175" s="10"/>
      <c r="O175" s="10"/>
      <c r="P175" s="10"/>
      <c r="Q175" s="10"/>
      <c r="R175" s="10"/>
      <c r="S175" s="10"/>
      <c r="T175" s="10">
        <v>6895.42</v>
      </c>
      <c r="U175" s="10"/>
      <c r="V175" s="10"/>
      <c r="W175" s="10"/>
      <c r="X175" s="10"/>
      <c r="Y175" s="10"/>
      <c r="Z175" s="10"/>
      <c r="AA175" s="33"/>
      <c r="AB175" s="10"/>
      <c r="AC175" s="33">
        <v>6895.42</v>
      </c>
      <c r="AD175" s="10">
        <f t="shared" si="2"/>
        <v>0</v>
      </c>
      <c r="AE175" s="82"/>
      <c r="AF175" s="34"/>
    </row>
    <row r="176" spans="1:32" x14ac:dyDescent="0.25">
      <c r="A176" s="7" t="s">
        <v>3780</v>
      </c>
      <c r="B176" s="9">
        <v>4134692</v>
      </c>
      <c r="C176" s="70">
        <v>45429</v>
      </c>
      <c r="D176" s="70">
        <v>45399</v>
      </c>
      <c r="E176" s="73">
        <v>45422</v>
      </c>
      <c r="F176" s="9" t="s">
        <v>3846</v>
      </c>
      <c r="G176" s="9" t="s">
        <v>3477</v>
      </c>
      <c r="H176" s="9"/>
      <c r="I176" s="7" t="s">
        <v>3792</v>
      </c>
      <c r="J176" s="51" t="s">
        <v>45</v>
      </c>
      <c r="K176" s="7" t="s">
        <v>3295</v>
      </c>
      <c r="L176" s="10">
        <v>1596.43</v>
      </c>
      <c r="M176" s="10">
        <v>13303.57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33"/>
      <c r="AB176" s="10"/>
      <c r="AC176" s="33">
        <v>14900</v>
      </c>
      <c r="AD176" s="10">
        <f t="shared" si="2"/>
        <v>0</v>
      </c>
      <c r="AE176" s="82"/>
      <c r="AF176" s="34">
        <v>133.04</v>
      </c>
    </row>
    <row r="177" spans="1:32" x14ac:dyDescent="0.25">
      <c r="A177" s="7" t="s">
        <v>3781</v>
      </c>
      <c r="B177" s="9">
        <v>4134693</v>
      </c>
      <c r="C177" s="70">
        <v>45399</v>
      </c>
      <c r="D177" s="70">
        <v>45399</v>
      </c>
      <c r="E177" s="73"/>
      <c r="F177" s="9"/>
      <c r="H177" s="9" t="s">
        <v>3804</v>
      </c>
      <c r="I177" s="7" t="s">
        <v>2588</v>
      </c>
      <c r="J177" s="51" t="s">
        <v>3667</v>
      </c>
      <c r="K177" s="26"/>
      <c r="L177" s="10"/>
      <c r="M177" s="10"/>
      <c r="N177" s="10"/>
      <c r="O177" s="10"/>
      <c r="P177" s="10"/>
      <c r="Q177" s="10"/>
      <c r="R177" s="10"/>
      <c r="S177" s="10"/>
      <c r="T177" s="10">
        <v>11586.51</v>
      </c>
      <c r="U177" s="10"/>
      <c r="V177" s="10"/>
      <c r="W177" s="10"/>
      <c r="X177" s="10"/>
      <c r="Y177" s="10"/>
      <c r="Z177" s="10"/>
      <c r="AA177" s="33"/>
      <c r="AB177" s="10"/>
      <c r="AC177" s="33">
        <v>11586.51</v>
      </c>
      <c r="AD177" s="10">
        <f t="shared" si="2"/>
        <v>0</v>
      </c>
      <c r="AE177" s="82"/>
      <c r="AF177" s="34"/>
    </row>
    <row r="178" spans="1:32" x14ac:dyDescent="0.25">
      <c r="A178" s="7" t="s">
        <v>3785</v>
      </c>
      <c r="B178" s="9">
        <v>4134694</v>
      </c>
      <c r="C178" s="70">
        <v>45431</v>
      </c>
      <c r="D178" s="70">
        <v>45404</v>
      </c>
      <c r="E178" s="73">
        <v>45419</v>
      </c>
      <c r="F178" s="9" t="s">
        <v>3834</v>
      </c>
      <c r="G178" s="9" t="s">
        <v>3478</v>
      </c>
      <c r="H178" s="9"/>
      <c r="I178" s="7" t="s">
        <v>3794</v>
      </c>
      <c r="J178" s="51" t="s">
        <v>3527</v>
      </c>
      <c r="K178" s="7" t="s">
        <v>3530</v>
      </c>
      <c r="L178" s="10">
        <v>3535.71</v>
      </c>
      <c r="M178" s="10">
        <v>29464.29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33"/>
      <c r="AB178" s="10"/>
      <c r="AC178" s="33">
        <v>33000</v>
      </c>
      <c r="AD178" s="10">
        <f t="shared" si="2"/>
        <v>0</v>
      </c>
      <c r="AE178" s="82"/>
      <c r="AF178" s="34">
        <v>294.64</v>
      </c>
    </row>
    <row r="179" spans="1:32" x14ac:dyDescent="0.25">
      <c r="A179" s="7" t="s">
        <v>3786</v>
      </c>
      <c r="B179" s="9">
        <v>4134695</v>
      </c>
      <c r="C179" s="70">
        <v>45404</v>
      </c>
      <c r="D179" s="70">
        <v>45404</v>
      </c>
      <c r="E179" s="73"/>
      <c r="F179" s="9"/>
      <c r="H179" s="9"/>
      <c r="I179" s="7" t="s">
        <v>3795</v>
      </c>
      <c r="J179" s="51" t="s">
        <v>1202</v>
      </c>
      <c r="K179" s="7"/>
      <c r="L179" s="10">
        <v>1288.72</v>
      </c>
      <c r="M179" s="10"/>
      <c r="N179" s="10"/>
      <c r="O179" s="10"/>
      <c r="P179" s="10"/>
      <c r="Q179" s="10"/>
      <c r="R179" s="10"/>
      <c r="S179" s="10">
        <v>10739.36</v>
      </c>
      <c r="T179" s="10"/>
      <c r="U179" s="10"/>
      <c r="V179" s="10"/>
      <c r="W179" s="10"/>
      <c r="X179" s="10"/>
      <c r="Y179" s="10"/>
      <c r="Z179" s="10"/>
      <c r="AA179" s="33"/>
      <c r="AB179" s="10"/>
      <c r="AC179" s="33">
        <v>12028.08</v>
      </c>
      <c r="AD179" s="10">
        <f t="shared" si="2"/>
        <v>0</v>
      </c>
      <c r="AE179" s="82"/>
      <c r="AF179" s="34">
        <v>214.81</v>
      </c>
    </row>
    <row r="180" spans="1:32" x14ac:dyDescent="0.25">
      <c r="A180" s="7" t="s">
        <v>3787</v>
      </c>
      <c r="B180" s="9">
        <v>4134696</v>
      </c>
      <c r="C180" s="70">
        <v>45404</v>
      </c>
      <c r="D180" s="70">
        <v>45404</v>
      </c>
      <c r="E180" s="73"/>
      <c r="F180" s="9"/>
      <c r="H180" s="9"/>
      <c r="I180" s="7" t="s">
        <v>3796</v>
      </c>
      <c r="J180" s="51" t="s">
        <v>3667</v>
      </c>
      <c r="K180" s="7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33">
        <v>14521.99</v>
      </c>
      <c r="AB180" s="10"/>
      <c r="AC180" s="33">
        <v>14521.99</v>
      </c>
      <c r="AD180" s="10">
        <f t="shared" si="2"/>
        <v>0</v>
      </c>
      <c r="AE180" s="82"/>
      <c r="AF180" s="34"/>
    </row>
    <row r="181" spans="1:32" x14ac:dyDescent="0.25">
      <c r="A181" s="7" t="s">
        <v>3788</v>
      </c>
      <c r="B181" s="9" t="s">
        <v>3802</v>
      </c>
      <c r="C181" s="70">
        <v>45404</v>
      </c>
      <c r="D181" s="70">
        <v>45404</v>
      </c>
      <c r="E181" s="73"/>
      <c r="F181" s="9"/>
      <c r="H181" s="9"/>
      <c r="I181" s="7" t="s">
        <v>55</v>
      </c>
      <c r="J181" s="51" t="s">
        <v>54</v>
      </c>
      <c r="K181" s="7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>
        <v>150000</v>
      </c>
      <c r="AA181" s="33"/>
      <c r="AB181" s="10"/>
      <c r="AC181" s="33">
        <v>150000</v>
      </c>
      <c r="AD181" s="10">
        <f t="shared" si="2"/>
        <v>0</v>
      </c>
      <c r="AE181" s="82"/>
      <c r="AF181" s="34"/>
    </row>
    <row r="182" spans="1:32" x14ac:dyDescent="0.25">
      <c r="A182" s="7" t="s">
        <v>3789</v>
      </c>
      <c r="B182" s="9">
        <v>4134697</v>
      </c>
      <c r="C182" s="70">
        <v>45404</v>
      </c>
      <c r="D182" s="70">
        <v>45404</v>
      </c>
      <c r="E182" s="73"/>
      <c r="F182" s="9"/>
      <c r="H182" s="9"/>
      <c r="I182" s="7" t="s">
        <v>3803</v>
      </c>
      <c r="J182" s="51" t="s">
        <v>126</v>
      </c>
      <c r="K182" s="7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33">
        <v>13250</v>
      </c>
      <c r="AB182" s="10"/>
      <c r="AC182" s="33">
        <v>13250</v>
      </c>
      <c r="AD182" s="10">
        <f t="shared" si="2"/>
        <v>0</v>
      </c>
      <c r="AE182" s="82"/>
      <c r="AF182" s="34"/>
    </row>
    <row r="183" spans="1:32" x14ac:dyDescent="0.25">
      <c r="A183" s="7" t="s">
        <v>3790</v>
      </c>
      <c r="B183" s="9">
        <v>4134698</v>
      </c>
      <c r="C183" s="70">
        <v>45405</v>
      </c>
      <c r="D183" s="70">
        <v>45405</v>
      </c>
      <c r="E183" s="73"/>
      <c r="F183" s="9"/>
      <c r="H183" s="9" t="s">
        <v>3816</v>
      </c>
      <c r="I183" s="7" t="s">
        <v>1174</v>
      </c>
      <c r="J183" s="51" t="s">
        <v>3667</v>
      </c>
      <c r="K183" s="7"/>
      <c r="L183" s="10"/>
      <c r="M183" s="10"/>
      <c r="N183" s="10"/>
      <c r="O183" s="10"/>
      <c r="P183" s="10"/>
      <c r="Q183" s="10"/>
      <c r="R183" s="10"/>
      <c r="S183" s="10"/>
      <c r="T183" s="10">
        <v>6398.36</v>
      </c>
      <c r="U183" s="10"/>
      <c r="V183" s="10"/>
      <c r="W183" s="10"/>
      <c r="X183" s="10"/>
      <c r="Y183" s="10"/>
      <c r="Z183" s="10"/>
      <c r="AA183" s="33"/>
      <c r="AB183" s="10"/>
      <c r="AC183" s="33">
        <v>6398.36</v>
      </c>
      <c r="AD183" s="10">
        <f t="shared" si="2"/>
        <v>0</v>
      </c>
      <c r="AE183" s="82"/>
      <c r="AF183" s="34"/>
    </row>
    <row r="184" spans="1:32" x14ac:dyDescent="0.25">
      <c r="A184" s="7" t="s">
        <v>3791</v>
      </c>
      <c r="B184" s="9">
        <v>4134699</v>
      </c>
      <c r="C184" s="70">
        <v>45407</v>
      </c>
      <c r="D184" s="70">
        <v>45407</v>
      </c>
      <c r="E184" s="73"/>
      <c r="F184" s="9" t="s">
        <v>3814</v>
      </c>
      <c r="G184" s="9" t="s">
        <v>3481</v>
      </c>
      <c r="H184" s="9"/>
      <c r="I184" s="7" t="s">
        <v>2741</v>
      </c>
      <c r="J184" s="51" t="s">
        <v>109</v>
      </c>
      <c r="K184" s="7"/>
      <c r="L184" s="10"/>
      <c r="M184" s="10">
        <v>22987.5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33"/>
      <c r="AB184" s="10"/>
      <c r="AC184" s="33">
        <v>22987.5</v>
      </c>
      <c r="AD184" s="10">
        <f t="shared" si="2"/>
        <v>0</v>
      </c>
      <c r="AE184" s="82"/>
      <c r="AF184" s="34"/>
    </row>
    <row r="185" spans="1:32" x14ac:dyDescent="0.25">
      <c r="A185" s="7" t="s">
        <v>3797</v>
      </c>
      <c r="B185" s="9">
        <v>4134700</v>
      </c>
      <c r="C185" s="70">
        <v>45407</v>
      </c>
      <c r="D185" s="70">
        <v>45407</v>
      </c>
      <c r="E185" s="73"/>
      <c r="F185" s="9"/>
      <c r="H185" s="9"/>
      <c r="I185" s="7" t="s">
        <v>118</v>
      </c>
      <c r="J185" s="51" t="s">
        <v>1847</v>
      </c>
      <c r="K185" s="7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33">
        <v>25200</v>
      </c>
      <c r="AB185" s="10"/>
      <c r="AC185" s="33">
        <v>25200</v>
      </c>
      <c r="AD185" s="10">
        <f t="shared" si="2"/>
        <v>0</v>
      </c>
      <c r="AE185" s="82"/>
      <c r="AF185" s="34"/>
    </row>
    <row r="186" spans="1:32" x14ac:dyDescent="0.25">
      <c r="A186" s="7" t="s">
        <v>3798</v>
      </c>
      <c r="B186" s="9">
        <v>4174651</v>
      </c>
      <c r="C186" s="70">
        <v>45408</v>
      </c>
      <c r="D186" s="70">
        <v>45408</v>
      </c>
      <c r="E186" s="73"/>
      <c r="F186" s="9"/>
      <c r="H186" s="9"/>
      <c r="I186" s="7" t="s">
        <v>118</v>
      </c>
      <c r="J186" s="51" t="s">
        <v>125</v>
      </c>
      <c r="K186" s="7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33">
        <v>18000</v>
      </c>
      <c r="AB186" s="10"/>
      <c r="AC186" s="33">
        <v>18000</v>
      </c>
      <c r="AD186" s="10">
        <f t="shared" si="2"/>
        <v>0</v>
      </c>
      <c r="AE186" s="82"/>
      <c r="AF186" s="34"/>
    </row>
    <row r="187" spans="1:32" x14ac:dyDescent="0.25">
      <c r="A187" s="7" t="s">
        <v>3799</v>
      </c>
      <c r="B187" s="9">
        <v>4174652</v>
      </c>
      <c r="C187" s="70">
        <v>45442</v>
      </c>
      <c r="D187" s="70">
        <v>45407</v>
      </c>
      <c r="E187" s="73">
        <v>45412</v>
      </c>
      <c r="F187" s="9" t="s">
        <v>3828</v>
      </c>
      <c r="G187" s="9" t="s">
        <v>3479</v>
      </c>
      <c r="H187" s="9"/>
      <c r="I187" s="7" t="s">
        <v>3812</v>
      </c>
      <c r="J187" s="51" t="s">
        <v>2087</v>
      </c>
      <c r="K187" s="7" t="s">
        <v>2088</v>
      </c>
      <c r="L187" s="10">
        <v>11673.21</v>
      </c>
      <c r="M187" s="10">
        <v>97276.79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33"/>
      <c r="AB187" s="10"/>
      <c r="AC187" s="33">
        <v>108950</v>
      </c>
      <c r="AD187" s="10">
        <f t="shared" si="2"/>
        <v>0</v>
      </c>
      <c r="AE187" s="82"/>
      <c r="AF187" s="34">
        <v>972.77</v>
      </c>
    </row>
    <row r="188" spans="1:32" x14ac:dyDescent="0.25">
      <c r="A188" s="7" t="s">
        <v>3800</v>
      </c>
      <c r="B188" s="9">
        <v>4174654</v>
      </c>
      <c r="C188" s="70">
        <v>45408</v>
      </c>
      <c r="D188" s="70">
        <v>45407</v>
      </c>
      <c r="E188" s="73">
        <v>45427</v>
      </c>
      <c r="F188" s="9" t="s">
        <v>3897</v>
      </c>
      <c r="H188" s="9" t="s">
        <v>3898</v>
      </c>
      <c r="I188" s="7" t="s">
        <v>3813</v>
      </c>
      <c r="J188" s="51" t="s">
        <v>65</v>
      </c>
      <c r="K188" s="7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33">
        <v>80000</v>
      </c>
      <c r="AB188" s="10"/>
      <c r="AC188" s="33">
        <v>79100</v>
      </c>
      <c r="AD188" s="10">
        <f t="shared" si="2"/>
        <v>-900</v>
      </c>
      <c r="AE188" s="82" t="s">
        <v>3896</v>
      </c>
      <c r="AF188" s="34"/>
    </row>
    <row r="189" spans="1:32" x14ac:dyDescent="0.25">
      <c r="A189" s="7" t="s">
        <v>3801</v>
      </c>
      <c r="B189" s="9">
        <v>4174653</v>
      </c>
      <c r="C189" s="70">
        <v>45411</v>
      </c>
      <c r="D189" s="70">
        <v>45411</v>
      </c>
      <c r="E189" s="73"/>
      <c r="F189" s="9"/>
      <c r="H189" s="9" t="s">
        <v>3818</v>
      </c>
      <c r="I189" s="7" t="s">
        <v>1174</v>
      </c>
      <c r="J189" s="51" t="s">
        <v>3667</v>
      </c>
      <c r="K189" s="7"/>
      <c r="L189" s="10"/>
      <c r="M189" s="10"/>
      <c r="N189" s="10"/>
      <c r="O189" s="10"/>
      <c r="P189" s="10"/>
      <c r="Q189" s="10"/>
      <c r="R189" s="10"/>
      <c r="S189" s="10"/>
      <c r="T189" s="10">
        <v>7866</v>
      </c>
      <c r="U189" s="10"/>
      <c r="V189" s="10"/>
      <c r="W189" s="10"/>
      <c r="X189" s="10"/>
      <c r="Y189" s="10"/>
      <c r="Z189" s="10"/>
      <c r="AA189" s="33"/>
      <c r="AB189" s="10"/>
      <c r="AC189" s="33">
        <v>7866</v>
      </c>
      <c r="AD189" s="10">
        <f t="shared" si="2"/>
        <v>0</v>
      </c>
      <c r="AE189" s="82"/>
      <c r="AF189" s="34"/>
    </row>
    <row r="190" spans="1:32" x14ac:dyDescent="0.25">
      <c r="A190" s="7" t="s">
        <v>3805</v>
      </c>
      <c r="B190" s="9">
        <v>4174655</v>
      </c>
      <c r="C190" s="70">
        <v>45411</v>
      </c>
      <c r="D190" s="70">
        <v>45411</v>
      </c>
      <c r="E190" s="73"/>
      <c r="F190" s="9"/>
      <c r="H190" s="9"/>
      <c r="I190" s="7" t="s">
        <v>3815</v>
      </c>
      <c r="J190" s="51" t="s">
        <v>1261</v>
      </c>
      <c r="K190" s="7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33">
        <v>3360</v>
      </c>
      <c r="AB190" s="10"/>
      <c r="AC190" s="33">
        <v>3360</v>
      </c>
      <c r="AD190" s="10">
        <f t="shared" si="2"/>
        <v>0</v>
      </c>
      <c r="AE190" s="82"/>
      <c r="AF190" s="34"/>
    </row>
    <row r="191" spans="1:32" x14ac:dyDescent="0.25">
      <c r="A191" s="7" t="s">
        <v>3806</v>
      </c>
      <c r="B191" s="9">
        <v>4174656</v>
      </c>
      <c r="C191" s="70">
        <v>45449</v>
      </c>
      <c r="D191" s="70">
        <v>45412</v>
      </c>
      <c r="E191" s="73">
        <v>45419</v>
      </c>
      <c r="F191" s="9" t="s">
        <v>3836</v>
      </c>
      <c r="G191" s="9" t="s">
        <v>2448</v>
      </c>
      <c r="H191" s="9"/>
      <c r="I191" s="7" t="s">
        <v>1131</v>
      </c>
      <c r="J191" s="51" t="s">
        <v>1226</v>
      </c>
      <c r="K191" s="7" t="s">
        <v>2924</v>
      </c>
      <c r="L191" s="10">
        <v>8035.71</v>
      </c>
      <c r="M191" s="10">
        <v>66964.289999999994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33"/>
      <c r="AB191" s="10"/>
      <c r="AC191" s="33">
        <v>75000</v>
      </c>
      <c r="AD191" s="10">
        <f t="shared" si="2"/>
        <v>0</v>
      </c>
      <c r="AE191" s="82"/>
      <c r="AF191" s="34">
        <v>669.64</v>
      </c>
    </row>
    <row r="192" spans="1:32" x14ac:dyDescent="0.25">
      <c r="A192" s="7" t="s">
        <v>3807</v>
      </c>
      <c r="B192" s="9">
        <v>4174657</v>
      </c>
      <c r="C192" s="70">
        <v>45449</v>
      </c>
      <c r="D192" s="70">
        <v>45412</v>
      </c>
      <c r="E192" s="73">
        <v>45419</v>
      </c>
      <c r="F192" s="9" t="s">
        <v>3835</v>
      </c>
      <c r="G192" s="9" t="s">
        <v>3480</v>
      </c>
      <c r="H192" s="9"/>
      <c r="I192" s="7" t="s">
        <v>3817</v>
      </c>
      <c r="J192" s="51" t="s">
        <v>1226</v>
      </c>
      <c r="K192" s="7" t="s">
        <v>2924</v>
      </c>
      <c r="L192" s="10">
        <v>5946.43</v>
      </c>
      <c r="M192" s="10">
        <v>49553.57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33"/>
      <c r="AB192" s="10"/>
      <c r="AC192" s="33">
        <v>55500</v>
      </c>
      <c r="AD192" s="10">
        <f t="shared" si="2"/>
        <v>0</v>
      </c>
      <c r="AE192" s="82"/>
      <c r="AF192" s="34">
        <v>495.54</v>
      </c>
    </row>
    <row r="193" spans="1:32" x14ac:dyDescent="0.25">
      <c r="A193" s="7" t="s">
        <v>3808</v>
      </c>
      <c r="B193" s="9">
        <v>4174658</v>
      </c>
      <c r="C193" s="70">
        <v>45414</v>
      </c>
      <c r="D193" s="70">
        <v>45412</v>
      </c>
      <c r="E193" s="73">
        <v>45414</v>
      </c>
      <c r="F193" s="9" t="s">
        <v>3819</v>
      </c>
      <c r="G193" s="9" t="s">
        <v>3483</v>
      </c>
      <c r="H193" s="9"/>
      <c r="I193" s="7" t="s">
        <v>53</v>
      </c>
      <c r="J193" s="51" t="s">
        <v>2977</v>
      </c>
      <c r="K193" s="7" t="s">
        <v>2978</v>
      </c>
      <c r="L193" s="10">
        <v>402.32</v>
      </c>
      <c r="M193" s="10">
        <v>3352.68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33"/>
      <c r="AB193" s="10"/>
      <c r="AC193" s="33">
        <v>3755</v>
      </c>
      <c r="AD193" s="10">
        <f t="shared" ref="AD193:AD256" si="3">SUM(AB193:AC193)-SUM(L193:AA193)</f>
        <v>0</v>
      </c>
      <c r="AE193" s="82"/>
      <c r="AF193" s="34">
        <v>33.53</v>
      </c>
    </row>
    <row r="194" spans="1:32" s="39" customFormat="1" x14ac:dyDescent="0.25">
      <c r="A194" s="20"/>
      <c r="B194" s="19"/>
      <c r="C194" s="72"/>
      <c r="D194" s="72"/>
      <c r="E194" s="77"/>
      <c r="F194" s="19"/>
      <c r="G194" s="19"/>
      <c r="H194" s="19"/>
      <c r="I194" s="20"/>
      <c r="J194" s="20"/>
      <c r="K194" s="20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32"/>
      <c r="AB194" s="22"/>
      <c r="AC194" s="32"/>
      <c r="AD194" s="22"/>
      <c r="AE194" s="96"/>
      <c r="AF194" s="35"/>
    </row>
    <row r="195" spans="1:32" s="39" customFormat="1" x14ac:dyDescent="0.25">
      <c r="A195" s="25">
        <v>45413</v>
      </c>
      <c r="B195" s="19"/>
      <c r="C195" s="72"/>
      <c r="D195" s="72"/>
      <c r="E195" s="77"/>
      <c r="F195" s="19"/>
      <c r="G195" s="19"/>
      <c r="H195" s="19"/>
      <c r="I195" s="20"/>
      <c r="J195" s="20"/>
      <c r="K195" s="20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32"/>
      <c r="AB195" s="22"/>
      <c r="AC195" s="32"/>
      <c r="AD195" s="22"/>
      <c r="AE195" s="96"/>
      <c r="AF195" s="35"/>
    </row>
    <row r="196" spans="1:32" x14ac:dyDescent="0.25">
      <c r="A196" s="7" t="s">
        <v>3809</v>
      </c>
      <c r="B196" s="9">
        <v>4174659</v>
      </c>
      <c r="C196" s="70">
        <v>45418</v>
      </c>
      <c r="D196" s="70">
        <v>45418</v>
      </c>
      <c r="E196" s="73">
        <v>45419</v>
      </c>
      <c r="F196" s="9" t="s">
        <v>3837</v>
      </c>
      <c r="H196" s="9"/>
      <c r="I196" s="7" t="s">
        <v>3826</v>
      </c>
      <c r="J196" s="51" t="s">
        <v>127</v>
      </c>
      <c r="K196" s="7"/>
      <c r="L196" s="10">
        <v>2582.4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33">
        <v>21089.599999999999</v>
      </c>
      <c r="AB196" s="10"/>
      <c r="AC196" s="33">
        <v>23672</v>
      </c>
      <c r="AD196" s="10">
        <f t="shared" si="3"/>
        <v>0</v>
      </c>
      <c r="AE196" s="82"/>
      <c r="AF196" s="34"/>
    </row>
    <row r="197" spans="1:32" x14ac:dyDescent="0.25">
      <c r="A197" s="7" t="s">
        <v>3810</v>
      </c>
      <c r="B197" s="9">
        <v>4174660</v>
      </c>
      <c r="C197" s="70">
        <v>45418</v>
      </c>
      <c r="D197" s="70">
        <v>45418</v>
      </c>
      <c r="E197" s="70"/>
      <c r="F197" s="9"/>
      <c r="H197" s="9"/>
      <c r="I197" s="7" t="s">
        <v>123</v>
      </c>
      <c r="J197" s="51" t="s">
        <v>47</v>
      </c>
      <c r="K197" s="7"/>
      <c r="L197" s="10"/>
      <c r="M197" s="10">
        <v>23000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33"/>
      <c r="AB197" s="10"/>
      <c r="AC197" s="33">
        <v>23000</v>
      </c>
      <c r="AD197" s="10">
        <f t="shared" si="3"/>
        <v>0</v>
      </c>
      <c r="AE197" s="82"/>
      <c r="AF197" s="34"/>
    </row>
    <row r="198" spans="1:32" x14ac:dyDescent="0.25">
      <c r="A198" s="7" t="s">
        <v>3811</v>
      </c>
      <c r="B198" s="9">
        <v>4174661</v>
      </c>
      <c r="C198" s="70">
        <v>45418</v>
      </c>
      <c r="D198" s="70">
        <v>45418</v>
      </c>
      <c r="E198" s="73">
        <v>45419</v>
      </c>
      <c r="F198" s="9" t="s">
        <v>3844</v>
      </c>
      <c r="H198" s="9" t="s">
        <v>3845</v>
      </c>
      <c r="I198" s="7" t="s">
        <v>3827</v>
      </c>
      <c r="J198" s="51" t="s">
        <v>709</v>
      </c>
      <c r="K198" s="7" t="s">
        <v>2432</v>
      </c>
      <c r="L198" s="10">
        <v>932.14</v>
      </c>
      <c r="M198" s="10">
        <v>7767.86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33"/>
      <c r="AB198" s="10"/>
      <c r="AC198" s="33">
        <v>10000</v>
      </c>
      <c r="AD198" s="10">
        <f t="shared" si="3"/>
        <v>1300</v>
      </c>
      <c r="AE198" s="82" t="s">
        <v>3863</v>
      </c>
      <c r="AF198" s="34"/>
    </row>
    <row r="199" spans="1:32" x14ac:dyDescent="0.25">
      <c r="A199" s="7" t="s">
        <v>3820</v>
      </c>
      <c r="B199" s="9">
        <v>4174662</v>
      </c>
      <c r="C199" s="70">
        <v>45446</v>
      </c>
      <c r="D199" s="70">
        <v>45419</v>
      </c>
      <c r="E199" s="73">
        <v>45419</v>
      </c>
      <c r="F199" s="9" t="s">
        <v>3829</v>
      </c>
      <c r="G199" s="9" t="s">
        <v>3484</v>
      </c>
      <c r="H199" s="9"/>
      <c r="I199" s="7" t="s">
        <v>756</v>
      </c>
      <c r="J199" s="51" t="s">
        <v>3527</v>
      </c>
      <c r="K199" s="7" t="s">
        <v>3530</v>
      </c>
      <c r="L199" s="10">
        <v>4682.1400000000003</v>
      </c>
      <c r="M199" s="10">
        <v>39017.86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33"/>
      <c r="AB199" s="10"/>
      <c r="AC199" s="33">
        <v>43700</v>
      </c>
      <c r="AD199" s="10">
        <f t="shared" si="3"/>
        <v>0</v>
      </c>
      <c r="AE199" s="82"/>
      <c r="AF199" s="34">
        <v>390.18</v>
      </c>
    </row>
    <row r="200" spans="1:32" x14ac:dyDescent="0.25">
      <c r="A200" s="7" t="s">
        <v>3821</v>
      </c>
      <c r="B200" s="9">
        <v>4174663</v>
      </c>
      <c r="C200" s="70">
        <v>45446</v>
      </c>
      <c r="D200" s="70">
        <v>45419</v>
      </c>
      <c r="E200" s="73">
        <v>45419</v>
      </c>
      <c r="F200" s="9" t="s">
        <v>3830</v>
      </c>
      <c r="G200" s="9" t="s">
        <v>3485</v>
      </c>
      <c r="H200" s="9"/>
      <c r="I200" s="7" t="s">
        <v>3507</v>
      </c>
      <c r="J200" s="51" t="s">
        <v>3527</v>
      </c>
      <c r="K200" s="7" t="s">
        <v>3530</v>
      </c>
      <c r="L200" s="10">
        <v>857.14</v>
      </c>
      <c r="M200" s="10">
        <v>7142.86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33"/>
      <c r="AB200" s="10"/>
      <c r="AC200" s="33">
        <v>8000</v>
      </c>
      <c r="AD200" s="10">
        <f t="shared" si="3"/>
        <v>0</v>
      </c>
      <c r="AE200" s="82"/>
      <c r="AF200" s="34">
        <v>71.430000000000007</v>
      </c>
    </row>
    <row r="201" spans="1:32" x14ac:dyDescent="0.25">
      <c r="A201" s="7" t="s">
        <v>3822</v>
      </c>
      <c r="B201" s="9">
        <v>4174664</v>
      </c>
      <c r="C201" s="70">
        <v>45450</v>
      </c>
      <c r="D201" s="70">
        <v>45419</v>
      </c>
      <c r="E201" s="73">
        <v>45454</v>
      </c>
      <c r="F201" s="9" t="s">
        <v>3954</v>
      </c>
      <c r="G201" s="9" t="s">
        <v>3486</v>
      </c>
      <c r="H201" s="9"/>
      <c r="I201" s="7" t="s">
        <v>3831</v>
      </c>
      <c r="J201" s="51" t="s">
        <v>3527</v>
      </c>
      <c r="K201" s="7" t="s">
        <v>3530</v>
      </c>
      <c r="L201" s="10">
        <v>873.21</v>
      </c>
      <c r="M201" s="10">
        <v>7276.79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33"/>
      <c r="AB201" s="10"/>
      <c r="AC201" s="33">
        <v>8150</v>
      </c>
      <c r="AD201" s="10">
        <f t="shared" si="3"/>
        <v>0</v>
      </c>
      <c r="AE201" s="82"/>
      <c r="AF201" s="34">
        <v>72.77</v>
      </c>
    </row>
    <row r="202" spans="1:32" x14ac:dyDescent="0.25">
      <c r="A202" s="7" t="s">
        <v>3823</v>
      </c>
      <c r="B202" s="9">
        <v>4174665</v>
      </c>
      <c r="C202" s="70">
        <v>45421</v>
      </c>
      <c r="D202" s="70">
        <v>45421</v>
      </c>
      <c r="E202" s="73"/>
      <c r="F202" s="9"/>
      <c r="H202" s="9" t="s">
        <v>3865</v>
      </c>
      <c r="I202" s="7" t="s">
        <v>2588</v>
      </c>
      <c r="J202" s="51" t="s">
        <v>3667</v>
      </c>
      <c r="K202" s="7"/>
      <c r="L202" s="10"/>
      <c r="M202" s="10"/>
      <c r="N202" s="10"/>
      <c r="O202" s="10"/>
      <c r="P202" s="10"/>
      <c r="Q202" s="10"/>
      <c r="R202" s="10"/>
      <c r="S202" s="10"/>
      <c r="T202" s="10">
        <v>9138.58</v>
      </c>
      <c r="U202" s="10"/>
      <c r="V202" s="10"/>
      <c r="W202" s="10"/>
      <c r="X202" s="10"/>
      <c r="Y202" s="10"/>
      <c r="Z202" s="10"/>
      <c r="AA202" s="33"/>
      <c r="AB202" s="10"/>
      <c r="AC202" s="33">
        <v>9138.58</v>
      </c>
      <c r="AD202" s="10">
        <f t="shared" si="3"/>
        <v>0</v>
      </c>
      <c r="AE202" s="82"/>
      <c r="AF202" s="34"/>
    </row>
    <row r="203" spans="1:32" x14ac:dyDescent="0.25">
      <c r="A203" s="7" t="s">
        <v>3824</v>
      </c>
      <c r="B203" s="9">
        <v>4174666</v>
      </c>
      <c r="C203" s="70">
        <v>45425</v>
      </c>
      <c r="D203" s="70">
        <v>45425</v>
      </c>
      <c r="E203" s="73"/>
      <c r="F203" s="9"/>
      <c r="H203" s="9"/>
      <c r="I203" s="7" t="s">
        <v>3853</v>
      </c>
      <c r="J203" s="51" t="s">
        <v>44</v>
      </c>
      <c r="K203" s="7"/>
      <c r="L203" s="10">
        <v>880.87</v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>
        <v>7340.55</v>
      </c>
      <c r="Y203" s="10"/>
      <c r="Z203" s="10"/>
      <c r="AA203" s="33"/>
      <c r="AB203" s="10"/>
      <c r="AC203" s="33">
        <v>8221.42</v>
      </c>
      <c r="AD203" s="10">
        <f t="shared" si="3"/>
        <v>0</v>
      </c>
      <c r="AE203" s="82"/>
      <c r="AF203" s="34"/>
    </row>
    <row r="204" spans="1:32" x14ac:dyDescent="0.25">
      <c r="A204" s="7" t="s">
        <v>3825</v>
      </c>
      <c r="B204" s="9">
        <v>4174667</v>
      </c>
      <c r="C204" s="70">
        <v>45425</v>
      </c>
      <c r="D204" s="70">
        <v>45425</v>
      </c>
      <c r="E204" s="73"/>
      <c r="F204" s="9"/>
      <c r="H204" s="9"/>
      <c r="I204" s="7" t="s">
        <v>3854</v>
      </c>
      <c r="J204" s="51" t="s">
        <v>18</v>
      </c>
      <c r="K204" s="7"/>
      <c r="L204" s="10">
        <v>151.09</v>
      </c>
      <c r="M204" s="10"/>
      <c r="N204" s="10"/>
      <c r="O204" s="10"/>
      <c r="P204" s="10"/>
      <c r="Q204" s="10"/>
      <c r="R204" s="10">
        <v>1259.06</v>
      </c>
      <c r="S204" s="10"/>
      <c r="T204" s="10"/>
      <c r="U204" s="10"/>
      <c r="V204" s="10"/>
      <c r="W204" s="10"/>
      <c r="X204" s="10"/>
      <c r="Y204" s="10"/>
      <c r="Z204" s="10"/>
      <c r="AA204" s="33"/>
      <c r="AB204" s="10"/>
      <c r="AC204" s="33">
        <v>1410.15</v>
      </c>
      <c r="AD204" s="10">
        <f t="shared" si="3"/>
        <v>0</v>
      </c>
      <c r="AE204" s="82"/>
      <c r="AF204" s="34"/>
    </row>
    <row r="205" spans="1:32" x14ac:dyDescent="0.25">
      <c r="A205" s="7" t="s">
        <v>3838</v>
      </c>
      <c r="B205" s="9">
        <v>4174668</v>
      </c>
      <c r="C205" s="70">
        <v>45425</v>
      </c>
      <c r="D205" s="70">
        <v>45425</v>
      </c>
      <c r="E205" s="73"/>
      <c r="F205" s="9"/>
      <c r="H205" s="9"/>
      <c r="I205" s="7" t="s">
        <v>3854</v>
      </c>
      <c r="J205" s="51" t="s">
        <v>18</v>
      </c>
      <c r="K205" s="7"/>
      <c r="L205" s="10">
        <v>811.09</v>
      </c>
      <c r="M205" s="10"/>
      <c r="N205" s="10"/>
      <c r="O205" s="10"/>
      <c r="P205" s="10"/>
      <c r="Q205" s="10"/>
      <c r="R205" s="10">
        <v>6759.06</v>
      </c>
      <c r="S205" s="10"/>
      <c r="U205" s="10"/>
      <c r="V205" s="10"/>
      <c r="W205" s="10"/>
      <c r="X205" s="10"/>
      <c r="Y205" s="10"/>
      <c r="Z205" s="10"/>
      <c r="AA205" s="33"/>
      <c r="AB205" s="10"/>
      <c r="AC205" s="33">
        <v>7570.15</v>
      </c>
      <c r="AD205" s="10">
        <f t="shared" si="3"/>
        <v>0</v>
      </c>
      <c r="AE205" s="82"/>
      <c r="AF205" s="34"/>
    </row>
    <row r="206" spans="1:32" x14ac:dyDescent="0.25">
      <c r="A206" s="7" t="s">
        <v>3839</v>
      </c>
      <c r="B206" s="9">
        <v>4174669</v>
      </c>
      <c r="C206" s="70">
        <v>45425</v>
      </c>
      <c r="D206" s="70">
        <v>45425</v>
      </c>
      <c r="E206" s="73"/>
      <c r="F206" s="9"/>
      <c r="H206" s="9"/>
      <c r="I206" s="7" t="s">
        <v>118</v>
      </c>
      <c r="J206" s="51" t="s">
        <v>1847</v>
      </c>
      <c r="K206" s="7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33">
        <v>32900</v>
      </c>
      <c r="AB206" s="10"/>
      <c r="AC206" s="33">
        <v>32900</v>
      </c>
      <c r="AD206" s="10">
        <f t="shared" si="3"/>
        <v>0</v>
      </c>
      <c r="AE206" s="82"/>
      <c r="AF206" s="34"/>
    </row>
    <row r="207" spans="1:32" x14ac:dyDescent="0.25">
      <c r="A207" s="7" t="s">
        <v>3840</v>
      </c>
      <c r="B207" s="9">
        <v>4174670</v>
      </c>
      <c r="C207" s="70">
        <v>45425</v>
      </c>
      <c r="D207" s="70">
        <v>45425</v>
      </c>
      <c r="E207" s="73"/>
      <c r="F207" s="9"/>
      <c r="H207" s="9"/>
      <c r="I207" s="7" t="s">
        <v>3539</v>
      </c>
      <c r="J207" s="51" t="s">
        <v>3667</v>
      </c>
      <c r="K207" s="7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33">
        <v>8160</v>
      </c>
      <c r="AB207" s="10"/>
      <c r="AC207" s="33">
        <v>8160</v>
      </c>
      <c r="AD207" s="10">
        <f t="shared" si="3"/>
        <v>0</v>
      </c>
      <c r="AE207" s="82"/>
      <c r="AF207" s="34"/>
    </row>
    <row r="208" spans="1:32" x14ac:dyDescent="0.25">
      <c r="A208" s="7" t="s">
        <v>3841</v>
      </c>
      <c r="B208" s="9">
        <v>4174671</v>
      </c>
      <c r="C208" s="70">
        <v>45425</v>
      </c>
      <c r="D208" s="70">
        <v>45425</v>
      </c>
      <c r="E208" s="73"/>
      <c r="F208" s="9"/>
      <c r="H208" s="9" t="s">
        <v>3864</v>
      </c>
      <c r="I208" s="7" t="s">
        <v>1174</v>
      </c>
      <c r="J208" s="51" t="s">
        <v>3667</v>
      </c>
      <c r="K208" s="7"/>
      <c r="L208" s="10"/>
      <c r="M208" s="10"/>
      <c r="N208" s="10"/>
      <c r="O208" s="10"/>
      <c r="P208" s="10"/>
      <c r="Q208" s="10"/>
      <c r="R208" s="10"/>
      <c r="S208" s="10"/>
      <c r="T208" s="10">
        <v>10307</v>
      </c>
      <c r="U208" s="10"/>
      <c r="V208" s="10"/>
      <c r="W208" s="10"/>
      <c r="X208" s="10"/>
      <c r="Y208" s="10"/>
      <c r="Z208" s="10"/>
      <c r="AA208" s="33"/>
      <c r="AB208" s="10"/>
      <c r="AC208" s="33">
        <v>10307</v>
      </c>
      <c r="AD208" s="10">
        <f t="shared" si="3"/>
        <v>0</v>
      </c>
      <c r="AE208" s="82"/>
      <c r="AF208" s="34"/>
    </row>
    <row r="209" spans="1:32" x14ac:dyDescent="0.25">
      <c r="A209" s="7" t="s">
        <v>3842</v>
      </c>
      <c r="B209" s="9" t="s">
        <v>3855</v>
      </c>
      <c r="C209" s="70">
        <v>45425</v>
      </c>
      <c r="D209" s="70">
        <v>45425</v>
      </c>
      <c r="E209" s="73"/>
      <c r="F209" s="9"/>
      <c r="H209" s="9"/>
      <c r="I209" s="7" t="s">
        <v>55</v>
      </c>
      <c r="J209" s="51" t="s">
        <v>54</v>
      </c>
      <c r="K209" s="7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>
        <v>300000</v>
      </c>
      <c r="AA209" s="33"/>
      <c r="AB209" s="10"/>
      <c r="AC209" s="33">
        <v>300000</v>
      </c>
      <c r="AD209" s="10">
        <f t="shared" si="3"/>
        <v>0</v>
      </c>
      <c r="AE209" s="82"/>
      <c r="AF209" s="34"/>
    </row>
    <row r="210" spans="1:32" x14ac:dyDescent="0.25">
      <c r="A210" s="7" t="s">
        <v>3843</v>
      </c>
      <c r="B210" s="9" t="s">
        <v>3856</v>
      </c>
      <c r="C210" s="70">
        <v>45425</v>
      </c>
      <c r="D210" s="70">
        <v>45425</v>
      </c>
      <c r="E210" s="73">
        <v>45426</v>
      </c>
      <c r="F210" s="9" t="s">
        <v>3955</v>
      </c>
      <c r="G210" s="9" t="s">
        <v>3487</v>
      </c>
      <c r="H210" s="9"/>
      <c r="I210" s="7" t="s">
        <v>3858</v>
      </c>
      <c r="J210" s="51" t="s">
        <v>1999</v>
      </c>
      <c r="K210" s="7" t="s">
        <v>2297</v>
      </c>
      <c r="L210" s="10">
        <v>14555.36</v>
      </c>
      <c r="M210" s="10">
        <v>121294.64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33"/>
      <c r="AB210" s="10"/>
      <c r="AC210" s="33">
        <v>135850</v>
      </c>
      <c r="AD210" s="10">
        <f t="shared" si="3"/>
        <v>0</v>
      </c>
      <c r="AE210" s="82"/>
      <c r="AF210" s="34">
        <v>1212.95</v>
      </c>
    </row>
    <row r="211" spans="1:32" x14ac:dyDescent="0.25">
      <c r="A211" s="7" t="s">
        <v>3847</v>
      </c>
      <c r="B211" s="9" t="s">
        <v>3857</v>
      </c>
      <c r="C211" s="70">
        <v>45425</v>
      </c>
      <c r="D211" s="70">
        <v>45425</v>
      </c>
      <c r="E211" s="73">
        <v>45426</v>
      </c>
      <c r="F211" s="9" t="s">
        <v>3869</v>
      </c>
      <c r="H211" s="9"/>
      <c r="I211" s="7" t="s">
        <v>63</v>
      </c>
      <c r="J211" s="51" t="s">
        <v>109</v>
      </c>
      <c r="K211" s="7"/>
      <c r="L211" s="10"/>
      <c r="M211" s="10"/>
      <c r="N211" s="10">
        <v>41014.75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33"/>
      <c r="AB211" s="10"/>
      <c r="AC211" s="33">
        <v>41014.75</v>
      </c>
      <c r="AD211" s="10">
        <f t="shared" si="3"/>
        <v>0</v>
      </c>
      <c r="AE211" s="82"/>
      <c r="AF211" s="34"/>
    </row>
    <row r="212" spans="1:32" x14ac:dyDescent="0.25">
      <c r="A212" s="7" t="s">
        <v>3848</v>
      </c>
      <c r="B212" s="9">
        <v>4174672</v>
      </c>
      <c r="C212" s="70">
        <v>45426</v>
      </c>
      <c r="D212" s="70">
        <v>45426</v>
      </c>
      <c r="E212" s="73"/>
      <c r="F212" s="9"/>
      <c r="H212" s="9"/>
      <c r="I212" s="7" t="s">
        <v>3866</v>
      </c>
      <c r="J212" s="51" t="s">
        <v>43</v>
      </c>
      <c r="K212" s="7"/>
      <c r="L212" s="10">
        <v>64.180000000000007</v>
      </c>
      <c r="M212" s="10"/>
      <c r="N212" s="10"/>
      <c r="O212" s="10"/>
      <c r="P212" s="10"/>
      <c r="Q212" s="10"/>
      <c r="R212" s="10"/>
      <c r="S212" s="10">
        <v>534.82000000000005</v>
      </c>
      <c r="T212" s="10"/>
      <c r="U212" s="10"/>
      <c r="V212" s="10"/>
      <c r="W212" s="10"/>
      <c r="X212" s="10"/>
      <c r="Y212" s="10"/>
      <c r="Z212" s="10"/>
      <c r="AA212" s="33"/>
      <c r="AB212" s="10"/>
      <c r="AC212" s="33">
        <v>599</v>
      </c>
      <c r="AD212" s="10">
        <f t="shared" si="3"/>
        <v>0</v>
      </c>
      <c r="AE212" s="82"/>
      <c r="AF212" s="34"/>
    </row>
    <row r="213" spans="1:32" x14ac:dyDescent="0.25">
      <c r="A213" s="7" t="s">
        <v>3849</v>
      </c>
      <c r="B213" s="9">
        <v>4174673</v>
      </c>
      <c r="C213" s="70">
        <v>45426</v>
      </c>
      <c r="D213" s="70">
        <v>45426</v>
      </c>
      <c r="E213" s="73"/>
      <c r="F213" s="9"/>
      <c r="H213" s="9"/>
      <c r="I213" s="7" t="s">
        <v>3866</v>
      </c>
      <c r="J213" s="51" t="s">
        <v>43</v>
      </c>
      <c r="K213" s="7"/>
      <c r="L213" s="10">
        <v>32.14</v>
      </c>
      <c r="M213" s="10"/>
      <c r="N213" s="10"/>
      <c r="O213" s="10"/>
      <c r="P213" s="10"/>
      <c r="Q213" s="10"/>
      <c r="R213" s="10"/>
      <c r="S213" s="10">
        <v>267.86</v>
      </c>
      <c r="T213" s="10"/>
      <c r="U213" s="10"/>
      <c r="V213" s="10"/>
      <c r="W213" s="10"/>
      <c r="X213" s="10"/>
      <c r="Y213" s="10"/>
      <c r="Z213" s="10"/>
      <c r="AA213" s="33"/>
      <c r="AB213" s="10"/>
      <c r="AC213" s="33">
        <v>300</v>
      </c>
      <c r="AD213" s="10">
        <f t="shared" si="3"/>
        <v>0</v>
      </c>
      <c r="AE213" s="82"/>
      <c r="AF213" s="34"/>
    </row>
    <row r="214" spans="1:32" x14ac:dyDescent="0.25">
      <c r="A214" s="7" t="s">
        <v>3850</v>
      </c>
      <c r="B214" s="9">
        <v>4174674</v>
      </c>
      <c r="C214" s="70">
        <v>45426</v>
      </c>
      <c r="D214" s="70">
        <v>45426</v>
      </c>
      <c r="E214" s="73"/>
      <c r="F214" s="9"/>
      <c r="H214" s="9"/>
      <c r="I214" s="7" t="s">
        <v>3867</v>
      </c>
      <c r="J214" s="51" t="s">
        <v>1202</v>
      </c>
      <c r="K214" s="7"/>
      <c r="L214" s="10">
        <v>163</v>
      </c>
      <c r="M214" s="10"/>
      <c r="N214" s="10"/>
      <c r="O214" s="10"/>
      <c r="P214" s="10"/>
      <c r="Q214" s="10"/>
      <c r="R214" s="10"/>
      <c r="S214" s="10">
        <v>1358.34</v>
      </c>
      <c r="T214" s="10"/>
      <c r="U214" s="10"/>
      <c r="V214" s="10"/>
      <c r="W214" s="10"/>
      <c r="X214" s="10"/>
      <c r="Y214" s="10"/>
      <c r="Z214" s="10"/>
      <c r="AA214" s="33"/>
      <c r="AB214" s="10"/>
      <c r="AC214" s="33">
        <v>1521.34</v>
      </c>
      <c r="AD214" s="10">
        <f t="shared" si="3"/>
        <v>0</v>
      </c>
      <c r="AE214" s="82"/>
      <c r="AF214" s="34"/>
    </row>
    <row r="215" spans="1:32" x14ac:dyDescent="0.25">
      <c r="A215" s="7" t="s">
        <v>3851</v>
      </c>
      <c r="B215" s="9">
        <v>4174675</v>
      </c>
      <c r="C215" s="70">
        <v>45426</v>
      </c>
      <c r="D215" s="70">
        <v>45426</v>
      </c>
      <c r="E215" s="73"/>
      <c r="F215" s="9"/>
      <c r="H215" s="9"/>
      <c r="I215" s="7" t="s">
        <v>3867</v>
      </c>
      <c r="J215" s="51" t="s">
        <v>1202</v>
      </c>
      <c r="K215" s="7"/>
      <c r="L215" s="10">
        <v>107.04</v>
      </c>
      <c r="M215" s="10"/>
      <c r="N215" s="10"/>
      <c r="O215" s="10"/>
      <c r="P215" s="10"/>
      <c r="Q215" s="10"/>
      <c r="R215" s="10"/>
      <c r="S215" s="10">
        <v>891.96</v>
      </c>
      <c r="T215" s="10"/>
      <c r="U215" s="10"/>
      <c r="V215" s="10"/>
      <c r="W215" s="10"/>
      <c r="X215" s="10"/>
      <c r="Y215" s="10"/>
      <c r="Z215" s="10"/>
      <c r="AA215" s="33"/>
      <c r="AB215" s="10"/>
      <c r="AC215" s="33">
        <v>999</v>
      </c>
      <c r="AD215" s="10">
        <f t="shared" si="3"/>
        <v>0</v>
      </c>
      <c r="AE215" s="82"/>
      <c r="AF215" s="34"/>
    </row>
    <row r="216" spans="1:32" x14ac:dyDescent="0.25">
      <c r="A216" s="7" t="s">
        <v>3852</v>
      </c>
      <c r="B216" s="9">
        <v>4174676</v>
      </c>
      <c r="C216" s="70">
        <v>45426</v>
      </c>
      <c r="D216" s="70">
        <v>45426</v>
      </c>
      <c r="E216" s="73"/>
      <c r="F216" s="9"/>
      <c r="H216" s="9"/>
      <c r="I216" s="7" t="s">
        <v>3868</v>
      </c>
      <c r="J216" s="51" t="s">
        <v>1202</v>
      </c>
      <c r="K216" s="7"/>
      <c r="L216" s="10">
        <v>107.04</v>
      </c>
      <c r="M216" s="10"/>
      <c r="N216" s="10"/>
      <c r="O216" s="10"/>
      <c r="P216" s="10"/>
      <c r="Q216" s="10"/>
      <c r="R216" s="10"/>
      <c r="S216" s="10">
        <v>891.96</v>
      </c>
      <c r="T216" s="10"/>
      <c r="U216" s="10"/>
      <c r="V216" s="10"/>
      <c r="W216" s="10"/>
      <c r="X216" s="10"/>
      <c r="Y216" s="10"/>
      <c r="Z216" s="10"/>
      <c r="AA216" s="33"/>
      <c r="AB216" s="10"/>
      <c r="AC216" s="33">
        <v>999</v>
      </c>
      <c r="AD216" s="10">
        <f t="shared" si="3"/>
        <v>0</v>
      </c>
      <c r="AE216" s="82"/>
      <c r="AF216" s="34"/>
    </row>
    <row r="217" spans="1:32" x14ac:dyDescent="0.25">
      <c r="A217" s="7" t="s">
        <v>3859</v>
      </c>
      <c r="B217" s="9">
        <v>4174677</v>
      </c>
      <c r="C217" s="70">
        <v>45426</v>
      </c>
      <c r="D217" s="70">
        <v>45426</v>
      </c>
      <c r="E217" s="73"/>
      <c r="F217" s="9"/>
      <c r="H217" s="9"/>
      <c r="I217" s="7" t="s">
        <v>3868</v>
      </c>
      <c r="J217" s="51" t="s">
        <v>1202</v>
      </c>
      <c r="K217" s="7"/>
      <c r="L217" s="10">
        <v>107.04</v>
      </c>
      <c r="M217" s="10"/>
      <c r="N217" s="10"/>
      <c r="O217" s="10"/>
      <c r="P217" s="10"/>
      <c r="Q217" s="10"/>
      <c r="R217" s="10"/>
      <c r="S217" s="10">
        <v>891.96</v>
      </c>
      <c r="T217" s="10"/>
      <c r="U217" s="10"/>
      <c r="V217" s="10"/>
      <c r="W217" s="10"/>
      <c r="X217" s="10"/>
      <c r="Y217" s="10"/>
      <c r="Z217" s="10"/>
      <c r="AA217" s="33"/>
      <c r="AB217" s="10"/>
      <c r="AC217" s="33">
        <v>999</v>
      </c>
      <c r="AD217" s="10">
        <f t="shared" si="3"/>
        <v>0</v>
      </c>
      <c r="AE217" s="82"/>
      <c r="AF217" s="34"/>
    </row>
    <row r="218" spans="1:32" x14ac:dyDescent="0.25">
      <c r="A218" s="7" t="s">
        <v>3860</v>
      </c>
      <c r="B218" s="9">
        <v>4174678</v>
      </c>
      <c r="C218" s="70">
        <v>45432</v>
      </c>
      <c r="D218" s="70">
        <v>45432</v>
      </c>
      <c r="E218" s="73"/>
      <c r="F218" s="9"/>
      <c r="H218" s="9"/>
      <c r="I218" s="7" t="s">
        <v>64</v>
      </c>
      <c r="J218" s="51" t="s">
        <v>1847</v>
      </c>
      <c r="K218" s="7"/>
      <c r="L218" s="10"/>
      <c r="M218" s="10"/>
      <c r="N218" s="10"/>
      <c r="O218" s="10"/>
      <c r="P218" s="10">
        <v>3000</v>
      </c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33"/>
      <c r="AB218" s="10"/>
      <c r="AC218" s="33">
        <v>3000</v>
      </c>
      <c r="AD218" s="10">
        <f t="shared" si="3"/>
        <v>0</v>
      </c>
      <c r="AE218" s="82"/>
      <c r="AF218" s="34"/>
    </row>
    <row r="219" spans="1:32" x14ac:dyDescent="0.25">
      <c r="A219" s="7" t="s">
        <v>3861</v>
      </c>
      <c r="B219" s="9">
        <v>4174679</v>
      </c>
      <c r="C219" s="70">
        <v>45432</v>
      </c>
      <c r="D219" s="70">
        <v>45432</v>
      </c>
      <c r="E219" s="73"/>
      <c r="F219" s="9"/>
      <c r="H219" s="9"/>
      <c r="I219" s="7" t="s">
        <v>3877</v>
      </c>
      <c r="J219" s="51" t="s">
        <v>3667</v>
      </c>
      <c r="K219" s="7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33">
        <v>10059</v>
      </c>
      <c r="AB219" s="10"/>
      <c r="AC219" s="33">
        <v>10059</v>
      </c>
      <c r="AD219" s="10">
        <f t="shared" si="3"/>
        <v>0</v>
      </c>
      <c r="AE219" s="82"/>
      <c r="AF219" s="34"/>
    </row>
    <row r="220" spans="1:32" x14ac:dyDescent="0.25">
      <c r="A220" s="7" t="s">
        <v>3862</v>
      </c>
      <c r="B220" s="9">
        <v>4174680</v>
      </c>
      <c r="C220" s="70">
        <v>45432</v>
      </c>
      <c r="D220" s="70">
        <v>45432</v>
      </c>
      <c r="E220" s="73"/>
      <c r="F220" s="9"/>
      <c r="H220" s="9"/>
      <c r="I220" s="7" t="s">
        <v>118</v>
      </c>
      <c r="J220" s="51" t="s">
        <v>125</v>
      </c>
      <c r="K220" s="7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33">
        <v>6000</v>
      </c>
      <c r="AB220" s="10"/>
      <c r="AC220" s="33">
        <v>6000</v>
      </c>
      <c r="AD220" s="10">
        <f t="shared" si="3"/>
        <v>0</v>
      </c>
      <c r="AE220" s="82"/>
      <c r="AF220" s="34"/>
    </row>
    <row r="221" spans="1:32" x14ac:dyDescent="0.25">
      <c r="A221" s="7" t="s">
        <v>3870</v>
      </c>
      <c r="B221" s="9">
        <v>4174681</v>
      </c>
      <c r="C221" s="70">
        <v>45432</v>
      </c>
      <c r="D221" s="70">
        <v>45432</v>
      </c>
      <c r="E221" s="73"/>
      <c r="F221" s="9"/>
      <c r="H221" s="9"/>
      <c r="I221" s="7" t="s">
        <v>3878</v>
      </c>
      <c r="J221" s="51" t="s">
        <v>1202</v>
      </c>
      <c r="K221" s="7"/>
      <c r="L221" s="10">
        <v>1363.36</v>
      </c>
      <c r="M221" s="10"/>
      <c r="N221" s="10"/>
      <c r="O221" s="10"/>
      <c r="P221" s="10"/>
      <c r="Q221" s="10"/>
      <c r="R221" s="10"/>
      <c r="S221" s="10">
        <v>11361.33</v>
      </c>
      <c r="T221" s="10"/>
      <c r="U221" s="10"/>
      <c r="V221" s="10"/>
      <c r="W221" s="10"/>
      <c r="X221" s="10"/>
      <c r="Y221" s="10"/>
      <c r="Z221" s="10"/>
      <c r="AA221" s="33"/>
      <c r="AB221" s="10"/>
      <c r="AC221" s="33">
        <v>12724.69</v>
      </c>
      <c r="AD221" s="10">
        <f t="shared" si="3"/>
        <v>0</v>
      </c>
      <c r="AE221" s="82"/>
      <c r="AF221" s="34"/>
    </row>
    <row r="222" spans="1:32" x14ac:dyDescent="0.25">
      <c r="A222" s="7" t="s">
        <v>3871</v>
      </c>
      <c r="B222" s="9">
        <v>4174683</v>
      </c>
      <c r="C222" s="70">
        <v>45433</v>
      </c>
      <c r="D222" s="70">
        <v>45433</v>
      </c>
      <c r="E222" s="73"/>
      <c r="F222" s="9"/>
      <c r="H222" s="9"/>
      <c r="I222" s="7" t="s">
        <v>3879</v>
      </c>
      <c r="J222" s="51" t="s">
        <v>2109</v>
      </c>
      <c r="K222" s="7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33">
        <v>5000</v>
      </c>
      <c r="AB222" s="10"/>
      <c r="AC222" s="33">
        <v>5000</v>
      </c>
      <c r="AD222" s="10">
        <f t="shared" si="3"/>
        <v>0</v>
      </c>
      <c r="AE222" s="82"/>
      <c r="AF222" s="34"/>
    </row>
    <row r="223" spans="1:32" x14ac:dyDescent="0.25">
      <c r="A223" s="7" t="s">
        <v>3872</v>
      </c>
      <c r="B223" s="9">
        <v>4174684</v>
      </c>
      <c r="C223" s="70">
        <v>45436</v>
      </c>
      <c r="D223" s="70">
        <v>45436</v>
      </c>
      <c r="E223" s="73"/>
      <c r="F223" s="9"/>
      <c r="H223" s="9"/>
      <c r="I223" s="7" t="s">
        <v>118</v>
      </c>
      <c r="J223" s="51" t="s">
        <v>125</v>
      </c>
      <c r="K223" s="7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33">
        <v>50000</v>
      </c>
      <c r="AB223" s="10"/>
      <c r="AC223" s="33">
        <v>50000</v>
      </c>
      <c r="AD223" s="10">
        <f t="shared" si="3"/>
        <v>0</v>
      </c>
      <c r="AE223" s="82"/>
      <c r="AF223" s="34"/>
    </row>
    <row r="224" spans="1:32" x14ac:dyDescent="0.25">
      <c r="A224" s="7" t="s">
        <v>3873</v>
      </c>
      <c r="B224" s="9">
        <v>4174685</v>
      </c>
      <c r="C224" s="70">
        <v>45435</v>
      </c>
      <c r="D224" s="70">
        <v>45436</v>
      </c>
      <c r="E224" s="73">
        <v>45442</v>
      </c>
      <c r="F224" s="9" t="s">
        <v>3920</v>
      </c>
      <c r="G224" s="9" t="s">
        <v>3488</v>
      </c>
      <c r="H224" s="9"/>
      <c r="I224" s="7" t="s">
        <v>3880</v>
      </c>
      <c r="J224" s="51" t="s">
        <v>83</v>
      </c>
      <c r="K224" s="7" t="s">
        <v>1336</v>
      </c>
      <c r="L224" s="10">
        <v>91.07</v>
      </c>
      <c r="M224" s="10">
        <v>758.93</v>
      </c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33"/>
      <c r="AB224" s="10"/>
      <c r="AC224" s="33">
        <v>850</v>
      </c>
      <c r="AD224" s="10">
        <f t="shared" si="3"/>
        <v>0</v>
      </c>
      <c r="AE224" s="82"/>
      <c r="AF224" s="34">
        <v>7.59</v>
      </c>
    </row>
    <row r="225" spans="1:32" x14ac:dyDescent="0.25">
      <c r="A225" s="7" t="s">
        <v>3874</v>
      </c>
      <c r="B225" s="9">
        <v>4174686</v>
      </c>
      <c r="C225" s="70">
        <v>45481</v>
      </c>
      <c r="D225" s="70">
        <v>45436</v>
      </c>
      <c r="E225" s="73">
        <v>45450</v>
      </c>
      <c r="F225" s="9" t="s">
        <v>3948</v>
      </c>
      <c r="G225" s="9" t="s">
        <v>3490</v>
      </c>
      <c r="H225" s="9"/>
      <c r="I225" s="7" t="s">
        <v>3881</v>
      </c>
      <c r="J225" s="51" t="s">
        <v>1226</v>
      </c>
      <c r="K225" s="7" t="s">
        <v>2924</v>
      </c>
      <c r="L225" s="10">
        <v>2410.71</v>
      </c>
      <c r="M225" s="10">
        <v>20089.29</v>
      </c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33"/>
      <c r="AB225" s="10"/>
      <c r="AC225" s="33">
        <v>22500</v>
      </c>
      <c r="AD225" s="10">
        <f t="shared" si="3"/>
        <v>0</v>
      </c>
      <c r="AE225" s="82"/>
      <c r="AF225" s="34">
        <v>200.89</v>
      </c>
    </row>
    <row r="226" spans="1:32" x14ac:dyDescent="0.25">
      <c r="A226" s="7" t="s">
        <v>3875</v>
      </c>
      <c r="B226" s="9">
        <v>4174687</v>
      </c>
      <c r="C226" s="70">
        <v>45436</v>
      </c>
      <c r="D226" s="70">
        <v>45436</v>
      </c>
      <c r="E226" s="73">
        <v>45435</v>
      </c>
      <c r="F226" s="9" t="s">
        <v>3891</v>
      </c>
      <c r="H226" s="9"/>
      <c r="I226" s="7" t="s">
        <v>3890</v>
      </c>
      <c r="J226" s="51" t="s">
        <v>2385</v>
      </c>
      <c r="K226" s="7" t="s">
        <v>3892</v>
      </c>
      <c r="L226" s="10">
        <v>3894.07</v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33">
        <v>32451.79</v>
      </c>
      <c r="AB226" s="10"/>
      <c r="AC226" s="33">
        <v>36345.86</v>
      </c>
      <c r="AD226" s="10">
        <f t="shared" si="3"/>
        <v>0</v>
      </c>
      <c r="AE226" s="82"/>
      <c r="AF226" s="34"/>
    </row>
    <row r="227" spans="1:32" x14ac:dyDescent="0.25">
      <c r="A227" s="7" t="s">
        <v>3876</v>
      </c>
      <c r="B227" s="9" t="s">
        <v>3895</v>
      </c>
      <c r="C227" s="70">
        <v>45436</v>
      </c>
      <c r="D227" s="70">
        <v>45436</v>
      </c>
      <c r="E227" s="73"/>
      <c r="F227" s="9"/>
      <c r="H227" s="9"/>
      <c r="I227" s="7" t="s">
        <v>55</v>
      </c>
      <c r="J227" s="51" t="s">
        <v>54</v>
      </c>
      <c r="K227" s="7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>
        <v>400000</v>
      </c>
      <c r="AA227" s="33"/>
      <c r="AB227" s="10"/>
      <c r="AC227" s="33">
        <v>400000</v>
      </c>
      <c r="AD227" s="10">
        <f t="shared" si="3"/>
        <v>0</v>
      </c>
      <c r="AE227" s="82"/>
      <c r="AF227" s="34"/>
    </row>
    <row r="228" spans="1:32" x14ac:dyDescent="0.25">
      <c r="A228" s="7" t="s">
        <v>3882</v>
      </c>
      <c r="B228" s="9" t="s">
        <v>3893</v>
      </c>
      <c r="C228" s="70">
        <v>45436</v>
      </c>
      <c r="D228" s="70">
        <v>45436</v>
      </c>
      <c r="E228" s="73">
        <v>45440</v>
      </c>
      <c r="F228" s="9" t="s">
        <v>3899</v>
      </c>
      <c r="G228" s="9" t="s">
        <v>3492</v>
      </c>
      <c r="H228" s="9"/>
      <c r="I228" s="7" t="s">
        <v>3894</v>
      </c>
      <c r="J228" s="51" t="s">
        <v>1999</v>
      </c>
      <c r="K228" s="7" t="s">
        <v>2297</v>
      </c>
      <c r="L228" s="10">
        <v>342.86</v>
      </c>
      <c r="M228" s="10">
        <v>2857.14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33"/>
      <c r="AB228" s="10"/>
      <c r="AC228" s="33">
        <v>3200</v>
      </c>
      <c r="AD228" s="10">
        <f t="shared" si="3"/>
        <v>0</v>
      </c>
      <c r="AE228" s="82"/>
      <c r="AF228" s="34">
        <v>28.57</v>
      </c>
    </row>
    <row r="229" spans="1:32" x14ac:dyDescent="0.25">
      <c r="A229" s="7" t="s">
        <v>3883</v>
      </c>
      <c r="B229" s="9">
        <v>4174688</v>
      </c>
      <c r="C229" s="70">
        <v>45440</v>
      </c>
      <c r="D229" s="70">
        <v>45440</v>
      </c>
      <c r="E229" s="73"/>
      <c r="F229" s="9"/>
      <c r="H229" s="9" t="s">
        <v>3915</v>
      </c>
      <c r="I229" s="7" t="s">
        <v>1174</v>
      </c>
      <c r="J229" s="51" t="s">
        <v>3667</v>
      </c>
      <c r="K229" s="7"/>
      <c r="L229" s="10"/>
      <c r="M229" s="10"/>
      <c r="N229" s="10"/>
      <c r="O229" s="10"/>
      <c r="P229" s="10"/>
      <c r="Q229" s="10"/>
      <c r="R229" s="10"/>
      <c r="S229" s="10"/>
      <c r="T229" s="10">
        <v>6782.17</v>
      </c>
      <c r="U229" s="10"/>
      <c r="V229" s="10"/>
      <c r="W229" s="10"/>
      <c r="X229" s="10"/>
      <c r="Y229" s="10"/>
      <c r="Z229" s="10"/>
      <c r="AA229" s="33"/>
      <c r="AB229" s="10"/>
      <c r="AC229" s="33">
        <v>6782.17</v>
      </c>
      <c r="AD229" s="10">
        <f t="shared" si="3"/>
        <v>0</v>
      </c>
      <c r="AE229" s="82"/>
      <c r="AF229" s="34"/>
    </row>
    <row r="230" spans="1:32" x14ac:dyDescent="0.25">
      <c r="A230" s="7" t="s">
        <v>3884</v>
      </c>
      <c r="B230" s="9">
        <v>4174689</v>
      </c>
      <c r="C230" s="70">
        <v>45440</v>
      </c>
      <c r="D230" s="70">
        <v>45440</v>
      </c>
      <c r="E230" s="73"/>
      <c r="F230" s="9"/>
      <c r="H230" s="9"/>
      <c r="I230" s="7" t="s">
        <v>3913</v>
      </c>
      <c r="J230" s="51" t="s">
        <v>3667</v>
      </c>
      <c r="K230" s="7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33">
        <v>8282.0499999999993</v>
      </c>
      <c r="AB230" s="10"/>
      <c r="AC230" s="33">
        <v>8282.0499999999993</v>
      </c>
      <c r="AD230" s="10">
        <f t="shared" si="3"/>
        <v>0</v>
      </c>
      <c r="AE230" s="82"/>
      <c r="AF230" s="34"/>
    </row>
    <row r="231" spans="1:32" x14ac:dyDescent="0.25">
      <c r="A231" s="7" t="s">
        <v>3885</v>
      </c>
      <c r="B231" s="9">
        <v>4174690</v>
      </c>
      <c r="C231" s="70">
        <v>45440</v>
      </c>
      <c r="D231" s="70">
        <v>45440</v>
      </c>
      <c r="E231" s="73"/>
      <c r="F231" s="9"/>
      <c r="H231" s="9"/>
      <c r="I231" s="7" t="s">
        <v>3912</v>
      </c>
      <c r="J231" s="51" t="s">
        <v>1847</v>
      </c>
      <c r="K231" s="7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33">
        <v>700</v>
      </c>
      <c r="AB231" s="10"/>
      <c r="AC231" s="33">
        <v>700</v>
      </c>
      <c r="AD231" s="10">
        <f t="shared" si="3"/>
        <v>0</v>
      </c>
      <c r="AE231" s="82"/>
      <c r="AF231" s="34"/>
    </row>
    <row r="232" spans="1:32" x14ac:dyDescent="0.25">
      <c r="A232" s="7" t="s">
        <v>3886</v>
      </c>
      <c r="B232" s="9">
        <v>4174692</v>
      </c>
      <c r="C232" s="70">
        <v>45440</v>
      </c>
      <c r="D232" s="70">
        <v>45440</v>
      </c>
      <c r="E232" s="73"/>
      <c r="F232" s="9"/>
      <c r="H232" s="9"/>
      <c r="I232" s="7" t="s">
        <v>118</v>
      </c>
      <c r="J232" s="51" t="s">
        <v>1847</v>
      </c>
      <c r="K232" s="7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33">
        <v>26500</v>
      </c>
      <c r="AB232" s="10"/>
      <c r="AC232" s="33">
        <v>26500</v>
      </c>
      <c r="AD232" s="10">
        <f t="shared" si="3"/>
        <v>0</v>
      </c>
      <c r="AE232" s="82"/>
      <c r="AF232" s="34"/>
    </row>
    <row r="233" spans="1:32" x14ac:dyDescent="0.25">
      <c r="A233" s="7" t="s">
        <v>3887</v>
      </c>
      <c r="B233" s="9">
        <v>4174693</v>
      </c>
      <c r="C233" s="70">
        <v>45441</v>
      </c>
      <c r="D233" s="70">
        <v>45441</v>
      </c>
      <c r="E233" s="73"/>
      <c r="F233" s="9"/>
      <c r="H233" s="9"/>
      <c r="I233" s="7" t="s">
        <v>3914</v>
      </c>
      <c r="J233" s="51" t="s">
        <v>126</v>
      </c>
      <c r="K233" s="7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33">
        <v>31500</v>
      </c>
      <c r="AB233" s="10"/>
      <c r="AC233" s="33">
        <v>31500</v>
      </c>
      <c r="AD233" s="10">
        <f t="shared" si="3"/>
        <v>0</v>
      </c>
      <c r="AE233" s="82"/>
      <c r="AF233" s="34"/>
    </row>
    <row r="234" spans="1:32" x14ac:dyDescent="0.25">
      <c r="A234" s="7" t="s">
        <v>3888</v>
      </c>
      <c r="B234" s="9">
        <v>4174694</v>
      </c>
      <c r="C234" s="70">
        <v>45441</v>
      </c>
      <c r="D234" s="70">
        <v>45441</v>
      </c>
      <c r="E234" s="73"/>
      <c r="F234" s="9"/>
      <c r="H234" s="9" t="s">
        <v>3916</v>
      </c>
      <c r="I234" s="7" t="s">
        <v>2588</v>
      </c>
      <c r="J234" s="51" t="s">
        <v>3667</v>
      </c>
      <c r="K234" s="7"/>
      <c r="L234" s="10"/>
      <c r="M234" s="10"/>
      <c r="N234" s="10"/>
      <c r="O234" s="10"/>
      <c r="P234" s="10"/>
      <c r="Q234" s="10"/>
      <c r="R234" s="10"/>
      <c r="S234" s="10"/>
      <c r="T234" s="10">
        <v>6662.94</v>
      </c>
      <c r="U234" s="10"/>
      <c r="V234" s="10"/>
      <c r="W234" s="10"/>
      <c r="X234" s="10"/>
      <c r="Y234" s="10"/>
      <c r="Z234" s="10"/>
      <c r="AA234" s="33"/>
      <c r="AB234" s="10"/>
      <c r="AC234" s="33">
        <v>6662.94</v>
      </c>
      <c r="AD234" s="10">
        <f t="shared" si="3"/>
        <v>0</v>
      </c>
      <c r="AE234" s="82"/>
      <c r="AF234" s="34"/>
    </row>
    <row r="235" spans="1:32" x14ac:dyDescent="0.25">
      <c r="A235" s="7" t="s">
        <v>3889</v>
      </c>
      <c r="B235" s="9">
        <v>4174695</v>
      </c>
      <c r="C235" s="70">
        <v>45443</v>
      </c>
      <c r="D235" s="70">
        <v>45443</v>
      </c>
      <c r="E235" s="73"/>
      <c r="F235" s="9"/>
      <c r="H235" s="9"/>
      <c r="I235" s="7" t="s">
        <v>3913</v>
      </c>
      <c r="J235" s="51" t="s">
        <v>65</v>
      </c>
      <c r="K235" s="7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33">
        <v>7395</v>
      </c>
      <c r="AB235" s="10"/>
      <c r="AC235" s="33">
        <v>7395</v>
      </c>
      <c r="AD235" s="10">
        <f t="shared" si="3"/>
        <v>0</v>
      </c>
      <c r="AE235" s="82"/>
      <c r="AF235" s="34"/>
    </row>
    <row r="236" spans="1:32" s="39" customFormat="1" x14ac:dyDescent="0.25">
      <c r="A236" s="20"/>
      <c r="B236" s="19"/>
      <c r="C236" s="72"/>
      <c r="D236" s="72"/>
      <c r="E236" s="77"/>
      <c r="F236" s="19"/>
      <c r="G236" s="19"/>
      <c r="H236" s="19"/>
      <c r="I236" s="20"/>
      <c r="J236" s="20"/>
      <c r="K236" s="20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32"/>
      <c r="AB236" s="22"/>
      <c r="AC236" s="32"/>
      <c r="AD236" s="22"/>
      <c r="AE236" s="96"/>
      <c r="AF236" s="35"/>
    </row>
    <row r="237" spans="1:32" s="39" customFormat="1" x14ac:dyDescent="0.25">
      <c r="A237" s="25">
        <v>45444</v>
      </c>
      <c r="B237" s="19"/>
      <c r="C237" s="72"/>
      <c r="D237" s="72"/>
      <c r="E237" s="77"/>
      <c r="F237" s="19"/>
      <c r="G237" s="19"/>
      <c r="H237" s="19"/>
      <c r="I237" s="20"/>
      <c r="J237" s="20"/>
      <c r="K237" s="20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32"/>
      <c r="AB237" s="22"/>
      <c r="AC237" s="32"/>
      <c r="AD237" s="22"/>
      <c r="AE237" s="96"/>
      <c r="AF237" s="35"/>
    </row>
    <row r="238" spans="1:32" x14ac:dyDescent="0.25">
      <c r="A238" s="7" t="s">
        <v>3900</v>
      </c>
      <c r="B238" s="9">
        <v>4174696</v>
      </c>
      <c r="C238" s="70">
        <v>45447</v>
      </c>
      <c r="D238" s="70">
        <v>45447</v>
      </c>
      <c r="E238" s="73"/>
      <c r="F238" s="9"/>
      <c r="H238" s="9"/>
      <c r="I238" s="7" t="s">
        <v>3912</v>
      </c>
      <c r="J238" s="51" t="s">
        <v>1847</v>
      </c>
      <c r="K238" s="7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33">
        <v>700</v>
      </c>
      <c r="AB238" s="10"/>
      <c r="AC238" s="33">
        <v>700</v>
      </c>
      <c r="AD238" s="10">
        <f t="shared" si="3"/>
        <v>0</v>
      </c>
      <c r="AE238" s="82"/>
      <c r="AF238" s="34"/>
    </row>
    <row r="239" spans="1:32" x14ac:dyDescent="0.25">
      <c r="A239" s="7" t="s">
        <v>3901</v>
      </c>
      <c r="B239" s="9">
        <v>4174697</v>
      </c>
      <c r="C239" s="70">
        <v>45447</v>
      </c>
      <c r="D239" s="70">
        <v>45447</v>
      </c>
      <c r="E239" s="73"/>
      <c r="F239" s="9"/>
      <c r="H239" s="9"/>
      <c r="I239" s="7" t="s">
        <v>3917</v>
      </c>
      <c r="J239" s="51" t="s">
        <v>3667</v>
      </c>
      <c r="K239" s="7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33">
        <v>3500</v>
      </c>
      <c r="AB239" s="10"/>
      <c r="AC239" s="33">
        <v>3500</v>
      </c>
      <c r="AD239" s="10">
        <f t="shared" si="3"/>
        <v>0</v>
      </c>
      <c r="AE239" s="82"/>
      <c r="AF239" s="34"/>
    </row>
    <row r="240" spans="1:32" x14ac:dyDescent="0.25">
      <c r="A240" s="7" t="s">
        <v>3902</v>
      </c>
      <c r="B240" s="9">
        <v>4174698</v>
      </c>
      <c r="C240" s="70">
        <v>45447</v>
      </c>
      <c r="D240" s="70">
        <v>45447</v>
      </c>
      <c r="E240" s="73"/>
      <c r="F240" s="9"/>
      <c r="H240" s="9" t="s">
        <v>3919</v>
      </c>
      <c r="I240" s="7" t="s">
        <v>1174</v>
      </c>
      <c r="J240" s="51" t="s">
        <v>3667</v>
      </c>
      <c r="K240" s="7"/>
      <c r="L240" s="10"/>
      <c r="M240" s="10"/>
      <c r="N240" s="10"/>
      <c r="O240" s="10"/>
      <c r="P240" s="10"/>
      <c r="Q240" s="10"/>
      <c r="R240" s="10"/>
      <c r="S240" s="10"/>
      <c r="T240" s="10">
        <v>11278</v>
      </c>
      <c r="U240" s="10"/>
      <c r="V240" s="10"/>
      <c r="W240" s="10"/>
      <c r="X240" s="10"/>
      <c r="Y240" s="10"/>
      <c r="Z240" s="10"/>
      <c r="AA240" s="33"/>
      <c r="AB240" s="10"/>
      <c r="AC240" s="33">
        <v>11278</v>
      </c>
      <c r="AD240" s="10">
        <f t="shared" si="3"/>
        <v>0</v>
      </c>
      <c r="AE240" s="82"/>
      <c r="AF240" s="34"/>
    </row>
    <row r="241" spans="1:32" x14ac:dyDescent="0.25">
      <c r="A241" s="7" t="s">
        <v>3903</v>
      </c>
      <c r="B241" s="9">
        <v>4174699</v>
      </c>
      <c r="C241" s="70">
        <v>45447</v>
      </c>
      <c r="D241" s="70">
        <v>45447</v>
      </c>
      <c r="E241" s="73"/>
      <c r="F241" s="9"/>
      <c r="H241" s="9"/>
      <c r="I241" s="7" t="s">
        <v>50</v>
      </c>
      <c r="J241" s="51" t="s">
        <v>39</v>
      </c>
      <c r="K241" s="7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33">
        <v>11818.75</v>
      </c>
      <c r="AB241" s="10"/>
      <c r="AC241" s="33">
        <v>11818.75</v>
      </c>
      <c r="AD241" s="10">
        <f t="shared" si="3"/>
        <v>0</v>
      </c>
      <c r="AE241" s="82"/>
      <c r="AF241" s="34"/>
    </row>
    <row r="242" spans="1:32" x14ac:dyDescent="0.25">
      <c r="A242" s="7" t="s">
        <v>3904</v>
      </c>
      <c r="B242" s="9" t="s">
        <v>3918</v>
      </c>
      <c r="C242" s="70">
        <v>45447</v>
      </c>
      <c r="D242" s="70">
        <v>45447</v>
      </c>
      <c r="E242" s="73"/>
      <c r="F242" s="9"/>
      <c r="H242" s="9"/>
      <c r="I242" s="7" t="s">
        <v>64</v>
      </c>
      <c r="J242" s="51" t="s">
        <v>939</v>
      </c>
      <c r="K242" s="7"/>
      <c r="L242" s="10"/>
      <c r="M242" s="10"/>
      <c r="N242" s="10"/>
      <c r="O242" s="10"/>
      <c r="P242" s="10">
        <v>10000</v>
      </c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33"/>
      <c r="AB242" s="10"/>
      <c r="AC242" s="33">
        <v>10000</v>
      </c>
      <c r="AD242" s="10">
        <f t="shared" si="3"/>
        <v>0</v>
      </c>
      <c r="AE242" s="82"/>
      <c r="AF242" s="34"/>
    </row>
    <row r="243" spans="1:32" x14ac:dyDescent="0.25">
      <c r="A243" s="7" t="s">
        <v>3905</v>
      </c>
      <c r="B243" s="9">
        <v>4174700</v>
      </c>
      <c r="C243" s="70">
        <v>45473</v>
      </c>
      <c r="D243" s="70">
        <v>45447</v>
      </c>
      <c r="E243" s="73">
        <v>45464</v>
      </c>
      <c r="F243" s="9" t="s">
        <v>3973</v>
      </c>
      <c r="G243" s="9" t="s">
        <v>3482</v>
      </c>
      <c r="H243" s="9"/>
      <c r="I243" s="7" t="s">
        <v>3941</v>
      </c>
      <c r="J243" s="51" t="s">
        <v>83</v>
      </c>
      <c r="K243" s="7" t="s">
        <v>1336</v>
      </c>
      <c r="L243" s="10">
        <v>12895.71</v>
      </c>
      <c r="M243" s="10">
        <v>107464.29</v>
      </c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33"/>
      <c r="AB243" s="10"/>
      <c r="AC243" s="33">
        <v>120360</v>
      </c>
      <c r="AD243" s="10">
        <f t="shared" si="3"/>
        <v>0</v>
      </c>
      <c r="AE243" s="82"/>
      <c r="AF243" s="34">
        <v>1074.6400000000001</v>
      </c>
    </row>
    <row r="244" spans="1:32" x14ac:dyDescent="0.25">
      <c r="A244" s="7" t="s">
        <v>3906</v>
      </c>
      <c r="B244" s="9">
        <v>4174701</v>
      </c>
      <c r="C244" s="70">
        <v>45488</v>
      </c>
      <c r="D244" s="70">
        <v>45447</v>
      </c>
      <c r="E244" s="73">
        <v>45464</v>
      </c>
      <c r="F244" s="9" t="s">
        <v>3972</v>
      </c>
      <c r="G244" s="9" t="s">
        <v>3548</v>
      </c>
      <c r="H244" s="9"/>
      <c r="I244" s="7" t="s">
        <v>3274</v>
      </c>
      <c r="J244" s="51" t="s">
        <v>1226</v>
      </c>
      <c r="K244" s="7" t="s">
        <v>2924</v>
      </c>
      <c r="L244" s="10">
        <v>5892.86</v>
      </c>
      <c r="M244" s="10">
        <v>49107.14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33"/>
      <c r="AB244" s="10"/>
      <c r="AC244" s="33">
        <v>55000</v>
      </c>
      <c r="AD244" s="10">
        <f t="shared" si="3"/>
        <v>0</v>
      </c>
      <c r="AE244" s="82"/>
      <c r="AF244" s="34">
        <v>491.07</v>
      </c>
    </row>
    <row r="245" spans="1:32" x14ac:dyDescent="0.25">
      <c r="A245" s="7" t="s">
        <v>3907</v>
      </c>
      <c r="B245" s="9">
        <v>4174702</v>
      </c>
      <c r="C245" s="70">
        <v>45488</v>
      </c>
      <c r="D245" s="70">
        <v>45447</v>
      </c>
      <c r="E245" s="73">
        <v>45453</v>
      </c>
      <c r="F245" s="9" t="s">
        <v>3942</v>
      </c>
      <c r="G245" s="9" t="s">
        <v>3549</v>
      </c>
      <c r="H245" s="9"/>
      <c r="I245" s="7" t="s">
        <v>3943</v>
      </c>
      <c r="J245" s="51" t="s">
        <v>2043</v>
      </c>
      <c r="K245" s="7" t="s">
        <v>3645</v>
      </c>
      <c r="L245" s="10">
        <v>1205.3599999999999</v>
      </c>
      <c r="M245" s="10">
        <v>10044.64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33"/>
      <c r="AB245" s="10"/>
      <c r="AC245" s="33">
        <v>11250</v>
      </c>
      <c r="AD245" s="10">
        <f t="shared" si="3"/>
        <v>0</v>
      </c>
      <c r="AE245" s="82"/>
      <c r="AF245" s="34">
        <v>100.45</v>
      </c>
    </row>
    <row r="246" spans="1:32" x14ac:dyDescent="0.25">
      <c r="A246" s="7" t="s">
        <v>3908</v>
      </c>
      <c r="B246" s="9">
        <v>4174703</v>
      </c>
      <c r="C246" s="70">
        <v>45447</v>
      </c>
      <c r="D246" s="70">
        <v>45447</v>
      </c>
      <c r="E246" s="73">
        <v>45450</v>
      </c>
      <c r="F246" s="9" t="s">
        <v>3956</v>
      </c>
      <c r="G246" s="9" t="s">
        <v>3550</v>
      </c>
      <c r="H246" s="9"/>
      <c r="I246" s="7" t="s">
        <v>1988</v>
      </c>
      <c r="J246" s="51" t="s">
        <v>1999</v>
      </c>
      <c r="K246" s="7" t="s">
        <v>2297</v>
      </c>
      <c r="L246" s="10">
        <v>11517.86</v>
      </c>
      <c r="M246" s="10">
        <v>95982.14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33"/>
      <c r="AB246" s="10"/>
      <c r="AC246" s="33">
        <v>107500</v>
      </c>
      <c r="AD246" s="10">
        <f t="shared" si="3"/>
        <v>0</v>
      </c>
      <c r="AE246" s="82"/>
      <c r="AF246" s="34">
        <v>959.82</v>
      </c>
    </row>
    <row r="247" spans="1:32" x14ac:dyDescent="0.25">
      <c r="A247" s="7" t="s">
        <v>3909</v>
      </c>
      <c r="B247" s="9">
        <v>4174704</v>
      </c>
      <c r="C247" s="70">
        <v>45456</v>
      </c>
      <c r="D247" s="70">
        <v>45457</v>
      </c>
      <c r="E247" s="73"/>
      <c r="F247" s="9"/>
      <c r="H247" s="9"/>
      <c r="I247" s="7" t="s">
        <v>123</v>
      </c>
      <c r="J247" s="51" t="s">
        <v>2855</v>
      </c>
      <c r="K247" s="7"/>
      <c r="L247" s="10"/>
      <c r="M247" s="10">
        <v>23000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33"/>
      <c r="AB247" s="10"/>
      <c r="AC247" s="33">
        <v>23000</v>
      </c>
      <c r="AD247" s="10">
        <f t="shared" si="3"/>
        <v>0</v>
      </c>
      <c r="AE247" s="82"/>
      <c r="AF247" s="34"/>
    </row>
    <row r="248" spans="1:32" x14ac:dyDescent="0.25">
      <c r="A248" s="7" t="s">
        <v>3910</v>
      </c>
      <c r="B248" s="9">
        <v>4174705</v>
      </c>
      <c r="C248" s="70">
        <v>45457</v>
      </c>
      <c r="D248" s="70">
        <v>45447</v>
      </c>
      <c r="E248" s="73"/>
      <c r="F248" s="9"/>
      <c r="H248" s="9"/>
      <c r="I248" s="7" t="s">
        <v>123</v>
      </c>
      <c r="J248" s="51" t="s">
        <v>47</v>
      </c>
      <c r="K248" s="7"/>
      <c r="L248" s="10"/>
      <c r="M248" s="10">
        <v>23000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33"/>
      <c r="AB248" s="10"/>
      <c r="AC248" s="33">
        <v>23000</v>
      </c>
      <c r="AD248" s="10">
        <f t="shared" si="3"/>
        <v>0</v>
      </c>
      <c r="AE248" s="82"/>
      <c r="AF248" s="34"/>
    </row>
    <row r="249" spans="1:32" x14ac:dyDescent="0.25">
      <c r="A249" s="7" t="s">
        <v>3911</v>
      </c>
      <c r="B249" s="9">
        <v>4174706</v>
      </c>
      <c r="C249" s="70">
        <v>45450</v>
      </c>
      <c r="D249" s="70">
        <v>45447</v>
      </c>
      <c r="E249" s="73">
        <v>45454</v>
      </c>
      <c r="F249" s="9" t="s">
        <v>3953</v>
      </c>
      <c r="H249" s="9"/>
      <c r="I249" s="7" t="s">
        <v>3944</v>
      </c>
      <c r="J249" s="51" t="s">
        <v>127</v>
      </c>
      <c r="K249" s="7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33">
        <v>5630.4</v>
      </c>
      <c r="AB249" s="10"/>
      <c r="AC249" s="33">
        <v>5630.4</v>
      </c>
      <c r="AD249" s="10">
        <f t="shared" si="3"/>
        <v>0</v>
      </c>
      <c r="AE249" s="82"/>
      <c r="AF249" s="34"/>
    </row>
    <row r="250" spans="1:32" x14ac:dyDescent="0.25">
      <c r="A250" s="7" t="s">
        <v>3922</v>
      </c>
      <c r="B250" s="9">
        <v>4174707</v>
      </c>
      <c r="C250" s="70">
        <v>45450</v>
      </c>
      <c r="D250" s="70">
        <v>45447</v>
      </c>
      <c r="E250" s="73"/>
      <c r="F250" s="9"/>
      <c r="H250" s="9"/>
      <c r="I250" s="7" t="s">
        <v>3945</v>
      </c>
      <c r="J250" s="51" t="s">
        <v>18</v>
      </c>
      <c r="K250" s="7"/>
      <c r="L250" s="10">
        <v>151.09</v>
      </c>
      <c r="M250" s="10"/>
      <c r="N250" s="10"/>
      <c r="O250" s="10"/>
      <c r="P250" s="10"/>
      <c r="Q250" s="10"/>
      <c r="R250" s="10">
        <v>1259.06</v>
      </c>
      <c r="S250" s="10"/>
      <c r="T250" s="10"/>
      <c r="U250" s="10"/>
      <c r="V250" s="10"/>
      <c r="W250" s="10"/>
      <c r="X250" s="10"/>
      <c r="Y250" s="10"/>
      <c r="Z250" s="10"/>
      <c r="AA250" s="33"/>
      <c r="AB250" s="10"/>
      <c r="AC250" s="33">
        <v>1410.15</v>
      </c>
      <c r="AD250" s="10">
        <f t="shared" si="3"/>
        <v>0</v>
      </c>
      <c r="AE250" s="82"/>
      <c r="AF250" s="34"/>
    </row>
    <row r="251" spans="1:32" x14ac:dyDescent="0.25">
      <c r="A251" s="7" t="s">
        <v>3923</v>
      </c>
      <c r="B251" s="9">
        <v>4174708</v>
      </c>
      <c r="C251" s="70">
        <v>45450</v>
      </c>
      <c r="D251" s="70">
        <v>45447</v>
      </c>
      <c r="E251" s="73"/>
      <c r="F251" s="9"/>
      <c r="H251" s="9"/>
      <c r="I251" s="7" t="s">
        <v>3945</v>
      </c>
      <c r="J251" s="51" t="s">
        <v>18</v>
      </c>
      <c r="K251" s="7"/>
      <c r="L251" s="10">
        <v>811.09</v>
      </c>
      <c r="M251" s="10"/>
      <c r="N251" s="10"/>
      <c r="O251" s="10"/>
      <c r="P251" s="10"/>
      <c r="Q251" s="10"/>
      <c r="R251" s="10">
        <v>6759.06</v>
      </c>
      <c r="S251" s="10"/>
      <c r="T251" s="10"/>
      <c r="U251" s="10"/>
      <c r="V251" s="10"/>
      <c r="W251" s="10"/>
      <c r="X251" s="10"/>
      <c r="Y251" s="10"/>
      <c r="Z251" s="10"/>
      <c r="AA251" s="33"/>
      <c r="AB251" s="10"/>
      <c r="AC251" s="33">
        <v>7570.15</v>
      </c>
      <c r="AD251" s="10">
        <f t="shared" si="3"/>
        <v>0</v>
      </c>
      <c r="AE251" s="82"/>
      <c r="AF251" s="34"/>
    </row>
    <row r="252" spans="1:32" x14ac:dyDescent="0.25">
      <c r="A252" s="7" t="s">
        <v>3924</v>
      </c>
      <c r="B252" s="9">
        <v>4174709</v>
      </c>
      <c r="C252" s="70">
        <v>45453</v>
      </c>
      <c r="D252" s="70">
        <v>45453</v>
      </c>
      <c r="E252" s="73"/>
      <c r="F252" s="9"/>
      <c r="H252" s="9"/>
      <c r="I252" s="7" t="s">
        <v>3946</v>
      </c>
      <c r="J252" s="51" t="s">
        <v>65</v>
      </c>
      <c r="K252" s="7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33">
        <v>9761.84</v>
      </c>
      <c r="AB252" s="10"/>
      <c r="AC252" s="33">
        <v>9761.84</v>
      </c>
      <c r="AD252" s="10">
        <f t="shared" si="3"/>
        <v>0</v>
      </c>
      <c r="AE252" s="82"/>
      <c r="AF252" s="34"/>
    </row>
    <row r="253" spans="1:32" x14ac:dyDescent="0.25">
      <c r="A253" s="7" t="s">
        <v>3925</v>
      </c>
      <c r="B253" s="9">
        <v>4174710</v>
      </c>
      <c r="C253" s="70">
        <v>45453</v>
      </c>
      <c r="D253" s="70">
        <v>45453</v>
      </c>
      <c r="E253" s="73"/>
      <c r="F253" s="9"/>
      <c r="H253" s="9"/>
      <c r="I253" s="7" t="s">
        <v>118</v>
      </c>
      <c r="J253" s="51" t="s">
        <v>125</v>
      </c>
      <c r="K253" s="7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33">
        <v>16500</v>
      </c>
      <c r="AB253" s="10"/>
      <c r="AC253" s="33">
        <v>16500</v>
      </c>
      <c r="AD253" s="10">
        <f t="shared" si="3"/>
        <v>0</v>
      </c>
      <c r="AE253" s="82"/>
      <c r="AF253" s="34"/>
    </row>
    <row r="254" spans="1:32" x14ac:dyDescent="0.25">
      <c r="A254" s="7" t="s">
        <v>3926</v>
      </c>
      <c r="B254" s="9">
        <v>4174711</v>
      </c>
      <c r="C254" s="70">
        <v>45453</v>
      </c>
      <c r="D254" s="70">
        <v>45453</v>
      </c>
      <c r="E254" s="73"/>
      <c r="F254" s="9"/>
      <c r="H254" s="9"/>
      <c r="I254" s="7" t="s">
        <v>3947</v>
      </c>
      <c r="J254" s="51" t="s">
        <v>43</v>
      </c>
      <c r="K254" s="7"/>
      <c r="L254" s="10">
        <v>64.180000000000007</v>
      </c>
      <c r="M254" s="10"/>
      <c r="N254" s="10"/>
      <c r="O254" s="10"/>
      <c r="P254" s="10"/>
      <c r="Q254" s="10"/>
      <c r="R254" s="10"/>
      <c r="S254" s="10">
        <v>534.82000000000005</v>
      </c>
      <c r="T254" s="10"/>
      <c r="U254" s="10"/>
      <c r="V254" s="10"/>
      <c r="W254" s="10"/>
      <c r="X254" s="10"/>
      <c r="Y254" s="10"/>
      <c r="Z254" s="10"/>
      <c r="AA254" s="33"/>
      <c r="AB254" s="10"/>
      <c r="AC254" s="33">
        <v>599</v>
      </c>
      <c r="AD254" s="10">
        <f t="shared" si="3"/>
        <v>0</v>
      </c>
      <c r="AE254" s="82"/>
      <c r="AF254" s="34"/>
    </row>
    <row r="255" spans="1:32" x14ac:dyDescent="0.25">
      <c r="A255" s="7" t="s">
        <v>3927</v>
      </c>
      <c r="B255" s="9">
        <v>4174712</v>
      </c>
      <c r="C255" s="70">
        <v>45453</v>
      </c>
      <c r="D255" s="70">
        <v>45453</v>
      </c>
      <c r="E255" s="73"/>
      <c r="F255" s="9"/>
      <c r="H255" s="9"/>
      <c r="I255" s="7" t="s">
        <v>3947</v>
      </c>
      <c r="J255" s="51" t="s">
        <v>43</v>
      </c>
      <c r="K255" s="7"/>
      <c r="L255" s="10">
        <v>32.14</v>
      </c>
      <c r="M255" s="10"/>
      <c r="N255" s="10"/>
      <c r="O255" s="10"/>
      <c r="P255" s="10"/>
      <c r="Q255" s="10"/>
      <c r="R255" s="10"/>
      <c r="S255" s="10">
        <v>267.86</v>
      </c>
      <c r="T255" s="10"/>
      <c r="U255" s="10"/>
      <c r="V255" s="10"/>
      <c r="W255" s="10"/>
      <c r="X255" s="10"/>
      <c r="Y255" s="10"/>
      <c r="Z255" s="10"/>
      <c r="AA255" s="33"/>
      <c r="AB255" s="10"/>
      <c r="AC255" s="33">
        <v>300</v>
      </c>
      <c r="AD255" s="10">
        <f t="shared" si="3"/>
        <v>0</v>
      </c>
      <c r="AE255" s="82"/>
      <c r="AF255" s="34"/>
    </row>
    <row r="256" spans="1:32" x14ac:dyDescent="0.25">
      <c r="A256" s="7" t="s">
        <v>3928</v>
      </c>
      <c r="B256" s="9">
        <v>4174713</v>
      </c>
      <c r="C256" s="70">
        <v>45454</v>
      </c>
      <c r="D256" s="70">
        <v>45454</v>
      </c>
      <c r="E256" s="73">
        <v>45454</v>
      </c>
      <c r="F256" s="9" t="s">
        <v>3952</v>
      </c>
      <c r="H256" s="9"/>
      <c r="I256" s="7" t="s">
        <v>3949</v>
      </c>
      <c r="J256" s="51" t="s">
        <v>3950</v>
      </c>
      <c r="K256" s="7" t="s">
        <v>3951</v>
      </c>
      <c r="L256" s="10">
        <v>610.71</v>
      </c>
      <c r="M256" s="10">
        <v>5089.29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33"/>
      <c r="AB256" s="10"/>
      <c r="AC256" s="33">
        <v>5700</v>
      </c>
      <c r="AD256" s="10">
        <f t="shared" si="3"/>
        <v>0</v>
      </c>
      <c r="AE256" s="82"/>
      <c r="AF256" s="34"/>
    </row>
    <row r="257" spans="1:32" x14ac:dyDescent="0.25">
      <c r="A257" s="7" t="s">
        <v>3929</v>
      </c>
      <c r="B257" s="9">
        <v>4174714</v>
      </c>
      <c r="C257" s="70">
        <v>45456</v>
      </c>
      <c r="D257" s="70">
        <v>45456</v>
      </c>
      <c r="E257" s="73"/>
      <c r="F257" s="9"/>
      <c r="H257" s="9"/>
      <c r="I257" s="7" t="s">
        <v>118</v>
      </c>
      <c r="J257" s="51" t="s">
        <v>1847</v>
      </c>
      <c r="K257" s="7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33">
        <v>29300</v>
      </c>
      <c r="AB257" s="10"/>
      <c r="AC257" s="33">
        <v>29300</v>
      </c>
      <c r="AD257" s="10">
        <f t="shared" ref="AD257:AD320" si="4">SUM(AB257:AC257)-SUM(L257:AA257)</f>
        <v>0</v>
      </c>
      <c r="AE257" s="82"/>
      <c r="AF257" s="34"/>
    </row>
    <row r="258" spans="1:32" x14ac:dyDescent="0.25">
      <c r="A258" s="7" t="s">
        <v>3930</v>
      </c>
      <c r="B258" s="9">
        <v>4174715</v>
      </c>
      <c r="C258" s="70">
        <v>45456</v>
      </c>
      <c r="D258" s="70">
        <v>45456</v>
      </c>
      <c r="E258" s="73"/>
      <c r="F258" s="9"/>
      <c r="H258" s="9"/>
      <c r="I258" s="7" t="s">
        <v>3957</v>
      </c>
      <c r="J258" s="51" t="s">
        <v>46</v>
      </c>
      <c r="K258" s="7"/>
      <c r="L258" s="10">
        <v>160.61000000000001</v>
      </c>
      <c r="M258" s="10"/>
      <c r="N258" s="10"/>
      <c r="O258" s="10"/>
      <c r="P258" s="10"/>
      <c r="Q258" s="10"/>
      <c r="R258" s="10"/>
      <c r="S258" s="10">
        <v>1338.39</v>
      </c>
      <c r="T258" s="10"/>
      <c r="U258" s="10"/>
      <c r="V258" s="10"/>
      <c r="W258" s="10"/>
      <c r="X258" s="10"/>
      <c r="Y258" s="10"/>
      <c r="Z258" s="10"/>
      <c r="AA258" s="33"/>
      <c r="AB258" s="10"/>
      <c r="AC258" s="33">
        <v>1499</v>
      </c>
      <c r="AD258" s="10">
        <f t="shared" si="4"/>
        <v>0</v>
      </c>
      <c r="AE258" s="82"/>
      <c r="AF258" s="34"/>
    </row>
    <row r="259" spans="1:32" x14ac:dyDescent="0.25">
      <c r="A259" s="7" t="s">
        <v>3931</v>
      </c>
      <c r="B259" s="9">
        <v>4174716</v>
      </c>
      <c r="C259" s="70">
        <v>45456</v>
      </c>
      <c r="D259" s="70">
        <v>45456</v>
      </c>
      <c r="E259" s="73"/>
      <c r="F259" s="9"/>
      <c r="H259" s="9"/>
      <c r="I259" s="7" t="s">
        <v>3958</v>
      </c>
      <c r="J259" s="51" t="s">
        <v>46</v>
      </c>
      <c r="K259" s="7"/>
      <c r="L259" s="10">
        <v>107.04</v>
      </c>
      <c r="M259" s="10"/>
      <c r="N259" s="10"/>
      <c r="O259" s="10"/>
      <c r="P259" s="10"/>
      <c r="Q259" s="10"/>
      <c r="R259" s="10"/>
      <c r="S259" s="10">
        <v>891.96</v>
      </c>
      <c r="T259" s="10"/>
      <c r="U259" s="10"/>
      <c r="V259" s="10"/>
      <c r="W259" s="10"/>
      <c r="X259" s="10"/>
      <c r="Y259" s="10"/>
      <c r="Z259" s="10"/>
      <c r="AA259" s="33"/>
      <c r="AB259" s="10"/>
      <c r="AC259" s="33">
        <v>999</v>
      </c>
      <c r="AD259" s="10">
        <f t="shared" si="4"/>
        <v>0</v>
      </c>
      <c r="AE259" s="82"/>
      <c r="AF259" s="34"/>
    </row>
    <row r="260" spans="1:32" x14ac:dyDescent="0.25">
      <c r="A260" s="7" t="s">
        <v>3932</v>
      </c>
      <c r="B260" s="9">
        <v>4174717</v>
      </c>
      <c r="C260" s="70">
        <v>45456</v>
      </c>
      <c r="D260" s="70">
        <v>45456</v>
      </c>
      <c r="E260" s="73"/>
      <c r="F260" s="9"/>
      <c r="H260" s="9"/>
      <c r="I260" s="7" t="s">
        <v>3957</v>
      </c>
      <c r="J260" s="51" t="s">
        <v>46</v>
      </c>
      <c r="K260" s="7"/>
      <c r="L260" s="10">
        <v>107.04</v>
      </c>
      <c r="M260" s="10"/>
      <c r="N260" s="10"/>
      <c r="O260" s="10"/>
      <c r="P260" s="10"/>
      <c r="Q260" s="10"/>
      <c r="R260" s="10"/>
      <c r="S260" s="10">
        <v>891.96</v>
      </c>
      <c r="T260" s="10"/>
      <c r="U260" s="10"/>
      <c r="V260" s="10"/>
      <c r="W260" s="10"/>
      <c r="X260" s="10"/>
      <c r="Y260" s="10"/>
      <c r="Z260" s="10"/>
      <c r="AA260" s="33"/>
      <c r="AB260" s="10"/>
      <c r="AC260" s="33">
        <v>999</v>
      </c>
      <c r="AD260" s="10">
        <f t="shared" si="4"/>
        <v>0</v>
      </c>
      <c r="AE260" s="82"/>
      <c r="AF260" s="34"/>
    </row>
    <row r="261" spans="1:32" x14ac:dyDescent="0.25">
      <c r="A261" s="7" t="s">
        <v>3933</v>
      </c>
      <c r="B261" s="9">
        <v>4174718</v>
      </c>
      <c r="C261" s="70">
        <v>45456</v>
      </c>
      <c r="D261" s="70">
        <v>45456</v>
      </c>
      <c r="E261" s="73"/>
      <c r="F261" s="9"/>
      <c r="H261" s="9"/>
      <c r="I261" s="7" t="s">
        <v>3958</v>
      </c>
      <c r="J261" s="51" t="s">
        <v>46</v>
      </c>
      <c r="K261" s="7"/>
      <c r="L261" s="10">
        <v>107.04</v>
      </c>
      <c r="M261" s="10"/>
      <c r="N261" s="10"/>
      <c r="O261" s="10"/>
      <c r="P261" s="10"/>
      <c r="Q261" s="10"/>
      <c r="R261" s="10"/>
      <c r="S261" s="10">
        <v>891.96</v>
      </c>
      <c r="T261" s="10"/>
      <c r="U261" s="10"/>
      <c r="V261" s="10"/>
      <c r="W261" s="10"/>
      <c r="X261" s="10"/>
      <c r="Y261" s="10"/>
      <c r="Z261" s="10"/>
      <c r="AA261" s="33"/>
      <c r="AB261" s="10"/>
      <c r="AC261" s="33">
        <v>999</v>
      </c>
      <c r="AD261" s="10">
        <f t="shared" si="4"/>
        <v>0</v>
      </c>
      <c r="AE261" s="82"/>
      <c r="AF261" s="34"/>
    </row>
    <row r="262" spans="1:32" x14ac:dyDescent="0.25">
      <c r="A262" s="7" t="s">
        <v>3934</v>
      </c>
      <c r="B262" s="9">
        <v>4174719</v>
      </c>
      <c r="C262" s="70">
        <v>45456</v>
      </c>
      <c r="D262" s="70">
        <v>45456</v>
      </c>
      <c r="E262" s="73"/>
      <c r="F262" s="9"/>
      <c r="H262" s="9" t="s">
        <v>4053</v>
      </c>
      <c r="I262" s="7" t="s">
        <v>1174</v>
      </c>
      <c r="J262" s="51" t="s">
        <v>3667</v>
      </c>
      <c r="K262" s="7"/>
      <c r="L262" s="10"/>
      <c r="M262" s="10"/>
      <c r="N262" s="10"/>
      <c r="O262" s="10"/>
      <c r="P262" s="10"/>
      <c r="Q262" s="10"/>
      <c r="R262" s="10"/>
      <c r="S262" s="10"/>
      <c r="T262" s="10">
        <v>7282.8</v>
      </c>
      <c r="U262" s="10"/>
      <c r="V262" s="10"/>
      <c r="W262" s="10"/>
      <c r="X262" s="10"/>
      <c r="Y262" s="10"/>
      <c r="Z262" s="10"/>
      <c r="AA262" s="33"/>
      <c r="AB262" s="10"/>
      <c r="AC262" s="33">
        <v>7282.8</v>
      </c>
      <c r="AD262" s="10">
        <f t="shared" si="4"/>
        <v>0</v>
      </c>
      <c r="AE262" s="82"/>
      <c r="AF262" s="34"/>
    </row>
    <row r="263" spans="1:32" x14ac:dyDescent="0.25">
      <c r="A263" s="7" t="s">
        <v>3935</v>
      </c>
      <c r="B263" s="9">
        <v>4174720</v>
      </c>
      <c r="C263" s="70">
        <v>45501</v>
      </c>
      <c r="D263" s="70">
        <v>45457</v>
      </c>
      <c r="E263" s="73">
        <v>45464</v>
      </c>
      <c r="F263" s="9" t="s">
        <v>3974</v>
      </c>
      <c r="G263" s="9" t="s">
        <v>2448</v>
      </c>
      <c r="H263" s="9"/>
      <c r="I263" s="7" t="s">
        <v>1131</v>
      </c>
      <c r="J263" s="51" t="s">
        <v>1226</v>
      </c>
      <c r="K263" s="7" t="s">
        <v>2924</v>
      </c>
      <c r="L263" s="10">
        <v>8035.71</v>
      </c>
      <c r="M263" s="10">
        <v>66964.289999999994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33"/>
      <c r="AB263" s="10"/>
      <c r="AC263" s="33">
        <v>75000</v>
      </c>
      <c r="AD263" s="10">
        <f t="shared" si="4"/>
        <v>0</v>
      </c>
      <c r="AE263" s="82"/>
      <c r="AF263" s="34">
        <v>669.64</v>
      </c>
    </row>
    <row r="264" spans="1:32" x14ac:dyDescent="0.25">
      <c r="A264" s="7" t="s">
        <v>3936</v>
      </c>
      <c r="B264" s="9">
        <v>4174721</v>
      </c>
      <c r="C264" s="70">
        <v>45501</v>
      </c>
      <c r="D264" s="70">
        <v>45457</v>
      </c>
      <c r="E264" s="73">
        <v>45464</v>
      </c>
      <c r="F264" s="9" t="s">
        <v>3975</v>
      </c>
      <c r="G264" s="9" t="s">
        <v>3552</v>
      </c>
      <c r="H264" s="9"/>
      <c r="I264" s="7" t="s">
        <v>339</v>
      </c>
      <c r="J264" s="51" t="s">
        <v>1226</v>
      </c>
      <c r="K264" s="7" t="s">
        <v>2924</v>
      </c>
      <c r="L264" s="10">
        <v>3053.57</v>
      </c>
      <c r="M264" s="10">
        <v>25446.43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33"/>
      <c r="AB264" s="10"/>
      <c r="AC264" s="33">
        <v>28500</v>
      </c>
      <c r="AD264" s="10">
        <f t="shared" si="4"/>
        <v>0</v>
      </c>
      <c r="AE264" s="82"/>
      <c r="AF264" s="34">
        <v>254.46</v>
      </c>
    </row>
    <row r="265" spans="1:32" x14ac:dyDescent="0.25">
      <c r="A265" s="7" t="s">
        <v>3937</v>
      </c>
      <c r="B265" s="9">
        <v>4174722</v>
      </c>
      <c r="C265" s="70">
        <v>45487</v>
      </c>
      <c r="D265" s="70">
        <v>45457</v>
      </c>
      <c r="E265" s="73">
        <v>45503</v>
      </c>
      <c r="F265" s="9" t="s">
        <v>4131</v>
      </c>
      <c r="G265" s="9" t="s">
        <v>3554</v>
      </c>
      <c r="H265" s="9"/>
      <c r="I265" s="7" t="s">
        <v>4022</v>
      </c>
      <c r="J265" s="51" t="s">
        <v>3527</v>
      </c>
      <c r="K265" s="7" t="s">
        <v>3530</v>
      </c>
      <c r="L265" s="10">
        <v>1783.93</v>
      </c>
      <c r="M265" s="10">
        <v>14866.07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33"/>
      <c r="AB265" s="10"/>
      <c r="AC265" s="33">
        <v>16650</v>
      </c>
      <c r="AD265" s="10">
        <f t="shared" si="4"/>
        <v>0</v>
      </c>
      <c r="AE265" s="82"/>
      <c r="AF265" s="34">
        <v>148.66</v>
      </c>
    </row>
    <row r="266" spans="1:32" x14ac:dyDescent="0.25">
      <c r="A266" s="7" t="s">
        <v>3938</v>
      </c>
      <c r="B266" s="9">
        <v>4174723</v>
      </c>
      <c r="C266" s="70">
        <v>45461</v>
      </c>
      <c r="D266" s="70">
        <v>45457</v>
      </c>
      <c r="E266" s="73">
        <v>45461</v>
      </c>
      <c r="F266" s="9" t="s">
        <v>3976</v>
      </c>
      <c r="G266" s="9" t="s">
        <v>3567</v>
      </c>
      <c r="H266" s="9"/>
      <c r="I266" s="7" t="s">
        <v>1988</v>
      </c>
      <c r="J266" s="51" t="s">
        <v>1999</v>
      </c>
      <c r="K266" s="7" t="s">
        <v>2297</v>
      </c>
      <c r="L266" s="10">
        <v>11517.86</v>
      </c>
      <c r="M266" s="10">
        <v>95982.14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33"/>
      <c r="AB266" s="10"/>
      <c r="AC266" s="33">
        <v>107500</v>
      </c>
      <c r="AD266" s="10">
        <f t="shared" si="4"/>
        <v>0</v>
      </c>
      <c r="AE266" s="82"/>
      <c r="AF266" s="34">
        <v>959.82</v>
      </c>
    </row>
    <row r="267" spans="1:32" x14ac:dyDescent="0.25">
      <c r="A267" s="7" t="s">
        <v>3939</v>
      </c>
      <c r="B267" s="9">
        <v>4174724</v>
      </c>
      <c r="C267" s="70">
        <v>45462</v>
      </c>
      <c r="D267" s="70">
        <v>45462</v>
      </c>
      <c r="E267" s="73"/>
      <c r="F267" s="9"/>
      <c r="H267" s="9"/>
      <c r="I267" s="7" t="s">
        <v>3970</v>
      </c>
      <c r="J267" s="51" t="s">
        <v>44</v>
      </c>
      <c r="K267" s="7"/>
      <c r="L267" s="10">
        <v>788.9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>
        <v>6574.13</v>
      </c>
      <c r="Y267" s="10"/>
      <c r="Z267" s="10"/>
      <c r="AA267" s="33"/>
      <c r="AB267" s="10"/>
      <c r="AC267" s="33">
        <v>7363.03</v>
      </c>
      <c r="AD267" s="10">
        <f t="shared" si="4"/>
        <v>0</v>
      </c>
      <c r="AE267" s="82"/>
      <c r="AF267" s="34"/>
    </row>
    <row r="268" spans="1:32" x14ac:dyDescent="0.25">
      <c r="A268" s="7" t="s">
        <v>3940</v>
      </c>
      <c r="B268" s="9">
        <v>4174725</v>
      </c>
      <c r="C268" s="70">
        <v>45462</v>
      </c>
      <c r="D268" s="70">
        <v>45462</v>
      </c>
      <c r="E268" s="73">
        <v>45457</v>
      </c>
      <c r="F268" s="9" t="s">
        <v>3977</v>
      </c>
      <c r="H268" s="9"/>
      <c r="I268" s="7" t="s">
        <v>3959</v>
      </c>
      <c r="J268" s="51" t="s">
        <v>3978</v>
      </c>
      <c r="K268" s="7" t="s">
        <v>2426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33">
        <v>2980</v>
      </c>
      <c r="AB268" s="10"/>
      <c r="AC268" s="33">
        <v>2980</v>
      </c>
      <c r="AD268" s="10">
        <f t="shared" si="4"/>
        <v>0</v>
      </c>
      <c r="AE268" s="82"/>
      <c r="AF268" s="34"/>
    </row>
    <row r="269" spans="1:32" x14ac:dyDescent="0.25">
      <c r="A269" s="7" t="s">
        <v>3960</v>
      </c>
      <c r="B269" s="9">
        <v>4174726</v>
      </c>
      <c r="C269" s="70">
        <v>45462</v>
      </c>
      <c r="D269" s="70">
        <v>45462</v>
      </c>
      <c r="E269" s="73">
        <v>45463</v>
      </c>
      <c r="F269" s="9" t="s">
        <v>4140</v>
      </c>
      <c r="H269" s="9"/>
      <c r="I269" s="7" t="s">
        <v>3969</v>
      </c>
      <c r="J269" s="51" t="s">
        <v>2385</v>
      </c>
      <c r="K269" s="7" t="s">
        <v>4139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33">
        <v>12640</v>
      </c>
      <c r="AB269" s="10"/>
      <c r="AC269" s="33">
        <v>12640</v>
      </c>
      <c r="AD269" s="10">
        <f t="shared" si="4"/>
        <v>0</v>
      </c>
      <c r="AE269" s="82"/>
      <c r="AF269" s="34"/>
    </row>
    <row r="270" spans="1:32" x14ac:dyDescent="0.25">
      <c r="A270" s="7" t="s">
        <v>3961</v>
      </c>
      <c r="B270" s="9" t="s">
        <v>3971</v>
      </c>
      <c r="C270" s="70">
        <v>45462</v>
      </c>
      <c r="D270" s="70">
        <v>45462</v>
      </c>
      <c r="E270" s="73">
        <v>45463</v>
      </c>
      <c r="F270" s="9" t="s">
        <v>4025</v>
      </c>
      <c r="H270" s="9"/>
      <c r="I270" s="7" t="s">
        <v>63</v>
      </c>
      <c r="J270" s="51" t="s">
        <v>109</v>
      </c>
      <c r="K270" s="7"/>
      <c r="L270" s="10"/>
      <c r="M270" s="10"/>
      <c r="N270" s="10">
        <v>62671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33"/>
      <c r="AB270" s="10"/>
      <c r="AC270" s="33">
        <v>62671</v>
      </c>
      <c r="AD270" s="10">
        <f t="shared" si="4"/>
        <v>0</v>
      </c>
      <c r="AE270" s="82"/>
      <c r="AF270" s="34"/>
    </row>
    <row r="271" spans="1:32" x14ac:dyDescent="0.25">
      <c r="A271" s="7" t="s">
        <v>3962</v>
      </c>
      <c r="B271" s="9">
        <v>4174727</v>
      </c>
      <c r="C271" s="70">
        <v>45463</v>
      </c>
      <c r="D271" s="70">
        <v>45463</v>
      </c>
      <c r="E271" s="73"/>
      <c r="F271" s="9"/>
      <c r="H271" s="9"/>
      <c r="I271" s="7" t="s">
        <v>3979</v>
      </c>
      <c r="J271" s="51" t="s">
        <v>1202</v>
      </c>
      <c r="K271" s="7"/>
      <c r="L271" s="10">
        <v>1519.61</v>
      </c>
      <c r="M271" s="10"/>
      <c r="N271" s="10"/>
      <c r="O271" s="10"/>
      <c r="P271" s="10"/>
      <c r="Q271" s="10"/>
      <c r="R271" s="10"/>
      <c r="S271" s="10">
        <v>12663.39</v>
      </c>
      <c r="T271" s="10"/>
      <c r="U271" s="10"/>
      <c r="V271" s="10"/>
      <c r="W271" s="10"/>
      <c r="X271" s="10"/>
      <c r="Y271" s="10"/>
      <c r="Z271" s="10"/>
      <c r="AA271" s="33"/>
      <c r="AB271" s="10"/>
      <c r="AC271" s="33">
        <v>14183</v>
      </c>
      <c r="AD271" s="10">
        <f t="shared" si="4"/>
        <v>0</v>
      </c>
      <c r="AE271" s="82"/>
      <c r="AF271" s="34">
        <v>253.29</v>
      </c>
    </row>
    <row r="272" spans="1:32" x14ac:dyDescent="0.25">
      <c r="A272" s="7" t="s">
        <v>3963</v>
      </c>
      <c r="B272" s="9">
        <v>4174728</v>
      </c>
      <c r="C272" s="70">
        <v>45463</v>
      </c>
      <c r="D272" s="70">
        <v>45463</v>
      </c>
      <c r="E272" s="73">
        <v>45467</v>
      </c>
      <c r="F272" s="9" t="s">
        <v>4024</v>
      </c>
      <c r="G272" s="9" t="s">
        <v>3576</v>
      </c>
      <c r="H272" s="9"/>
      <c r="I272" s="7" t="s">
        <v>4023</v>
      </c>
      <c r="J272" s="51" t="s">
        <v>1999</v>
      </c>
      <c r="K272" s="7" t="s">
        <v>2297</v>
      </c>
      <c r="L272" s="10">
        <v>2839.29</v>
      </c>
      <c r="M272" s="10">
        <v>23660.71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33"/>
      <c r="AB272" s="10"/>
      <c r="AC272" s="33"/>
      <c r="AD272" s="10">
        <f t="shared" si="4"/>
        <v>-26500</v>
      </c>
      <c r="AE272" s="82"/>
      <c r="AF272" s="34">
        <v>236.61</v>
      </c>
    </row>
    <row r="273" spans="1:32" x14ac:dyDescent="0.25">
      <c r="A273" s="7" t="s">
        <v>3964</v>
      </c>
      <c r="B273" s="9">
        <v>4174730</v>
      </c>
      <c r="C273" s="70">
        <v>45490</v>
      </c>
      <c r="D273" s="70">
        <v>45467</v>
      </c>
      <c r="E273" s="73">
        <v>45485</v>
      </c>
      <c r="F273" s="9" t="s">
        <v>4026</v>
      </c>
      <c r="G273" s="9" t="s">
        <v>3555</v>
      </c>
      <c r="H273" s="9"/>
      <c r="I273" s="7" t="s">
        <v>4017</v>
      </c>
      <c r="J273" s="51" t="s">
        <v>2043</v>
      </c>
      <c r="K273" s="7" t="s">
        <v>3645</v>
      </c>
      <c r="L273" s="10">
        <v>2437.5</v>
      </c>
      <c r="M273" s="10">
        <v>20312.5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33"/>
      <c r="AB273" s="10"/>
      <c r="AC273" s="33">
        <v>22750</v>
      </c>
      <c r="AD273" s="10">
        <f t="shared" si="4"/>
        <v>0</v>
      </c>
      <c r="AE273" s="82"/>
      <c r="AF273" s="34">
        <v>203.13</v>
      </c>
    </row>
    <row r="274" spans="1:32" x14ac:dyDescent="0.25">
      <c r="A274" s="7" t="s">
        <v>3965</v>
      </c>
      <c r="B274" s="9">
        <v>4174731</v>
      </c>
      <c r="C274" s="70">
        <v>45497</v>
      </c>
      <c r="D274" s="70">
        <v>45467</v>
      </c>
      <c r="E274" s="73">
        <v>45492</v>
      </c>
      <c r="F274" s="9" t="s">
        <v>4089</v>
      </c>
      <c r="G274" s="9" t="s">
        <v>3566</v>
      </c>
      <c r="H274" s="9"/>
      <c r="I274" s="7" t="s">
        <v>120</v>
      </c>
      <c r="J274" s="51" t="s">
        <v>2687</v>
      </c>
      <c r="K274" s="7" t="s">
        <v>2688</v>
      </c>
      <c r="L274" s="10">
        <v>910.71</v>
      </c>
      <c r="M274" s="10">
        <v>7589.29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33"/>
      <c r="AB274" s="10"/>
      <c r="AC274" s="33">
        <v>8500</v>
      </c>
      <c r="AD274" s="10">
        <f t="shared" si="4"/>
        <v>0</v>
      </c>
      <c r="AE274" s="82"/>
      <c r="AF274" s="34">
        <v>75.89</v>
      </c>
    </row>
    <row r="275" spans="1:32" x14ac:dyDescent="0.25">
      <c r="A275" s="7" t="s">
        <v>3966</v>
      </c>
      <c r="B275" s="9">
        <v>4174732</v>
      </c>
      <c r="C275" s="70">
        <v>45497</v>
      </c>
      <c r="D275" s="70">
        <v>45467</v>
      </c>
      <c r="E275" s="73">
        <v>45485</v>
      </c>
      <c r="F275" s="9" t="s">
        <v>4027</v>
      </c>
      <c r="G275" s="9" t="s">
        <v>3568</v>
      </c>
      <c r="H275" s="9"/>
      <c r="I275" s="7" t="s">
        <v>4018</v>
      </c>
      <c r="J275" s="51" t="s">
        <v>2043</v>
      </c>
      <c r="K275" s="7" t="s">
        <v>3645</v>
      </c>
      <c r="L275" s="10">
        <v>1419.64</v>
      </c>
      <c r="M275" s="10">
        <v>11830.36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33"/>
      <c r="AB275" s="10"/>
      <c r="AC275" s="33">
        <v>13250</v>
      </c>
      <c r="AD275" s="10">
        <f t="shared" si="4"/>
        <v>0</v>
      </c>
      <c r="AE275" s="82"/>
      <c r="AF275" s="34">
        <v>118.3</v>
      </c>
    </row>
    <row r="276" spans="1:32" x14ac:dyDescent="0.25">
      <c r="A276" s="7" t="s">
        <v>3967</v>
      </c>
      <c r="B276" s="9">
        <v>4174733</v>
      </c>
      <c r="C276" s="70">
        <v>45497</v>
      </c>
      <c r="D276" s="70">
        <v>45467</v>
      </c>
      <c r="E276" s="73">
        <v>45492</v>
      </c>
      <c r="F276" s="9" t="s">
        <v>4088</v>
      </c>
      <c r="G276" s="9" t="s">
        <v>3570</v>
      </c>
      <c r="H276" s="9"/>
      <c r="I276" s="7" t="s">
        <v>4021</v>
      </c>
      <c r="J276" s="51" t="s">
        <v>2687</v>
      </c>
      <c r="K276" s="7" t="s">
        <v>2688</v>
      </c>
      <c r="L276" s="10">
        <v>857.14</v>
      </c>
      <c r="M276" s="10">
        <v>7142.86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33"/>
      <c r="AB276" s="10"/>
      <c r="AC276" s="33">
        <v>8000</v>
      </c>
      <c r="AD276" s="10">
        <f t="shared" si="4"/>
        <v>0</v>
      </c>
      <c r="AE276" s="82"/>
      <c r="AF276" s="34">
        <v>71.430000000000007</v>
      </c>
    </row>
    <row r="277" spans="1:32" x14ac:dyDescent="0.25">
      <c r="A277" s="7" t="s">
        <v>3968</v>
      </c>
      <c r="B277" s="9">
        <v>4174734</v>
      </c>
      <c r="C277" s="70">
        <v>45467</v>
      </c>
      <c r="D277" s="70">
        <v>45467</v>
      </c>
      <c r="E277" s="73">
        <v>45474</v>
      </c>
      <c r="F277" s="9" t="s">
        <v>3981</v>
      </c>
      <c r="H277" s="9"/>
      <c r="I277" s="7" t="s">
        <v>3980</v>
      </c>
      <c r="J277" s="51" t="s">
        <v>127</v>
      </c>
      <c r="K277" s="7" t="s">
        <v>128</v>
      </c>
      <c r="L277" s="10">
        <v>662.4</v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33">
        <v>4968</v>
      </c>
      <c r="AB277" s="10"/>
      <c r="AC277" s="33">
        <v>5630.4</v>
      </c>
      <c r="AD277" s="10">
        <f t="shared" si="4"/>
        <v>0</v>
      </c>
      <c r="AE277" s="82"/>
      <c r="AF277" s="34"/>
    </row>
    <row r="278" spans="1:32" x14ac:dyDescent="0.25">
      <c r="A278" s="7" t="s">
        <v>3982</v>
      </c>
      <c r="B278" s="9" t="s">
        <v>3989</v>
      </c>
      <c r="C278" s="70">
        <v>45467</v>
      </c>
      <c r="D278" s="70">
        <v>45467</v>
      </c>
      <c r="E278" s="73"/>
      <c r="F278" s="9"/>
      <c r="H278" s="9"/>
      <c r="I278" s="7" t="s">
        <v>64</v>
      </c>
      <c r="J278" s="51" t="s">
        <v>1490</v>
      </c>
      <c r="K278" s="7"/>
      <c r="L278" s="10"/>
      <c r="M278" s="10"/>
      <c r="N278" s="10"/>
      <c r="O278" s="10"/>
      <c r="P278" s="10">
        <v>10000</v>
      </c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33"/>
      <c r="AB278" s="10"/>
      <c r="AC278" s="33">
        <v>10000</v>
      </c>
      <c r="AD278" s="10">
        <f t="shared" si="4"/>
        <v>0</v>
      </c>
      <c r="AE278" s="82"/>
      <c r="AF278" s="34"/>
    </row>
    <row r="279" spans="1:32" x14ac:dyDescent="0.25">
      <c r="A279" s="7" t="s">
        <v>3983</v>
      </c>
      <c r="B279" s="9" t="s">
        <v>3990</v>
      </c>
      <c r="C279" s="70">
        <v>45467</v>
      </c>
      <c r="D279" s="70">
        <v>45467</v>
      </c>
      <c r="E279" s="73"/>
      <c r="F279" s="9"/>
      <c r="H279" s="9"/>
      <c r="I279" s="7" t="s">
        <v>55</v>
      </c>
      <c r="J279" s="51" t="s">
        <v>54</v>
      </c>
      <c r="K279" s="7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>
        <v>400000</v>
      </c>
      <c r="AA279" s="33"/>
      <c r="AB279" s="10"/>
      <c r="AC279" s="33">
        <v>400000</v>
      </c>
      <c r="AD279" s="10">
        <f t="shared" si="4"/>
        <v>0</v>
      </c>
      <c r="AE279" s="82"/>
      <c r="AF279" s="34"/>
    </row>
    <row r="280" spans="1:32" x14ac:dyDescent="0.25">
      <c r="A280" s="7" t="s">
        <v>3984</v>
      </c>
      <c r="B280" s="9">
        <v>4174735</v>
      </c>
      <c r="C280" s="70">
        <v>45467</v>
      </c>
      <c r="D280" s="70">
        <v>45467</v>
      </c>
      <c r="E280" s="73"/>
      <c r="F280" s="9"/>
      <c r="H280" s="9" t="s">
        <v>4054</v>
      </c>
      <c r="I280" s="7" t="s">
        <v>1174</v>
      </c>
      <c r="J280" s="51" t="s">
        <v>3667</v>
      </c>
      <c r="K280" s="7"/>
      <c r="L280" s="10"/>
      <c r="M280" s="10"/>
      <c r="N280" s="10"/>
      <c r="O280" s="10"/>
      <c r="P280" s="10"/>
      <c r="Q280" s="10"/>
      <c r="R280" s="10"/>
      <c r="S280" s="10"/>
      <c r="T280" s="10">
        <v>5304</v>
      </c>
      <c r="U280" s="10"/>
      <c r="V280" s="10"/>
      <c r="W280" s="10"/>
      <c r="X280" s="10"/>
      <c r="Y280" s="10"/>
      <c r="Z280" s="10"/>
      <c r="AA280" s="33"/>
      <c r="AB280" s="10"/>
      <c r="AC280" s="33">
        <v>5304</v>
      </c>
      <c r="AD280" s="10">
        <f t="shared" si="4"/>
        <v>0</v>
      </c>
      <c r="AE280" s="82"/>
      <c r="AF280" s="34"/>
    </row>
    <row r="281" spans="1:32" x14ac:dyDescent="0.25">
      <c r="A281" s="7" t="s">
        <v>3985</v>
      </c>
      <c r="B281" s="9">
        <v>4174736</v>
      </c>
      <c r="C281" s="70">
        <v>45468</v>
      </c>
      <c r="D281" s="70">
        <v>45468</v>
      </c>
      <c r="E281" s="73"/>
      <c r="F281" s="9"/>
      <c r="H281" s="9" t="s">
        <v>4064</v>
      </c>
      <c r="I281" s="7" t="s">
        <v>2588</v>
      </c>
      <c r="J281" s="51" t="s">
        <v>65</v>
      </c>
      <c r="K281" s="7"/>
      <c r="L281" s="10"/>
      <c r="M281" s="10"/>
      <c r="N281" s="10"/>
      <c r="O281" s="10"/>
      <c r="P281" s="10"/>
      <c r="Q281" s="10"/>
      <c r="R281" s="10"/>
      <c r="S281" s="10"/>
      <c r="T281" s="10">
        <v>2702</v>
      </c>
      <c r="U281" s="10"/>
      <c r="V281" s="10"/>
      <c r="W281" s="10"/>
      <c r="X281" s="10"/>
      <c r="Y281" s="10"/>
      <c r="Z281" s="10"/>
      <c r="AA281" s="33"/>
      <c r="AB281" s="10"/>
      <c r="AC281" s="33">
        <v>2702</v>
      </c>
      <c r="AD281" s="10">
        <f t="shared" si="4"/>
        <v>0</v>
      </c>
      <c r="AE281" s="82"/>
      <c r="AF281" s="34"/>
    </row>
    <row r="282" spans="1:32" x14ac:dyDescent="0.25">
      <c r="A282" s="7" t="s">
        <v>3986</v>
      </c>
      <c r="B282" s="9">
        <v>4174737</v>
      </c>
      <c r="C282" s="70">
        <v>45469</v>
      </c>
      <c r="D282" s="70">
        <v>45469</v>
      </c>
      <c r="E282" s="73"/>
      <c r="F282" s="9"/>
      <c r="H282" s="9"/>
      <c r="I282" s="7" t="s">
        <v>2424</v>
      </c>
      <c r="J282" s="51" t="s">
        <v>442</v>
      </c>
      <c r="K282" s="7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33">
        <v>2160</v>
      </c>
      <c r="AB282" s="10"/>
      <c r="AC282" s="33">
        <v>2160</v>
      </c>
      <c r="AD282" s="10">
        <f t="shared" si="4"/>
        <v>0</v>
      </c>
      <c r="AE282" s="82"/>
      <c r="AF282" s="34"/>
    </row>
    <row r="283" spans="1:32" x14ac:dyDescent="0.25">
      <c r="A283" s="7" t="s">
        <v>3987</v>
      </c>
      <c r="B283" s="9">
        <v>4174738</v>
      </c>
      <c r="C283" s="70">
        <v>45469</v>
      </c>
      <c r="D283" s="70">
        <v>45469</v>
      </c>
      <c r="E283" s="73"/>
      <c r="F283" s="9"/>
      <c r="H283" s="9"/>
      <c r="I283" s="7" t="s">
        <v>3995</v>
      </c>
      <c r="J283" s="51" t="s">
        <v>47</v>
      </c>
      <c r="K283" s="7"/>
      <c r="L283" s="10"/>
      <c r="M283" s="10">
        <v>3000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33"/>
      <c r="AB283" s="10"/>
      <c r="AC283" s="33">
        <v>3000</v>
      </c>
      <c r="AD283" s="10">
        <f t="shared" si="4"/>
        <v>0</v>
      </c>
      <c r="AE283" s="82"/>
      <c r="AF283" s="34"/>
    </row>
    <row r="284" spans="1:32" x14ac:dyDescent="0.25">
      <c r="A284" s="7" t="s">
        <v>3988</v>
      </c>
      <c r="B284" s="9">
        <v>4174739</v>
      </c>
      <c r="C284" s="70">
        <v>45471</v>
      </c>
      <c r="D284" s="70">
        <v>45471</v>
      </c>
      <c r="E284" s="73"/>
      <c r="F284" s="9"/>
      <c r="H284" s="9"/>
      <c r="I284" s="7" t="s">
        <v>118</v>
      </c>
      <c r="J284" s="51" t="s">
        <v>125</v>
      </c>
      <c r="K284" s="7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33">
        <v>6000</v>
      </c>
      <c r="AB284" s="10"/>
      <c r="AC284" s="33">
        <v>6000</v>
      </c>
      <c r="AD284" s="10">
        <f t="shared" si="4"/>
        <v>0</v>
      </c>
      <c r="AE284" s="82"/>
      <c r="AF284" s="34"/>
    </row>
    <row r="285" spans="1:32" x14ac:dyDescent="0.25">
      <c r="A285" s="7" t="s">
        <v>3991</v>
      </c>
      <c r="B285" s="9">
        <v>4174740</v>
      </c>
      <c r="C285" s="70">
        <v>45471</v>
      </c>
      <c r="D285" s="70">
        <v>45471</v>
      </c>
      <c r="E285" s="73"/>
      <c r="F285" s="9"/>
      <c r="H285" s="9"/>
      <c r="I285" s="7" t="s">
        <v>3996</v>
      </c>
      <c r="J285" s="51" t="s">
        <v>3997</v>
      </c>
      <c r="K285" s="7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33">
        <v>2500</v>
      </c>
      <c r="AB285" s="10"/>
      <c r="AC285" s="33">
        <v>2500</v>
      </c>
      <c r="AD285" s="10">
        <f t="shared" si="4"/>
        <v>0</v>
      </c>
      <c r="AE285" s="82"/>
      <c r="AF285" s="34"/>
    </row>
    <row r="286" spans="1:32" x14ac:dyDescent="0.25">
      <c r="A286" s="7" t="s">
        <v>3992</v>
      </c>
      <c r="B286" s="9">
        <v>4174741</v>
      </c>
      <c r="C286" s="70">
        <v>45471</v>
      </c>
      <c r="D286" s="70">
        <v>45471</v>
      </c>
      <c r="E286" s="73"/>
      <c r="F286" s="9"/>
      <c r="H286" s="9"/>
      <c r="I286" s="7" t="s">
        <v>118</v>
      </c>
      <c r="J286" s="51" t="s">
        <v>1847</v>
      </c>
      <c r="K286" s="7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33">
        <v>30800</v>
      </c>
      <c r="AB286" s="10"/>
      <c r="AC286" s="33">
        <v>30800</v>
      </c>
      <c r="AD286" s="10">
        <f t="shared" si="4"/>
        <v>0</v>
      </c>
      <c r="AE286" s="82"/>
      <c r="AF286" s="34"/>
    </row>
    <row r="287" spans="1:32" x14ac:dyDescent="0.25">
      <c r="A287" s="7" t="s">
        <v>3993</v>
      </c>
      <c r="B287" s="9">
        <v>4174742</v>
      </c>
      <c r="C287" s="70">
        <v>45471</v>
      </c>
      <c r="D287" s="70">
        <v>45471</v>
      </c>
      <c r="E287" s="73"/>
      <c r="F287" s="9"/>
      <c r="H287" s="9" t="s">
        <v>4065</v>
      </c>
      <c r="I287" s="7" t="s">
        <v>1174</v>
      </c>
      <c r="J287" s="51" t="s">
        <v>3667</v>
      </c>
      <c r="K287" s="7"/>
      <c r="L287" s="10"/>
      <c r="M287" s="10"/>
      <c r="N287" s="10"/>
      <c r="O287" s="10"/>
      <c r="P287" s="10"/>
      <c r="Q287" s="10"/>
      <c r="R287" s="10"/>
      <c r="S287" s="10"/>
      <c r="T287" s="10">
        <v>16998.02</v>
      </c>
      <c r="U287" s="10"/>
      <c r="V287" s="10"/>
      <c r="W287" s="10"/>
      <c r="X287" s="10"/>
      <c r="Y287" s="10"/>
      <c r="Z287" s="10"/>
      <c r="AA287" s="33"/>
      <c r="AB287" s="10"/>
      <c r="AC287" s="33">
        <v>16998.02</v>
      </c>
      <c r="AD287" s="10">
        <f t="shared" si="4"/>
        <v>0</v>
      </c>
      <c r="AE287" s="82"/>
      <c r="AF287" s="34"/>
    </row>
    <row r="288" spans="1:32" x14ac:dyDescent="0.25">
      <c r="A288" s="7" t="s">
        <v>3994</v>
      </c>
      <c r="B288" s="9">
        <v>4174743</v>
      </c>
      <c r="C288" s="70">
        <v>45499</v>
      </c>
      <c r="D288" s="70">
        <v>45471</v>
      </c>
      <c r="E288" s="73">
        <v>45503</v>
      </c>
      <c r="F288" s="9" t="s">
        <v>4130</v>
      </c>
      <c r="G288" s="9" t="s">
        <v>3577</v>
      </c>
      <c r="H288" s="9"/>
      <c r="I288" s="7" t="s">
        <v>4020</v>
      </c>
      <c r="J288" s="51" t="s">
        <v>3527</v>
      </c>
      <c r="K288" s="7" t="s">
        <v>3530</v>
      </c>
      <c r="L288" s="10">
        <v>866.79</v>
      </c>
      <c r="M288" s="10">
        <v>7223.21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33"/>
      <c r="AB288" s="10"/>
      <c r="AC288" s="33">
        <v>8090</v>
      </c>
      <c r="AD288" s="10">
        <f t="shared" si="4"/>
        <v>0</v>
      </c>
      <c r="AE288" s="82"/>
      <c r="AF288" s="34">
        <v>72.23</v>
      </c>
    </row>
    <row r="289" spans="1:32" x14ac:dyDescent="0.25">
      <c r="A289" s="7" t="s">
        <v>3998</v>
      </c>
      <c r="B289" s="9">
        <v>4174744</v>
      </c>
      <c r="C289" s="70">
        <v>45504</v>
      </c>
      <c r="D289" s="70">
        <v>45471</v>
      </c>
      <c r="E289" s="73">
        <v>45476</v>
      </c>
      <c r="F289" s="9" t="s">
        <v>4019</v>
      </c>
      <c r="G289" s="9" t="s">
        <v>3551</v>
      </c>
      <c r="H289" s="9"/>
      <c r="I289" s="7" t="s">
        <v>1001</v>
      </c>
      <c r="J289" s="51" t="s">
        <v>2087</v>
      </c>
      <c r="K289" s="7" t="s">
        <v>2088</v>
      </c>
      <c r="L289" s="10">
        <v>11250</v>
      </c>
      <c r="M289" s="10">
        <v>93750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33"/>
      <c r="AB289" s="10"/>
      <c r="AC289" s="33">
        <v>105000</v>
      </c>
      <c r="AD289" s="10">
        <f t="shared" si="4"/>
        <v>0</v>
      </c>
      <c r="AE289" s="82"/>
      <c r="AF289" s="34">
        <v>937.5</v>
      </c>
    </row>
    <row r="290" spans="1:32" s="39" customFormat="1" x14ac:dyDescent="0.25">
      <c r="A290" s="20"/>
      <c r="B290" s="19"/>
      <c r="C290" s="72"/>
      <c r="D290" s="72"/>
      <c r="E290" s="77"/>
      <c r="F290" s="19"/>
      <c r="G290" s="19"/>
      <c r="H290" s="19"/>
      <c r="I290" s="20"/>
      <c r="J290" s="20"/>
      <c r="K290" s="20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32"/>
      <c r="AB290" s="22"/>
      <c r="AC290" s="32"/>
      <c r="AD290" s="22"/>
      <c r="AE290" s="96"/>
      <c r="AF290" s="35"/>
    </row>
    <row r="291" spans="1:32" s="39" customFormat="1" x14ac:dyDescent="0.25">
      <c r="A291" s="25">
        <v>45474</v>
      </c>
      <c r="B291" s="19"/>
      <c r="C291" s="72"/>
      <c r="D291" s="72"/>
      <c r="E291" s="77"/>
      <c r="F291" s="19"/>
      <c r="G291" s="19"/>
      <c r="H291" s="19"/>
      <c r="I291" s="20"/>
      <c r="J291" s="20"/>
      <c r="K291" s="20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32"/>
      <c r="AB291" s="22"/>
      <c r="AC291" s="32"/>
      <c r="AD291" s="22"/>
      <c r="AE291" s="96"/>
      <c r="AF291" s="35"/>
    </row>
    <row r="292" spans="1:32" x14ac:dyDescent="0.25">
      <c r="A292" s="7" t="s">
        <v>3999</v>
      </c>
      <c r="B292" s="9">
        <v>4174745</v>
      </c>
      <c r="C292" s="70">
        <v>45476</v>
      </c>
      <c r="D292" s="70">
        <v>45476</v>
      </c>
      <c r="E292" s="73"/>
      <c r="F292" s="9"/>
      <c r="H292" s="9" t="s">
        <v>4066</v>
      </c>
      <c r="I292" s="7" t="s">
        <v>2588</v>
      </c>
      <c r="J292" s="51" t="s">
        <v>3667</v>
      </c>
      <c r="K292" s="7"/>
      <c r="L292" s="10"/>
      <c r="M292" s="10"/>
      <c r="N292" s="10"/>
      <c r="O292" s="10"/>
      <c r="P292" s="10"/>
      <c r="Q292" s="10"/>
      <c r="R292" s="10"/>
      <c r="S292" s="10"/>
      <c r="T292" s="10">
        <v>10355.469999999999</v>
      </c>
      <c r="U292" s="10"/>
      <c r="V292" s="10"/>
      <c r="W292" s="10"/>
      <c r="X292" s="10"/>
      <c r="Y292" s="10"/>
      <c r="Z292" s="10"/>
      <c r="AA292" s="33"/>
      <c r="AB292" s="10"/>
      <c r="AC292" s="33">
        <v>10355.469999999999</v>
      </c>
      <c r="AD292" s="10">
        <f t="shared" si="4"/>
        <v>0</v>
      </c>
      <c r="AE292" s="82"/>
      <c r="AF292" s="34"/>
    </row>
    <row r="293" spans="1:32" x14ac:dyDescent="0.25">
      <c r="A293" s="7" t="s">
        <v>4000</v>
      </c>
      <c r="B293" s="9" t="s">
        <v>4012</v>
      </c>
      <c r="C293" s="70">
        <v>45476</v>
      </c>
      <c r="D293" s="70">
        <v>45476</v>
      </c>
      <c r="E293" s="73"/>
      <c r="F293" s="9"/>
      <c r="H293" s="9"/>
      <c r="I293" s="7" t="s">
        <v>64</v>
      </c>
      <c r="J293" s="51" t="s">
        <v>47</v>
      </c>
      <c r="K293" s="7"/>
      <c r="L293" s="10"/>
      <c r="M293" s="10"/>
      <c r="N293" s="10"/>
      <c r="O293" s="10"/>
      <c r="P293" s="10">
        <v>20000</v>
      </c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33"/>
      <c r="AB293" s="10"/>
      <c r="AC293" s="33">
        <v>20000</v>
      </c>
      <c r="AD293" s="10">
        <f t="shared" si="4"/>
        <v>0</v>
      </c>
      <c r="AE293" s="82"/>
      <c r="AF293" s="34"/>
    </row>
    <row r="294" spans="1:32" x14ac:dyDescent="0.25">
      <c r="A294" s="7" t="s">
        <v>4001</v>
      </c>
      <c r="B294" s="9" t="s">
        <v>4063</v>
      </c>
      <c r="C294" s="70">
        <v>45477</v>
      </c>
      <c r="D294" s="70">
        <v>45477</v>
      </c>
      <c r="E294" s="73">
        <v>45480</v>
      </c>
      <c r="F294" s="9" t="s">
        <v>4015</v>
      </c>
      <c r="G294" s="9" t="s">
        <v>3578</v>
      </c>
      <c r="H294" s="9"/>
      <c r="I294" s="7" t="s">
        <v>1988</v>
      </c>
      <c r="J294" s="51" t="s">
        <v>1999</v>
      </c>
      <c r="K294" s="7" t="s">
        <v>2297</v>
      </c>
      <c r="L294" s="10">
        <v>11517.86</v>
      </c>
      <c r="M294" s="10">
        <v>95982.14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33"/>
      <c r="AB294" s="10"/>
      <c r="AC294" s="33">
        <v>107500</v>
      </c>
      <c r="AD294" s="10">
        <f t="shared" si="4"/>
        <v>0</v>
      </c>
      <c r="AE294" s="82"/>
      <c r="AF294" s="34">
        <v>959.82</v>
      </c>
    </row>
    <row r="295" spans="1:32" x14ac:dyDescent="0.25">
      <c r="A295" s="7" t="s">
        <v>4002</v>
      </c>
      <c r="B295" s="9">
        <v>4174746</v>
      </c>
      <c r="C295" s="70">
        <v>45481</v>
      </c>
      <c r="D295" s="70">
        <v>45481</v>
      </c>
      <c r="E295" s="73"/>
      <c r="F295" s="9"/>
      <c r="H295" s="9" t="s">
        <v>4067</v>
      </c>
      <c r="I295" s="7" t="s">
        <v>1174</v>
      </c>
      <c r="J295" s="51" t="s">
        <v>3667</v>
      </c>
      <c r="K295" s="7"/>
      <c r="L295" s="10"/>
      <c r="M295" s="10"/>
      <c r="N295" s="10"/>
      <c r="O295" s="10"/>
      <c r="P295" s="10"/>
      <c r="Q295" s="10"/>
      <c r="R295" s="10"/>
      <c r="S295" s="10"/>
      <c r="T295" s="10">
        <v>4866.99</v>
      </c>
      <c r="U295" s="10"/>
      <c r="V295" s="10"/>
      <c r="W295" s="10"/>
      <c r="X295" s="10"/>
      <c r="Y295" s="10"/>
      <c r="Z295" s="10"/>
      <c r="AA295" s="33"/>
      <c r="AB295" s="10"/>
      <c r="AC295" s="33">
        <v>4866.99</v>
      </c>
      <c r="AD295" s="10">
        <f t="shared" si="4"/>
        <v>0</v>
      </c>
      <c r="AE295" s="82"/>
      <c r="AF295" s="34"/>
    </row>
    <row r="296" spans="1:32" x14ac:dyDescent="0.25">
      <c r="A296" s="7" t="s">
        <v>4003</v>
      </c>
      <c r="B296" s="9">
        <v>4174747</v>
      </c>
      <c r="C296" s="70">
        <v>45481</v>
      </c>
      <c r="D296" s="70">
        <v>45481</v>
      </c>
      <c r="E296" s="73">
        <v>45480</v>
      </c>
      <c r="F296" s="9" t="s">
        <v>4186</v>
      </c>
      <c r="H296" s="9"/>
      <c r="I296" s="7" t="s">
        <v>4014</v>
      </c>
      <c r="J296" s="51" t="s">
        <v>109</v>
      </c>
      <c r="K296" s="7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33">
        <v>700</v>
      </c>
      <c r="AB296" s="10"/>
      <c r="AC296" s="33">
        <v>700</v>
      </c>
      <c r="AD296" s="10">
        <f t="shared" si="4"/>
        <v>0</v>
      </c>
      <c r="AE296" s="82"/>
      <c r="AF296" s="34"/>
    </row>
    <row r="297" spans="1:32" x14ac:dyDescent="0.25">
      <c r="A297" s="7" t="s">
        <v>4004</v>
      </c>
      <c r="B297" s="9">
        <v>4174748</v>
      </c>
      <c r="C297" s="70">
        <v>45481</v>
      </c>
      <c r="D297" s="70">
        <v>45481</v>
      </c>
      <c r="E297" s="73"/>
      <c r="F297" s="9"/>
      <c r="H297" s="9"/>
      <c r="I297" s="7" t="s">
        <v>4013</v>
      </c>
      <c r="J297" s="51" t="s">
        <v>43</v>
      </c>
      <c r="K297" s="7"/>
      <c r="L297" s="10">
        <v>64.180000000000007</v>
      </c>
      <c r="M297" s="10"/>
      <c r="N297" s="10"/>
      <c r="O297" s="10"/>
      <c r="P297" s="10"/>
      <c r="Q297" s="10"/>
      <c r="R297" s="10"/>
      <c r="S297" s="10">
        <v>534.82000000000005</v>
      </c>
      <c r="T297" s="10"/>
      <c r="U297" s="10"/>
      <c r="V297" s="10"/>
      <c r="W297" s="10"/>
      <c r="X297" s="10"/>
      <c r="Y297" s="10"/>
      <c r="Z297" s="10"/>
      <c r="AA297" s="33"/>
      <c r="AB297" s="10"/>
      <c r="AC297" s="33">
        <v>599</v>
      </c>
      <c r="AD297" s="10">
        <f t="shared" si="4"/>
        <v>0</v>
      </c>
      <c r="AE297" s="82"/>
      <c r="AF297" s="34"/>
    </row>
    <row r="298" spans="1:32" x14ac:dyDescent="0.25">
      <c r="A298" s="7" t="s">
        <v>4005</v>
      </c>
      <c r="B298" s="9">
        <v>4174749</v>
      </c>
      <c r="C298" s="70">
        <v>45482</v>
      </c>
      <c r="D298" s="70">
        <v>45482</v>
      </c>
      <c r="E298" s="73"/>
      <c r="F298" s="9"/>
      <c r="H298" s="9"/>
      <c r="I298" s="7" t="s">
        <v>3539</v>
      </c>
      <c r="J298" s="51" t="s">
        <v>3667</v>
      </c>
      <c r="K298" s="7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33">
        <v>6840</v>
      </c>
      <c r="AB298" s="10"/>
      <c r="AC298" s="33">
        <v>6840</v>
      </c>
      <c r="AD298" s="10">
        <f t="shared" si="4"/>
        <v>0</v>
      </c>
      <c r="AE298" s="82"/>
      <c r="AF298" s="34"/>
    </row>
    <row r="299" spans="1:32" x14ac:dyDescent="0.25">
      <c r="A299" s="7" t="s">
        <v>4006</v>
      </c>
      <c r="B299" s="9">
        <v>4174750</v>
      </c>
      <c r="C299" s="70">
        <v>45483</v>
      </c>
      <c r="D299" s="70">
        <v>45483</v>
      </c>
      <c r="E299" s="73"/>
      <c r="F299" s="9"/>
      <c r="H299" s="9"/>
      <c r="I299" s="7" t="s">
        <v>4016</v>
      </c>
      <c r="J299" s="51" t="s">
        <v>18</v>
      </c>
      <c r="K299" s="7"/>
      <c r="L299" s="10">
        <v>151.09</v>
      </c>
      <c r="M299" s="10"/>
      <c r="N299" s="10"/>
      <c r="O299" s="10"/>
      <c r="P299" s="10"/>
      <c r="Q299" s="10"/>
      <c r="R299" s="10">
        <v>1259.06</v>
      </c>
      <c r="S299" s="10"/>
      <c r="T299" s="10"/>
      <c r="U299" s="10"/>
      <c r="V299" s="10"/>
      <c r="W299" s="10"/>
      <c r="X299" s="10"/>
      <c r="Y299" s="10"/>
      <c r="Z299" s="10"/>
      <c r="AA299" s="33"/>
      <c r="AB299" s="10"/>
      <c r="AC299" s="33">
        <v>1410.15</v>
      </c>
      <c r="AD299" s="10">
        <f t="shared" si="4"/>
        <v>0</v>
      </c>
      <c r="AE299" s="82"/>
      <c r="AF299" s="34"/>
    </row>
    <row r="300" spans="1:32" x14ac:dyDescent="0.25">
      <c r="A300" s="7" t="s">
        <v>4007</v>
      </c>
      <c r="B300" s="9">
        <v>4174751</v>
      </c>
      <c r="C300" s="70">
        <v>45483</v>
      </c>
      <c r="D300" s="70">
        <v>45483</v>
      </c>
      <c r="E300" s="73"/>
      <c r="F300" s="9"/>
      <c r="H300" s="9"/>
      <c r="I300" s="7" t="s">
        <v>4016</v>
      </c>
      <c r="J300" s="51" t="s">
        <v>18</v>
      </c>
      <c r="K300" s="7"/>
      <c r="L300" s="10">
        <v>811.09</v>
      </c>
      <c r="M300" s="10"/>
      <c r="N300" s="10"/>
      <c r="O300" s="10"/>
      <c r="P300" s="10"/>
      <c r="Q300" s="10"/>
      <c r="R300" s="10">
        <v>6759.06</v>
      </c>
      <c r="S300" s="10"/>
      <c r="T300" s="10"/>
      <c r="U300" s="10"/>
      <c r="V300" s="10"/>
      <c r="W300" s="10"/>
      <c r="X300" s="10"/>
      <c r="Y300" s="10"/>
      <c r="Z300" s="10"/>
      <c r="AA300" s="33"/>
      <c r="AB300" s="10"/>
      <c r="AC300" s="33">
        <v>7570.15</v>
      </c>
      <c r="AD300" s="10">
        <f t="shared" si="4"/>
        <v>0</v>
      </c>
      <c r="AE300" s="82"/>
      <c r="AF300" s="34"/>
    </row>
    <row r="301" spans="1:32" x14ac:dyDescent="0.25">
      <c r="A301" s="7" t="s">
        <v>4008</v>
      </c>
      <c r="B301" s="9">
        <v>4174752</v>
      </c>
      <c r="C301" s="70">
        <v>45485</v>
      </c>
      <c r="D301" s="70">
        <v>45485</v>
      </c>
      <c r="E301" s="73"/>
      <c r="F301" s="9"/>
      <c r="H301" s="9"/>
      <c r="I301" s="7" t="s">
        <v>123</v>
      </c>
      <c r="J301" s="51" t="s">
        <v>2855</v>
      </c>
      <c r="K301" s="7"/>
      <c r="L301" s="10"/>
      <c r="M301" s="10">
        <v>23000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33"/>
      <c r="AB301" s="10"/>
      <c r="AC301" s="33">
        <v>23000</v>
      </c>
      <c r="AD301" s="10">
        <f t="shared" si="4"/>
        <v>0</v>
      </c>
      <c r="AE301" s="82"/>
      <c r="AF301" s="34"/>
    </row>
    <row r="302" spans="1:32" x14ac:dyDescent="0.25">
      <c r="A302" s="7" t="s">
        <v>4009</v>
      </c>
      <c r="B302" s="9">
        <v>4174753</v>
      </c>
      <c r="C302" s="70">
        <v>45485</v>
      </c>
      <c r="D302" s="70">
        <v>45485</v>
      </c>
      <c r="E302" s="73"/>
      <c r="F302" s="9"/>
      <c r="H302" s="9"/>
      <c r="I302" s="7" t="s">
        <v>4051</v>
      </c>
      <c r="J302" s="51" t="s">
        <v>3667</v>
      </c>
      <c r="K302" s="7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33">
        <v>41440</v>
      </c>
      <c r="AB302" s="10"/>
      <c r="AC302" s="33">
        <v>41440</v>
      </c>
      <c r="AD302" s="10">
        <f t="shared" si="4"/>
        <v>0</v>
      </c>
      <c r="AE302" s="82"/>
      <c r="AF302" s="34"/>
    </row>
    <row r="303" spans="1:32" x14ac:dyDescent="0.25">
      <c r="A303" s="7" t="s">
        <v>4010</v>
      </c>
      <c r="B303" s="9">
        <v>4174754</v>
      </c>
      <c r="C303" s="70">
        <v>45485</v>
      </c>
      <c r="D303" s="70">
        <v>45485</v>
      </c>
      <c r="E303" s="73">
        <v>45490</v>
      </c>
      <c r="F303" s="9" t="s">
        <v>4175</v>
      </c>
      <c r="H303" s="9"/>
      <c r="I303" s="7" t="s">
        <v>4050</v>
      </c>
      <c r="J303" s="51" t="s">
        <v>109</v>
      </c>
      <c r="K303" s="7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33">
        <v>10000</v>
      </c>
      <c r="AB303" s="10"/>
      <c r="AC303" s="33">
        <v>10000</v>
      </c>
      <c r="AD303" s="10">
        <f t="shared" si="4"/>
        <v>0</v>
      </c>
      <c r="AE303" s="82"/>
      <c r="AF303" s="34"/>
    </row>
    <row r="304" spans="1:32" x14ac:dyDescent="0.25">
      <c r="A304" s="7" t="s">
        <v>4011</v>
      </c>
      <c r="B304" s="9">
        <v>4174755</v>
      </c>
      <c r="C304" s="70">
        <v>45485</v>
      </c>
      <c r="D304" s="70">
        <v>45485</v>
      </c>
      <c r="E304" s="73"/>
      <c r="F304" s="9"/>
      <c r="H304" s="9"/>
      <c r="I304" s="7" t="s">
        <v>118</v>
      </c>
      <c r="J304" s="51" t="s">
        <v>1847</v>
      </c>
      <c r="K304" s="7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33">
        <v>36400</v>
      </c>
      <c r="AB304" s="10"/>
      <c r="AC304" s="33">
        <v>36400</v>
      </c>
      <c r="AD304" s="10">
        <f t="shared" si="4"/>
        <v>0</v>
      </c>
      <c r="AE304" s="82"/>
      <c r="AF304" s="34"/>
    </row>
    <row r="305" spans="1:32" x14ac:dyDescent="0.25">
      <c r="A305" s="7" t="s">
        <v>4028</v>
      </c>
      <c r="B305" s="9">
        <v>4174756</v>
      </c>
      <c r="C305" s="70">
        <v>45485</v>
      </c>
      <c r="D305" s="70">
        <v>45485</v>
      </c>
      <c r="E305" s="73"/>
      <c r="F305" s="9"/>
      <c r="H305" s="9"/>
      <c r="I305" s="7" t="s">
        <v>118</v>
      </c>
      <c r="J305" s="51" t="s">
        <v>125</v>
      </c>
      <c r="K305" s="7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33">
        <v>8500</v>
      </c>
      <c r="AB305" s="10"/>
      <c r="AC305" s="33">
        <v>8500</v>
      </c>
      <c r="AD305" s="10">
        <f t="shared" si="4"/>
        <v>0</v>
      </c>
      <c r="AE305" s="82"/>
      <c r="AF305" s="34"/>
    </row>
    <row r="306" spans="1:32" x14ac:dyDescent="0.25">
      <c r="A306" s="7" t="s">
        <v>4029</v>
      </c>
      <c r="B306" s="9">
        <v>4174757</v>
      </c>
      <c r="C306" s="70">
        <v>45485</v>
      </c>
      <c r="D306" s="70">
        <v>45485</v>
      </c>
      <c r="E306" s="73"/>
      <c r="F306" s="9"/>
      <c r="H306" s="9" t="s">
        <v>4068</v>
      </c>
      <c r="I306" s="7" t="s">
        <v>1174</v>
      </c>
      <c r="J306" s="51" t="s">
        <v>3667</v>
      </c>
      <c r="K306" s="7"/>
      <c r="L306" s="10"/>
      <c r="M306" s="10"/>
      <c r="N306" s="10"/>
      <c r="O306" s="10"/>
      <c r="P306" s="10"/>
      <c r="Q306" s="10"/>
      <c r="R306" s="10"/>
      <c r="S306" s="10"/>
      <c r="T306" s="10">
        <v>10748.61</v>
      </c>
      <c r="U306" s="10"/>
      <c r="V306" s="10"/>
      <c r="W306" s="10"/>
      <c r="X306" s="10"/>
      <c r="Y306" s="10"/>
      <c r="Z306" s="10"/>
      <c r="AA306" s="33"/>
      <c r="AB306" s="10"/>
      <c r="AC306" s="33">
        <v>10748.61</v>
      </c>
      <c r="AD306" s="10">
        <f t="shared" si="4"/>
        <v>0</v>
      </c>
      <c r="AE306" s="82"/>
      <c r="AF306" s="34"/>
    </row>
    <row r="307" spans="1:32" x14ac:dyDescent="0.25">
      <c r="A307" s="7" t="s">
        <v>4030</v>
      </c>
      <c r="B307" s="9">
        <v>4174758</v>
      </c>
      <c r="C307" s="70">
        <v>45494</v>
      </c>
      <c r="D307" s="70">
        <v>45485</v>
      </c>
      <c r="E307" s="73">
        <v>45496</v>
      </c>
      <c r="F307" s="9" t="s">
        <v>4126</v>
      </c>
      <c r="G307" s="9" t="s">
        <v>3569</v>
      </c>
      <c r="H307" s="9"/>
      <c r="I307" s="7" t="s">
        <v>4046</v>
      </c>
      <c r="J307" s="51" t="s">
        <v>83</v>
      </c>
      <c r="K307" s="7" t="s">
        <v>1336</v>
      </c>
      <c r="L307" s="10">
        <v>6685.71</v>
      </c>
      <c r="M307" s="10">
        <v>55714.29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33"/>
      <c r="AB307" s="10"/>
      <c r="AC307" s="33">
        <v>62400</v>
      </c>
      <c r="AD307" s="10">
        <f t="shared" si="4"/>
        <v>0</v>
      </c>
      <c r="AE307" s="82"/>
      <c r="AF307" s="34">
        <v>557.14</v>
      </c>
    </row>
    <row r="308" spans="1:32" x14ac:dyDescent="0.25">
      <c r="A308" s="7" t="s">
        <v>4031</v>
      </c>
      <c r="B308" s="9">
        <v>4174759</v>
      </c>
      <c r="C308" s="70">
        <v>45509</v>
      </c>
      <c r="D308" s="70">
        <v>45485</v>
      </c>
      <c r="E308" s="73">
        <v>45506</v>
      </c>
      <c r="F308" s="9" t="s">
        <v>4149</v>
      </c>
      <c r="G308" s="9" t="s">
        <v>3569</v>
      </c>
      <c r="H308" s="9"/>
      <c r="I308" s="7" t="s">
        <v>4047</v>
      </c>
      <c r="J308" s="51" t="s">
        <v>83</v>
      </c>
      <c r="K308" s="7" t="s">
        <v>1336</v>
      </c>
      <c r="L308" s="10">
        <v>15600</v>
      </c>
      <c r="M308" s="10">
        <v>130000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33"/>
      <c r="AB308" s="10"/>
      <c r="AC308" s="33">
        <v>145600</v>
      </c>
      <c r="AD308" s="10">
        <f t="shared" si="4"/>
        <v>0</v>
      </c>
      <c r="AE308" s="82"/>
      <c r="AF308" s="34">
        <v>1300</v>
      </c>
    </row>
    <row r="309" spans="1:32" x14ac:dyDescent="0.25">
      <c r="A309" s="7" t="s">
        <v>4032</v>
      </c>
      <c r="B309" s="9">
        <v>4174760</v>
      </c>
      <c r="C309" s="70">
        <v>45513</v>
      </c>
      <c r="D309" s="70">
        <v>45485</v>
      </c>
      <c r="E309" s="73">
        <v>45503</v>
      </c>
      <c r="F309" s="9" t="s">
        <v>4132</v>
      </c>
      <c r="G309" s="9" t="s">
        <v>3580</v>
      </c>
      <c r="H309" s="9"/>
      <c r="I309" s="7" t="s">
        <v>4048</v>
      </c>
      <c r="J309" s="51" t="s">
        <v>3527</v>
      </c>
      <c r="K309" s="7" t="s">
        <v>3530</v>
      </c>
      <c r="L309" s="10">
        <v>2571.4299999999998</v>
      </c>
      <c r="M309" s="10">
        <v>21428.57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33"/>
      <c r="AB309" s="10"/>
      <c r="AC309" s="33">
        <v>24000</v>
      </c>
      <c r="AD309" s="10">
        <f t="shared" si="4"/>
        <v>0</v>
      </c>
      <c r="AE309" s="82"/>
      <c r="AF309" s="34">
        <v>214.29</v>
      </c>
    </row>
    <row r="310" spans="1:32" x14ac:dyDescent="0.25">
      <c r="A310" s="7" t="s">
        <v>4033</v>
      </c>
      <c r="B310" s="9">
        <v>4174761</v>
      </c>
      <c r="C310" s="70">
        <v>45529</v>
      </c>
      <c r="D310" s="70">
        <v>45485</v>
      </c>
      <c r="E310" s="73">
        <v>45506</v>
      </c>
      <c r="F310" s="9" t="s">
        <v>4148</v>
      </c>
      <c r="G310" s="9" t="s">
        <v>3581</v>
      </c>
      <c r="H310" s="9"/>
      <c r="I310" s="7" t="s">
        <v>4049</v>
      </c>
      <c r="J310" s="51" t="s">
        <v>1226</v>
      </c>
      <c r="K310" s="7" t="s">
        <v>2924</v>
      </c>
      <c r="L310" s="10">
        <v>1167.8599999999999</v>
      </c>
      <c r="M310" s="10">
        <v>9732.14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33"/>
      <c r="AB310" s="10"/>
      <c r="AC310" s="33">
        <v>10900</v>
      </c>
      <c r="AD310" s="10">
        <f t="shared" si="4"/>
        <v>0</v>
      </c>
      <c r="AE310" s="82"/>
      <c r="AF310" s="34">
        <v>97.32</v>
      </c>
    </row>
    <row r="311" spans="1:32" x14ac:dyDescent="0.25">
      <c r="A311" s="7" t="s">
        <v>4034</v>
      </c>
      <c r="B311" s="9">
        <v>4174762</v>
      </c>
      <c r="C311" s="70">
        <v>45485</v>
      </c>
      <c r="D311" s="70">
        <v>45485</v>
      </c>
      <c r="E311" s="73"/>
      <c r="F311" s="9"/>
      <c r="H311" s="9"/>
      <c r="I311" s="7" t="s">
        <v>4052</v>
      </c>
      <c r="J311" s="51" t="s">
        <v>2051</v>
      </c>
      <c r="K311" s="7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33">
        <v>3000</v>
      </c>
      <c r="AB311" s="10"/>
      <c r="AC311" s="33">
        <v>3000</v>
      </c>
      <c r="AD311" s="10">
        <f t="shared" si="4"/>
        <v>0</v>
      </c>
      <c r="AE311" s="82"/>
      <c r="AF311" s="34"/>
    </row>
    <row r="312" spans="1:32" x14ac:dyDescent="0.25">
      <c r="A312" s="7" t="s">
        <v>4035</v>
      </c>
      <c r="B312" s="9">
        <v>4174763</v>
      </c>
      <c r="C312" s="70">
        <v>45489</v>
      </c>
      <c r="D312" s="70">
        <v>45489</v>
      </c>
      <c r="E312" s="73"/>
      <c r="F312" s="9"/>
      <c r="H312" s="9"/>
      <c r="I312" s="7" t="s">
        <v>4057</v>
      </c>
      <c r="J312" s="51" t="s">
        <v>44</v>
      </c>
      <c r="K312" s="7"/>
      <c r="L312" s="10">
        <v>828.46</v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>
        <v>6903.8</v>
      </c>
      <c r="Y312" s="10"/>
      <c r="Z312" s="10"/>
      <c r="AA312" s="33"/>
      <c r="AB312" s="10"/>
      <c r="AC312" s="33">
        <v>7732.26</v>
      </c>
      <c r="AD312" s="10">
        <f t="shared" si="4"/>
        <v>0</v>
      </c>
      <c r="AE312" s="82"/>
      <c r="AF312" s="34"/>
    </row>
    <row r="313" spans="1:32" x14ac:dyDescent="0.25">
      <c r="A313" s="7" t="s">
        <v>4036</v>
      </c>
      <c r="B313" s="9">
        <v>4174764</v>
      </c>
      <c r="C313" s="70">
        <v>45519</v>
      </c>
      <c r="D313" s="70">
        <v>45489</v>
      </c>
      <c r="E313" s="73">
        <v>45503</v>
      </c>
      <c r="F313" s="9" t="s">
        <v>4133</v>
      </c>
      <c r="G313" s="9" t="s">
        <v>3595</v>
      </c>
      <c r="H313" s="9"/>
      <c r="I313" s="7" t="s">
        <v>4058</v>
      </c>
      <c r="J313" s="51" t="s">
        <v>3527</v>
      </c>
      <c r="K313" s="7" t="s">
        <v>3530</v>
      </c>
      <c r="L313" s="10">
        <v>1733.57</v>
      </c>
      <c r="M313" s="10">
        <v>14446.43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33"/>
      <c r="AB313" s="10"/>
      <c r="AC313" s="33">
        <v>16180</v>
      </c>
      <c r="AD313" s="10">
        <f t="shared" si="4"/>
        <v>0</v>
      </c>
      <c r="AE313" s="82"/>
      <c r="AF313" s="34">
        <v>144.46</v>
      </c>
    </row>
    <row r="314" spans="1:32" x14ac:dyDescent="0.25">
      <c r="A314" s="7" t="s">
        <v>4037</v>
      </c>
      <c r="B314" s="9">
        <v>4174765</v>
      </c>
      <c r="C314" s="70">
        <v>45489</v>
      </c>
      <c r="D314" s="70">
        <v>45489</v>
      </c>
      <c r="E314" s="73">
        <v>45488</v>
      </c>
      <c r="F314" s="9" t="s">
        <v>4062</v>
      </c>
      <c r="H314" s="9"/>
      <c r="I314" s="7" t="s">
        <v>4059</v>
      </c>
      <c r="J314" s="51" t="s">
        <v>4060</v>
      </c>
      <c r="K314" s="7" t="s">
        <v>4061</v>
      </c>
      <c r="L314" s="10">
        <v>483.02</v>
      </c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33">
        <v>4025.16</v>
      </c>
      <c r="AB314" s="10"/>
      <c r="AC314" s="33">
        <v>4508.18</v>
      </c>
      <c r="AD314" s="10">
        <f t="shared" si="4"/>
        <v>0</v>
      </c>
      <c r="AE314" s="82"/>
      <c r="AF314" s="34"/>
    </row>
    <row r="315" spans="1:32" x14ac:dyDescent="0.25">
      <c r="A315" s="7" t="s">
        <v>4038</v>
      </c>
      <c r="B315" s="9">
        <v>4174766</v>
      </c>
      <c r="C315" s="70">
        <v>45489</v>
      </c>
      <c r="D315" s="70">
        <v>45489</v>
      </c>
      <c r="E315" s="73"/>
      <c r="F315" s="9"/>
      <c r="H315" s="9"/>
      <c r="I315" s="7" t="s">
        <v>4013</v>
      </c>
      <c r="J315" s="51" t="s">
        <v>43</v>
      </c>
      <c r="K315" s="7"/>
      <c r="L315" s="10">
        <v>32.14</v>
      </c>
      <c r="M315" s="10"/>
      <c r="N315" s="10"/>
      <c r="O315" s="10"/>
      <c r="P315" s="10"/>
      <c r="Q315" s="10"/>
      <c r="R315" s="10"/>
      <c r="S315" s="10">
        <v>267.86</v>
      </c>
      <c r="T315" s="10"/>
      <c r="U315" s="10"/>
      <c r="V315" s="10"/>
      <c r="W315" s="10"/>
      <c r="X315" s="10"/>
      <c r="Y315" s="10"/>
      <c r="Z315" s="10"/>
      <c r="AA315" s="33"/>
      <c r="AB315" s="10"/>
      <c r="AC315" s="33">
        <v>300</v>
      </c>
      <c r="AD315" s="10">
        <f t="shared" si="4"/>
        <v>0</v>
      </c>
      <c r="AE315" s="82"/>
      <c r="AF315" s="34"/>
    </row>
    <row r="316" spans="1:32" x14ac:dyDescent="0.25">
      <c r="A316" s="7" t="s">
        <v>4039</v>
      </c>
      <c r="B316" s="9">
        <v>4174767</v>
      </c>
      <c r="C316" s="70">
        <v>45489</v>
      </c>
      <c r="D316" s="70">
        <v>45489</v>
      </c>
      <c r="E316" s="73"/>
      <c r="F316" s="9"/>
      <c r="H316" s="9"/>
      <c r="I316" s="7" t="s">
        <v>4055</v>
      </c>
      <c r="J316" s="51" t="s">
        <v>46</v>
      </c>
      <c r="K316" s="7"/>
      <c r="L316" s="10">
        <v>160.61000000000001</v>
      </c>
      <c r="M316" s="10"/>
      <c r="N316" s="10"/>
      <c r="O316" s="10"/>
      <c r="P316" s="10"/>
      <c r="Q316" s="10"/>
      <c r="R316" s="10"/>
      <c r="S316" s="10">
        <v>1338.39</v>
      </c>
      <c r="T316" s="10"/>
      <c r="U316" s="10"/>
      <c r="V316" s="10"/>
      <c r="W316" s="10"/>
      <c r="X316" s="10"/>
      <c r="Y316" s="10"/>
      <c r="Z316" s="10"/>
      <c r="AA316" s="33"/>
      <c r="AB316" s="10"/>
      <c r="AC316" s="33">
        <v>1499</v>
      </c>
      <c r="AD316" s="10">
        <f t="shared" si="4"/>
        <v>0</v>
      </c>
      <c r="AE316" s="82"/>
      <c r="AF316" s="34"/>
    </row>
    <row r="317" spans="1:32" x14ac:dyDescent="0.25">
      <c r="A317" s="7" t="s">
        <v>4040</v>
      </c>
      <c r="B317" s="9">
        <v>4174768</v>
      </c>
      <c r="C317" s="70">
        <v>45489</v>
      </c>
      <c r="D317" s="70">
        <v>45489</v>
      </c>
      <c r="E317" s="73"/>
      <c r="F317" s="9"/>
      <c r="H317" s="9"/>
      <c r="I317" s="7" t="s">
        <v>4056</v>
      </c>
      <c r="J317" s="51" t="s">
        <v>46</v>
      </c>
      <c r="K317" s="7"/>
      <c r="L317" s="10">
        <v>107.04</v>
      </c>
      <c r="M317" s="10"/>
      <c r="N317" s="10"/>
      <c r="O317" s="10"/>
      <c r="P317" s="10"/>
      <c r="Q317" s="10"/>
      <c r="R317" s="10"/>
      <c r="S317" s="10">
        <v>891.96</v>
      </c>
      <c r="T317" s="10"/>
      <c r="U317" s="10"/>
      <c r="V317" s="10"/>
      <c r="W317" s="10"/>
      <c r="X317" s="10"/>
      <c r="Y317" s="10"/>
      <c r="Z317" s="10"/>
      <c r="AA317" s="33"/>
      <c r="AB317" s="10"/>
      <c r="AC317" s="33">
        <v>999</v>
      </c>
      <c r="AD317" s="10">
        <f t="shared" si="4"/>
        <v>0</v>
      </c>
      <c r="AE317" s="82"/>
      <c r="AF317" s="34"/>
    </row>
    <row r="318" spans="1:32" x14ac:dyDescent="0.25">
      <c r="A318" s="7" t="s">
        <v>4041</v>
      </c>
      <c r="B318" s="9">
        <v>4174769</v>
      </c>
      <c r="C318" s="70">
        <v>45489</v>
      </c>
      <c r="D318" s="70">
        <v>45489</v>
      </c>
      <c r="E318" s="73"/>
      <c r="F318" s="9"/>
      <c r="H318" s="9"/>
      <c r="I318" s="7" t="s">
        <v>4055</v>
      </c>
      <c r="J318" s="51" t="s">
        <v>46</v>
      </c>
      <c r="K318" s="7"/>
      <c r="L318" s="10">
        <v>107.04</v>
      </c>
      <c r="M318" s="10"/>
      <c r="N318" s="10"/>
      <c r="O318" s="10"/>
      <c r="P318" s="10"/>
      <c r="Q318" s="10"/>
      <c r="R318" s="10"/>
      <c r="S318" s="10">
        <v>891.96</v>
      </c>
      <c r="T318" s="10"/>
      <c r="U318" s="10"/>
      <c r="V318" s="10"/>
      <c r="W318" s="10"/>
      <c r="X318" s="10"/>
      <c r="Y318" s="10"/>
      <c r="Z318" s="10"/>
      <c r="AA318" s="33"/>
      <c r="AB318" s="10"/>
      <c r="AC318" s="33">
        <v>999</v>
      </c>
      <c r="AD318" s="10">
        <f t="shared" si="4"/>
        <v>0</v>
      </c>
      <c r="AE318" s="82"/>
      <c r="AF318" s="34"/>
    </row>
    <row r="319" spans="1:32" x14ac:dyDescent="0.25">
      <c r="A319" s="7" t="s">
        <v>4042</v>
      </c>
      <c r="B319" s="9">
        <v>4174770</v>
      </c>
      <c r="C319" s="70">
        <v>45489</v>
      </c>
      <c r="D319" s="70">
        <v>45489</v>
      </c>
      <c r="E319" s="73"/>
      <c r="F319" s="9"/>
      <c r="H319" s="9"/>
      <c r="I319" s="7" t="s">
        <v>4056</v>
      </c>
      <c r="J319" s="51" t="s">
        <v>46</v>
      </c>
      <c r="K319" s="7"/>
      <c r="L319" s="10">
        <v>107.04</v>
      </c>
      <c r="M319" s="10"/>
      <c r="N319" s="10"/>
      <c r="O319" s="10"/>
      <c r="P319" s="10"/>
      <c r="Q319" s="10"/>
      <c r="R319" s="10"/>
      <c r="S319" s="10">
        <v>891.96</v>
      </c>
      <c r="T319" s="10"/>
      <c r="U319" s="10"/>
      <c r="V319" s="10"/>
      <c r="W319" s="10"/>
      <c r="X319" s="10"/>
      <c r="Y319" s="10"/>
      <c r="Z319" s="10"/>
      <c r="AA319" s="33"/>
      <c r="AB319" s="10"/>
      <c r="AC319" s="33">
        <v>999</v>
      </c>
      <c r="AD319" s="10">
        <f t="shared" si="4"/>
        <v>0</v>
      </c>
      <c r="AE319" s="82"/>
      <c r="AF319" s="34"/>
    </row>
    <row r="320" spans="1:32" x14ac:dyDescent="0.25">
      <c r="A320" s="7" t="s">
        <v>4043</v>
      </c>
      <c r="B320" s="9">
        <v>4174771</v>
      </c>
      <c r="C320" s="70">
        <v>45490</v>
      </c>
      <c r="D320" s="70">
        <v>45490</v>
      </c>
      <c r="E320" s="73">
        <v>45496</v>
      </c>
      <c r="F320" s="9" t="s">
        <v>4127</v>
      </c>
      <c r="G320" s="9" t="s">
        <v>3594</v>
      </c>
      <c r="H320" s="9"/>
      <c r="I320" s="7" t="s">
        <v>4086</v>
      </c>
      <c r="J320" s="51" t="s">
        <v>83</v>
      </c>
      <c r="K320" s="7" t="s">
        <v>1336</v>
      </c>
      <c r="L320" s="10">
        <v>96.43</v>
      </c>
      <c r="M320" s="10">
        <v>803.57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33"/>
      <c r="AB320" s="10"/>
      <c r="AC320" s="33">
        <v>900</v>
      </c>
      <c r="AD320" s="10">
        <f t="shared" si="4"/>
        <v>0</v>
      </c>
      <c r="AE320" s="82"/>
      <c r="AF320" s="34">
        <v>8.0399999999999991</v>
      </c>
    </row>
    <row r="321" spans="1:32" x14ac:dyDescent="0.25">
      <c r="A321" s="7" t="s">
        <v>4044</v>
      </c>
      <c r="B321" s="9">
        <v>4174772</v>
      </c>
      <c r="C321" s="70">
        <v>45490</v>
      </c>
      <c r="D321" s="70">
        <v>45490</v>
      </c>
      <c r="E321" s="73">
        <v>45496</v>
      </c>
      <c r="F321" s="9" t="s">
        <v>4125</v>
      </c>
      <c r="G321" s="9" t="s">
        <v>3596</v>
      </c>
      <c r="H321" s="9"/>
      <c r="I321" s="7" t="s">
        <v>4087</v>
      </c>
      <c r="J321" s="51" t="s">
        <v>83</v>
      </c>
      <c r="K321" s="7" t="s">
        <v>1336</v>
      </c>
      <c r="L321" s="10">
        <v>237.86</v>
      </c>
      <c r="M321" s="10">
        <v>1982.14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33"/>
      <c r="AB321" s="10"/>
      <c r="AC321" s="33">
        <v>2220</v>
      </c>
      <c r="AD321" s="10">
        <f t="shared" ref="AD321:AD384" si="5">SUM(AB321:AC321)-SUM(L321:AA321)</f>
        <v>0</v>
      </c>
      <c r="AE321" s="82"/>
      <c r="AF321" s="34">
        <v>20</v>
      </c>
    </row>
    <row r="322" spans="1:32" x14ac:dyDescent="0.25">
      <c r="A322" s="7" t="s">
        <v>4045</v>
      </c>
      <c r="B322" s="9">
        <v>4174773</v>
      </c>
      <c r="C322" s="70">
        <v>45497</v>
      </c>
      <c r="D322" s="70">
        <v>45490</v>
      </c>
      <c r="E322" s="73"/>
      <c r="F322" s="9"/>
      <c r="H322" s="9"/>
      <c r="I322" s="7" t="s">
        <v>123</v>
      </c>
      <c r="J322" s="51" t="s">
        <v>47</v>
      </c>
      <c r="K322" s="7"/>
      <c r="L322" s="10"/>
      <c r="M322" s="10">
        <v>23000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33"/>
      <c r="AB322" s="10"/>
      <c r="AC322" s="33">
        <v>23000</v>
      </c>
      <c r="AD322" s="10">
        <f t="shared" si="5"/>
        <v>0</v>
      </c>
      <c r="AE322" s="82"/>
      <c r="AF322" s="34"/>
    </row>
    <row r="323" spans="1:32" x14ac:dyDescent="0.25">
      <c r="A323" s="7" t="s">
        <v>4069</v>
      </c>
      <c r="B323" s="9" t="s">
        <v>4090</v>
      </c>
      <c r="C323" s="70">
        <v>45490</v>
      </c>
      <c r="D323" s="70">
        <v>45490</v>
      </c>
      <c r="E323" s="73">
        <v>45491</v>
      </c>
      <c r="F323" s="9" t="s">
        <v>4091</v>
      </c>
      <c r="G323" s="9" t="s">
        <v>3597</v>
      </c>
      <c r="H323" s="9"/>
      <c r="I323" s="7" t="s">
        <v>1988</v>
      </c>
      <c r="J323" s="51" t="s">
        <v>1999</v>
      </c>
      <c r="K323" s="7" t="s">
        <v>2297</v>
      </c>
      <c r="L323" s="10">
        <v>11517.86</v>
      </c>
      <c r="M323" s="10">
        <v>95982.14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33"/>
      <c r="AB323" s="10"/>
      <c r="AC323" s="33">
        <v>107500</v>
      </c>
      <c r="AD323" s="10">
        <f t="shared" si="5"/>
        <v>0</v>
      </c>
      <c r="AE323" s="82"/>
      <c r="AF323" s="34">
        <v>959.82</v>
      </c>
    </row>
    <row r="324" spans="1:32" x14ac:dyDescent="0.25">
      <c r="A324" s="7" t="s">
        <v>4070</v>
      </c>
      <c r="B324" s="9">
        <v>4174774</v>
      </c>
      <c r="C324" s="70">
        <v>45536</v>
      </c>
      <c r="D324" s="70">
        <v>45492</v>
      </c>
      <c r="E324" s="73">
        <v>45506</v>
      </c>
      <c r="F324" s="9" t="s">
        <v>4147</v>
      </c>
      <c r="G324" s="9" t="s">
        <v>3553</v>
      </c>
      <c r="H324" s="9"/>
      <c r="I324" s="7" t="s">
        <v>1131</v>
      </c>
      <c r="J324" s="51" t="s">
        <v>1226</v>
      </c>
      <c r="K324" s="7" t="s">
        <v>2924</v>
      </c>
      <c r="L324" s="10">
        <v>9107.14</v>
      </c>
      <c r="M324" s="10">
        <v>75892.86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33"/>
      <c r="AB324" s="10"/>
      <c r="AC324" s="33">
        <v>85000</v>
      </c>
      <c r="AD324" s="10">
        <f t="shared" si="5"/>
        <v>0</v>
      </c>
      <c r="AE324" s="82"/>
      <c r="AF324" s="34">
        <v>758.93</v>
      </c>
    </row>
    <row r="325" spans="1:32" x14ac:dyDescent="0.25">
      <c r="A325" s="7" t="s">
        <v>4071</v>
      </c>
      <c r="B325" s="9">
        <v>4174775</v>
      </c>
      <c r="C325" s="70">
        <v>45536</v>
      </c>
      <c r="D325" s="70">
        <v>45492</v>
      </c>
      <c r="E325" s="73">
        <v>45506</v>
      </c>
      <c r="F325" s="9" t="s">
        <v>4151</v>
      </c>
      <c r="G325" s="9" t="s">
        <v>3598</v>
      </c>
      <c r="H325" s="9"/>
      <c r="I325" s="7" t="s">
        <v>4120</v>
      </c>
      <c r="J325" s="51" t="s">
        <v>1226</v>
      </c>
      <c r="K325" s="7" t="s">
        <v>2924</v>
      </c>
      <c r="L325" s="10">
        <v>9107.14</v>
      </c>
      <c r="M325" s="10">
        <v>75892.86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33"/>
      <c r="AB325" s="10"/>
      <c r="AC325" s="33">
        <v>85000</v>
      </c>
      <c r="AD325" s="10">
        <f t="shared" si="5"/>
        <v>0</v>
      </c>
      <c r="AE325" s="82"/>
      <c r="AF325" s="34">
        <v>758.93</v>
      </c>
    </row>
    <row r="326" spans="1:32" x14ac:dyDescent="0.25">
      <c r="A326" s="7" t="s">
        <v>4072</v>
      </c>
      <c r="B326" s="9">
        <v>4174776</v>
      </c>
      <c r="C326" s="70">
        <v>45492</v>
      </c>
      <c r="D326" s="70">
        <v>45492</v>
      </c>
      <c r="E326" s="73"/>
      <c r="F326" s="9"/>
      <c r="H326" s="9"/>
      <c r="I326" s="7" t="s">
        <v>3979</v>
      </c>
      <c r="J326" s="51" t="s">
        <v>46</v>
      </c>
      <c r="K326" s="7"/>
      <c r="L326" s="10">
        <v>1358.89</v>
      </c>
      <c r="M326" s="10"/>
      <c r="N326" s="10"/>
      <c r="O326" s="10"/>
      <c r="P326" s="10"/>
      <c r="Q326" s="10"/>
      <c r="R326" s="10"/>
      <c r="S326" s="10">
        <v>11324.11</v>
      </c>
      <c r="T326" s="10"/>
      <c r="U326" s="10"/>
      <c r="V326" s="10"/>
      <c r="W326" s="10"/>
      <c r="X326" s="10"/>
      <c r="Y326" s="10"/>
      <c r="Z326" s="10"/>
      <c r="AA326" s="33"/>
      <c r="AB326" s="10"/>
      <c r="AC326" s="33">
        <v>12683</v>
      </c>
      <c r="AD326" s="10">
        <f t="shared" si="5"/>
        <v>0</v>
      </c>
      <c r="AE326" s="82"/>
      <c r="AF326" s="34">
        <v>226.51</v>
      </c>
    </row>
    <row r="327" spans="1:32" x14ac:dyDescent="0.25">
      <c r="A327" s="7" t="s">
        <v>4073</v>
      </c>
      <c r="B327" s="9" t="s">
        <v>4121</v>
      </c>
      <c r="C327" s="70">
        <v>45492</v>
      </c>
      <c r="D327" s="70">
        <v>45492</v>
      </c>
      <c r="E327" s="73"/>
      <c r="F327" s="9"/>
      <c r="H327" s="9"/>
      <c r="I327" s="7" t="s">
        <v>64</v>
      </c>
      <c r="J327" s="51" t="s">
        <v>1250</v>
      </c>
      <c r="K327" s="7"/>
      <c r="L327" s="10"/>
      <c r="M327" s="10"/>
      <c r="N327" s="10"/>
      <c r="O327" s="10"/>
      <c r="P327" s="10">
        <v>7000</v>
      </c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33"/>
      <c r="AB327" s="10"/>
      <c r="AC327" s="33">
        <v>7000</v>
      </c>
      <c r="AD327" s="10">
        <f t="shared" si="5"/>
        <v>0</v>
      </c>
      <c r="AE327" s="82"/>
      <c r="AF327" s="34"/>
    </row>
    <row r="328" spans="1:32" x14ac:dyDescent="0.25">
      <c r="A328" s="7" t="s">
        <v>4074</v>
      </c>
      <c r="B328" s="9" t="s">
        <v>4122</v>
      </c>
      <c r="C328" s="70">
        <v>45492</v>
      </c>
      <c r="D328" s="70">
        <v>45492</v>
      </c>
      <c r="E328" s="73"/>
      <c r="F328" s="9"/>
      <c r="H328" s="9"/>
      <c r="I328" s="7" t="s">
        <v>55</v>
      </c>
      <c r="J328" s="51" t="s">
        <v>54</v>
      </c>
      <c r="K328" s="7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>
        <v>300000</v>
      </c>
      <c r="AA328" s="33"/>
      <c r="AB328" s="10"/>
      <c r="AC328" s="33">
        <v>300000</v>
      </c>
      <c r="AD328" s="10">
        <f t="shared" si="5"/>
        <v>0</v>
      </c>
      <c r="AE328" s="82"/>
      <c r="AF328" s="34"/>
    </row>
    <row r="329" spans="1:32" x14ac:dyDescent="0.25">
      <c r="A329" s="7" t="s">
        <v>4075</v>
      </c>
      <c r="B329" s="9">
        <v>4174777</v>
      </c>
      <c r="C329" s="70">
        <v>45519</v>
      </c>
      <c r="D329" s="70">
        <v>45492</v>
      </c>
      <c r="E329" s="73"/>
      <c r="F329" s="9"/>
      <c r="H329" s="9"/>
      <c r="I329" s="7" t="s">
        <v>67</v>
      </c>
      <c r="J329" s="51" t="s">
        <v>4123</v>
      </c>
      <c r="K329" s="7"/>
      <c r="L329" s="10"/>
      <c r="M329" s="10"/>
      <c r="N329" s="10"/>
      <c r="O329" s="10">
        <v>26875</v>
      </c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33"/>
      <c r="AB329" s="10"/>
      <c r="AC329" s="33">
        <v>26875</v>
      </c>
      <c r="AD329" s="10">
        <f t="shared" si="5"/>
        <v>0</v>
      </c>
      <c r="AE329" s="82"/>
      <c r="AF329" s="34"/>
    </row>
    <row r="330" spans="1:32" x14ac:dyDescent="0.25">
      <c r="A330" s="7" t="s">
        <v>4076</v>
      </c>
      <c r="B330" s="9">
        <v>4174778</v>
      </c>
      <c r="C330" s="70">
        <v>45550</v>
      </c>
      <c r="D330" s="70">
        <v>45492</v>
      </c>
      <c r="E330" s="73"/>
      <c r="F330" s="9"/>
      <c r="H330" s="9"/>
      <c r="I330" s="7" t="s">
        <v>68</v>
      </c>
      <c r="J330" s="51" t="s">
        <v>1849</v>
      </c>
      <c r="K330" s="7"/>
      <c r="L330" s="10"/>
      <c r="M330" s="10"/>
      <c r="N330" s="10"/>
      <c r="O330" s="10">
        <v>26875</v>
      </c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33"/>
      <c r="AB330" s="10"/>
      <c r="AC330" s="33">
        <v>26875</v>
      </c>
      <c r="AD330" s="10">
        <f t="shared" si="5"/>
        <v>0</v>
      </c>
      <c r="AE330" s="82"/>
      <c r="AF330" s="34"/>
    </row>
    <row r="331" spans="1:32" x14ac:dyDescent="0.25">
      <c r="A331" s="7" t="s">
        <v>4077</v>
      </c>
      <c r="B331" s="9">
        <v>4174779</v>
      </c>
      <c r="C331" s="70">
        <v>45580</v>
      </c>
      <c r="D331" s="70">
        <v>45492</v>
      </c>
      <c r="E331" s="73"/>
      <c r="F331" s="9"/>
      <c r="H331" s="9"/>
      <c r="I331" s="7" t="s">
        <v>69</v>
      </c>
      <c r="J331" s="51" t="s">
        <v>1849</v>
      </c>
      <c r="K331" s="7"/>
      <c r="L331" s="10"/>
      <c r="M331" s="10"/>
      <c r="N331" s="10"/>
      <c r="O331" s="10">
        <v>26875</v>
      </c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33"/>
      <c r="AB331" s="10"/>
      <c r="AC331" s="33">
        <v>26875</v>
      </c>
      <c r="AD331" s="10">
        <f t="shared" si="5"/>
        <v>0</v>
      </c>
      <c r="AE331" s="82"/>
      <c r="AF331" s="34"/>
    </row>
    <row r="332" spans="1:32" x14ac:dyDescent="0.25">
      <c r="A332" s="7" t="s">
        <v>4078</v>
      </c>
      <c r="B332" s="9">
        <v>4174780</v>
      </c>
      <c r="C332" s="70">
        <v>45611</v>
      </c>
      <c r="D332" s="70">
        <v>45492</v>
      </c>
      <c r="E332" s="73"/>
      <c r="F332" s="9"/>
      <c r="H332" s="9"/>
      <c r="I332" s="7" t="s">
        <v>70</v>
      </c>
      <c r="J332" s="51" t="s">
        <v>1849</v>
      </c>
      <c r="K332" s="7"/>
      <c r="L332" s="10"/>
      <c r="M332" s="10"/>
      <c r="N332" s="10"/>
      <c r="O332" s="10">
        <v>26875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33"/>
      <c r="AB332" s="10"/>
      <c r="AC332" s="33">
        <v>26875</v>
      </c>
      <c r="AD332" s="10">
        <f t="shared" si="5"/>
        <v>0</v>
      </c>
      <c r="AE332" s="82"/>
      <c r="AF332" s="34"/>
    </row>
    <row r="333" spans="1:32" x14ac:dyDescent="0.25">
      <c r="A333" s="7" t="s">
        <v>4079</v>
      </c>
      <c r="B333" s="9">
        <v>4174781</v>
      </c>
      <c r="C333" s="70">
        <v>45641</v>
      </c>
      <c r="D333" s="70">
        <v>45492</v>
      </c>
      <c r="E333" s="73"/>
      <c r="F333" s="9"/>
      <c r="H333" s="9"/>
      <c r="I333" s="7" t="s">
        <v>71</v>
      </c>
      <c r="J333" s="51" t="s">
        <v>1849</v>
      </c>
      <c r="K333" s="7"/>
      <c r="L333" s="10"/>
      <c r="M333" s="10"/>
      <c r="N333" s="10"/>
      <c r="O333" s="10">
        <v>26875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33"/>
      <c r="AB333" s="10"/>
      <c r="AC333" s="33">
        <v>26875</v>
      </c>
      <c r="AD333" s="10">
        <f t="shared" si="5"/>
        <v>0</v>
      </c>
      <c r="AE333" s="82"/>
      <c r="AF333" s="34"/>
    </row>
    <row r="334" spans="1:32" x14ac:dyDescent="0.25">
      <c r="A334" s="7" t="s">
        <v>4080</v>
      </c>
      <c r="B334" s="9">
        <v>4174782</v>
      </c>
      <c r="C334" s="70">
        <v>45672</v>
      </c>
      <c r="D334" s="70">
        <v>45492</v>
      </c>
      <c r="E334" s="73"/>
      <c r="F334" s="9"/>
      <c r="H334" s="9"/>
      <c r="I334" s="7" t="s">
        <v>72</v>
      </c>
      <c r="J334" s="51" t="s">
        <v>1849</v>
      </c>
      <c r="K334" s="7"/>
      <c r="L334" s="10"/>
      <c r="M334" s="10"/>
      <c r="N334" s="10"/>
      <c r="O334" s="10">
        <v>26875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33"/>
      <c r="AB334" s="10"/>
      <c r="AC334" s="33">
        <v>26875</v>
      </c>
      <c r="AD334" s="10">
        <f t="shared" si="5"/>
        <v>0</v>
      </c>
      <c r="AE334" s="82"/>
      <c r="AF334" s="34"/>
    </row>
    <row r="335" spans="1:32" x14ac:dyDescent="0.25">
      <c r="A335" s="7" t="s">
        <v>4081</v>
      </c>
      <c r="B335" s="9">
        <v>4174783</v>
      </c>
      <c r="C335" s="70">
        <v>45703</v>
      </c>
      <c r="D335" s="70">
        <v>45492</v>
      </c>
      <c r="E335" s="73"/>
      <c r="F335" s="9"/>
      <c r="H335" s="9"/>
      <c r="I335" s="7" t="s">
        <v>73</v>
      </c>
      <c r="J335" s="51" t="s">
        <v>1849</v>
      </c>
      <c r="K335" s="7"/>
      <c r="L335" s="10"/>
      <c r="M335" s="10"/>
      <c r="N335" s="10"/>
      <c r="O335" s="10">
        <v>26875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33"/>
      <c r="AB335" s="10"/>
      <c r="AC335" s="33">
        <v>26875</v>
      </c>
      <c r="AD335" s="10">
        <f t="shared" si="5"/>
        <v>0</v>
      </c>
      <c r="AE335" s="82"/>
      <c r="AF335" s="34"/>
    </row>
    <row r="336" spans="1:32" x14ac:dyDescent="0.25">
      <c r="A336" s="7" t="s">
        <v>4082</v>
      </c>
      <c r="B336" s="9">
        <v>4174784</v>
      </c>
      <c r="C336" s="70">
        <v>45731</v>
      </c>
      <c r="D336" s="70">
        <v>45492</v>
      </c>
      <c r="E336" s="73"/>
      <c r="F336" s="9"/>
      <c r="H336" s="9"/>
      <c r="I336" s="7" t="s">
        <v>74</v>
      </c>
      <c r="J336" s="51" t="s">
        <v>1849</v>
      </c>
      <c r="K336" s="7"/>
      <c r="L336" s="10"/>
      <c r="M336" s="10"/>
      <c r="N336" s="10"/>
      <c r="O336" s="10">
        <v>26875</v>
      </c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33"/>
      <c r="AB336" s="10"/>
      <c r="AC336" s="33">
        <v>26875</v>
      </c>
      <c r="AD336" s="10">
        <f t="shared" si="5"/>
        <v>0</v>
      </c>
      <c r="AE336" s="82"/>
      <c r="AF336" s="34"/>
    </row>
    <row r="337" spans="1:32" x14ac:dyDescent="0.25">
      <c r="A337" s="7" t="s">
        <v>4083</v>
      </c>
      <c r="B337" s="9">
        <v>4174785</v>
      </c>
      <c r="C337" s="70">
        <v>45762</v>
      </c>
      <c r="D337" s="70">
        <v>45492</v>
      </c>
      <c r="E337" s="73"/>
      <c r="F337" s="9"/>
      <c r="H337" s="9"/>
      <c r="I337" s="7" t="s">
        <v>75</v>
      </c>
      <c r="J337" s="7" t="s">
        <v>1849</v>
      </c>
      <c r="K337" s="7"/>
      <c r="L337" s="10"/>
      <c r="M337" s="10"/>
      <c r="N337" s="10"/>
      <c r="O337" s="10">
        <v>26875</v>
      </c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33"/>
      <c r="AB337" s="10"/>
      <c r="AC337" s="33">
        <v>26875</v>
      </c>
      <c r="AD337" s="10">
        <f t="shared" si="5"/>
        <v>0</v>
      </c>
      <c r="AE337" s="82"/>
      <c r="AF337" s="34"/>
    </row>
    <row r="338" spans="1:32" x14ac:dyDescent="0.25">
      <c r="A338" s="7" t="s">
        <v>4084</v>
      </c>
      <c r="B338" s="9">
        <v>4174786</v>
      </c>
      <c r="C338" s="70">
        <v>45792</v>
      </c>
      <c r="D338" s="70">
        <v>45492</v>
      </c>
      <c r="E338" s="73"/>
      <c r="F338" s="9"/>
      <c r="H338" s="9"/>
      <c r="I338" s="7" t="s">
        <v>76</v>
      </c>
      <c r="J338" s="7" t="s">
        <v>1849</v>
      </c>
      <c r="K338" s="7"/>
      <c r="L338" s="10"/>
      <c r="M338" s="10"/>
      <c r="N338" s="10"/>
      <c r="O338" s="10">
        <v>26875</v>
      </c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33"/>
      <c r="AB338" s="10"/>
      <c r="AC338" s="33">
        <v>26875</v>
      </c>
      <c r="AD338" s="10">
        <f t="shared" si="5"/>
        <v>0</v>
      </c>
      <c r="AE338" s="82"/>
      <c r="AF338" s="34"/>
    </row>
    <row r="339" spans="1:32" x14ac:dyDescent="0.25">
      <c r="A339" s="7" t="s">
        <v>4085</v>
      </c>
      <c r="B339" s="9">
        <v>4174787</v>
      </c>
      <c r="C339" s="70">
        <v>45823</v>
      </c>
      <c r="D339" s="70">
        <v>45492</v>
      </c>
      <c r="E339" s="73"/>
      <c r="F339" s="9"/>
      <c r="H339" s="9"/>
      <c r="I339" s="7" t="s">
        <v>77</v>
      </c>
      <c r="J339" s="7" t="s">
        <v>1849</v>
      </c>
      <c r="K339" s="7"/>
      <c r="L339" s="10"/>
      <c r="M339" s="10"/>
      <c r="N339" s="10"/>
      <c r="O339" s="10">
        <v>26875</v>
      </c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33"/>
      <c r="AB339" s="10"/>
      <c r="AC339" s="33">
        <v>26875</v>
      </c>
      <c r="AD339" s="10">
        <f t="shared" si="5"/>
        <v>0</v>
      </c>
      <c r="AE339" s="82"/>
      <c r="AF339" s="34"/>
    </row>
    <row r="340" spans="1:32" x14ac:dyDescent="0.25">
      <c r="A340" s="7" t="s">
        <v>4092</v>
      </c>
      <c r="B340" s="9">
        <v>4174788</v>
      </c>
      <c r="C340" s="70">
        <v>45853</v>
      </c>
      <c r="D340" s="70">
        <v>45492</v>
      </c>
      <c r="E340" s="73"/>
      <c r="F340" s="9"/>
      <c r="H340" s="9"/>
      <c r="I340" s="7" t="s">
        <v>78</v>
      </c>
      <c r="J340" s="7" t="s">
        <v>1849</v>
      </c>
      <c r="K340" s="7"/>
      <c r="L340" s="10"/>
      <c r="M340" s="10"/>
      <c r="N340" s="10"/>
      <c r="O340" s="10">
        <v>26875</v>
      </c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33"/>
      <c r="AB340" s="10"/>
      <c r="AC340" s="33">
        <v>26875</v>
      </c>
      <c r="AD340" s="10">
        <f t="shared" si="5"/>
        <v>0</v>
      </c>
      <c r="AE340" s="82"/>
      <c r="AF340" s="34"/>
    </row>
    <row r="341" spans="1:32" x14ac:dyDescent="0.25">
      <c r="A341" s="7" t="s">
        <v>4093</v>
      </c>
      <c r="B341" s="9">
        <v>4174789</v>
      </c>
      <c r="C341" s="70">
        <v>45495</v>
      </c>
      <c r="D341" s="70">
        <v>45495</v>
      </c>
      <c r="E341" s="73"/>
      <c r="F341" s="9"/>
      <c r="H341" s="9"/>
      <c r="I341" s="7" t="s">
        <v>50</v>
      </c>
      <c r="J341" s="51" t="s">
        <v>4124</v>
      </c>
      <c r="K341" s="7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33">
        <v>80000</v>
      </c>
      <c r="AB341" s="10"/>
      <c r="AC341" s="33">
        <v>80000</v>
      </c>
      <c r="AD341" s="10">
        <f t="shared" si="5"/>
        <v>0</v>
      </c>
      <c r="AE341" s="82"/>
      <c r="AF341" s="34"/>
    </row>
    <row r="342" spans="1:32" x14ac:dyDescent="0.25">
      <c r="A342" s="7" t="s">
        <v>4094</v>
      </c>
      <c r="B342" s="9">
        <v>4174790</v>
      </c>
      <c r="C342" s="70">
        <v>45498</v>
      </c>
      <c r="D342" s="70">
        <v>45498</v>
      </c>
      <c r="E342" s="73"/>
      <c r="F342" s="9"/>
      <c r="H342" s="9" t="s">
        <v>4128</v>
      </c>
      <c r="I342" s="7" t="s">
        <v>1174</v>
      </c>
      <c r="J342" s="51" t="s">
        <v>3667</v>
      </c>
      <c r="K342" s="7"/>
      <c r="L342" s="10"/>
      <c r="M342" s="10"/>
      <c r="N342" s="10"/>
      <c r="O342" s="10"/>
      <c r="P342" s="10"/>
      <c r="Q342" s="10"/>
      <c r="R342" s="10"/>
      <c r="S342" s="10"/>
      <c r="T342" s="10">
        <v>9310</v>
      </c>
      <c r="U342" s="10"/>
      <c r="V342" s="10"/>
      <c r="W342" s="10"/>
      <c r="X342" s="10"/>
      <c r="Y342" s="10"/>
      <c r="Z342" s="10"/>
      <c r="AA342" s="33"/>
      <c r="AB342" s="10"/>
      <c r="AC342" s="33">
        <v>9310</v>
      </c>
      <c r="AD342" s="10">
        <f t="shared" si="5"/>
        <v>0</v>
      </c>
      <c r="AE342" s="82"/>
      <c r="AF342" s="34"/>
    </row>
    <row r="343" spans="1:32" x14ac:dyDescent="0.25">
      <c r="A343" s="7" t="s">
        <v>4095</v>
      </c>
      <c r="B343" s="9">
        <v>4174791</v>
      </c>
      <c r="C343" s="70">
        <v>45528</v>
      </c>
      <c r="D343" s="70">
        <v>45499</v>
      </c>
      <c r="E343" s="73">
        <v>45540</v>
      </c>
      <c r="F343" s="9" t="s">
        <v>4238</v>
      </c>
      <c r="G343" s="9" t="s">
        <v>3596</v>
      </c>
      <c r="H343" s="9"/>
      <c r="I343" s="7" t="s">
        <v>4129</v>
      </c>
      <c r="J343" s="51" t="s">
        <v>83</v>
      </c>
      <c r="K343" s="7" t="s">
        <v>1336</v>
      </c>
      <c r="L343" s="10">
        <v>4080</v>
      </c>
      <c r="M343" s="10">
        <v>34000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33"/>
      <c r="AB343" s="10"/>
      <c r="AC343" s="33">
        <v>38080</v>
      </c>
      <c r="AD343" s="10">
        <f t="shared" si="5"/>
        <v>0</v>
      </c>
      <c r="AE343" s="82"/>
      <c r="AF343" s="34">
        <v>340</v>
      </c>
    </row>
    <row r="344" spans="1:32" x14ac:dyDescent="0.25">
      <c r="A344" s="7" t="s">
        <v>4096</v>
      </c>
      <c r="B344" s="9">
        <v>4174792</v>
      </c>
      <c r="C344" s="70">
        <v>45503</v>
      </c>
      <c r="D344" s="70">
        <v>45499</v>
      </c>
      <c r="E344" s="73"/>
      <c r="F344" s="9"/>
      <c r="H344" s="9"/>
      <c r="I344" s="7" t="s">
        <v>118</v>
      </c>
      <c r="J344" s="51" t="s">
        <v>1847</v>
      </c>
      <c r="K344" s="7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33">
        <v>30800</v>
      </c>
      <c r="AB344" s="10"/>
      <c r="AC344" s="33">
        <v>30800</v>
      </c>
      <c r="AD344" s="10">
        <f t="shared" si="5"/>
        <v>0</v>
      </c>
      <c r="AE344" s="82"/>
      <c r="AF344" s="34"/>
    </row>
    <row r="345" spans="1:32" x14ac:dyDescent="0.25">
      <c r="A345" s="7" t="s">
        <v>4097</v>
      </c>
      <c r="B345" s="9">
        <v>4174793</v>
      </c>
      <c r="C345" s="70">
        <v>45502</v>
      </c>
      <c r="D345" s="70">
        <v>45499</v>
      </c>
      <c r="E345" s="73"/>
      <c r="F345" s="9"/>
      <c r="H345" s="9"/>
      <c r="I345" s="7" t="s">
        <v>118</v>
      </c>
      <c r="J345" s="51" t="s">
        <v>125</v>
      </c>
      <c r="K345" s="7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33">
        <v>29000</v>
      </c>
      <c r="AB345" s="10"/>
      <c r="AC345" s="33">
        <v>29000</v>
      </c>
      <c r="AD345" s="10">
        <f t="shared" si="5"/>
        <v>0</v>
      </c>
      <c r="AE345" s="82"/>
      <c r="AF345" s="34"/>
    </row>
    <row r="346" spans="1:32" x14ac:dyDescent="0.25">
      <c r="A346" s="7" t="s">
        <v>4098</v>
      </c>
      <c r="B346" s="9">
        <v>4174794</v>
      </c>
      <c r="C346" s="70">
        <v>45502</v>
      </c>
      <c r="D346" s="70">
        <v>45502</v>
      </c>
      <c r="E346" s="73">
        <v>45506</v>
      </c>
      <c r="F346" s="9" t="s">
        <v>4146</v>
      </c>
      <c r="H346" s="9"/>
      <c r="I346" s="7" t="s">
        <v>4134</v>
      </c>
      <c r="J346" s="51" t="s">
        <v>187</v>
      </c>
      <c r="K346" s="7"/>
      <c r="L346" s="10">
        <v>662.4</v>
      </c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33">
        <v>4968</v>
      </c>
      <c r="AB346" s="10"/>
      <c r="AC346" s="33">
        <v>5630.4</v>
      </c>
      <c r="AD346" s="10">
        <f t="shared" si="5"/>
        <v>0</v>
      </c>
      <c r="AE346" s="82"/>
      <c r="AF346" s="34"/>
    </row>
    <row r="347" spans="1:32" x14ac:dyDescent="0.25">
      <c r="A347" s="7" t="s">
        <v>4099</v>
      </c>
      <c r="B347" s="9">
        <v>4174795</v>
      </c>
      <c r="C347" s="70">
        <v>45502</v>
      </c>
      <c r="D347" s="70">
        <v>45502</v>
      </c>
      <c r="E347" s="73">
        <v>45506</v>
      </c>
      <c r="F347" s="9" t="s">
        <v>4145</v>
      </c>
      <c r="G347" s="9" t="s">
        <v>3607</v>
      </c>
      <c r="H347" s="9"/>
      <c r="I347" s="7" t="s">
        <v>4135</v>
      </c>
      <c r="J347" s="51" t="s">
        <v>83</v>
      </c>
      <c r="K347" s="7" t="s">
        <v>1336</v>
      </c>
      <c r="L347" s="10">
        <v>128.57</v>
      </c>
      <c r="M347" s="10">
        <v>1071.43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33"/>
      <c r="AB347" s="10"/>
      <c r="AC347" s="33">
        <v>1200</v>
      </c>
      <c r="AD347" s="10">
        <f t="shared" si="5"/>
        <v>0</v>
      </c>
      <c r="AE347" s="82"/>
      <c r="AF347" s="34">
        <v>10.71</v>
      </c>
    </row>
    <row r="348" spans="1:32" x14ac:dyDescent="0.25">
      <c r="A348" s="7" t="s">
        <v>4100</v>
      </c>
      <c r="B348" s="9">
        <v>4174796</v>
      </c>
      <c r="C348" s="70">
        <v>45534</v>
      </c>
      <c r="D348" s="70">
        <v>45502</v>
      </c>
      <c r="E348" s="73">
        <v>45503</v>
      </c>
      <c r="F348" s="9" t="s">
        <v>4141</v>
      </c>
      <c r="G348" s="9" t="s">
        <v>3606</v>
      </c>
      <c r="H348" s="9"/>
      <c r="I348" s="7" t="s">
        <v>1001</v>
      </c>
      <c r="J348" s="51" t="s">
        <v>2087</v>
      </c>
      <c r="K348" s="7" t="s">
        <v>2088</v>
      </c>
      <c r="L348" s="10">
        <v>11517.86</v>
      </c>
      <c r="M348" s="10">
        <v>95982.14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33"/>
      <c r="AB348" s="10"/>
      <c r="AC348" s="33">
        <v>107500</v>
      </c>
      <c r="AD348" s="10">
        <f t="shared" si="5"/>
        <v>0</v>
      </c>
      <c r="AE348" s="82"/>
      <c r="AF348" s="34">
        <v>959.82</v>
      </c>
    </row>
    <row r="349" spans="1:32" x14ac:dyDescent="0.25">
      <c r="A349" s="7" t="s">
        <v>4101</v>
      </c>
      <c r="B349" s="9">
        <v>4174797</v>
      </c>
      <c r="C349" s="70">
        <v>45503</v>
      </c>
      <c r="D349" s="70">
        <v>45503</v>
      </c>
      <c r="E349" s="73"/>
      <c r="F349" s="9"/>
      <c r="H349" s="9"/>
      <c r="I349" s="7" t="s">
        <v>4136</v>
      </c>
      <c r="J349" s="51" t="s">
        <v>4137</v>
      </c>
      <c r="K349" s="7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33">
        <v>5000</v>
      </c>
      <c r="AB349" s="10"/>
      <c r="AC349" s="33">
        <v>5000</v>
      </c>
      <c r="AD349" s="10">
        <f t="shared" si="5"/>
        <v>0</v>
      </c>
      <c r="AE349" s="82"/>
      <c r="AF349" s="34"/>
    </row>
    <row r="350" spans="1:32" x14ac:dyDescent="0.25">
      <c r="A350" s="7" t="s">
        <v>4102</v>
      </c>
      <c r="B350" s="9">
        <v>4174798</v>
      </c>
      <c r="C350" s="70">
        <v>45503</v>
      </c>
      <c r="D350" s="70">
        <v>45503</v>
      </c>
      <c r="E350" s="73"/>
      <c r="F350" s="9"/>
      <c r="H350" s="9" t="s">
        <v>4152</v>
      </c>
      <c r="I350" s="7" t="s">
        <v>2588</v>
      </c>
      <c r="J350" s="51" t="s">
        <v>65</v>
      </c>
      <c r="K350" s="7"/>
      <c r="L350" s="10"/>
      <c r="M350" s="10"/>
      <c r="N350" s="10"/>
      <c r="O350" s="10"/>
      <c r="P350" s="10"/>
      <c r="Q350" s="10"/>
      <c r="R350" s="10"/>
      <c r="S350" s="10"/>
      <c r="T350" s="10">
        <v>9847.25</v>
      </c>
      <c r="U350" s="10"/>
      <c r="V350" s="10"/>
      <c r="W350" s="10"/>
      <c r="X350" s="10"/>
      <c r="Y350" s="10"/>
      <c r="Z350" s="10"/>
      <c r="AA350" s="33"/>
      <c r="AB350" s="10"/>
      <c r="AC350" s="33">
        <v>9847.25</v>
      </c>
      <c r="AD350" s="10">
        <f t="shared" si="5"/>
        <v>0</v>
      </c>
      <c r="AE350" s="82"/>
      <c r="AF350" s="34"/>
    </row>
    <row r="351" spans="1:32" x14ac:dyDescent="0.25">
      <c r="A351" s="7" t="s">
        <v>4103</v>
      </c>
      <c r="B351" s="9" t="s">
        <v>4142</v>
      </c>
      <c r="C351" s="70">
        <v>45503</v>
      </c>
      <c r="D351" s="70">
        <v>45503</v>
      </c>
      <c r="E351" s="73">
        <v>45504</v>
      </c>
      <c r="F351" s="9" t="s">
        <v>4144</v>
      </c>
      <c r="G351" s="9" t="s">
        <v>3608</v>
      </c>
      <c r="H351" s="9"/>
      <c r="I351" s="7" t="s">
        <v>4143</v>
      </c>
      <c r="J351" s="51" t="s">
        <v>1999</v>
      </c>
      <c r="K351" s="7" t="s">
        <v>2271</v>
      </c>
      <c r="L351" s="10">
        <v>2839.29</v>
      </c>
      <c r="M351" s="10">
        <v>23660.71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33"/>
      <c r="AB351" s="10"/>
      <c r="AC351" s="33">
        <v>26500</v>
      </c>
      <c r="AD351" s="10">
        <f t="shared" si="5"/>
        <v>0</v>
      </c>
      <c r="AE351" s="82"/>
      <c r="AF351" s="34">
        <v>236.61</v>
      </c>
    </row>
    <row r="352" spans="1:32" x14ac:dyDescent="0.25">
      <c r="A352" s="7" t="s">
        <v>4104</v>
      </c>
      <c r="B352" s="9" t="s">
        <v>4138</v>
      </c>
      <c r="C352" s="70">
        <v>45503</v>
      </c>
      <c r="D352" s="70">
        <v>45503</v>
      </c>
      <c r="E352" s="73">
        <v>45504</v>
      </c>
      <c r="F352" s="9" t="s">
        <v>4176</v>
      </c>
      <c r="H352" s="9"/>
      <c r="I352" s="7" t="s">
        <v>63</v>
      </c>
      <c r="J352" s="51" t="s">
        <v>109</v>
      </c>
      <c r="K352" s="7"/>
      <c r="L352" s="10"/>
      <c r="M352" s="10"/>
      <c r="N352" s="10">
        <v>60900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33"/>
      <c r="AB352" s="10"/>
      <c r="AC352" s="33">
        <v>60900</v>
      </c>
      <c r="AD352" s="10">
        <f t="shared" si="5"/>
        <v>0</v>
      </c>
      <c r="AE352" s="82"/>
      <c r="AF352" s="34"/>
    </row>
    <row r="353" spans="1:32" x14ac:dyDescent="0.25">
      <c r="A353" s="7" t="s">
        <v>4105</v>
      </c>
      <c r="B353" s="9">
        <v>4174799</v>
      </c>
      <c r="C353" s="70">
        <v>45537</v>
      </c>
      <c r="D353" s="70">
        <v>45504</v>
      </c>
      <c r="E353" s="73">
        <v>45506</v>
      </c>
      <c r="F353" s="9" t="s">
        <v>4150</v>
      </c>
      <c r="G353" s="9" t="s">
        <v>3553</v>
      </c>
      <c r="H353" s="9"/>
      <c r="I353" s="7" t="s">
        <v>1131</v>
      </c>
      <c r="J353" s="51" t="s">
        <v>1226</v>
      </c>
      <c r="K353" s="7" t="s">
        <v>2924</v>
      </c>
      <c r="L353" s="10">
        <v>9107.14</v>
      </c>
      <c r="M353" s="10">
        <v>75892.86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33"/>
      <c r="AB353" s="10"/>
      <c r="AC353" s="33">
        <v>85000</v>
      </c>
      <c r="AD353" s="10">
        <f t="shared" si="5"/>
        <v>0</v>
      </c>
      <c r="AE353" s="82"/>
      <c r="AF353" s="34">
        <v>758.93</v>
      </c>
    </row>
    <row r="354" spans="1:32" s="39" customFormat="1" x14ac:dyDescent="0.25">
      <c r="A354" s="20"/>
      <c r="B354" s="19"/>
      <c r="C354" s="72"/>
      <c r="D354" s="72"/>
      <c r="E354" s="77"/>
      <c r="F354" s="19"/>
      <c r="G354" s="19"/>
      <c r="H354" s="19"/>
      <c r="I354" s="20"/>
      <c r="J354" s="20"/>
      <c r="K354" s="20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32"/>
      <c r="AB354" s="22"/>
      <c r="AC354" s="32"/>
      <c r="AD354" s="22"/>
      <c r="AE354" s="96"/>
      <c r="AF354" s="35"/>
    </row>
    <row r="355" spans="1:32" s="39" customFormat="1" x14ac:dyDescent="0.25">
      <c r="A355" s="25">
        <v>45505</v>
      </c>
      <c r="B355" s="19"/>
      <c r="C355" s="72"/>
      <c r="D355" s="72"/>
      <c r="E355" s="77"/>
      <c r="F355" s="19"/>
      <c r="G355" s="19"/>
      <c r="H355" s="19"/>
      <c r="I355" s="20"/>
      <c r="J355" s="20"/>
      <c r="K355" s="20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32"/>
      <c r="AB355" s="22"/>
      <c r="AC355" s="32"/>
      <c r="AD355" s="22"/>
      <c r="AE355" s="96"/>
      <c r="AF355" s="35"/>
    </row>
    <row r="356" spans="1:32" x14ac:dyDescent="0.25">
      <c r="A356" s="7" t="s">
        <v>4106</v>
      </c>
      <c r="B356" s="9">
        <v>4174800</v>
      </c>
      <c r="C356" s="70">
        <v>45549</v>
      </c>
      <c r="D356" s="70">
        <v>45505</v>
      </c>
      <c r="E356" s="73">
        <v>45534</v>
      </c>
      <c r="F356" s="9" t="s">
        <v>4230</v>
      </c>
      <c r="G356" s="9" t="s">
        <v>3489</v>
      </c>
      <c r="H356" s="9"/>
      <c r="I356" s="20"/>
      <c r="J356" s="51" t="s">
        <v>1226</v>
      </c>
      <c r="K356" s="7" t="s">
        <v>2924</v>
      </c>
      <c r="L356" s="10">
        <v>750</v>
      </c>
      <c r="M356" s="10">
        <v>6250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33"/>
      <c r="AB356" s="10"/>
      <c r="AC356" s="33">
        <v>7000</v>
      </c>
      <c r="AD356" s="10">
        <f t="shared" si="5"/>
        <v>0</v>
      </c>
      <c r="AE356" s="82"/>
      <c r="AF356" s="34">
        <v>62.5</v>
      </c>
    </row>
    <row r="357" spans="1:32" x14ac:dyDescent="0.25">
      <c r="A357" s="7" t="s">
        <v>4107</v>
      </c>
      <c r="B357" s="9">
        <v>4174801</v>
      </c>
      <c r="C357" s="70">
        <v>45534</v>
      </c>
      <c r="D357" s="70">
        <v>45505</v>
      </c>
      <c r="E357" s="73">
        <v>45513</v>
      </c>
      <c r="F357" s="9" t="s">
        <v>4159</v>
      </c>
      <c r="G357" s="9" t="s">
        <v>3600</v>
      </c>
      <c r="H357" s="9"/>
      <c r="I357" s="7" t="s">
        <v>4017</v>
      </c>
      <c r="J357" s="51" t="s">
        <v>2043</v>
      </c>
      <c r="K357" s="7" t="s">
        <v>3645</v>
      </c>
      <c r="L357" s="10">
        <v>2437.5</v>
      </c>
      <c r="M357" s="10">
        <v>20312.5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33"/>
      <c r="AB357" s="10"/>
      <c r="AC357" s="33">
        <v>22750</v>
      </c>
      <c r="AD357" s="10">
        <f t="shared" si="5"/>
        <v>0</v>
      </c>
      <c r="AE357" s="82"/>
      <c r="AF357" s="34">
        <v>203.13</v>
      </c>
    </row>
    <row r="358" spans="1:32" x14ac:dyDescent="0.25">
      <c r="A358" s="7" t="s">
        <v>4108</v>
      </c>
      <c r="B358" s="9">
        <v>4174802</v>
      </c>
      <c r="C358" s="70">
        <v>45537</v>
      </c>
      <c r="D358" s="70">
        <v>45505</v>
      </c>
      <c r="E358" s="73">
        <v>45533</v>
      </c>
      <c r="F358" s="9" t="s">
        <v>4228</v>
      </c>
      <c r="G358" s="9" t="s">
        <v>3579</v>
      </c>
      <c r="H358" s="9"/>
      <c r="I358" s="7" t="s">
        <v>1690</v>
      </c>
      <c r="J358" s="51" t="s">
        <v>3527</v>
      </c>
      <c r="K358" s="7" t="s">
        <v>3530</v>
      </c>
      <c r="L358" s="10">
        <v>7023.21</v>
      </c>
      <c r="M358" s="10">
        <v>58526.79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33"/>
      <c r="AB358" s="10"/>
      <c r="AC358" s="33">
        <v>65550</v>
      </c>
      <c r="AD358" s="10">
        <f t="shared" si="5"/>
        <v>0</v>
      </c>
      <c r="AE358" s="82"/>
      <c r="AF358" s="34">
        <v>585.27</v>
      </c>
    </row>
    <row r="359" spans="1:32" x14ac:dyDescent="0.25">
      <c r="A359" s="7" t="s">
        <v>4109</v>
      </c>
      <c r="B359" s="9">
        <v>4174803</v>
      </c>
      <c r="C359" s="70">
        <v>45509</v>
      </c>
      <c r="D359" s="70">
        <v>45505</v>
      </c>
      <c r="E359" s="73"/>
      <c r="F359" s="9"/>
      <c r="H359" s="9"/>
      <c r="I359" s="7" t="s">
        <v>4153</v>
      </c>
      <c r="J359" s="51" t="s">
        <v>3667</v>
      </c>
      <c r="K359" s="7"/>
      <c r="L359" s="10"/>
      <c r="M359" s="10">
        <v>20720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33"/>
      <c r="AB359" s="10"/>
      <c r="AC359" s="33">
        <v>20720</v>
      </c>
      <c r="AD359" s="10">
        <f t="shared" si="5"/>
        <v>0</v>
      </c>
      <c r="AE359" s="82"/>
      <c r="AF359" s="34"/>
    </row>
    <row r="360" spans="1:32" x14ac:dyDescent="0.25">
      <c r="A360" s="7" t="s">
        <v>4110</v>
      </c>
      <c r="B360" s="9">
        <v>4174804</v>
      </c>
      <c r="C360" s="70">
        <v>45509</v>
      </c>
      <c r="D360" s="70">
        <v>45509</v>
      </c>
      <c r="E360" s="73"/>
      <c r="F360" s="9"/>
      <c r="H360" s="9" t="s">
        <v>4154</v>
      </c>
      <c r="I360" s="7" t="s">
        <v>1174</v>
      </c>
      <c r="J360" s="51" t="s">
        <v>3667</v>
      </c>
      <c r="K360" s="7"/>
      <c r="L360" s="10"/>
      <c r="M360" s="10"/>
      <c r="N360" s="10"/>
      <c r="O360" s="10"/>
      <c r="P360" s="10"/>
      <c r="Q360" s="10"/>
      <c r="R360" s="10"/>
      <c r="S360" s="10"/>
      <c r="T360" s="10">
        <v>12475.03</v>
      </c>
      <c r="U360" s="10"/>
      <c r="V360" s="10"/>
      <c r="W360" s="10"/>
      <c r="X360" s="10"/>
      <c r="Y360" s="10"/>
      <c r="Z360" s="10"/>
      <c r="AA360" s="33"/>
      <c r="AB360" s="10"/>
      <c r="AC360" s="33">
        <v>12475.03</v>
      </c>
      <c r="AD360" s="10">
        <f t="shared" si="5"/>
        <v>0</v>
      </c>
      <c r="AE360" s="82"/>
      <c r="AF360" s="34"/>
    </row>
    <row r="361" spans="1:32" x14ac:dyDescent="0.25">
      <c r="A361" s="7" t="s">
        <v>4111</v>
      </c>
      <c r="B361" s="9" t="s">
        <v>4155</v>
      </c>
      <c r="C361" s="70">
        <v>45510</v>
      </c>
      <c r="D361" s="70">
        <v>45510</v>
      </c>
      <c r="E361" s="73">
        <v>45510</v>
      </c>
      <c r="F361" s="9" t="s">
        <v>4156</v>
      </c>
      <c r="H361" s="9" t="s">
        <v>4158</v>
      </c>
      <c r="I361" s="7" t="s">
        <v>135</v>
      </c>
      <c r="J361" s="51" t="s">
        <v>3590</v>
      </c>
      <c r="K361" s="7" t="s">
        <v>3604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33">
        <v>11000</v>
      </c>
      <c r="AB361" s="10"/>
      <c r="AC361" s="33">
        <v>9984.43</v>
      </c>
      <c r="AD361" s="10">
        <f t="shared" si="5"/>
        <v>-1015.5699999999997</v>
      </c>
      <c r="AE361" s="82" t="s">
        <v>4157</v>
      </c>
      <c r="AF361" s="34"/>
    </row>
    <row r="362" spans="1:32" x14ac:dyDescent="0.25">
      <c r="A362" s="7" t="s">
        <v>4112</v>
      </c>
      <c r="B362" s="9">
        <v>4174805</v>
      </c>
      <c r="C362" s="70">
        <v>45510</v>
      </c>
      <c r="D362" s="70">
        <v>45510</v>
      </c>
      <c r="E362" s="73"/>
      <c r="F362" s="9"/>
      <c r="H362" s="9"/>
      <c r="I362" s="7" t="s">
        <v>118</v>
      </c>
      <c r="J362" s="51" t="s">
        <v>125</v>
      </c>
      <c r="K362" s="7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33">
        <v>25000</v>
      </c>
      <c r="AB362" s="10"/>
      <c r="AC362" s="33">
        <v>25000</v>
      </c>
      <c r="AD362" s="10">
        <f t="shared" si="5"/>
        <v>0</v>
      </c>
      <c r="AE362" s="82"/>
      <c r="AF362" s="34"/>
    </row>
    <row r="363" spans="1:32" x14ac:dyDescent="0.25">
      <c r="A363" s="7" t="s">
        <v>4113</v>
      </c>
      <c r="B363" s="9">
        <v>4174806</v>
      </c>
      <c r="C363" s="70">
        <v>45513</v>
      </c>
      <c r="D363" s="70">
        <v>45513</v>
      </c>
      <c r="E363" s="73"/>
      <c r="F363" s="9"/>
      <c r="H363" s="9"/>
      <c r="I363" s="7" t="s">
        <v>4169</v>
      </c>
      <c r="J363" s="51" t="s">
        <v>18</v>
      </c>
      <c r="K363" s="7"/>
      <c r="L363" s="10">
        <v>151.09</v>
      </c>
      <c r="M363" s="10"/>
      <c r="N363" s="10"/>
      <c r="O363" s="10"/>
      <c r="P363" s="10"/>
      <c r="Q363" s="10"/>
      <c r="R363" s="10">
        <v>1259.06</v>
      </c>
      <c r="S363" s="10"/>
      <c r="T363" s="10"/>
      <c r="U363" s="10"/>
      <c r="V363" s="10"/>
      <c r="W363" s="10"/>
      <c r="X363" s="10"/>
      <c r="Y363" s="10"/>
      <c r="Z363" s="10"/>
      <c r="AA363" s="33"/>
      <c r="AB363" s="10"/>
      <c r="AC363" s="33">
        <v>1410.15</v>
      </c>
      <c r="AD363" s="10">
        <f t="shared" si="5"/>
        <v>0</v>
      </c>
      <c r="AE363" s="82"/>
      <c r="AF363" s="34"/>
    </row>
    <row r="364" spans="1:32" x14ac:dyDescent="0.25">
      <c r="A364" s="7" t="s">
        <v>4114</v>
      </c>
      <c r="B364" s="9">
        <v>4174807</v>
      </c>
      <c r="C364" s="70">
        <v>45513</v>
      </c>
      <c r="D364" s="70">
        <v>45513</v>
      </c>
      <c r="E364" s="73"/>
      <c r="F364" s="9"/>
      <c r="H364" s="9"/>
      <c r="I364" s="7" t="s">
        <v>4169</v>
      </c>
      <c r="J364" s="51" t="s">
        <v>18</v>
      </c>
      <c r="K364" s="7"/>
      <c r="L364" s="10">
        <v>811.09</v>
      </c>
      <c r="M364" s="10"/>
      <c r="N364" s="10"/>
      <c r="O364" s="10"/>
      <c r="P364" s="10"/>
      <c r="Q364" s="10"/>
      <c r="R364" s="10">
        <v>6759.06</v>
      </c>
      <c r="S364" s="10"/>
      <c r="T364" s="10"/>
      <c r="U364" s="10"/>
      <c r="V364" s="10"/>
      <c r="W364" s="10"/>
      <c r="X364" s="10"/>
      <c r="Y364" s="10"/>
      <c r="Z364" s="10"/>
      <c r="AA364" s="33"/>
      <c r="AB364" s="10"/>
      <c r="AC364" s="33">
        <v>7570.15</v>
      </c>
      <c r="AD364" s="10">
        <f t="shared" si="5"/>
        <v>0</v>
      </c>
      <c r="AE364" s="82"/>
      <c r="AF364" s="34"/>
    </row>
    <row r="365" spans="1:32" x14ac:dyDescent="0.25">
      <c r="A365" s="7" t="s">
        <v>4115</v>
      </c>
      <c r="B365" s="9">
        <v>4174808</v>
      </c>
      <c r="C365" s="70">
        <v>45513</v>
      </c>
      <c r="D365" s="70">
        <v>45513</v>
      </c>
      <c r="E365" s="73">
        <v>45533</v>
      </c>
      <c r="F365" s="9" t="s">
        <v>4226</v>
      </c>
      <c r="G365" s="9" t="s">
        <v>3609</v>
      </c>
      <c r="H365" s="9"/>
      <c r="I365" s="7" t="s">
        <v>4170</v>
      </c>
      <c r="J365" s="51" t="s">
        <v>3527</v>
      </c>
      <c r="K365" s="7" t="s">
        <v>3530</v>
      </c>
      <c r="L365" s="10">
        <v>57.86</v>
      </c>
      <c r="M365" s="10">
        <v>482.14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33"/>
      <c r="AB365" s="10"/>
      <c r="AC365" s="33">
        <v>540</v>
      </c>
      <c r="AD365" s="10">
        <f t="shared" si="5"/>
        <v>0</v>
      </c>
      <c r="AE365" s="82"/>
      <c r="AF365" s="34"/>
    </row>
    <row r="366" spans="1:32" x14ac:dyDescent="0.25">
      <c r="A366" s="7" t="s">
        <v>4116</v>
      </c>
      <c r="B366" s="9">
        <v>4174809</v>
      </c>
      <c r="C366" s="70">
        <v>45544</v>
      </c>
      <c r="D366" s="70">
        <v>45513</v>
      </c>
      <c r="E366" s="73">
        <v>45533</v>
      </c>
      <c r="F366" s="9" t="s">
        <v>4227</v>
      </c>
      <c r="G366" s="9" t="s">
        <v>3615</v>
      </c>
      <c r="H366" s="9"/>
      <c r="I366" s="7" t="s">
        <v>4171</v>
      </c>
      <c r="J366" s="51" t="s">
        <v>3527</v>
      </c>
      <c r="K366" s="7" t="s">
        <v>3530</v>
      </c>
      <c r="L366" s="10">
        <v>723.21</v>
      </c>
      <c r="M366" s="10">
        <v>6026.79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33"/>
      <c r="AB366" s="10"/>
      <c r="AC366" s="33">
        <v>6750</v>
      </c>
      <c r="AD366" s="10">
        <f t="shared" si="5"/>
        <v>0</v>
      </c>
      <c r="AE366" s="82"/>
      <c r="AF366" s="34">
        <v>60.27</v>
      </c>
    </row>
    <row r="367" spans="1:32" x14ac:dyDescent="0.25">
      <c r="A367" s="7" t="s">
        <v>4117</v>
      </c>
      <c r="B367" s="9">
        <v>4174810</v>
      </c>
      <c r="C367" s="70">
        <v>45517</v>
      </c>
      <c r="D367" s="70">
        <v>45513</v>
      </c>
      <c r="E367" s="73"/>
      <c r="F367" s="9"/>
      <c r="H367" s="9"/>
      <c r="I367" s="7" t="s">
        <v>4057</v>
      </c>
      <c r="J367" s="51" t="s">
        <v>44</v>
      </c>
      <c r="K367" s="7"/>
      <c r="L367" s="10">
        <v>910.16</v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>
        <v>7584.64</v>
      </c>
      <c r="Y367" s="10"/>
      <c r="Z367" s="10"/>
      <c r="AA367" s="33"/>
      <c r="AB367" s="10"/>
      <c r="AC367" s="33">
        <v>8494.7999999999993</v>
      </c>
      <c r="AD367" s="10">
        <f t="shared" si="5"/>
        <v>0</v>
      </c>
      <c r="AE367" s="82"/>
      <c r="AF367" s="34"/>
    </row>
    <row r="368" spans="1:32" x14ac:dyDescent="0.25">
      <c r="A368" s="7" t="s">
        <v>4118</v>
      </c>
      <c r="B368" s="9">
        <v>4174811</v>
      </c>
      <c r="C368" s="70">
        <v>45516</v>
      </c>
      <c r="D368" s="70">
        <v>45516</v>
      </c>
      <c r="E368" s="73"/>
      <c r="F368" s="9"/>
      <c r="H368" s="9"/>
      <c r="I368" s="7" t="s">
        <v>118</v>
      </c>
      <c r="J368" s="51" t="s">
        <v>1847</v>
      </c>
      <c r="K368" s="7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33">
        <v>30800</v>
      </c>
      <c r="AB368" s="10"/>
      <c r="AC368" s="33">
        <v>30800</v>
      </c>
      <c r="AD368" s="10">
        <f t="shared" si="5"/>
        <v>0</v>
      </c>
      <c r="AE368" s="82"/>
      <c r="AF368" s="34"/>
    </row>
    <row r="369" spans="1:32" x14ac:dyDescent="0.25">
      <c r="A369" s="7" t="s">
        <v>4119</v>
      </c>
      <c r="B369" s="9" t="s">
        <v>4172</v>
      </c>
      <c r="C369" s="70">
        <v>45516</v>
      </c>
      <c r="D369" s="70">
        <v>45516</v>
      </c>
      <c r="E369" s="73"/>
      <c r="F369" s="9"/>
      <c r="H369" s="9"/>
      <c r="I369" s="7" t="s">
        <v>55</v>
      </c>
      <c r="J369" s="51" t="s">
        <v>54</v>
      </c>
      <c r="K369" s="7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>
        <v>400000</v>
      </c>
      <c r="AA369" s="33"/>
      <c r="AB369" s="10"/>
      <c r="AC369" s="33">
        <v>400000</v>
      </c>
      <c r="AD369" s="10">
        <f t="shared" si="5"/>
        <v>0</v>
      </c>
      <c r="AE369" s="82"/>
      <c r="AF369" s="34"/>
    </row>
    <row r="370" spans="1:32" x14ac:dyDescent="0.25">
      <c r="A370" s="7" t="s">
        <v>4160</v>
      </c>
      <c r="B370" s="9">
        <v>4174812</v>
      </c>
      <c r="C370" s="70"/>
      <c r="D370" s="70"/>
      <c r="E370" s="73"/>
      <c r="F370" s="9"/>
      <c r="H370" s="9"/>
      <c r="I370" s="7" t="s">
        <v>48</v>
      </c>
      <c r="J370" s="7"/>
      <c r="K370" s="7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33"/>
      <c r="AB370" s="10"/>
      <c r="AC370" s="33"/>
      <c r="AD370" s="10">
        <f t="shared" si="5"/>
        <v>0</v>
      </c>
      <c r="AE370" s="82"/>
      <c r="AF370" s="34"/>
    </row>
    <row r="371" spans="1:32" x14ac:dyDescent="0.25">
      <c r="A371" s="7" t="s">
        <v>4161</v>
      </c>
      <c r="B371" s="9">
        <v>4174813</v>
      </c>
      <c r="C371" s="70">
        <v>45516</v>
      </c>
      <c r="D371" s="70">
        <v>45516</v>
      </c>
      <c r="E371" s="73"/>
      <c r="F371" s="9"/>
      <c r="H371" s="9"/>
      <c r="I371" s="7" t="s">
        <v>371</v>
      </c>
      <c r="J371" s="51" t="s">
        <v>4173</v>
      </c>
      <c r="K371" s="7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33">
        <v>15000</v>
      </c>
      <c r="AB371" s="10"/>
      <c r="AC371" s="33">
        <v>15000</v>
      </c>
      <c r="AD371" s="10">
        <f t="shared" si="5"/>
        <v>0</v>
      </c>
      <c r="AE371" s="82"/>
      <c r="AF371" s="34"/>
    </row>
    <row r="372" spans="1:32" x14ac:dyDescent="0.25">
      <c r="A372" s="7" t="s">
        <v>4162</v>
      </c>
      <c r="B372" s="9">
        <v>4174814</v>
      </c>
      <c r="C372" s="70">
        <v>45517</v>
      </c>
      <c r="D372" s="70">
        <v>45517</v>
      </c>
      <c r="E372" s="73"/>
      <c r="F372" s="9"/>
      <c r="H372" s="9" t="s">
        <v>4283</v>
      </c>
      <c r="I372" s="7" t="s">
        <v>1174</v>
      </c>
      <c r="J372" s="51" t="s">
        <v>3667</v>
      </c>
      <c r="K372" s="7"/>
      <c r="L372" s="10"/>
      <c r="M372" s="10"/>
      <c r="N372" s="10"/>
      <c r="O372" s="10"/>
      <c r="P372" s="10"/>
      <c r="Q372" s="10"/>
      <c r="R372" s="10"/>
      <c r="S372" s="10"/>
      <c r="T372" s="10">
        <v>5256</v>
      </c>
      <c r="U372" s="10"/>
      <c r="V372" s="10"/>
      <c r="W372" s="10"/>
      <c r="X372" s="10"/>
      <c r="Y372" s="10"/>
      <c r="Z372" s="10"/>
      <c r="AA372" s="33"/>
      <c r="AB372" s="10"/>
      <c r="AC372" s="33">
        <v>5256</v>
      </c>
      <c r="AD372" s="10">
        <f t="shared" si="5"/>
        <v>0</v>
      </c>
      <c r="AE372" s="82"/>
      <c r="AF372" s="34"/>
    </row>
    <row r="373" spans="1:32" x14ac:dyDescent="0.25">
      <c r="A373" s="7" t="s">
        <v>4163</v>
      </c>
      <c r="B373" s="9">
        <v>4174815</v>
      </c>
      <c r="C373" s="70">
        <v>45548</v>
      </c>
      <c r="D373" s="70">
        <v>45517</v>
      </c>
      <c r="E373" s="73">
        <v>45538</v>
      </c>
      <c r="F373" s="9" t="s">
        <v>4242</v>
      </c>
      <c r="G373" s="9" t="s">
        <v>3633</v>
      </c>
      <c r="H373" s="9"/>
      <c r="I373" s="7" t="s">
        <v>4174</v>
      </c>
      <c r="J373" s="51" t="s">
        <v>2687</v>
      </c>
      <c r="K373" s="7" t="s">
        <v>2688</v>
      </c>
      <c r="L373" s="10">
        <v>1007.15</v>
      </c>
      <c r="M373" s="10">
        <v>8392.85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33"/>
      <c r="AB373" s="10"/>
      <c r="AC373" s="33">
        <v>9400</v>
      </c>
      <c r="AD373" s="10">
        <f t="shared" si="5"/>
        <v>0</v>
      </c>
      <c r="AE373" s="82"/>
      <c r="AF373" s="34"/>
    </row>
    <row r="374" spans="1:32" x14ac:dyDescent="0.25">
      <c r="A374" s="7" t="s">
        <v>4164</v>
      </c>
      <c r="B374" s="9">
        <v>4174817</v>
      </c>
      <c r="C374" s="70">
        <v>45517</v>
      </c>
      <c r="D374" s="70">
        <v>45517</v>
      </c>
      <c r="E374" s="73"/>
      <c r="F374" s="9"/>
      <c r="H374" s="9"/>
      <c r="I374" s="7" t="s">
        <v>4182</v>
      </c>
      <c r="J374" s="51" t="s">
        <v>3667</v>
      </c>
      <c r="K374" s="7"/>
      <c r="L374" s="10"/>
      <c r="M374" s="10">
        <v>44476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33"/>
      <c r="AB374" s="10"/>
      <c r="AC374" s="33">
        <v>44476</v>
      </c>
      <c r="AD374" s="10">
        <f t="shared" si="5"/>
        <v>0</v>
      </c>
      <c r="AE374" s="82"/>
      <c r="AF374" s="34"/>
    </row>
    <row r="375" spans="1:32" x14ac:dyDescent="0.25">
      <c r="A375" s="7" t="s">
        <v>4165</v>
      </c>
      <c r="B375" s="9">
        <v>4174818</v>
      </c>
      <c r="C375" s="70">
        <v>45519</v>
      </c>
      <c r="D375" s="70">
        <v>45519</v>
      </c>
      <c r="E375" s="73"/>
      <c r="F375" s="9"/>
      <c r="H375" s="9"/>
      <c r="I375" s="7" t="s">
        <v>4183</v>
      </c>
      <c r="J375" s="51" t="s">
        <v>46</v>
      </c>
      <c r="K375" s="7"/>
      <c r="L375" s="10">
        <v>162.75</v>
      </c>
      <c r="M375" s="10"/>
      <c r="N375" s="10"/>
      <c r="O375" s="10"/>
      <c r="P375" s="10"/>
      <c r="Q375" s="10"/>
      <c r="R375" s="10"/>
      <c r="S375" s="10">
        <v>1356.25</v>
      </c>
      <c r="T375" s="10"/>
      <c r="U375" s="10"/>
      <c r="V375" s="10"/>
      <c r="W375" s="10"/>
      <c r="X375" s="10"/>
      <c r="Y375" s="10"/>
      <c r="Z375" s="10"/>
      <c r="AA375" s="33"/>
      <c r="AB375" s="10"/>
      <c r="AC375" s="33">
        <v>1519</v>
      </c>
      <c r="AD375" s="10">
        <f t="shared" si="5"/>
        <v>0</v>
      </c>
      <c r="AE375" s="82"/>
      <c r="AF375" s="34"/>
    </row>
    <row r="376" spans="1:32" x14ac:dyDescent="0.25">
      <c r="A376" s="7" t="s">
        <v>4166</v>
      </c>
      <c r="B376" s="9">
        <v>4174819</v>
      </c>
      <c r="C376" s="70">
        <v>45519</v>
      </c>
      <c r="D376" s="70">
        <v>45519</v>
      </c>
      <c r="E376" s="73"/>
      <c r="F376" s="9"/>
      <c r="H376" s="9"/>
      <c r="I376" s="7" t="s">
        <v>4184</v>
      </c>
      <c r="J376" s="51" t="s">
        <v>46</v>
      </c>
      <c r="K376" s="7"/>
      <c r="L376" s="10">
        <v>107.04</v>
      </c>
      <c r="M376" s="10"/>
      <c r="N376" s="10"/>
      <c r="O376" s="10"/>
      <c r="P376" s="10"/>
      <c r="Q376" s="10"/>
      <c r="R376" s="10"/>
      <c r="S376" s="10">
        <v>891.96</v>
      </c>
      <c r="T376" s="10"/>
      <c r="U376" s="10"/>
      <c r="V376" s="10"/>
      <c r="W376" s="10"/>
      <c r="X376" s="10"/>
      <c r="Y376" s="10"/>
      <c r="Z376" s="10"/>
      <c r="AA376" s="33"/>
      <c r="AB376" s="10"/>
      <c r="AC376" s="33">
        <v>999</v>
      </c>
      <c r="AD376" s="10">
        <f t="shared" si="5"/>
        <v>0</v>
      </c>
      <c r="AE376" s="82"/>
      <c r="AF376" s="34"/>
    </row>
    <row r="377" spans="1:32" x14ac:dyDescent="0.25">
      <c r="A377" s="7" t="s">
        <v>4167</v>
      </c>
      <c r="B377" s="9">
        <v>4174820</v>
      </c>
      <c r="C377" s="70">
        <v>45519</v>
      </c>
      <c r="D377" s="70">
        <v>45519</v>
      </c>
      <c r="E377" s="73"/>
      <c r="F377" s="9"/>
      <c r="H377" s="9"/>
      <c r="I377" s="7" t="s">
        <v>4184</v>
      </c>
      <c r="J377" s="51" t="s">
        <v>46</v>
      </c>
      <c r="K377" s="7"/>
      <c r="L377" s="10">
        <v>107.04</v>
      </c>
      <c r="M377" s="10"/>
      <c r="N377" s="10"/>
      <c r="O377" s="10"/>
      <c r="P377" s="10"/>
      <c r="Q377" s="10"/>
      <c r="R377" s="10"/>
      <c r="S377" s="10">
        <v>891.96</v>
      </c>
      <c r="T377" s="10"/>
      <c r="U377" s="10"/>
      <c r="V377" s="10"/>
      <c r="W377" s="10"/>
      <c r="X377" s="10"/>
      <c r="Y377" s="10"/>
      <c r="Z377" s="10"/>
      <c r="AA377" s="33"/>
      <c r="AB377" s="10"/>
      <c r="AC377" s="33">
        <v>999</v>
      </c>
      <c r="AD377" s="10">
        <f t="shared" si="5"/>
        <v>0</v>
      </c>
      <c r="AE377" s="82"/>
      <c r="AF377" s="34"/>
    </row>
    <row r="378" spans="1:32" x14ac:dyDescent="0.25">
      <c r="A378" s="7" t="s">
        <v>4168</v>
      </c>
      <c r="B378" s="9">
        <v>4174821</v>
      </c>
      <c r="C378" s="70">
        <v>45519</v>
      </c>
      <c r="D378" s="70">
        <v>45519</v>
      </c>
      <c r="E378" s="73"/>
      <c r="F378" s="9"/>
      <c r="H378" s="9"/>
      <c r="I378" s="7" t="s">
        <v>4184</v>
      </c>
      <c r="J378" s="51" t="s">
        <v>46</v>
      </c>
      <c r="K378" s="7"/>
      <c r="L378" s="10">
        <v>107.04</v>
      </c>
      <c r="M378" s="10"/>
      <c r="N378" s="10"/>
      <c r="O378" s="10"/>
      <c r="P378" s="10"/>
      <c r="Q378" s="10"/>
      <c r="R378" s="10"/>
      <c r="S378" s="10">
        <v>891.96</v>
      </c>
      <c r="T378" s="10"/>
      <c r="U378" s="10"/>
      <c r="V378" s="10"/>
      <c r="W378" s="10"/>
      <c r="X378" s="10"/>
      <c r="Y378" s="10"/>
      <c r="Z378" s="10"/>
      <c r="AA378" s="33"/>
      <c r="AB378" s="10"/>
      <c r="AC378" s="33">
        <v>999</v>
      </c>
      <c r="AD378" s="10">
        <f t="shared" si="5"/>
        <v>0</v>
      </c>
      <c r="AE378" s="82"/>
      <c r="AF378" s="34"/>
    </row>
    <row r="379" spans="1:32" x14ac:dyDescent="0.25">
      <c r="A379" s="7" t="s">
        <v>4177</v>
      </c>
      <c r="B379" s="9">
        <v>4174822</v>
      </c>
      <c r="C379" s="70">
        <v>45519</v>
      </c>
      <c r="D379" s="70">
        <v>45519</v>
      </c>
      <c r="E379" s="73"/>
      <c r="F379" s="9"/>
      <c r="H379" s="9"/>
      <c r="I379" s="7" t="s">
        <v>4185</v>
      </c>
      <c r="J379" s="51" t="s">
        <v>43</v>
      </c>
      <c r="K379" s="7"/>
      <c r="L379" s="10">
        <v>32.14</v>
      </c>
      <c r="M379" s="10"/>
      <c r="N379" s="10"/>
      <c r="O379" s="10"/>
      <c r="P379" s="10"/>
      <c r="Q379" s="10"/>
      <c r="R379" s="10"/>
      <c r="S379" s="10">
        <v>267.86</v>
      </c>
      <c r="T379" s="10"/>
      <c r="U379" s="10"/>
      <c r="V379" s="10"/>
      <c r="W379" s="10"/>
      <c r="X379" s="10"/>
      <c r="Y379" s="10"/>
      <c r="Z379" s="10"/>
      <c r="AA379" s="33"/>
      <c r="AB379" s="10"/>
      <c r="AC379" s="33">
        <v>300</v>
      </c>
      <c r="AD379" s="10">
        <f t="shared" si="5"/>
        <v>0</v>
      </c>
      <c r="AE379" s="82"/>
      <c r="AF379" s="34"/>
    </row>
    <row r="380" spans="1:32" x14ac:dyDescent="0.25">
      <c r="A380" s="7" t="s">
        <v>4178</v>
      </c>
      <c r="B380" s="9">
        <v>4174823</v>
      </c>
      <c r="C380" s="70">
        <v>45519</v>
      </c>
      <c r="D380" s="70">
        <v>45519</v>
      </c>
      <c r="E380" s="73"/>
      <c r="F380" s="9"/>
      <c r="H380" s="9"/>
      <c r="I380" s="7" t="s">
        <v>4185</v>
      </c>
      <c r="J380" s="51" t="s">
        <v>43</v>
      </c>
      <c r="K380" s="7"/>
      <c r="L380" s="10">
        <v>64.180000000000007</v>
      </c>
      <c r="M380" s="10"/>
      <c r="N380" s="10"/>
      <c r="O380" s="10"/>
      <c r="P380" s="10"/>
      <c r="Q380" s="10"/>
      <c r="R380" s="10"/>
      <c r="S380" s="10">
        <v>534.82000000000005</v>
      </c>
      <c r="T380" s="10"/>
      <c r="U380" s="10"/>
      <c r="V380" s="10"/>
      <c r="W380" s="10"/>
      <c r="X380" s="10"/>
      <c r="Y380" s="10"/>
      <c r="Z380" s="10"/>
      <c r="AA380" s="33"/>
      <c r="AB380" s="10"/>
      <c r="AC380" s="33">
        <v>599</v>
      </c>
      <c r="AD380" s="10">
        <f t="shared" si="5"/>
        <v>0</v>
      </c>
      <c r="AE380" s="82"/>
      <c r="AF380" s="34"/>
    </row>
    <row r="381" spans="1:32" x14ac:dyDescent="0.25">
      <c r="A381" s="7" t="s">
        <v>4179</v>
      </c>
      <c r="B381" s="9">
        <v>4174824</v>
      </c>
      <c r="C381" s="70">
        <v>45523</v>
      </c>
      <c r="D381" s="70">
        <v>45523</v>
      </c>
      <c r="E381" s="73">
        <v>45524</v>
      </c>
      <c r="F381" s="9" t="s">
        <v>4290</v>
      </c>
      <c r="H381" s="9"/>
      <c r="I381" s="7" t="s">
        <v>118</v>
      </c>
      <c r="J381" s="51" t="s">
        <v>109</v>
      </c>
      <c r="K381" s="7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33">
        <v>1500</v>
      </c>
      <c r="AB381" s="10"/>
      <c r="AC381" s="33">
        <v>1500</v>
      </c>
      <c r="AD381" s="10">
        <f t="shared" si="5"/>
        <v>0</v>
      </c>
      <c r="AE381" s="82"/>
      <c r="AF381" s="34"/>
    </row>
    <row r="382" spans="1:32" x14ac:dyDescent="0.25">
      <c r="A382" s="7" t="s">
        <v>4180</v>
      </c>
      <c r="B382" s="9">
        <v>4174825</v>
      </c>
      <c r="C382" s="70">
        <v>45524</v>
      </c>
      <c r="D382" s="70">
        <v>45524</v>
      </c>
      <c r="E382" s="73"/>
      <c r="F382" s="9"/>
      <c r="H382" s="9" t="s">
        <v>4284</v>
      </c>
      <c r="I382" s="7" t="s">
        <v>1174</v>
      </c>
      <c r="J382" s="51" t="s">
        <v>3667</v>
      </c>
      <c r="K382" s="7"/>
      <c r="L382" s="10"/>
      <c r="M382" s="10"/>
      <c r="N382" s="10"/>
      <c r="O382" s="10"/>
      <c r="P382" s="10"/>
      <c r="Q382" s="10"/>
      <c r="R382" s="10"/>
      <c r="S382" s="10"/>
      <c r="T382" s="10">
        <v>6296.72</v>
      </c>
      <c r="U382" s="10"/>
      <c r="V382" s="10"/>
      <c r="W382" s="10"/>
      <c r="X382" s="10"/>
      <c r="Y382" s="10"/>
      <c r="Z382" s="10"/>
      <c r="AA382" s="33"/>
      <c r="AB382" s="10"/>
      <c r="AC382" s="33">
        <v>6296.72</v>
      </c>
      <c r="AD382" s="10">
        <f t="shared" si="5"/>
        <v>0</v>
      </c>
      <c r="AE382" s="82"/>
      <c r="AF382" s="34"/>
    </row>
    <row r="383" spans="1:32" x14ac:dyDescent="0.25">
      <c r="A383" s="7" t="s">
        <v>4181</v>
      </c>
      <c r="B383" s="9">
        <v>4174826</v>
      </c>
      <c r="C383" s="70">
        <v>45524</v>
      </c>
      <c r="D383" s="70">
        <v>45524</v>
      </c>
      <c r="E383" s="73"/>
      <c r="F383" s="9"/>
      <c r="H383" s="9" t="s">
        <v>4285</v>
      </c>
      <c r="I383" s="7" t="s">
        <v>2588</v>
      </c>
      <c r="J383" s="51" t="s">
        <v>4389</v>
      </c>
      <c r="K383" s="7"/>
      <c r="L383" s="10"/>
      <c r="M383" s="10"/>
      <c r="N383" s="10"/>
      <c r="O383" s="10"/>
      <c r="P383" s="10"/>
      <c r="Q383" s="10"/>
      <c r="R383" s="10"/>
      <c r="S383" s="10"/>
      <c r="T383" s="10">
        <v>12917.58</v>
      </c>
      <c r="U383" s="10"/>
      <c r="V383" s="10"/>
      <c r="W383" s="10"/>
      <c r="X383" s="10"/>
      <c r="Y383" s="10"/>
      <c r="Z383" s="10"/>
      <c r="AA383" s="33"/>
      <c r="AB383" s="10"/>
      <c r="AC383" s="33">
        <v>12917.58</v>
      </c>
      <c r="AD383" s="10">
        <f t="shared" si="5"/>
        <v>0</v>
      </c>
      <c r="AE383" s="82"/>
      <c r="AF383" s="34"/>
    </row>
    <row r="384" spans="1:32" x14ac:dyDescent="0.25">
      <c r="A384" s="7" t="s">
        <v>4187</v>
      </c>
      <c r="B384" s="9">
        <v>4174827</v>
      </c>
      <c r="C384" s="70">
        <v>45524</v>
      </c>
      <c r="D384" s="70">
        <v>45524</v>
      </c>
      <c r="E384" s="73"/>
      <c r="F384" s="9"/>
      <c r="H384" s="9"/>
      <c r="I384" s="7" t="s">
        <v>3979</v>
      </c>
      <c r="J384" s="51" t="s">
        <v>46</v>
      </c>
      <c r="K384" s="7"/>
      <c r="L384" s="10">
        <v>1320</v>
      </c>
      <c r="M384" s="10"/>
      <c r="N384" s="10"/>
      <c r="O384" s="10"/>
      <c r="P384" s="10"/>
      <c r="Q384" s="10"/>
      <c r="R384" s="10"/>
      <c r="S384" s="10">
        <v>10999.97</v>
      </c>
      <c r="T384" s="10"/>
      <c r="U384" s="10"/>
      <c r="V384" s="10"/>
      <c r="W384" s="10"/>
      <c r="X384" s="10"/>
      <c r="Y384" s="10"/>
      <c r="Z384" s="10"/>
      <c r="AA384" s="33"/>
      <c r="AB384" s="10"/>
      <c r="AC384" s="33">
        <v>12319.97</v>
      </c>
      <c r="AD384" s="10">
        <f t="shared" si="5"/>
        <v>0</v>
      </c>
      <c r="AE384" s="82"/>
      <c r="AF384" s="34">
        <v>224.03</v>
      </c>
    </row>
    <row r="385" spans="1:32" x14ac:dyDescent="0.25">
      <c r="A385" s="7" t="s">
        <v>4188</v>
      </c>
      <c r="B385" s="9" t="s">
        <v>4193</v>
      </c>
      <c r="C385" s="70">
        <v>45525</v>
      </c>
      <c r="D385" s="70">
        <v>45525</v>
      </c>
      <c r="E385" s="73"/>
      <c r="F385" s="9"/>
      <c r="H385" s="9"/>
      <c r="I385" s="7" t="s">
        <v>55</v>
      </c>
      <c r="J385" s="51" t="s">
        <v>54</v>
      </c>
      <c r="K385" s="7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>
        <v>400000</v>
      </c>
      <c r="AA385" s="33"/>
      <c r="AB385" s="10"/>
      <c r="AC385" s="33">
        <v>400000</v>
      </c>
      <c r="AD385" s="10">
        <f t="shared" ref="AD385:AD447" si="6">SUM(AB385:AC385)-SUM(L385:AA385)</f>
        <v>0</v>
      </c>
      <c r="AE385" s="10"/>
      <c r="AF385" s="10"/>
    </row>
    <row r="386" spans="1:32" x14ac:dyDescent="0.25">
      <c r="A386" s="7" t="s">
        <v>4189</v>
      </c>
      <c r="B386" s="9">
        <v>4174828</v>
      </c>
      <c r="C386" s="70">
        <v>45531</v>
      </c>
      <c r="D386" s="70">
        <v>45531</v>
      </c>
      <c r="E386" s="73"/>
      <c r="F386" s="9"/>
      <c r="H386" s="9"/>
      <c r="I386" s="7" t="s">
        <v>123</v>
      </c>
      <c r="J386" s="51" t="s">
        <v>2855</v>
      </c>
      <c r="K386" s="7"/>
      <c r="L386" s="10"/>
      <c r="M386" s="10">
        <v>23000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33"/>
      <c r="AB386" s="10"/>
      <c r="AC386" s="33">
        <v>23000</v>
      </c>
      <c r="AD386" s="10">
        <f t="shared" si="6"/>
        <v>0</v>
      </c>
      <c r="AE386" s="82"/>
      <c r="AF386" s="34"/>
    </row>
    <row r="387" spans="1:32" x14ac:dyDescent="0.25">
      <c r="A387" s="7" t="s">
        <v>4190</v>
      </c>
      <c r="B387" s="9">
        <v>4174829</v>
      </c>
      <c r="C387" s="70">
        <v>45572</v>
      </c>
      <c r="D387" s="70">
        <v>45531</v>
      </c>
      <c r="E387" s="73">
        <v>45534</v>
      </c>
      <c r="F387" s="9" t="s">
        <v>4231</v>
      </c>
      <c r="G387" s="9" t="s">
        <v>3553</v>
      </c>
      <c r="H387" s="9"/>
      <c r="I387" s="7" t="s">
        <v>1131</v>
      </c>
      <c r="J387" s="51" t="s">
        <v>1226</v>
      </c>
      <c r="K387" s="7" t="s">
        <v>2924</v>
      </c>
      <c r="L387" s="10">
        <v>9107.14</v>
      </c>
      <c r="M387" s="10">
        <v>75892.86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33"/>
      <c r="AB387" s="10"/>
      <c r="AC387" s="33">
        <v>85000</v>
      </c>
      <c r="AD387" s="10">
        <f t="shared" si="6"/>
        <v>0</v>
      </c>
      <c r="AE387" s="82"/>
      <c r="AF387" s="34">
        <v>758.93</v>
      </c>
    </row>
    <row r="388" spans="1:32" x14ac:dyDescent="0.25">
      <c r="A388" s="7" t="s">
        <v>4191</v>
      </c>
      <c r="B388" s="9">
        <v>4174830</v>
      </c>
      <c r="C388" s="70">
        <v>45572</v>
      </c>
      <c r="D388" s="70">
        <v>45531</v>
      </c>
      <c r="E388" s="73">
        <v>45534</v>
      </c>
      <c r="F388" s="9" t="s">
        <v>4232</v>
      </c>
      <c r="G388" s="9" t="s">
        <v>3634</v>
      </c>
      <c r="H388" s="9"/>
      <c r="I388" s="7" t="s">
        <v>2510</v>
      </c>
      <c r="J388" s="51" t="s">
        <v>1226</v>
      </c>
      <c r="K388" s="7" t="s">
        <v>2924</v>
      </c>
      <c r="L388" s="10">
        <v>4553.57</v>
      </c>
      <c r="M388" s="10">
        <v>37946.43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33"/>
      <c r="AB388" s="10"/>
      <c r="AC388" s="33">
        <v>42500</v>
      </c>
      <c r="AD388" s="10">
        <f t="shared" si="6"/>
        <v>0</v>
      </c>
      <c r="AE388" s="82"/>
      <c r="AF388" s="34">
        <v>379.46</v>
      </c>
    </row>
    <row r="389" spans="1:32" x14ac:dyDescent="0.25">
      <c r="A389" s="7" t="s">
        <v>4192</v>
      </c>
      <c r="B389" s="9">
        <v>4174831</v>
      </c>
      <c r="C389" s="70">
        <v>45563</v>
      </c>
      <c r="D389" s="70">
        <v>45531</v>
      </c>
      <c r="E389" s="73">
        <v>45534</v>
      </c>
      <c r="F389" s="9" t="s">
        <v>4229</v>
      </c>
      <c r="G389" s="9" t="s">
        <v>3638</v>
      </c>
      <c r="H389" s="9"/>
      <c r="I389" s="7" t="s">
        <v>4210</v>
      </c>
      <c r="J389" s="51" t="s">
        <v>4211</v>
      </c>
      <c r="K389" s="7" t="s">
        <v>3295</v>
      </c>
      <c r="L389" s="10">
        <v>812.68</v>
      </c>
      <c r="M389" s="10">
        <v>6772.32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33"/>
      <c r="AB389" s="10"/>
      <c r="AC389" s="33">
        <v>7585</v>
      </c>
      <c r="AD389" s="10">
        <f t="shared" si="6"/>
        <v>0</v>
      </c>
      <c r="AE389" s="82"/>
      <c r="AF389" s="34">
        <v>67.72</v>
      </c>
    </row>
    <row r="390" spans="1:32" x14ac:dyDescent="0.25">
      <c r="A390" s="7" t="s">
        <v>4194</v>
      </c>
      <c r="B390" s="9">
        <v>4174832</v>
      </c>
      <c r="C390" s="70">
        <v>45531</v>
      </c>
      <c r="D390" s="70">
        <v>45531</v>
      </c>
      <c r="E390" s="73">
        <v>45531</v>
      </c>
      <c r="F390" s="9" t="s">
        <v>4215</v>
      </c>
      <c r="G390" s="9" t="s">
        <v>3639</v>
      </c>
      <c r="H390" s="9"/>
      <c r="I390" s="7" t="s">
        <v>4212</v>
      </c>
      <c r="J390" s="51" t="s">
        <v>4213</v>
      </c>
      <c r="K390" s="7" t="s">
        <v>4214</v>
      </c>
      <c r="L390" s="10">
        <v>1462.5</v>
      </c>
      <c r="M390" s="10">
        <v>12187.5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33"/>
      <c r="AB390" s="10"/>
      <c r="AC390" s="33">
        <v>13650</v>
      </c>
      <c r="AD390" s="10">
        <f t="shared" si="6"/>
        <v>0</v>
      </c>
      <c r="AE390" s="82"/>
      <c r="AF390" s="34">
        <v>121.88</v>
      </c>
    </row>
    <row r="391" spans="1:32" x14ac:dyDescent="0.25">
      <c r="A391" s="7" t="s">
        <v>4195</v>
      </c>
      <c r="B391" s="9">
        <v>4174833</v>
      </c>
      <c r="C391" s="70">
        <v>45531</v>
      </c>
      <c r="D391" s="70">
        <v>45531</v>
      </c>
      <c r="E391" s="73">
        <v>45531</v>
      </c>
      <c r="F391" s="9" t="s">
        <v>4222</v>
      </c>
      <c r="H391" s="9"/>
      <c r="I391" s="7" t="s">
        <v>4216</v>
      </c>
      <c r="J391" s="51" t="s">
        <v>4223</v>
      </c>
      <c r="K391" s="7" t="s">
        <v>4224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33">
        <v>2430</v>
      </c>
      <c r="AB391" s="10"/>
      <c r="AC391" s="33">
        <v>2430</v>
      </c>
      <c r="AD391" s="10">
        <f t="shared" si="6"/>
        <v>0</v>
      </c>
      <c r="AE391" s="82"/>
      <c r="AF391" s="34"/>
    </row>
    <row r="392" spans="1:32" x14ac:dyDescent="0.25">
      <c r="A392" s="7" t="s">
        <v>4196</v>
      </c>
      <c r="B392" s="9">
        <v>4174834</v>
      </c>
      <c r="C392" s="70">
        <v>45531</v>
      </c>
      <c r="D392" s="70">
        <v>45531</v>
      </c>
      <c r="E392" s="73">
        <v>45534</v>
      </c>
      <c r="F392" s="9" t="s">
        <v>4289</v>
      </c>
      <c r="H392" s="9"/>
      <c r="I392" s="7" t="s">
        <v>4217</v>
      </c>
      <c r="J392" s="51" t="s">
        <v>109</v>
      </c>
      <c r="K392" s="7" t="s">
        <v>4218</v>
      </c>
      <c r="L392" s="10">
        <v>4392.8599999999997</v>
      </c>
      <c r="M392" s="10">
        <v>36607.14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33"/>
      <c r="AB392" s="10"/>
      <c r="AC392" s="33">
        <v>41000</v>
      </c>
      <c r="AD392" s="10">
        <f t="shared" si="6"/>
        <v>0</v>
      </c>
      <c r="AE392" s="82"/>
      <c r="AF392" s="34"/>
    </row>
    <row r="393" spans="1:32" x14ac:dyDescent="0.25">
      <c r="A393" s="7" t="s">
        <v>4197</v>
      </c>
      <c r="B393" s="9">
        <v>4174835</v>
      </c>
      <c r="C393" s="70">
        <v>45531</v>
      </c>
      <c r="D393" s="70">
        <v>45531</v>
      </c>
      <c r="E393" s="73"/>
      <c r="F393" s="9"/>
      <c r="H393" s="9"/>
      <c r="I393" s="7" t="s">
        <v>4219</v>
      </c>
      <c r="J393" s="51" t="s">
        <v>4220</v>
      </c>
      <c r="K393" s="7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33">
        <v>5936.83</v>
      </c>
      <c r="AB393" s="10"/>
      <c r="AC393" s="33">
        <v>5936.83</v>
      </c>
      <c r="AD393" s="10">
        <f t="shared" si="6"/>
        <v>0</v>
      </c>
      <c r="AE393" s="82"/>
      <c r="AF393" s="34"/>
    </row>
    <row r="394" spans="1:32" x14ac:dyDescent="0.25">
      <c r="A394" s="7" t="s">
        <v>4198</v>
      </c>
      <c r="B394" s="9" t="s">
        <v>4221</v>
      </c>
      <c r="C394" s="70">
        <v>45531</v>
      </c>
      <c r="D394" s="70">
        <v>45531</v>
      </c>
      <c r="E394" s="73">
        <v>45532</v>
      </c>
      <c r="F394" s="9" t="s">
        <v>4225</v>
      </c>
      <c r="G394" s="9" t="s">
        <v>3636</v>
      </c>
      <c r="H394" s="9"/>
      <c r="I394" s="7" t="s">
        <v>1988</v>
      </c>
      <c r="J394" s="51" t="s">
        <v>1999</v>
      </c>
      <c r="K394" s="7" t="s">
        <v>2297</v>
      </c>
      <c r="L394" s="10">
        <v>11517.86</v>
      </c>
      <c r="M394" s="10">
        <v>95982.14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33"/>
      <c r="AB394" s="10"/>
      <c r="AC394" s="33">
        <v>107500</v>
      </c>
      <c r="AD394" s="10">
        <f t="shared" si="6"/>
        <v>0</v>
      </c>
      <c r="AE394" s="82"/>
      <c r="AF394" s="34">
        <v>959.82</v>
      </c>
    </row>
    <row r="395" spans="1:32" x14ac:dyDescent="0.25">
      <c r="A395" s="7" t="s">
        <v>4199</v>
      </c>
      <c r="B395" s="9">
        <v>4174836</v>
      </c>
      <c r="C395" s="70">
        <v>45531</v>
      </c>
      <c r="D395" s="70">
        <v>45531</v>
      </c>
      <c r="E395" s="73"/>
      <c r="F395" s="9"/>
      <c r="H395" s="9"/>
      <c r="I395" s="7" t="s">
        <v>118</v>
      </c>
      <c r="J395" s="51" t="s">
        <v>1847</v>
      </c>
      <c r="K395" s="7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33">
        <v>28000</v>
      </c>
      <c r="AB395" s="10"/>
      <c r="AC395" s="33">
        <v>28000</v>
      </c>
      <c r="AD395" s="10">
        <f t="shared" si="6"/>
        <v>0</v>
      </c>
      <c r="AE395" s="82"/>
      <c r="AF395" s="34"/>
    </row>
    <row r="396" spans="1:32" x14ac:dyDescent="0.25">
      <c r="A396" s="7" t="s">
        <v>4200</v>
      </c>
      <c r="B396" s="9">
        <v>4174837</v>
      </c>
      <c r="C396" s="70">
        <v>45533</v>
      </c>
      <c r="D396" s="70">
        <v>45532</v>
      </c>
      <c r="E396" s="73"/>
      <c r="F396" s="9"/>
      <c r="H396" s="9"/>
      <c r="I396" s="7" t="s">
        <v>118</v>
      </c>
      <c r="J396" s="51" t="s">
        <v>125</v>
      </c>
      <c r="K396" s="7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33">
        <v>58000</v>
      </c>
      <c r="AB396" s="10"/>
      <c r="AC396" s="33">
        <v>58000</v>
      </c>
      <c r="AD396" s="10">
        <f t="shared" si="6"/>
        <v>0</v>
      </c>
      <c r="AE396" s="82"/>
      <c r="AF396" s="34"/>
    </row>
    <row r="397" spans="1:32" x14ac:dyDescent="0.25">
      <c r="A397" s="7" t="s">
        <v>4201</v>
      </c>
      <c r="B397" s="9">
        <v>4174838</v>
      </c>
      <c r="C397" s="70">
        <v>45533</v>
      </c>
      <c r="D397" s="70">
        <v>45533</v>
      </c>
      <c r="E397" s="73"/>
      <c r="F397" s="9"/>
      <c r="H397" s="9"/>
      <c r="I397" s="7" t="s">
        <v>64</v>
      </c>
      <c r="J397" s="51" t="s">
        <v>3667</v>
      </c>
      <c r="K397" s="7"/>
      <c r="L397" s="10"/>
      <c r="M397" s="10"/>
      <c r="N397" s="10"/>
      <c r="O397" s="10"/>
      <c r="P397" s="10">
        <v>5000</v>
      </c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33"/>
      <c r="AB397" s="10"/>
      <c r="AC397" s="33">
        <v>5000</v>
      </c>
      <c r="AD397" s="10">
        <f t="shared" si="6"/>
        <v>0</v>
      </c>
      <c r="AE397" s="82"/>
      <c r="AF397" s="34"/>
    </row>
    <row r="398" spans="1:32" s="39" customFormat="1" x14ac:dyDescent="0.25">
      <c r="A398" s="20"/>
      <c r="B398" s="19"/>
      <c r="C398" s="72"/>
      <c r="D398" s="72"/>
      <c r="E398" s="77"/>
      <c r="F398" s="19"/>
      <c r="G398" s="19"/>
      <c r="H398" s="19"/>
      <c r="I398" s="20"/>
      <c r="J398" s="20"/>
      <c r="K398" s="20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32"/>
      <c r="AB398" s="22"/>
      <c r="AC398" s="32"/>
      <c r="AD398" s="22"/>
      <c r="AE398" s="96"/>
      <c r="AF398" s="35"/>
    </row>
    <row r="399" spans="1:32" s="39" customFormat="1" x14ac:dyDescent="0.25">
      <c r="A399" s="25">
        <v>45536</v>
      </c>
      <c r="B399" s="19"/>
      <c r="C399" s="72"/>
      <c r="D399" s="72"/>
      <c r="E399" s="77"/>
      <c r="F399" s="19"/>
      <c r="G399" s="19"/>
      <c r="H399" s="19"/>
      <c r="I399" s="20"/>
      <c r="J399" s="20"/>
      <c r="K399" s="20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32"/>
      <c r="AB399" s="22"/>
      <c r="AC399" s="32"/>
      <c r="AD399" s="22"/>
      <c r="AE399" s="96"/>
      <c r="AF399" s="35"/>
    </row>
    <row r="400" spans="1:32" x14ac:dyDescent="0.25">
      <c r="A400" s="7" t="s">
        <v>4202</v>
      </c>
      <c r="B400" s="9">
        <v>4174839</v>
      </c>
      <c r="C400" s="70">
        <v>45538</v>
      </c>
      <c r="D400" s="70">
        <v>45538</v>
      </c>
      <c r="E400" s="73"/>
      <c r="F400" s="9"/>
      <c r="H400" s="9" t="s">
        <v>4286</v>
      </c>
      <c r="I400" s="7" t="s">
        <v>1174</v>
      </c>
      <c r="J400" s="7" t="s">
        <v>3667</v>
      </c>
      <c r="K400" s="7"/>
      <c r="L400" s="10"/>
      <c r="M400" s="10"/>
      <c r="N400" s="10"/>
      <c r="O400" s="10"/>
      <c r="P400" s="10"/>
      <c r="Q400" s="10"/>
      <c r="R400" s="10"/>
      <c r="S400" s="10"/>
      <c r="T400" s="10">
        <v>9518.2999999999993</v>
      </c>
      <c r="U400" s="10"/>
      <c r="V400" s="10"/>
      <c r="W400" s="10"/>
      <c r="X400" s="10"/>
      <c r="Y400" s="10"/>
      <c r="Z400" s="10"/>
      <c r="AA400" s="33"/>
      <c r="AB400" s="10"/>
      <c r="AC400" s="33">
        <v>9518.2999999999993</v>
      </c>
      <c r="AD400" s="10">
        <f t="shared" si="6"/>
        <v>0</v>
      </c>
      <c r="AE400" s="82"/>
      <c r="AF400" s="34"/>
    </row>
    <row r="401" spans="1:32" x14ac:dyDescent="0.25">
      <c r="A401" s="7" t="s">
        <v>4203</v>
      </c>
      <c r="B401" s="9">
        <v>4174840</v>
      </c>
      <c r="C401" s="70">
        <v>45538</v>
      </c>
      <c r="D401" s="70">
        <v>45538</v>
      </c>
      <c r="E401" s="73"/>
      <c r="F401" s="9"/>
      <c r="H401" s="9"/>
      <c r="I401" s="7" t="s">
        <v>4240</v>
      </c>
      <c r="J401" s="7" t="s">
        <v>3436</v>
      </c>
      <c r="K401" s="7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33">
        <v>5000</v>
      </c>
      <c r="AB401" s="10"/>
      <c r="AC401" s="33">
        <v>5000</v>
      </c>
      <c r="AD401" s="10">
        <f t="shared" si="6"/>
        <v>0</v>
      </c>
      <c r="AE401" s="82"/>
      <c r="AF401" s="34"/>
    </row>
    <row r="402" spans="1:32" x14ac:dyDescent="0.25">
      <c r="A402" s="7" t="s">
        <v>4204</v>
      </c>
      <c r="B402" s="9">
        <v>4174841</v>
      </c>
      <c r="C402" s="70">
        <v>45538</v>
      </c>
      <c r="D402" s="70">
        <v>45538</v>
      </c>
      <c r="E402" s="73">
        <v>45558</v>
      </c>
      <c r="F402" s="9" t="s">
        <v>4322</v>
      </c>
      <c r="H402" s="9"/>
      <c r="I402" s="7" t="s">
        <v>4233</v>
      </c>
      <c r="J402" s="7" t="s">
        <v>127</v>
      </c>
      <c r="K402" s="7"/>
      <c r="L402" s="10">
        <v>691.2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33">
        <v>5184</v>
      </c>
      <c r="AB402" s="10"/>
      <c r="AC402" s="33">
        <v>5875.2</v>
      </c>
      <c r="AD402" s="10">
        <f t="shared" si="6"/>
        <v>0</v>
      </c>
      <c r="AE402" s="82"/>
      <c r="AF402" s="34"/>
    </row>
    <row r="403" spans="1:32" x14ac:dyDescent="0.25">
      <c r="A403" s="7" t="s">
        <v>4205</v>
      </c>
      <c r="B403" s="9">
        <v>4174842</v>
      </c>
      <c r="C403" s="70">
        <v>45538</v>
      </c>
      <c r="D403" s="70">
        <v>45538</v>
      </c>
      <c r="E403" s="73"/>
      <c r="F403" s="9"/>
      <c r="H403" s="9"/>
      <c r="I403" s="7" t="s">
        <v>4241</v>
      </c>
      <c r="J403" s="7" t="s">
        <v>126</v>
      </c>
      <c r="K403" s="7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33">
        <v>42000</v>
      </c>
      <c r="AB403" s="10"/>
      <c r="AC403" s="33">
        <v>42000</v>
      </c>
      <c r="AD403" s="10">
        <f t="shared" si="6"/>
        <v>0</v>
      </c>
      <c r="AE403" s="82"/>
      <c r="AF403" s="34"/>
    </row>
    <row r="404" spans="1:32" x14ac:dyDescent="0.25">
      <c r="A404" s="7" t="s">
        <v>4206</v>
      </c>
      <c r="B404" s="9" t="s">
        <v>4235</v>
      </c>
      <c r="C404" s="70">
        <v>45540</v>
      </c>
      <c r="D404" s="70">
        <v>45540</v>
      </c>
      <c r="E404" s="73">
        <v>45540</v>
      </c>
      <c r="F404" s="9" t="s">
        <v>4237</v>
      </c>
      <c r="G404" s="9" t="s">
        <v>3650</v>
      </c>
      <c r="H404" s="9"/>
      <c r="I404" s="7" t="s">
        <v>4236</v>
      </c>
      <c r="J404" s="7" t="s">
        <v>1999</v>
      </c>
      <c r="K404" s="7" t="s">
        <v>2271</v>
      </c>
      <c r="L404" s="10">
        <v>19430.36</v>
      </c>
      <c r="M404" s="10">
        <v>161919.64000000001</v>
      </c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33"/>
      <c r="AB404" s="10"/>
      <c r="AC404" s="33">
        <v>181350</v>
      </c>
      <c r="AD404" s="10">
        <f t="shared" si="6"/>
        <v>0</v>
      </c>
      <c r="AE404" s="82"/>
      <c r="AF404" s="34"/>
    </row>
    <row r="405" spans="1:32" x14ac:dyDescent="0.25">
      <c r="A405" s="7" t="s">
        <v>4207</v>
      </c>
      <c r="B405" s="9" t="s">
        <v>4239</v>
      </c>
      <c r="C405" s="70">
        <v>45540</v>
      </c>
      <c r="D405" s="70">
        <v>45540</v>
      </c>
      <c r="E405" s="73"/>
      <c r="F405" s="9"/>
      <c r="H405" s="9"/>
      <c r="I405" s="7" t="s">
        <v>55</v>
      </c>
      <c r="J405" s="7" t="s">
        <v>54</v>
      </c>
      <c r="K405" s="7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>
        <v>400000</v>
      </c>
      <c r="AA405" s="33"/>
      <c r="AB405" s="10"/>
      <c r="AC405" s="33">
        <v>400000</v>
      </c>
      <c r="AD405" s="10">
        <f t="shared" si="6"/>
        <v>0</v>
      </c>
      <c r="AE405" s="82"/>
      <c r="AF405" s="34"/>
    </row>
    <row r="406" spans="1:32" x14ac:dyDescent="0.25">
      <c r="A406" s="7" t="s">
        <v>4208</v>
      </c>
      <c r="B406" s="9">
        <v>4174843</v>
      </c>
      <c r="C406" s="70">
        <v>45541</v>
      </c>
      <c r="D406" s="70">
        <v>45541</v>
      </c>
      <c r="E406" s="73"/>
      <c r="F406" s="9"/>
      <c r="H406" s="9" t="s">
        <v>4287</v>
      </c>
      <c r="I406" s="7" t="s">
        <v>1174</v>
      </c>
      <c r="J406" s="7" t="s">
        <v>3667</v>
      </c>
      <c r="K406" s="7"/>
      <c r="L406" s="10"/>
      <c r="M406" s="10"/>
      <c r="N406" s="10"/>
      <c r="O406" s="10"/>
      <c r="P406" s="10"/>
      <c r="Q406" s="10"/>
      <c r="R406" s="10"/>
      <c r="S406" s="10"/>
      <c r="T406" s="10">
        <v>6781</v>
      </c>
      <c r="U406" s="10"/>
      <c r="V406" s="10"/>
      <c r="W406" s="10"/>
      <c r="X406" s="10"/>
      <c r="Y406" s="10"/>
      <c r="Z406" s="10"/>
      <c r="AA406" s="33"/>
      <c r="AB406" s="10"/>
      <c r="AC406" s="33">
        <v>6781</v>
      </c>
      <c r="AD406" s="10">
        <f t="shared" si="6"/>
        <v>0</v>
      </c>
      <c r="AE406" s="82"/>
      <c r="AF406" s="34"/>
    </row>
    <row r="407" spans="1:32" x14ac:dyDescent="0.25">
      <c r="A407" s="7" t="s">
        <v>4209</v>
      </c>
      <c r="B407" s="9">
        <v>4174844</v>
      </c>
      <c r="C407" s="70">
        <v>45541</v>
      </c>
      <c r="D407" s="70">
        <v>45541</v>
      </c>
      <c r="E407" s="73">
        <v>45544</v>
      </c>
      <c r="F407" s="9" t="s">
        <v>4292</v>
      </c>
      <c r="H407" s="9"/>
      <c r="I407" s="7" t="s">
        <v>4234</v>
      </c>
      <c r="J407" s="7" t="s">
        <v>109</v>
      </c>
      <c r="K407" s="7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33">
        <v>5293.5</v>
      </c>
      <c r="AB407" s="10"/>
      <c r="AC407" s="33">
        <v>5293.5</v>
      </c>
      <c r="AD407" s="10">
        <f t="shared" si="6"/>
        <v>0</v>
      </c>
      <c r="AE407" s="82"/>
      <c r="AF407" s="34"/>
    </row>
    <row r="408" spans="1:32" x14ac:dyDescent="0.25">
      <c r="A408" s="7" t="s">
        <v>4243</v>
      </c>
      <c r="B408" s="9">
        <v>4174845</v>
      </c>
      <c r="C408" s="70">
        <v>45544</v>
      </c>
      <c r="D408" s="70">
        <v>45544</v>
      </c>
      <c r="E408" s="73"/>
      <c r="F408" s="9"/>
      <c r="H408" s="9"/>
      <c r="I408" s="7" t="s">
        <v>4271</v>
      </c>
      <c r="J408" s="7" t="s">
        <v>18</v>
      </c>
      <c r="K408" s="7"/>
      <c r="L408" s="10">
        <v>151.09</v>
      </c>
      <c r="M408" s="10"/>
      <c r="N408" s="10"/>
      <c r="O408" s="10"/>
      <c r="P408" s="10"/>
      <c r="Q408" s="10"/>
      <c r="R408" s="10">
        <v>1259.06</v>
      </c>
      <c r="S408" s="10"/>
      <c r="T408" s="10"/>
      <c r="U408" s="10"/>
      <c r="V408" s="10"/>
      <c r="W408" s="10"/>
      <c r="X408" s="10"/>
      <c r="Y408" s="10"/>
      <c r="Z408" s="10"/>
      <c r="AA408" s="33"/>
      <c r="AB408" s="10"/>
      <c r="AC408" s="33">
        <v>1410.15</v>
      </c>
      <c r="AD408" s="10">
        <f t="shared" si="6"/>
        <v>0</v>
      </c>
      <c r="AE408" s="82"/>
      <c r="AF408" s="34"/>
    </row>
    <row r="409" spans="1:32" x14ac:dyDescent="0.25">
      <c r="A409" s="7" t="s">
        <v>4244</v>
      </c>
      <c r="B409" s="9">
        <v>4174846</v>
      </c>
      <c r="C409" s="70">
        <v>45544</v>
      </c>
      <c r="D409" s="70">
        <v>45544</v>
      </c>
      <c r="E409" s="73"/>
      <c r="F409" s="9"/>
      <c r="H409" s="9"/>
      <c r="I409" s="7" t="s">
        <v>4271</v>
      </c>
      <c r="J409" s="7" t="s">
        <v>18</v>
      </c>
      <c r="K409" s="7"/>
      <c r="L409" s="10">
        <v>811.09</v>
      </c>
      <c r="M409" s="10"/>
      <c r="N409" s="10"/>
      <c r="O409" s="10"/>
      <c r="P409" s="10"/>
      <c r="Q409" s="10"/>
      <c r="R409" s="10">
        <v>6759.06</v>
      </c>
      <c r="S409" s="10"/>
      <c r="T409" s="10"/>
      <c r="U409" s="10"/>
      <c r="V409" s="10"/>
      <c r="W409" s="10"/>
      <c r="X409" s="10"/>
      <c r="Y409" s="10"/>
      <c r="Z409" s="10"/>
      <c r="AA409" s="33"/>
      <c r="AB409" s="10"/>
      <c r="AC409" s="33">
        <v>7570.15</v>
      </c>
      <c r="AD409" s="10">
        <f t="shared" si="6"/>
        <v>0</v>
      </c>
      <c r="AE409" s="82"/>
      <c r="AF409" s="34"/>
    </row>
    <row r="410" spans="1:32" x14ac:dyDescent="0.25">
      <c r="A410" s="7" t="s">
        <v>4245</v>
      </c>
      <c r="B410" s="9">
        <v>4174847</v>
      </c>
      <c r="C410" s="70">
        <v>45570</v>
      </c>
      <c r="D410" s="70">
        <v>45544</v>
      </c>
      <c r="E410" s="73">
        <v>45573</v>
      </c>
      <c r="F410" s="9" t="s">
        <v>4360</v>
      </c>
      <c r="G410" s="9" t="s">
        <v>3599</v>
      </c>
      <c r="H410" s="9"/>
      <c r="I410" s="7" t="s">
        <v>4270</v>
      </c>
      <c r="J410" s="7" t="s">
        <v>83</v>
      </c>
      <c r="K410" s="7" t="s">
        <v>1336</v>
      </c>
      <c r="L410" s="10">
        <v>4457.1400000000003</v>
      </c>
      <c r="M410" s="10">
        <v>37142.86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33"/>
      <c r="AB410" s="10"/>
      <c r="AC410" s="33">
        <v>41600</v>
      </c>
      <c r="AD410" s="10">
        <f t="shared" si="6"/>
        <v>0</v>
      </c>
      <c r="AE410" s="82"/>
      <c r="AF410" s="34">
        <v>371.43</v>
      </c>
    </row>
    <row r="411" spans="1:32" x14ac:dyDescent="0.25">
      <c r="A411" s="7" t="s">
        <v>4246</v>
      </c>
      <c r="B411" s="9">
        <v>4174848</v>
      </c>
      <c r="C411" s="70">
        <v>45571</v>
      </c>
      <c r="D411" s="70">
        <v>45544</v>
      </c>
      <c r="E411" s="73">
        <v>45573</v>
      </c>
      <c r="F411" s="9" t="s">
        <v>4371</v>
      </c>
      <c r="G411" s="9" t="s">
        <v>3649</v>
      </c>
      <c r="H411" s="9"/>
      <c r="I411" s="7" t="s">
        <v>4269</v>
      </c>
      <c r="J411" s="7" t="s">
        <v>2043</v>
      </c>
      <c r="K411" s="7" t="s">
        <v>3645</v>
      </c>
      <c r="L411" s="10">
        <v>2501.79</v>
      </c>
      <c r="M411" s="10">
        <v>20848.21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33"/>
      <c r="AB411" s="10"/>
      <c r="AC411" s="33">
        <v>23350</v>
      </c>
      <c r="AD411" s="10">
        <f t="shared" si="6"/>
        <v>0</v>
      </c>
      <c r="AE411" s="82"/>
      <c r="AF411" s="34">
        <v>208.48</v>
      </c>
    </row>
    <row r="412" spans="1:32" x14ac:dyDescent="0.25">
      <c r="A412" s="7" t="s">
        <v>4247</v>
      </c>
      <c r="B412" s="9">
        <v>4174849</v>
      </c>
      <c r="C412" s="70">
        <v>45548</v>
      </c>
      <c r="D412" s="70">
        <v>45544</v>
      </c>
      <c r="E412" s="73"/>
      <c r="F412" s="9"/>
      <c r="H412" s="9"/>
      <c r="I412" s="7" t="s">
        <v>4272</v>
      </c>
      <c r="J412" s="7" t="s">
        <v>47</v>
      </c>
      <c r="K412" s="7"/>
      <c r="L412" s="10"/>
      <c r="M412" s="10">
        <v>37000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33"/>
      <c r="AB412" s="10"/>
      <c r="AC412" s="33">
        <v>37000</v>
      </c>
      <c r="AD412" s="10">
        <f t="shared" si="6"/>
        <v>0</v>
      </c>
      <c r="AE412" s="82"/>
      <c r="AF412" s="34"/>
    </row>
    <row r="413" spans="1:32" x14ac:dyDescent="0.25">
      <c r="A413" s="7" t="s">
        <v>4248</v>
      </c>
      <c r="B413" s="9">
        <v>4174850</v>
      </c>
      <c r="C413" s="70">
        <v>45545</v>
      </c>
      <c r="D413" s="70">
        <v>45545</v>
      </c>
      <c r="E413" s="73"/>
      <c r="F413" s="9"/>
      <c r="H413" s="9" t="s">
        <v>4288</v>
      </c>
      <c r="I413" s="7" t="s">
        <v>1174</v>
      </c>
      <c r="J413" s="7" t="s">
        <v>3667</v>
      </c>
      <c r="K413" s="7"/>
      <c r="L413" s="10"/>
      <c r="M413" s="10"/>
      <c r="N413" s="10"/>
      <c r="O413" s="10"/>
      <c r="P413" s="10"/>
      <c r="Q413" s="10"/>
      <c r="R413" s="10"/>
      <c r="S413" s="10"/>
      <c r="T413" s="10">
        <v>3964.31</v>
      </c>
      <c r="U413" s="10"/>
      <c r="V413" s="10"/>
      <c r="W413" s="10"/>
      <c r="X413" s="10"/>
      <c r="Y413" s="10"/>
      <c r="Z413" s="10"/>
      <c r="AA413" s="33"/>
      <c r="AB413" s="10"/>
      <c r="AC413" s="33">
        <v>3964.31</v>
      </c>
      <c r="AD413" s="10">
        <f t="shared" si="6"/>
        <v>0</v>
      </c>
      <c r="AE413" s="82"/>
      <c r="AF413" s="34"/>
    </row>
    <row r="414" spans="1:32" x14ac:dyDescent="0.25">
      <c r="A414" s="7" t="s">
        <v>4249</v>
      </c>
      <c r="B414" s="9" t="s">
        <v>4273</v>
      </c>
      <c r="C414" s="70">
        <v>45545</v>
      </c>
      <c r="D414" s="70">
        <v>45545</v>
      </c>
      <c r="E414" s="73">
        <v>45546</v>
      </c>
      <c r="F414" s="9" t="s">
        <v>4291</v>
      </c>
      <c r="H414" s="9"/>
      <c r="I414" s="7" t="s">
        <v>63</v>
      </c>
      <c r="J414" s="7" t="s">
        <v>109</v>
      </c>
      <c r="K414" s="7"/>
      <c r="L414" s="10"/>
      <c r="M414" s="10"/>
      <c r="N414" s="10">
        <v>49147.5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33"/>
      <c r="AB414" s="10"/>
      <c r="AC414" s="33">
        <v>49147.5</v>
      </c>
      <c r="AD414" s="10">
        <f t="shared" si="6"/>
        <v>0</v>
      </c>
      <c r="AE414" s="82"/>
      <c r="AF414" s="34"/>
    </row>
    <row r="415" spans="1:32" x14ac:dyDescent="0.25">
      <c r="A415" s="7" t="s">
        <v>4250</v>
      </c>
      <c r="B415" s="9" t="s">
        <v>4274</v>
      </c>
      <c r="C415" s="70">
        <v>45545</v>
      </c>
      <c r="D415" s="70">
        <v>45545</v>
      </c>
      <c r="E415" s="73">
        <v>45546</v>
      </c>
      <c r="F415" s="9" t="s">
        <v>4276</v>
      </c>
      <c r="G415" s="9" t="s">
        <v>3662</v>
      </c>
      <c r="H415" s="9"/>
      <c r="I415" s="7" t="s">
        <v>4275</v>
      </c>
      <c r="J415" s="7" t="s">
        <v>1999</v>
      </c>
      <c r="K415" s="7" t="s">
        <v>2271</v>
      </c>
      <c r="L415" s="10">
        <v>2475</v>
      </c>
      <c r="M415" s="10">
        <v>20625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33"/>
      <c r="AB415" s="10"/>
      <c r="AC415" s="33">
        <v>23100</v>
      </c>
      <c r="AD415" s="10">
        <f t="shared" si="6"/>
        <v>0</v>
      </c>
      <c r="AE415" s="82"/>
      <c r="AF415" s="34">
        <v>206.25</v>
      </c>
    </row>
    <row r="416" spans="1:32" x14ac:dyDescent="0.25">
      <c r="A416" s="7" t="s">
        <v>4251</v>
      </c>
      <c r="B416" s="9">
        <v>4174851</v>
      </c>
      <c r="C416" s="70">
        <v>45575</v>
      </c>
      <c r="D416" s="70">
        <v>45545</v>
      </c>
      <c r="E416" s="73">
        <v>45566</v>
      </c>
      <c r="F416" s="9" t="s">
        <v>4341</v>
      </c>
      <c r="G416" s="9" t="s">
        <v>3651</v>
      </c>
      <c r="H416" s="9"/>
      <c r="I416" s="7" t="s">
        <v>4278</v>
      </c>
      <c r="J416" s="7" t="s">
        <v>2687</v>
      </c>
      <c r="K416" s="7" t="s">
        <v>2688</v>
      </c>
      <c r="L416" s="10">
        <v>1151.79</v>
      </c>
      <c r="M416" s="10">
        <v>9598.2099999999991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33"/>
      <c r="AB416" s="10"/>
      <c r="AC416" s="33">
        <v>10750</v>
      </c>
      <c r="AD416" s="10">
        <f t="shared" si="6"/>
        <v>0</v>
      </c>
      <c r="AE416" s="82"/>
      <c r="AF416" s="34">
        <v>95.98</v>
      </c>
    </row>
    <row r="417" spans="1:32" x14ac:dyDescent="0.25">
      <c r="A417" s="7" t="s">
        <v>4252</v>
      </c>
      <c r="B417" s="9">
        <v>4174852</v>
      </c>
      <c r="C417" s="70">
        <v>45575</v>
      </c>
      <c r="D417" s="70">
        <v>45545</v>
      </c>
      <c r="E417" s="73">
        <v>45573</v>
      </c>
      <c r="F417" s="9" t="s">
        <v>4357</v>
      </c>
      <c r="G417" s="9" t="s">
        <v>3652</v>
      </c>
      <c r="H417" s="9"/>
      <c r="I417" s="7" t="s">
        <v>4277</v>
      </c>
      <c r="J417" s="7" t="s">
        <v>3527</v>
      </c>
      <c r="K417" s="7" t="s">
        <v>3530</v>
      </c>
      <c r="L417" s="10">
        <v>2571.4299999999998</v>
      </c>
      <c r="M417" s="10">
        <v>21428.57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33"/>
      <c r="AB417" s="10"/>
      <c r="AC417" s="33">
        <v>24000</v>
      </c>
      <c r="AD417" s="10">
        <f t="shared" si="6"/>
        <v>0</v>
      </c>
      <c r="AE417" s="82"/>
      <c r="AF417" s="34">
        <v>214.29</v>
      </c>
    </row>
    <row r="418" spans="1:32" x14ac:dyDescent="0.25">
      <c r="A418" s="7" t="s">
        <v>4253</v>
      </c>
      <c r="B418" s="9">
        <v>4174853</v>
      </c>
      <c r="C418" s="70">
        <v>45546</v>
      </c>
      <c r="D418" s="70">
        <v>45546</v>
      </c>
      <c r="E418" s="73"/>
      <c r="F418" s="9"/>
      <c r="H418" s="9"/>
      <c r="I418" s="7" t="s">
        <v>118</v>
      </c>
      <c r="J418" s="7" t="s">
        <v>1847</v>
      </c>
      <c r="K418" s="7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33">
        <v>36400</v>
      </c>
      <c r="AB418" s="10"/>
      <c r="AC418" s="33">
        <v>36400</v>
      </c>
      <c r="AD418" s="10">
        <f t="shared" si="6"/>
        <v>0</v>
      </c>
      <c r="AE418" s="82"/>
      <c r="AF418" s="34"/>
    </row>
    <row r="419" spans="1:32" x14ac:dyDescent="0.25">
      <c r="A419" s="7" t="s">
        <v>4254</v>
      </c>
      <c r="B419" s="9">
        <v>4174854</v>
      </c>
      <c r="C419" s="70">
        <v>45546</v>
      </c>
      <c r="D419" s="70">
        <v>45546</v>
      </c>
      <c r="E419" s="73"/>
      <c r="F419" s="9"/>
      <c r="H419" s="9"/>
      <c r="I419" s="7" t="s">
        <v>147</v>
      </c>
      <c r="J419" s="7" t="s">
        <v>39</v>
      </c>
      <c r="K419" s="7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33">
        <v>11818.75</v>
      </c>
      <c r="AB419" s="10"/>
      <c r="AC419" s="33">
        <v>11818.75</v>
      </c>
      <c r="AD419" s="10">
        <f t="shared" si="6"/>
        <v>0</v>
      </c>
      <c r="AE419" s="82"/>
      <c r="AF419" s="34"/>
    </row>
    <row r="420" spans="1:32" x14ac:dyDescent="0.25">
      <c r="A420" s="7" t="s">
        <v>4255</v>
      </c>
      <c r="B420" s="9">
        <v>4174855</v>
      </c>
      <c r="C420" s="70">
        <v>45546</v>
      </c>
      <c r="D420" s="70">
        <v>45546</v>
      </c>
      <c r="E420" s="73"/>
      <c r="F420" s="9"/>
      <c r="H420" s="9"/>
      <c r="I420" s="7" t="s">
        <v>118</v>
      </c>
      <c r="J420" s="7" t="s">
        <v>125</v>
      </c>
      <c r="K420" s="7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33">
        <v>14000</v>
      </c>
      <c r="AB420" s="10"/>
      <c r="AC420" s="33">
        <v>14000</v>
      </c>
      <c r="AD420" s="10">
        <f t="shared" si="6"/>
        <v>0</v>
      </c>
      <c r="AE420" s="82"/>
      <c r="AF420" s="34"/>
    </row>
    <row r="421" spans="1:32" x14ac:dyDescent="0.25">
      <c r="A421" s="7" t="s">
        <v>4256</v>
      </c>
      <c r="B421" s="9">
        <v>4174856</v>
      </c>
      <c r="C421" s="70">
        <v>45546</v>
      </c>
      <c r="D421" s="70">
        <v>45546</v>
      </c>
      <c r="E421" s="73"/>
      <c r="F421" s="9"/>
      <c r="H421" s="9"/>
      <c r="I421" s="7" t="s">
        <v>4185</v>
      </c>
      <c r="J421" s="7" t="s">
        <v>43</v>
      </c>
      <c r="K421" s="7"/>
      <c r="L421" s="10">
        <v>64.180000000000007</v>
      </c>
      <c r="M421" s="10"/>
      <c r="N421" s="10"/>
      <c r="O421" s="10"/>
      <c r="P421" s="10"/>
      <c r="Q421" s="10"/>
      <c r="R421" s="10"/>
      <c r="S421" s="10">
        <v>534.82000000000005</v>
      </c>
      <c r="T421" s="10"/>
      <c r="U421" s="10"/>
      <c r="V421" s="10"/>
      <c r="W421" s="10"/>
      <c r="X421" s="10"/>
      <c r="Y421" s="10"/>
      <c r="Z421" s="10"/>
      <c r="AA421" s="33"/>
      <c r="AB421" s="10"/>
      <c r="AC421" s="33">
        <v>599</v>
      </c>
      <c r="AD421" s="10">
        <f t="shared" si="6"/>
        <v>0</v>
      </c>
      <c r="AE421" s="82"/>
      <c r="AF421" s="34"/>
    </row>
    <row r="422" spans="1:32" x14ac:dyDescent="0.25">
      <c r="A422" s="7" t="s">
        <v>4257</v>
      </c>
      <c r="B422" s="9">
        <v>4174858</v>
      </c>
      <c r="C422" s="70">
        <v>45546</v>
      </c>
      <c r="D422" s="70">
        <v>45546</v>
      </c>
      <c r="E422" s="73"/>
      <c r="F422" s="9"/>
      <c r="H422" s="9"/>
      <c r="I422" s="7" t="s">
        <v>4185</v>
      </c>
      <c r="J422" s="7" t="s">
        <v>43</v>
      </c>
      <c r="K422" s="7"/>
      <c r="L422" s="10">
        <v>32.14</v>
      </c>
      <c r="M422" s="10"/>
      <c r="N422" s="10"/>
      <c r="O422" s="10"/>
      <c r="P422" s="10"/>
      <c r="Q422" s="10"/>
      <c r="R422" s="10"/>
      <c r="S422" s="10">
        <v>267.86</v>
      </c>
      <c r="T422" s="10"/>
      <c r="U422" s="10"/>
      <c r="V422" s="10"/>
      <c r="W422" s="10"/>
      <c r="X422" s="10"/>
      <c r="Y422" s="10"/>
      <c r="Z422" s="10"/>
      <c r="AA422" s="33"/>
      <c r="AB422" s="10"/>
      <c r="AC422" s="33">
        <v>300</v>
      </c>
      <c r="AD422" s="10">
        <f t="shared" si="6"/>
        <v>0</v>
      </c>
      <c r="AE422" s="82"/>
      <c r="AF422" s="34"/>
    </row>
    <row r="423" spans="1:32" x14ac:dyDescent="0.25">
      <c r="A423" s="7" t="s">
        <v>4258</v>
      </c>
      <c r="B423" s="9">
        <v>4174859</v>
      </c>
      <c r="C423" s="70">
        <v>45591</v>
      </c>
      <c r="D423" s="70">
        <v>45547</v>
      </c>
      <c r="E423" s="73"/>
      <c r="F423" s="9" t="s">
        <v>4282</v>
      </c>
      <c r="G423" s="9" t="s">
        <v>3664</v>
      </c>
      <c r="H423" s="9"/>
      <c r="I423" s="7" t="s">
        <v>4279</v>
      </c>
      <c r="J423" s="7" t="s">
        <v>1226</v>
      </c>
      <c r="K423" s="7" t="s">
        <v>2924</v>
      </c>
      <c r="L423" s="10">
        <v>2732.14</v>
      </c>
      <c r="M423" s="10">
        <v>22767.86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33"/>
      <c r="AB423" s="10"/>
      <c r="AC423" s="33"/>
      <c r="AD423" s="10">
        <f t="shared" si="6"/>
        <v>-25500</v>
      </c>
      <c r="AE423" s="82"/>
      <c r="AF423" s="34">
        <v>227.68</v>
      </c>
    </row>
    <row r="424" spans="1:32" x14ac:dyDescent="0.25">
      <c r="A424" s="7" t="s">
        <v>4259</v>
      </c>
      <c r="B424" s="9">
        <v>4174860</v>
      </c>
      <c r="C424" s="70">
        <v>45547</v>
      </c>
      <c r="D424" s="70">
        <v>45547</v>
      </c>
      <c r="E424" s="73"/>
      <c r="F424" s="9" t="s">
        <v>4281</v>
      </c>
      <c r="G424" s="9" t="s">
        <v>3665</v>
      </c>
      <c r="H424" s="9"/>
      <c r="I424" s="7" t="s">
        <v>4280</v>
      </c>
      <c r="J424" s="7" t="s">
        <v>1226</v>
      </c>
      <c r="K424" s="7" t="s">
        <v>2924</v>
      </c>
      <c r="L424" s="10">
        <v>5892.86</v>
      </c>
      <c r="M424" s="10">
        <v>49107.14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33"/>
      <c r="AB424" s="10"/>
      <c r="AC424" s="33"/>
      <c r="AD424" s="10">
        <f t="shared" si="6"/>
        <v>-55000</v>
      </c>
      <c r="AE424" s="82"/>
      <c r="AF424" s="34">
        <v>491.07</v>
      </c>
    </row>
    <row r="425" spans="1:32" x14ac:dyDescent="0.25">
      <c r="A425" s="7" t="s">
        <v>4260</v>
      </c>
      <c r="B425" s="9">
        <v>4174861</v>
      </c>
      <c r="C425" s="70">
        <v>45548</v>
      </c>
      <c r="D425" s="70">
        <v>45548</v>
      </c>
      <c r="E425" s="73"/>
      <c r="F425" s="9"/>
      <c r="G425" s="9" t="s">
        <v>3660</v>
      </c>
      <c r="H425" s="9"/>
      <c r="I425" s="7" t="s">
        <v>4293</v>
      </c>
      <c r="J425" s="7" t="s">
        <v>83</v>
      </c>
      <c r="K425" s="7" t="s">
        <v>1336</v>
      </c>
      <c r="L425" s="10">
        <v>257.14</v>
      </c>
      <c r="M425" s="10">
        <v>2142.86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33"/>
      <c r="AB425" s="10"/>
      <c r="AC425" s="33"/>
      <c r="AD425" s="10">
        <f t="shared" si="6"/>
        <v>-2400</v>
      </c>
      <c r="AE425" s="82"/>
      <c r="AF425" s="34">
        <v>3705</v>
      </c>
    </row>
    <row r="426" spans="1:32" x14ac:dyDescent="0.25">
      <c r="A426" s="7" t="s">
        <v>4260</v>
      </c>
      <c r="B426" s="9">
        <v>4174862</v>
      </c>
      <c r="C426" s="70">
        <v>45576</v>
      </c>
      <c r="D426" s="70">
        <v>45548</v>
      </c>
      <c r="E426" s="73">
        <v>45573</v>
      </c>
      <c r="F426" s="9" t="s">
        <v>4358</v>
      </c>
      <c r="G426" s="9" t="s">
        <v>3661</v>
      </c>
      <c r="H426" s="9"/>
      <c r="I426" s="7" t="s">
        <v>4294</v>
      </c>
      <c r="J426" s="7" t="s">
        <v>3527</v>
      </c>
      <c r="K426" s="7" t="s">
        <v>3530</v>
      </c>
      <c r="L426" s="10">
        <v>867.86</v>
      </c>
      <c r="M426" s="10">
        <v>7232.14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33"/>
      <c r="AB426" s="10"/>
      <c r="AC426" s="33">
        <v>8100</v>
      </c>
      <c r="AD426" s="10">
        <f t="shared" si="6"/>
        <v>0</v>
      </c>
      <c r="AE426" s="82"/>
      <c r="AF426" s="34">
        <v>72.319999999999993</v>
      </c>
    </row>
    <row r="427" spans="1:32" x14ac:dyDescent="0.25">
      <c r="A427" s="7" t="s">
        <v>4261</v>
      </c>
      <c r="B427" s="9">
        <v>4174863</v>
      </c>
      <c r="C427" s="70">
        <v>45548</v>
      </c>
      <c r="D427" s="70">
        <v>45548</v>
      </c>
      <c r="E427" s="73"/>
      <c r="F427" s="9"/>
      <c r="H427" s="9"/>
      <c r="I427" s="7" t="s">
        <v>4295</v>
      </c>
      <c r="J427" s="7" t="s">
        <v>46</v>
      </c>
      <c r="K427" s="7"/>
      <c r="L427" s="10">
        <v>161.68</v>
      </c>
      <c r="M427" s="10"/>
      <c r="N427" s="10"/>
      <c r="O427" s="10"/>
      <c r="P427" s="10"/>
      <c r="Q427" s="10"/>
      <c r="R427" s="10"/>
      <c r="S427" s="10">
        <v>1347.32</v>
      </c>
      <c r="T427" s="10"/>
      <c r="U427" s="10"/>
      <c r="V427" s="10"/>
      <c r="W427" s="10"/>
      <c r="X427" s="10"/>
      <c r="Y427" s="10"/>
      <c r="Z427" s="10"/>
      <c r="AA427" s="33"/>
      <c r="AB427" s="10"/>
      <c r="AC427" s="33">
        <v>1509</v>
      </c>
      <c r="AD427" s="10">
        <f t="shared" si="6"/>
        <v>0</v>
      </c>
      <c r="AE427" s="82"/>
      <c r="AF427" s="34"/>
    </row>
    <row r="428" spans="1:32" x14ac:dyDescent="0.25">
      <c r="A428" s="7" t="s">
        <v>4262</v>
      </c>
      <c r="B428" s="9">
        <v>4174864</v>
      </c>
      <c r="C428" s="70">
        <v>45548</v>
      </c>
      <c r="D428" s="70">
        <v>45548</v>
      </c>
      <c r="E428" s="73"/>
      <c r="F428" s="9"/>
      <c r="H428" s="9"/>
      <c r="I428" s="7" t="s">
        <v>4303</v>
      </c>
      <c r="J428" s="7" t="s">
        <v>46</v>
      </c>
      <c r="K428" s="7"/>
      <c r="L428" s="10">
        <v>107.04</v>
      </c>
      <c r="M428" s="10"/>
      <c r="N428" s="10"/>
      <c r="O428" s="10"/>
      <c r="P428" s="10"/>
      <c r="Q428" s="10"/>
      <c r="R428" s="10"/>
      <c r="S428" s="10">
        <v>891.96</v>
      </c>
      <c r="T428" s="10"/>
      <c r="U428" s="10"/>
      <c r="V428" s="10"/>
      <c r="W428" s="10"/>
      <c r="X428" s="10"/>
      <c r="Y428" s="10"/>
      <c r="Z428" s="10"/>
      <c r="AA428" s="33"/>
      <c r="AB428" s="10"/>
      <c r="AC428" s="33">
        <v>999</v>
      </c>
      <c r="AD428" s="10">
        <f t="shared" si="6"/>
        <v>0</v>
      </c>
      <c r="AE428" s="82"/>
      <c r="AF428" s="34"/>
    </row>
    <row r="429" spans="1:32" x14ac:dyDescent="0.25">
      <c r="A429" s="7" t="s">
        <v>4263</v>
      </c>
      <c r="B429" s="9">
        <v>4174865</v>
      </c>
      <c r="C429" s="70">
        <v>45548</v>
      </c>
      <c r="D429" s="70">
        <v>45548</v>
      </c>
      <c r="E429" s="73"/>
      <c r="F429" s="9"/>
      <c r="H429" s="9"/>
      <c r="I429" s="7" t="s">
        <v>4304</v>
      </c>
      <c r="J429" s="7" t="s">
        <v>46</v>
      </c>
      <c r="K429" s="7"/>
      <c r="L429" s="10">
        <v>107.04</v>
      </c>
      <c r="M429" s="10"/>
      <c r="N429" s="10"/>
      <c r="O429" s="10"/>
      <c r="P429" s="10"/>
      <c r="Q429" s="10"/>
      <c r="R429" s="10"/>
      <c r="S429" s="10">
        <v>891.96</v>
      </c>
      <c r="T429" s="10"/>
      <c r="U429" s="10"/>
      <c r="V429" s="10"/>
      <c r="W429" s="10"/>
      <c r="X429" s="10"/>
      <c r="Y429" s="10"/>
      <c r="Z429" s="10"/>
      <c r="AA429" s="33"/>
      <c r="AB429" s="10"/>
      <c r="AC429" s="33">
        <v>999</v>
      </c>
      <c r="AD429" s="10">
        <f t="shared" si="6"/>
        <v>0</v>
      </c>
      <c r="AE429" s="82"/>
      <c r="AF429" s="34"/>
    </row>
    <row r="430" spans="1:32" x14ac:dyDescent="0.25">
      <c r="A430" s="7" t="s">
        <v>4264</v>
      </c>
      <c r="B430" s="9">
        <v>4174866</v>
      </c>
      <c r="C430" s="70">
        <v>45548</v>
      </c>
      <c r="D430" s="70">
        <v>45548</v>
      </c>
      <c r="E430" s="73"/>
      <c r="F430" s="9"/>
      <c r="H430" s="9"/>
      <c r="I430" s="7" t="s">
        <v>4304</v>
      </c>
      <c r="J430" s="7" t="s">
        <v>46</v>
      </c>
      <c r="K430" s="7"/>
      <c r="L430" s="10">
        <v>107.04</v>
      </c>
      <c r="M430" s="10"/>
      <c r="N430" s="10"/>
      <c r="O430" s="10"/>
      <c r="P430" s="10"/>
      <c r="Q430" s="10"/>
      <c r="R430" s="10"/>
      <c r="S430" s="10">
        <v>891.96</v>
      </c>
      <c r="T430" s="10"/>
      <c r="U430" s="10"/>
      <c r="V430" s="10"/>
      <c r="W430" s="10"/>
      <c r="X430" s="10"/>
      <c r="Y430" s="10"/>
      <c r="Z430" s="10"/>
      <c r="AA430" s="33"/>
      <c r="AB430" s="10"/>
      <c r="AC430" s="33">
        <v>999</v>
      </c>
      <c r="AD430" s="10">
        <f t="shared" si="6"/>
        <v>0</v>
      </c>
      <c r="AE430" s="82"/>
      <c r="AF430" s="34"/>
    </row>
    <row r="431" spans="1:32" x14ac:dyDescent="0.25">
      <c r="A431" s="7" t="s">
        <v>4265</v>
      </c>
      <c r="B431" s="9" t="s">
        <v>4305</v>
      </c>
      <c r="C431" s="70">
        <v>45548</v>
      </c>
      <c r="D431" s="70">
        <v>45548</v>
      </c>
      <c r="E431" s="73">
        <v>45548</v>
      </c>
      <c r="F431" s="9" t="s">
        <v>4326</v>
      </c>
      <c r="G431" s="9" t="s">
        <v>3673</v>
      </c>
      <c r="H431" s="9"/>
      <c r="I431" s="7" t="s">
        <v>4308</v>
      </c>
      <c r="J431" s="7" t="s">
        <v>1999</v>
      </c>
      <c r="K431" s="7" t="s">
        <v>2271</v>
      </c>
      <c r="L431" s="10">
        <v>2603.5700000000002</v>
      </c>
      <c r="M431" s="10">
        <v>21696.43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33"/>
      <c r="AB431" s="10"/>
      <c r="AC431" s="33">
        <v>24300</v>
      </c>
      <c r="AD431" s="10">
        <f t="shared" si="6"/>
        <v>0</v>
      </c>
      <c r="AE431" s="82"/>
      <c r="AF431" s="34">
        <v>216.96</v>
      </c>
    </row>
    <row r="432" spans="1:32" x14ac:dyDescent="0.25">
      <c r="A432" s="7" t="s">
        <v>4266</v>
      </c>
      <c r="B432" s="9">
        <v>4174867</v>
      </c>
      <c r="C432" s="70">
        <v>45548</v>
      </c>
      <c r="D432" s="70">
        <v>45548</v>
      </c>
      <c r="E432" s="73"/>
      <c r="F432" s="9"/>
      <c r="H432" s="9"/>
      <c r="I432" s="7" t="s">
        <v>4306</v>
      </c>
      <c r="J432" s="7" t="s">
        <v>44</v>
      </c>
      <c r="K432" s="7"/>
      <c r="L432" s="10">
        <v>739.53</v>
      </c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>
        <v>6162.71</v>
      </c>
      <c r="Y432" s="10"/>
      <c r="Z432" s="10"/>
      <c r="AA432" s="33"/>
      <c r="AB432" s="10"/>
      <c r="AC432" s="33">
        <v>6902.24</v>
      </c>
      <c r="AD432" s="10">
        <f t="shared" si="6"/>
        <v>0</v>
      </c>
      <c r="AE432" s="82"/>
      <c r="AF432" s="34"/>
    </row>
    <row r="433" spans="1:32" x14ac:dyDescent="0.25">
      <c r="A433" s="7" t="s">
        <v>4267</v>
      </c>
      <c r="B433" s="9">
        <v>4174868</v>
      </c>
      <c r="C433" s="70">
        <v>45551</v>
      </c>
      <c r="D433" s="70">
        <v>45548</v>
      </c>
      <c r="E433" s="73">
        <v>45573</v>
      </c>
      <c r="F433" s="9" t="s">
        <v>4359</v>
      </c>
      <c r="G433" s="9" t="s">
        <v>3671</v>
      </c>
      <c r="H433" s="9"/>
      <c r="I433" s="7" t="s">
        <v>4293</v>
      </c>
      <c r="J433" s="7" t="s">
        <v>83</v>
      </c>
      <c r="K433" s="7" t="s">
        <v>1336</v>
      </c>
      <c r="L433" s="10">
        <v>257.14</v>
      </c>
      <c r="M433" s="10">
        <v>2142.86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33"/>
      <c r="AB433" s="10"/>
      <c r="AC433" s="33">
        <v>2400</v>
      </c>
      <c r="AD433" s="10">
        <f t="shared" si="6"/>
        <v>0</v>
      </c>
      <c r="AE433" s="82"/>
      <c r="AF433" s="34">
        <v>21.43</v>
      </c>
    </row>
    <row r="434" spans="1:32" x14ac:dyDescent="0.25">
      <c r="A434" s="7" t="s">
        <v>4268</v>
      </c>
      <c r="B434" s="9">
        <v>4174869</v>
      </c>
      <c r="C434" s="70">
        <v>45551</v>
      </c>
      <c r="D434" s="70">
        <v>45551</v>
      </c>
      <c r="E434" s="73"/>
      <c r="F434" s="9" t="s">
        <v>4307</v>
      </c>
      <c r="G434" s="9" t="s">
        <v>3672</v>
      </c>
      <c r="H434" s="9"/>
      <c r="I434" s="7" t="s">
        <v>4309</v>
      </c>
      <c r="J434" s="7" t="s">
        <v>109</v>
      </c>
      <c r="K434" s="7"/>
      <c r="L434" s="10"/>
      <c r="M434" s="10">
        <v>4297.5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33"/>
      <c r="AB434" s="10"/>
      <c r="AC434" s="33"/>
      <c r="AD434" s="10">
        <f t="shared" si="6"/>
        <v>-4297.5</v>
      </c>
      <c r="AE434" s="82"/>
      <c r="AF434" s="34"/>
    </row>
    <row r="435" spans="1:32" ht="15.75" customHeight="1" x14ac:dyDescent="0.25">
      <c r="A435" s="7" t="s">
        <v>4296</v>
      </c>
      <c r="B435" s="9">
        <v>4174870</v>
      </c>
      <c r="C435" s="70">
        <v>45582</v>
      </c>
      <c r="D435" s="70">
        <v>45551</v>
      </c>
      <c r="E435" s="73">
        <v>45551</v>
      </c>
      <c r="F435" s="9" t="s">
        <v>4310</v>
      </c>
      <c r="G435" s="9" t="s">
        <v>3663</v>
      </c>
      <c r="H435" s="9"/>
      <c r="I435" s="7" t="s">
        <v>1001</v>
      </c>
      <c r="J435" s="7" t="s">
        <v>2087</v>
      </c>
      <c r="K435" s="7" t="s">
        <v>2088</v>
      </c>
      <c r="L435" s="10">
        <v>11517.86</v>
      </c>
      <c r="M435" s="10">
        <v>95982.14</v>
      </c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33"/>
      <c r="AB435" s="10"/>
      <c r="AC435" s="33">
        <v>107500</v>
      </c>
      <c r="AD435" s="10">
        <f t="shared" si="6"/>
        <v>0</v>
      </c>
      <c r="AE435" s="82"/>
      <c r="AF435" s="34">
        <v>959.82</v>
      </c>
    </row>
    <row r="436" spans="1:32" x14ac:dyDescent="0.25">
      <c r="A436" s="7" t="s">
        <v>4297</v>
      </c>
      <c r="B436" s="9">
        <v>4174871</v>
      </c>
      <c r="C436" s="70">
        <v>45551</v>
      </c>
      <c r="D436" s="70">
        <v>45551</v>
      </c>
      <c r="E436" s="73"/>
      <c r="F436" s="9"/>
      <c r="H436" s="9"/>
      <c r="I436" s="7" t="s">
        <v>4319</v>
      </c>
      <c r="J436" s="7" t="s">
        <v>39</v>
      </c>
      <c r="K436" s="7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33">
        <v>11990</v>
      </c>
      <c r="AB436" s="10"/>
      <c r="AC436" s="33">
        <v>11990</v>
      </c>
      <c r="AD436" s="10">
        <f t="shared" si="6"/>
        <v>0</v>
      </c>
      <c r="AE436" s="82"/>
      <c r="AF436" s="34"/>
    </row>
    <row r="437" spans="1:32" x14ac:dyDescent="0.25">
      <c r="A437" s="7" t="s">
        <v>4298</v>
      </c>
      <c r="B437" s="9" t="s">
        <v>4312</v>
      </c>
      <c r="C437" s="70">
        <v>45551</v>
      </c>
      <c r="D437" s="70">
        <v>45551</v>
      </c>
      <c r="E437" s="73"/>
      <c r="F437" s="9"/>
      <c r="H437" s="9"/>
      <c r="I437" s="7" t="s">
        <v>55</v>
      </c>
      <c r="J437" s="7" t="s">
        <v>4313</v>
      </c>
      <c r="K437" s="7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>
        <v>400000</v>
      </c>
      <c r="AA437" s="33"/>
      <c r="AB437" s="10"/>
      <c r="AC437" s="33">
        <v>400000</v>
      </c>
      <c r="AD437" s="10">
        <f t="shared" si="6"/>
        <v>0</v>
      </c>
      <c r="AE437" s="82"/>
      <c r="AF437" s="34"/>
    </row>
    <row r="438" spans="1:32" x14ac:dyDescent="0.25">
      <c r="A438" s="7" t="s">
        <v>4299</v>
      </c>
      <c r="B438" s="9">
        <v>4174872</v>
      </c>
      <c r="C438" s="70">
        <v>45552</v>
      </c>
      <c r="D438" s="70">
        <v>45552</v>
      </c>
      <c r="E438" s="73"/>
      <c r="F438" s="9"/>
      <c r="H438" s="9" t="s">
        <v>4311</v>
      </c>
      <c r="I438" s="7" t="s">
        <v>2588</v>
      </c>
      <c r="J438" s="7" t="s">
        <v>3667</v>
      </c>
      <c r="K438" s="7"/>
      <c r="L438" s="10"/>
      <c r="M438" s="10"/>
      <c r="N438" s="10"/>
      <c r="O438" s="10"/>
      <c r="P438" s="10"/>
      <c r="Q438" s="10"/>
      <c r="R438" s="10"/>
      <c r="S438" s="10"/>
      <c r="T438" s="10">
        <v>12334</v>
      </c>
      <c r="U438" s="10"/>
      <c r="V438" s="10"/>
      <c r="W438" s="10"/>
      <c r="X438" s="10"/>
      <c r="Y438" s="10"/>
      <c r="Z438" s="10"/>
      <c r="AA438" s="33"/>
      <c r="AB438" s="10"/>
      <c r="AC438" s="33">
        <v>12334</v>
      </c>
      <c r="AD438" s="10">
        <f t="shared" si="6"/>
        <v>0</v>
      </c>
      <c r="AE438" s="82"/>
      <c r="AF438" s="34"/>
    </row>
    <row r="439" spans="1:32" ht="15" customHeight="1" x14ac:dyDescent="0.25">
      <c r="A439" s="7" t="s">
        <v>4300</v>
      </c>
      <c r="B439" s="9">
        <v>4174874</v>
      </c>
      <c r="C439" s="70">
        <v>45552</v>
      </c>
      <c r="D439" s="70">
        <v>45552</v>
      </c>
      <c r="E439" s="73">
        <v>45552</v>
      </c>
      <c r="F439" s="9" t="s">
        <v>4315</v>
      </c>
      <c r="H439" s="9"/>
      <c r="I439" s="7" t="s">
        <v>4320</v>
      </c>
      <c r="J439" s="7" t="s">
        <v>4314</v>
      </c>
      <c r="K439" s="100" t="s">
        <v>1372</v>
      </c>
      <c r="L439" s="10">
        <v>3428.46</v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33">
        <v>28570.54</v>
      </c>
      <c r="AB439" s="10"/>
      <c r="AC439" s="33">
        <v>31999</v>
      </c>
      <c r="AD439" s="10">
        <f t="shared" si="6"/>
        <v>0</v>
      </c>
      <c r="AE439" s="82"/>
      <c r="AF439" s="34"/>
    </row>
    <row r="440" spans="1:32" x14ac:dyDescent="0.25">
      <c r="A440" s="7" t="s">
        <v>4301</v>
      </c>
      <c r="B440" s="9">
        <v>4174873</v>
      </c>
      <c r="C440" s="70">
        <v>45552</v>
      </c>
      <c r="D440" s="70">
        <v>45552</v>
      </c>
      <c r="E440" s="73">
        <v>45560</v>
      </c>
      <c r="F440" s="9" t="s">
        <v>4329</v>
      </c>
      <c r="H440" s="9"/>
      <c r="I440" s="7" t="s">
        <v>4321</v>
      </c>
      <c r="J440" s="7" t="s">
        <v>127</v>
      </c>
      <c r="K440" s="7"/>
      <c r="L440" s="10">
        <v>600.69000000000005</v>
      </c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33">
        <v>5005.71</v>
      </c>
      <c r="AB440" s="10"/>
      <c r="AC440" s="33">
        <v>5606.4</v>
      </c>
      <c r="AD440" s="10">
        <f>SUM(AB440:AC440)-SUM(L440:AA440)</f>
        <v>0</v>
      </c>
      <c r="AE440" s="82"/>
      <c r="AF440" s="34"/>
    </row>
    <row r="441" spans="1:32" x14ac:dyDescent="0.25">
      <c r="A441" s="7" t="s">
        <v>4302</v>
      </c>
      <c r="B441" s="9">
        <v>4174874</v>
      </c>
      <c r="C441" s="70">
        <v>45555</v>
      </c>
      <c r="D441" s="70">
        <v>45555</v>
      </c>
      <c r="E441" s="73"/>
      <c r="F441" s="9"/>
      <c r="H441" s="9" t="s">
        <v>4325</v>
      </c>
      <c r="I441" s="7" t="s">
        <v>1174</v>
      </c>
      <c r="J441" s="7" t="s">
        <v>3667</v>
      </c>
      <c r="K441" s="7"/>
      <c r="L441" s="10"/>
      <c r="M441" s="10"/>
      <c r="N441" s="10"/>
      <c r="O441" s="10"/>
      <c r="P441" s="10"/>
      <c r="Q441" s="10"/>
      <c r="R441" s="10"/>
      <c r="S441" s="10"/>
      <c r="T441" s="10">
        <v>10727.74</v>
      </c>
      <c r="U441" s="10"/>
      <c r="V441" s="10"/>
      <c r="W441" s="10"/>
      <c r="X441" s="10"/>
      <c r="Y441" s="10"/>
      <c r="Z441" s="10"/>
      <c r="AA441" s="33"/>
      <c r="AB441" s="10"/>
      <c r="AC441" s="33">
        <v>10727.74</v>
      </c>
      <c r="AD441" s="10">
        <f t="shared" si="6"/>
        <v>0</v>
      </c>
      <c r="AE441" s="82"/>
      <c r="AF441" s="34"/>
    </row>
    <row r="442" spans="1:32" x14ac:dyDescent="0.25">
      <c r="A442" s="7" t="s">
        <v>4316</v>
      </c>
      <c r="B442" s="9">
        <v>4174875</v>
      </c>
      <c r="C442" s="70">
        <v>45555</v>
      </c>
      <c r="D442" s="70">
        <v>45555</v>
      </c>
      <c r="E442" s="73"/>
      <c r="F442" s="9"/>
      <c r="H442" s="9"/>
      <c r="I442" s="7" t="s">
        <v>3979</v>
      </c>
      <c r="J442" s="7" t="s">
        <v>46</v>
      </c>
      <c r="K442" s="7"/>
      <c r="L442" s="10">
        <v>1342.93</v>
      </c>
      <c r="M442" s="10"/>
      <c r="N442" s="10"/>
      <c r="O442" s="10"/>
      <c r="P442" s="10"/>
      <c r="Q442" s="10"/>
      <c r="R442" s="10"/>
      <c r="S442" s="10"/>
      <c r="T442" s="10">
        <v>11191.07</v>
      </c>
      <c r="U442" s="10"/>
      <c r="V442" s="10"/>
      <c r="W442" s="10"/>
      <c r="X442" s="10"/>
      <c r="Y442" s="10"/>
      <c r="Z442" s="10"/>
      <c r="AA442" s="33"/>
      <c r="AB442" s="10"/>
      <c r="AC442" s="10">
        <v>12534</v>
      </c>
      <c r="AD442" s="10">
        <f t="shared" si="6"/>
        <v>0</v>
      </c>
      <c r="AE442" s="82"/>
      <c r="AF442" s="34">
        <v>223.85</v>
      </c>
    </row>
    <row r="443" spans="1:32" x14ac:dyDescent="0.25">
      <c r="A443" s="7" t="s">
        <v>4317</v>
      </c>
      <c r="B443" s="9" t="s">
        <v>4323</v>
      </c>
      <c r="C443" s="70">
        <v>45558</v>
      </c>
      <c r="D443" s="70">
        <v>45555</v>
      </c>
      <c r="E443" s="73"/>
      <c r="F443" s="9" t="s">
        <v>4354</v>
      </c>
      <c r="G443" s="9" t="s">
        <v>3682</v>
      </c>
      <c r="H443" s="9"/>
      <c r="I443" s="7" t="s">
        <v>4324</v>
      </c>
      <c r="J443" s="7" t="s">
        <v>1999</v>
      </c>
      <c r="K443" s="7" t="s">
        <v>2271</v>
      </c>
      <c r="L443" s="10">
        <v>3278.57</v>
      </c>
      <c r="M443" s="10">
        <v>27321.43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33"/>
      <c r="AB443" s="10"/>
      <c r="AC443" s="10">
        <v>30600</v>
      </c>
      <c r="AD443" s="10">
        <f t="shared" si="6"/>
        <v>0</v>
      </c>
      <c r="AE443" s="82"/>
      <c r="AF443" s="34">
        <v>273.20999999999998</v>
      </c>
    </row>
    <row r="444" spans="1:32" x14ac:dyDescent="0.25">
      <c r="A444" s="7" t="s">
        <v>4327</v>
      </c>
      <c r="B444" s="9">
        <v>4174878</v>
      </c>
      <c r="C444" s="70">
        <v>45602</v>
      </c>
      <c r="D444" s="70">
        <v>45559</v>
      </c>
      <c r="E444" s="73">
        <v>45561</v>
      </c>
      <c r="F444" s="45" t="s">
        <v>48</v>
      </c>
      <c r="G444" s="45" t="s">
        <v>48</v>
      </c>
      <c r="H444" s="9"/>
      <c r="I444" s="7" t="s">
        <v>1131</v>
      </c>
      <c r="J444" s="7" t="s">
        <v>1226</v>
      </c>
      <c r="K444" s="7" t="s">
        <v>2924</v>
      </c>
      <c r="L444" s="10">
        <v>9107.14</v>
      </c>
      <c r="M444" s="10">
        <v>75892.86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33"/>
      <c r="AB444" s="10"/>
      <c r="AC444" s="33">
        <v>85000</v>
      </c>
      <c r="AD444" s="10">
        <f t="shared" si="6"/>
        <v>0</v>
      </c>
      <c r="AE444" s="82" t="s">
        <v>4467</v>
      </c>
      <c r="AF444" s="34">
        <v>758.93</v>
      </c>
    </row>
    <row r="445" spans="1:32" x14ac:dyDescent="0.25">
      <c r="A445" s="7" t="s">
        <v>4328</v>
      </c>
      <c r="B445" s="9">
        <v>266707</v>
      </c>
      <c r="C445" s="70">
        <v>45559</v>
      </c>
      <c r="D445" s="70">
        <v>45559</v>
      </c>
      <c r="E445" s="73"/>
      <c r="F445" s="9"/>
      <c r="H445" s="9"/>
      <c r="I445" s="7" t="s">
        <v>64</v>
      </c>
      <c r="J445" s="7" t="s">
        <v>2855</v>
      </c>
      <c r="K445" s="7"/>
      <c r="L445" s="10"/>
      <c r="M445" s="10"/>
      <c r="N445" s="10"/>
      <c r="O445" s="10"/>
      <c r="P445" s="10">
        <v>217000</v>
      </c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33"/>
      <c r="AB445" s="10"/>
      <c r="AC445" s="10">
        <v>217000</v>
      </c>
      <c r="AD445" s="10">
        <f t="shared" si="6"/>
        <v>0</v>
      </c>
      <c r="AE445" s="82"/>
      <c r="AF445" s="34"/>
    </row>
    <row r="446" spans="1:32" x14ac:dyDescent="0.25">
      <c r="A446" s="7" t="s">
        <v>4330</v>
      </c>
      <c r="B446" s="9">
        <v>227467</v>
      </c>
      <c r="C446" s="70">
        <v>45562</v>
      </c>
      <c r="D446" s="70">
        <v>45560</v>
      </c>
      <c r="E446" s="73">
        <v>45565</v>
      </c>
      <c r="F446" s="9" t="s">
        <v>4340</v>
      </c>
      <c r="G446" s="9" t="s">
        <v>3685</v>
      </c>
      <c r="H446" s="9"/>
      <c r="I446" s="7" t="s">
        <v>4334</v>
      </c>
      <c r="J446" s="7" t="s">
        <v>1999</v>
      </c>
      <c r="K446" s="7" t="s">
        <v>2271</v>
      </c>
      <c r="L446" s="10">
        <v>12937.5</v>
      </c>
      <c r="M446" s="10">
        <v>107812.5</v>
      </c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33"/>
      <c r="AB446" s="10"/>
      <c r="AC446" s="33">
        <v>120750</v>
      </c>
      <c r="AD446" s="10">
        <f t="shared" si="6"/>
        <v>0</v>
      </c>
      <c r="AE446" s="82"/>
      <c r="AF446" s="34">
        <v>1078.1300000000001</v>
      </c>
    </row>
    <row r="447" spans="1:32" x14ac:dyDescent="0.25">
      <c r="A447" s="7" t="s">
        <v>4331</v>
      </c>
      <c r="B447" s="9">
        <v>4174876</v>
      </c>
      <c r="C447" s="70">
        <v>45565</v>
      </c>
      <c r="D447" s="70">
        <v>45562</v>
      </c>
      <c r="E447" s="73"/>
      <c r="F447" s="9"/>
      <c r="H447" s="9"/>
      <c r="I447" s="7" t="s">
        <v>118</v>
      </c>
      <c r="J447" s="7" t="s">
        <v>1847</v>
      </c>
      <c r="K447" s="7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33">
        <v>25200</v>
      </c>
      <c r="AB447" s="10"/>
      <c r="AC447" s="33">
        <v>25200</v>
      </c>
      <c r="AD447" s="10">
        <f t="shared" si="6"/>
        <v>0</v>
      </c>
      <c r="AE447" s="82"/>
      <c r="AF447" s="34"/>
    </row>
    <row r="448" spans="1:32" x14ac:dyDescent="0.25">
      <c r="A448" s="7" t="s">
        <v>4318</v>
      </c>
      <c r="B448" s="9">
        <v>4174877</v>
      </c>
      <c r="C448" s="70">
        <v>45565</v>
      </c>
      <c r="D448" s="70">
        <v>45562</v>
      </c>
      <c r="E448" s="73"/>
      <c r="F448" s="9"/>
      <c r="H448" s="9"/>
      <c r="I448" s="7" t="s">
        <v>118</v>
      </c>
      <c r="J448" s="7" t="s">
        <v>1847</v>
      </c>
      <c r="K448" s="7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33">
        <v>27000</v>
      </c>
      <c r="AB448" s="10"/>
      <c r="AC448" s="33">
        <v>27000</v>
      </c>
      <c r="AD448" s="10">
        <f t="shared" ref="AD448:AD510" si="7">SUM(AB448:AC448)-SUM(L448:AA448)</f>
        <v>0</v>
      </c>
      <c r="AE448" s="82"/>
      <c r="AF448" s="34"/>
    </row>
    <row r="449" spans="1:32" x14ac:dyDescent="0.25">
      <c r="A449" s="7" t="s">
        <v>4332</v>
      </c>
      <c r="B449" s="9">
        <v>4174881</v>
      </c>
      <c r="C449" s="70">
        <v>45605</v>
      </c>
      <c r="D449" s="70">
        <v>45559</v>
      </c>
      <c r="E449" s="73">
        <v>45569</v>
      </c>
      <c r="F449" s="9" t="s">
        <v>4375</v>
      </c>
      <c r="G449" s="9" t="s">
        <v>3683</v>
      </c>
      <c r="H449" s="9"/>
      <c r="I449" s="7" t="s">
        <v>1131</v>
      </c>
      <c r="J449" s="7" t="s">
        <v>1226</v>
      </c>
      <c r="K449" s="7" t="s">
        <v>2924</v>
      </c>
      <c r="L449" s="10">
        <v>10178.57</v>
      </c>
      <c r="M449" s="10">
        <v>84821.43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33"/>
      <c r="AB449" s="10"/>
      <c r="AC449" s="33">
        <v>95000</v>
      </c>
      <c r="AD449" s="10">
        <f t="shared" si="7"/>
        <v>0</v>
      </c>
      <c r="AE449" s="82"/>
      <c r="AF449" s="34">
        <v>848.21</v>
      </c>
    </row>
    <row r="450" spans="1:32" x14ac:dyDescent="0.25">
      <c r="A450" s="7" t="s">
        <v>4333</v>
      </c>
      <c r="B450" s="9">
        <v>4174882</v>
      </c>
      <c r="C450" s="70">
        <v>45590</v>
      </c>
      <c r="D450" s="70">
        <v>45560</v>
      </c>
      <c r="E450" s="73">
        <v>45573</v>
      </c>
      <c r="F450" s="9" t="s">
        <v>4356</v>
      </c>
      <c r="G450" s="9" t="s">
        <v>3684</v>
      </c>
      <c r="H450" s="9"/>
      <c r="I450" s="7" t="s">
        <v>4335</v>
      </c>
      <c r="J450" s="7" t="s">
        <v>3527</v>
      </c>
      <c r="K450" s="7" t="s">
        <v>3530</v>
      </c>
      <c r="L450" s="10">
        <v>866.79</v>
      </c>
      <c r="M450" s="10">
        <v>7223.21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33"/>
      <c r="AB450" s="10"/>
      <c r="AC450" s="33">
        <v>8090</v>
      </c>
      <c r="AD450" s="10">
        <f t="shared" si="7"/>
        <v>0</v>
      </c>
      <c r="AE450" s="82"/>
      <c r="AF450" s="34">
        <v>72.23</v>
      </c>
    </row>
    <row r="451" spans="1:32" x14ac:dyDescent="0.25">
      <c r="A451" s="7" t="s">
        <v>4353</v>
      </c>
      <c r="B451" s="9">
        <v>4174879</v>
      </c>
      <c r="C451" s="70">
        <v>45565</v>
      </c>
      <c r="D451" s="70">
        <v>45562</v>
      </c>
      <c r="E451" s="73"/>
      <c r="F451" s="9"/>
      <c r="H451" s="9"/>
      <c r="I451" s="7" t="s">
        <v>4337</v>
      </c>
      <c r="J451" s="7" t="s">
        <v>4336</v>
      </c>
      <c r="K451" s="7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33">
        <v>5000</v>
      </c>
      <c r="AB451" s="10"/>
      <c r="AC451" s="33">
        <v>5000</v>
      </c>
      <c r="AD451" s="10">
        <f t="shared" si="7"/>
        <v>0</v>
      </c>
      <c r="AE451" s="82"/>
      <c r="AF451" s="34"/>
    </row>
    <row r="452" spans="1:32" x14ac:dyDescent="0.25">
      <c r="A452" s="7" t="s">
        <v>4330</v>
      </c>
      <c r="B452" s="9">
        <v>4174883</v>
      </c>
      <c r="C452" s="70">
        <v>45562</v>
      </c>
      <c r="D452" s="70">
        <v>45562</v>
      </c>
      <c r="E452" s="73">
        <v>45573</v>
      </c>
      <c r="F452" s="9" t="s">
        <v>4370</v>
      </c>
      <c r="G452" s="9" t="s">
        <v>3677</v>
      </c>
      <c r="H452" s="9"/>
      <c r="I452" s="7" t="s">
        <v>4338</v>
      </c>
      <c r="J452" s="7" t="s">
        <v>83</v>
      </c>
      <c r="K452" s="7" t="s">
        <v>1336</v>
      </c>
      <c r="L452" s="10">
        <v>385.71</v>
      </c>
      <c r="M452" s="10">
        <v>3214.29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33"/>
      <c r="AB452" s="10"/>
      <c r="AC452" s="33">
        <v>3600</v>
      </c>
      <c r="AD452" s="10">
        <f t="shared" si="7"/>
        <v>0</v>
      </c>
      <c r="AE452" s="82"/>
      <c r="AF452" s="34">
        <v>32.14</v>
      </c>
    </row>
    <row r="453" spans="1:32" x14ac:dyDescent="0.25">
      <c r="A453" s="7" t="s">
        <v>4339</v>
      </c>
      <c r="B453" s="9">
        <v>227468</v>
      </c>
      <c r="C453" s="70">
        <v>45565</v>
      </c>
      <c r="D453" s="70">
        <v>45565</v>
      </c>
      <c r="E453" s="73"/>
      <c r="F453" s="9"/>
      <c r="H453" s="9"/>
      <c r="I453" s="7" t="s">
        <v>55</v>
      </c>
      <c r="J453" s="7" t="s">
        <v>54</v>
      </c>
      <c r="K453" s="7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>
        <v>400000</v>
      </c>
      <c r="AA453" s="33"/>
      <c r="AB453" s="10"/>
      <c r="AC453" s="10">
        <v>400000</v>
      </c>
      <c r="AD453" s="10">
        <f t="shared" si="7"/>
        <v>0</v>
      </c>
      <c r="AE453" s="82"/>
      <c r="AF453" s="34"/>
    </row>
    <row r="454" spans="1:32" s="39" customFormat="1" x14ac:dyDescent="0.25">
      <c r="A454" s="20"/>
      <c r="B454" s="19"/>
      <c r="C454" s="72"/>
      <c r="D454" s="72"/>
      <c r="E454" s="77"/>
      <c r="F454" s="19"/>
      <c r="G454" s="19"/>
      <c r="H454" s="19"/>
      <c r="I454" s="20"/>
      <c r="J454" s="20"/>
      <c r="K454" s="20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32"/>
      <c r="AB454" s="22"/>
      <c r="AC454" s="22"/>
      <c r="AD454" s="22"/>
      <c r="AE454" s="96"/>
      <c r="AF454" s="35"/>
    </row>
    <row r="455" spans="1:32" s="39" customFormat="1" x14ac:dyDescent="0.25">
      <c r="A455" s="25">
        <v>45566</v>
      </c>
      <c r="B455" s="19"/>
      <c r="C455" s="72"/>
      <c r="D455" s="72"/>
      <c r="E455" s="77"/>
      <c r="F455" s="19"/>
      <c r="G455" s="19"/>
      <c r="H455" s="19"/>
      <c r="I455" s="20"/>
      <c r="J455" s="20"/>
      <c r="K455" s="20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32"/>
      <c r="AB455" s="22"/>
      <c r="AC455" s="22"/>
      <c r="AD455" s="22"/>
      <c r="AE455" s="96"/>
      <c r="AF455" s="35"/>
    </row>
    <row r="456" spans="1:32" x14ac:dyDescent="0.25">
      <c r="A456" s="7"/>
      <c r="C456" s="70"/>
      <c r="D456" s="70"/>
      <c r="E456" s="73"/>
      <c r="F456" s="9"/>
      <c r="H456" s="9"/>
      <c r="I456" s="7" t="s">
        <v>4355</v>
      </c>
      <c r="J456" s="7" t="s">
        <v>132</v>
      </c>
      <c r="K456" s="26"/>
      <c r="L456" s="10"/>
      <c r="M456" s="10"/>
      <c r="N456" s="10"/>
      <c r="O456" s="10"/>
      <c r="P456" s="10"/>
      <c r="Q456" s="10">
        <v>67084.259999999995</v>
      </c>
      <c r="R456" s="10"/>
      <c r="S456" s="10"/>
      <c r="T456" s="10"/>
      <c r="U456" s="10"/>
      <c r="V456" s="10"/>
      <c r="W456" s="10"/>
      <c r="X456" s="10"/>
      <c r="Y456" s="10"/>
      <c r="Z456" s="10"/>
      <c r="AA456" s="33"/>
      <c r="AB456" s="10"/>
      <c r="AC456" s="33">
        <v>67084.259999999995</v>
      </c>
      <c r="AD456" s="10">
        <f>SUM(AB456:AC456)-SUM(L456:AA456)</f>
        <v>0</v>
      </c>
      <c r="AE456" s="82" t="s">
        <v>133</v>
      </c>
    </row>
    <row r="457" spans="1:32" x14ac:dyDescent="0.25">
      <c r="A457" s="7" t="s">
        <v>4342</v>
      </c>
      <c r="B457" s="9">
        <v>4174884</v>
      </c>
      <c r="C457" s="70">
        <v>45567</v>
      </c>
      <c r="D457" s="70">
        <v>45567</v>
      </c>
      <c r="E457" s="73"/>
      <c r="F457" s="9"/>
      <c r="H457" s="9" t="s">
        <v>4343</v>
      </c>
      <c r="I457" s="7" t="s">
        <v>1174</v>
      </c>
      <c r="J457" s="7" t="s">
        <v>3667</v>
      </c>
      <c r="K457" s="7"/>
      <c r="L457" s="10"/>
      <c r="M457" s="10"/>
      <c r="N457" s="10"/>
      <c r="O457" s="10"/>
      <c r="P457" s="10"/>
      <c r="Q457" s="10"/>
      <c r="R457" s="10"/>
      <c r="S457" s="10"/>
      <c r="T457" s="10">
        <v>5688.42</v>
      </c>
      <c r="U457" s="10"/>
      <c r="V457" s="10"/>
      <c r="W457" s="10"/>
      <c r="X457" s="10"/>
      <c r="Y457" s="10"/>
      <c r="Z457" s="10"/>
      <c r="AA457" s="33"/>
      <c r="AB457" s="10"/>
      <c r="AC457" s="10">
        <v>5688.42</v>
      </c>
      <c r="AD457" s="10">
        <f t="shared" si="7"/>
        <v>0</v>
      </c>
      <c r="AE457" s="82"/>
      <c r="AF457" s="34"/>
    </row>
    <row r="458" spans="1:32" x14ac:dyDescent="0.25">
      <c r="A458" s="7" t="s">
        <v>4344</v>
      </c>
      <c r="B458" s="9">
        <v>4174889</v>
      </c>
      <c r="C458" s="70">
        <v>45572</v>
      </c>
      <c r="D458" s="70">
        <v>45572</v>
      </c>
      <c r="E458" s="73"/>
      <c r="F458" s="9"/>
      <c r="H458" s="9" t="s">
        <v>4345</v>
      </c>
      <c r="I458" s="7" t="s">
        <v>1174</v>
      </c>
      <c r="J458" s="7" t="s">
        <v>3667</v>
      </c>
      <c r="K458" s="7"/>
      <c r="L458" s="10"/>
      <c r="M458" s="10"/>
      <c r="N458" s="10"/>
      <c r="O458" s="10"/>
      <c r="P458" s="10"/>
      <c r="Q458" s="10"/>
      <c r="R458" s="10"/>
      <c r="S458" s="10"/>
      <c r="T458" s="10">
        <v>16661</v>
      </c>
      <c r="U458" s="10"/>
      <c r="V458" s="10"/>
      <c r="W458" s="10"/>
      <c r="X458" s="10"/>
      <c r="Y458" s="10"/>
      <c r="Z458" s="10"/>
      <c r="AA458" s="33"/>
      <c r="AB458" s="10"/>
      <c r="AC458" s="10">
        <v>16661</v>
      </c>
      <c r="AD458" s="10">
        <f t="shared" si="7"/>
        <v>0</v>
      </c>
      <c r="AE458" s="82"/>
      <c r="AF458" s="34"/>
    </row>
    <row r="459" spans="1:32" x14ac:dyDescent="0.25">
      <c r="A459" s="7" t="s">
        <v>4347</v>
      </c>
      <c r="B459" s="9">
        <v>4174887</v>
      </c>
      <c r="C459" s="70">
        <v>45572</v>
      </c>
      <c r="D459" s="70">
        <v>45572</v>
      </c>
      <c r="E459" s="73"/>
      <c r="F459" s="9"/>
      <c r="H459" s="9"/>
      <c r="I459" s="7" t="s">
        <v>4346</v>
      </c>
      <c r="J459" s="7" t="s">
        <v>43</v>
      </c>
      <c r="K459" s="7"/>
      <c r="L459" s="10">
        <v>64.180000000000007</v>
      </c>
      <c r="M459" s="10">
        <v>534.82000000000005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33"/>
      <c r="AB459" s="10"/>
      <c r="AC459" s="33">
        <v>599</v>
      </c>
      <c r="AD459" s="10">
        <f t="shared" si="7"/>
        <v>0</v>
      </c>
      <c r="AE459" s="82"/>
      <c r="AF459" s="34"/>
    </row>
    <row r="460" spans="1:32" x14ac:dyDescent="0.25">
      <c r="A460" s="7" t="s">
        <v>4348</v>
      </c>
      <c r="B460" s="9">
        <v>4174888</v>
      </c>
      <c r="C460" s="70">
        <v>45572</v>
      </c>
      <c r="D460" s="70">
        <v>45572</v>
      </c>
      <c r="E460" s="73"/>
      <c r="F460" s="9"/>
      <c r="H460" s="9"/>
      <c r="I460" s="7" t="s">
        <v>4346</v>
      </c>
      <c r="J460" s="7" t="s">
        <v>43</v>
      </c>
      <c r="K460" s="7"/>
      <c r="L460" s="10">
        <v>32.14</v>
      </c>
      <c r="M460" s="10">
        <v>267.86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33"/>
      <c r="AB460" s="10"/>
      <c r="AC460" s="33">
        <v>300</v>
      </c>
      <c r="AD460" s="10">
        <f t="shared" si="7"/>
        <v>0</v>
      </c>
      <c r="AE460" s="82"/>
      <c r="AF460" s="34"/>
    </row>
    <row r="461" spans="1:32" x14ac:dyDescent="0.25">
      <c r="A461" s="7" t="s">
        <v>4349</v>
      </c>
      <c r="B461" s="9">
        <v>4174885</v>
      </c>
      <c r="C461" s="70">
        <v>45598</v>
      </c>
      <c r="D461" s="70">
        <v>45572</v>
      </c>
      <c r="E461" s="73">
        <v>45601</v>
      </c>
      <c r="F461" s="9" t="s">
        <v>4456</v>
      </c>
      <c r="G461" s="9" t="s">
        <v>3687</v>
      </c>
      <c r="H461" s="9"/>
      <c r="I461" s="7" t="s">
        <v>4350</v>
      </c>
      <c r="J461" s="7" t="s">
        <v>83</v>
      </c>
      <c r="K461" s="7" t="s">
        <v>1336</v>
      </c>
      <c r="L461" s="10">
        <v>6685.71</v>
      </c>
      <c r="M461" s="10">
        <v>55714.29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33"/>
      <c r="AB461" s="10"/>
      <c r="AC461" s="33">
        <v>62400</v>
      </c>
      <c r="AD461" s="10">
        <f t="shared" si="7"/>
        <v>0</v>
      </c>
      <c r="AE461" s="82"/>
      <c r="AF461" s="34">
        <v>557.14</v>
      </c>
    </row>
    <row r="462" spans="1:32" x14ac:dyDescent="0.25">
      <c r="A462" s="7" t="s">
        <v>4352</v>
      </c>
      <c r="B462" s="9">
        <v>4174886</v>
      </c>
      <c r="C462" s="70">
        <v>45598</v>
      </c>
      <c r="D462" s="70">
        <v>45569</v>
      </c>
      <c r="E462" s="73">
        <v>45601</v>
      </c>
      <c r="F462" s="9" t="s">
        <v>4455</v>
      </c>
      <c r="G462" s="9" t="s">
        <v>3599</v>
      </c>
      <c r="H462" s="9"/>
      <c r="I462" s="7" t="s">
        <v>4351</v>
      </c>
      <c r="J462" s="7" t="s">
        <v>83</v>
      </c>
      <c r="K462" s="7" t="s">
        <v>1336</v>
      </c>
      <c r="L462" s="10">
        <v>40114.29</v>
      </c>
      <c r="M462" s="10">
        <v>334285.71000000002</v>
      </c>
      <c r="N462" s="10"/>
      <c r="O462" s="10"/>
      <c r="P462" s="10"/>
      <c r="Q462" s="10"/>
      <c r="R462" s="10"/>
      <c r="S462" s="10"/>
      <c r="T462" s="10" t="s">
        <v>4389</v>
      </c>
      <c r="U462" s="10"/>
      <c r="V462" s="10"/>
      <c r="W462" s="10"/>
      <c r="X462" s="10"/>
      <c r="Y462" s="10"/>
      <c r="Z462" s="10"/>
      <c r="AA462" s="33"/>
      <c r="AB462" s="10"/>
      <c r="AC462" s="33">
        <v>374400</v>
      </c>
      <c r="AD462" s="10">
        <f t="shared" si="7"/>
        <v>0</v>
      </c>
      <c r="AE462" s="82"/>
      <c r="AF462" s="34">
        <v>3342.86</v>
      </c>
    </row>
    <row r="463" spans="1:32" x14ac:dyDescent="0.25">
      <c r="A463" s="7" t="s">
        <v>4361</v>
      </c>
      <c r="B463" s="9" t="s">
        <v>4372</v>
      </c>
      <c r="C463" s="70">
        <v>45574</v>
      </c>
      <c r="D463" s="70">
        <v>45574</v>
      </c>
      <c r="E463" s="73"/>
      <c r="F463" s="9" t="s">
        <v>4478</v>
      </c>
      <c r="H463" s="9"/>
      <c r="I463" s="7" t="s">
        <v>63</v>
      </c>
      <c r="J463" s="7" t="s">
        <v>109</v>
      </c>
      <c r="K463" s="7"/>
      <c r="L463" s="10"/>
      <c r="M463" s="10"/>
      <c r="N463" s="10">
        <v>57732.5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33"/>
      <c r="AB463" s="10"/>
      <c r="AC463" s="33">
        <v>57732.5</v>
      </c>
      <c r="AD463" s="10">
        <f t="shared" si="7"/>
        <v>0</v>
      </c>
      <c r="AE463" s="82"/>
      <c r="AF463" s="34"/>
    </row>
    <row r="464" spans="1:32" x14ac:dyDescent="0.25">
      <c r="A464" s="7" t="s">
        <v>4362</v>
      </c>
      <c r="B464" s="9">
        <v>4174890</v>
      </c>
      <c r="C464" s="70">
        <v>45574</v>
      </c>
      <c r="D464" s="70">
        <v>45574</v>
      </c>
      <c r="E464" s="73"/>
      <c r="F464" s="9"/>
      <c r="H464" s="9"/>
      <c r="I464" s="7" t="s">
        <v>4373</v>
      </c>
      <c r="J464" s="7" t="s">
        <v>18</v>
      </c>
      <c r="K464" s="7"/>
      <c r="L464" s="10">
        <v>151.09</v>
      </c>
      <c r="M464" s="10"/>
      <c r="N464" s="10"/>
      <c r="O464" s="10"/>
      <c r="P464" s="10"/>
      <c r="Q464" s="10"/>
      <c r="R464" s="10">
        <v>1259.06</v>
      </c>
      <c r="S464" s="10"/>
      <c r="T464" s="10"/>
      <c r="U464" s="10"/>
      <c r="V464" s="10"/>
      <c r="W464" s="10"/>
      <c r="X464" s="10"/>
      <c r="Y464" s="10"/>
      <c r="Z464" s="10"/>
      <c r="AA464" s="33"/>
      <c r="AB464" s="10"/>
      <c r="AC464" s="33">
        <v>1410.15</v>
      </c>
      <c r="AD464" s="10">
        <f t="shared" si="7"/>
        <v>0</v>
      </c>
      <c r="AE464" s="82"/>
      <c r="AF464" s="34"/>
    </row>
    <row r="465" spans="1:32" x14ac:dyDescent="0.25">
      <c r="A465" s="7" t="s">
        <v>4363</v>
      </c>
      <c r="B465" s="9">
        <v>4174891</v>
      </c>
      <c r="C465" s="70">
        <v>45574</v>
      </c>
      <c r="D465" s="70">
        <v>45574</v>
      </c>
      <c r="E465" s="73"/>
      <c r="F465" s="9"/>
      <c r="H465" s="9"/>
      <c r="I465" s="7" t="s">
        <v>4373</v>
      </c>
      <c r="J465" s="7" t="s">
        <v>18</v>
      </c>
      <c r="K465" s="7"/>
      <c r="L465" s="10">
        <v>811.09</v>
      </c>
      <c r="M465" s="10"/>
      <c r="N465" s="10"/>
      <c r="O465" s="10"/>
      <c r="P465" s="10"/>
      <c r="Q465" s="10"/>
      <c r="R465" s="10">
        <v>6759.06</v>
      </c>
      <c r="S465" s="10"/>
      <c r="T465" s="10"/>
      <c r="U465" s="10"/>
      <c r="V465" s="10"/>
      <c r="W465" s="10"/>
      <c r="X465" s="10"/>
      <c r="Y465" s="10"/>
      <c r="Z465" s="10"/>
      <c r="AA465" s="33"/>
      <c r="AB465" s="10"/>
      <c r="AC465" s="33">
        <v>7570.15</v>
      </c>
      <c r="AD465" s="10">
        <f t="shared" si="7"/>
        <v>0</v>
      </c>
      <c r="AE465" s="82"/>
      <c r="AF465" s="34"/>
    </row>
    <row r="466" spans="1:32" x14ac:dyDescent="0.25">
      <c r="A466" s="7" t="s">
        <v>4453</v>
      </c>
      <c r="B466" s="9" t="s">
        <v>4374</v>
      </c>
      <c r="C466" s="70">
        <v>45574</v>
      </c>
      <c r="D466" s="70">
        <v>45574</v>
      </c>
      <c r="E466" s="73"/>
      <c r="F466" s="9"/>
      <c r="H466" s="9"/>
      <c r="I466" s="7" t="s">
        <v>55</v>
      </c>
      <c r="J466" s="7" t="s">
        <v>54</v>
      </c>
      <c r="K466" s="7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>
        <v>350000</v>
      </c>
      <c r="AA466" s="33"/>
      <c r="AB466" s="10"/>
      <c r="AC466" s="33">
        <v>350000</v>
      </c>
      <c r="AD466" s="10">
        <f t="shared" si="7"/>
        <v>0</v>
      </c>
      <c r="AE466" s="82"/>
      <c r="AF466" s="34"/>
    </row>
    <row r="467" spans="1:32" x14ac:dyDescent="0.25">
      <c r="A467" s="7" t="s">
        <v>4364</v>
      </c>
      <c r="B467" s="9">
        <v>4174892</v>
      </c>
      <c r="C467" s="70">
        <v>45576</v>
      </c>
      <c r="D467" s="70">
        <v>45576</v>
      </c>
      <c r="E467" s="73"/>
      <c r="F467" s="9"/>
      <c r="H467" s="9"/>
      <c r="I467" s="7" t="s">
        <v>123</v>
      </c>
      <c r="J467" s="7" t="s">
        <v>2855</v>
      </c>
      <c r="K467" s="7"/>
      <c r="L467" s="10"/>
      <c r="M467" s="10">
        <v>23000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33"/>
      <c r="AB467" s="10"/>
      <c r="AC467" s="33">
        <v>23000</v>
      </c>
      <c r="AD467" s="10">
        <f t="shared" si="7"/>
        <v>0</v>
      </c>
      <c r="AE467" s="82"/>
      <c r="AF467" s="34"/>
    </row>
    <row r="468" spans="1:32" x14ac:dyDescent="0.25">
      <c r="A468" s="7" t="s">
        <v>4365</v>
      </c>
      <c r="B468" s="9">
        <v>4174898</v>
      </c>
      <c r="C468" s="70">
        <v>45576</v>
      </c>
      <c r="D468" s="70">
        <v>45576</v>
      </c>
      <c r="E468" s="73">
        <v>45572</v>
      </c>
      <c r="F468" s="9" t="s">
        <v>4377</v>
      </c>
      <c r="G468" s="9" t="s">
        <v>3696</v>
      </c>
      <c r="H468" s="9"/>
      <c r="I468" s="7" t="s">
        <v>53</v>
      </c>
      <c r="J468" s="7" t="s">
        <v>2977</v>
      </c>
      <c r="K468" s="7" t="s">
        <v>2978</v>
      </c>
      <c r="L468" s="10">
        <v>485.89</v>
      </c>
      <c r="M468" s="10">
        <v>4049.11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33"/>
      <c r="AB468" s="10"/>
      <c r="AC468" s="33">
        <v>4535</v>
      </c>
      <c r="AD468" s="10">
        <f t="shared" si="7"/>
        <v>0</v>
      </c>
      <c r="AE468" s="82"/>
      <c r="AF468" s="34"/>
    </row>
    <row r="469" spans="1:32" x14ac:dyDescent="0.25">
      <c r="A469" s="7" t="s">
        <v>4366</v>
      </c>
      <c r="B469" s="9">
        <v>4174894</v>
      </c>
      <c r="C469" s="70">
        <v>45576</v>
      </c>
      <c r="D469" s="70">
        <v>45576</v>
      </c>
      <c r="E469" s="73">
        <v>45575</v>
      </c>
      <c r="F469" s="9" t="s">
        <v>4380</v>
      </c>
      <c r="H469" s="9"/>
      <c r="I469" s="7" t="s">
        <v>4376</v>
      </c>
      <c r="J469" s="7" t="s">
        <v>4379</v>
      </c>
      <c r="K469" s="7"/>
      <c r="L469" s="10">
        <v>283.93</v>
      </c>
      <c r="M469" s="10">
        <v>2366.0700000000002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33"/>
      <c r="AB469" s="10"/>
      <c r="AC469" s="33">
        <v>2650</v>
      </c>
      <c r="AD469" s="10">
        <f t="shared" si="7"/>
        <v>0</v>
      </c>
      <c r="AE469" s="82"/>
      <c r="AF469" s="34"/>
    </row>
    <row r="470" spans="1:32" x14ac:dyDescent="0.25">
      <c r="A470" s="7" t="s">
        <v>4367</v>
      </c>
      <c r="B470" s="9">
        <v>4174895</v>
      </c>
      <c r="C470" s="70">
        <v>45576</v>
      </c>
      <c r="D470" s="70">
        <v>45576</v>
      </c>
      <c r="E470" s="73"/>
      <c r="F470" s="9"/>
      <c r="H470" s="9"/>
      <c r="I470" s="7" t="s">
        <v>4378</v>
      </c>
      <c r="J470" s="7" t="s">
        <v>3667</v>
      </c>
      <c r="K470" s="7"/>
      <c r="L470" s="10"/>
      <c r="M470" s="10">
        <v>21699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33"/>
      <c r="AB470" s="10"/>
      <c r="AC470" s="33">
        <v>21699</v>
      </c>
      <c r="AD470" s="10">
        <f t="shared" si="7"/>
        <v>0</v>
      </c>
      <c r="AE470" s="82"/>
      <c r="AF470" s="34"/>
    </row>
    <row r="471" spans="1:32" x14ac:dyDescent="0.25">
      <c r="A471" s="7" t="s">
        <v>4368</v>
      </c>
      <c r="B471" s="9">
        <v>4174896</v>
      </c>
      <c r="C471" s="70">
        <v>45580</v>
      </c>
      <c r="D471" s="70">
        <v>45576</v>
      </c>
      <c r="E471" s="73"/>
      <c r="F471" s="9"/>
      <c r="H471" s="9"/>
      <c r="I471" s="7" t="s">
        <v>118</v>
      </c>
      <c r="J471" s="7" t="s">
        <v>1847</v>
      </c>
      <c r="K471" s="7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33">
        <v>30800</v>
      </c>
      <c r="AB471" s="10"/>
      <c r="AC471" s="33">
        <v>30800</v>
      </c>
      <c r="AD471" s="10">
        <f t="shared" si="7"/>
        <v>0</v>
      </c>
      <c r="AE471" s="82"/>
      <c r="AF471" s="34"/>
    </row>
    <row r="472" spans="1:32" x14ac:dyDescent="0.25">
      <c r="A472" s="7" t="s">
        <v>4369</v>
      </c>
      <c r="B472" s="9">
        <v>4174897</v>
      </c>
      <c r="C472" s="70">
        <v>45580</v>
      </c>
      <c r="D472" s="70">
        <v>45576</v>
      </c>
      <c r="E472" s="73"/>
      <c r="F472" s="9"/>
      <c r="H472" s="9"/>
      <c r="I472" s="7" t="s">
        <v>118</v>
      </c>
      <c r="J472" s="7" t="s">
        <v>125</v>
      </c>
      <c r="K472" s="7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33">
        <v>27500</v>
      </c>
      <c r="AB472" s="10"/>
      <c r="AC472" s="33">
        <v>27500</v>
      </c>
      <c r="AD472" s="10">
        <f t="shared" si="7"/>
        <v>0</v>
      </c>
      <c r="AE472" s="82"/>
      <c r="AF472" s="34"/>
    </row>
    <row r="473" spans="1:32" x14ac:dyDescent="0.25">
      <c r="A473" s="7" t="s">
        <v>4381</v>
      </c>
      <c r="B473" s="9" t="s">
        <v>4382</v>
      </c>
      <c r="C473" s="70">
        <v>45576</v>
      </c>
      <c r="D473" s="70">
        <v>45576</v>
      </c>
      <c r="E473" s="73"/>
      <c r="F473" s="9"/>
      <c r="H473" s="9"/>
      <c r="I473" s="7" t="s">
        <v>42</v>
      </c>
      <c r="J473" s="7" t="s">
        <v>939</v>
      </c>
      <c r="K473" s="7"/>
      <c r="L473" s="10"/>
      <c r="M473" s="10"/>
      <c r="N473" s="10"/>
      <c r="O473" s="10"/>
      <c r="P473" s="10">
        <v>5000</v>
      </c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33"/>
      <c r="AB473" s="10"/>
      <c r="AC473" s="33">
        <v>5000</v>
      </c>
      <c r="AD473" s="10">
        <f t="shared" si="7"/>
        <v>0</v>
      </c>
      <c r="AE473" s="82"/>
      <c r="AF473" s="34"/>
    </row>
    <row r="474" spans="1:32" x14ac:dyDescent="0.25">
      <c r="A474" s="7" t="s">
        <v>4383</v>
      </c>
      <c r="B474" s="9">
        <v>4174899</v>
      </c>
      <c r="C474" s="70">
        <v>45579</v>
      </c>
      <c r="D474" s="70">
        <v>45579</v>
      </c>
      <c r="E474" s="73"/>
      <c r="F474" s="9"/>
      <c r="H474" s="9"/>
      <c r="I474" s="7" t="s">
        <v>4384</v>
      </c>
      <c r="J474" s="7" t="s">
        <v>44</v>
      </c>
      <c r="K474" s="7"/>
      <c r="L474" s="10">
        <v>918.43</v>
      </c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>
        <v>7653.56</v>
      </c>
      <c r="Y474" s="10"/>
      <c r="Z474" s="10"/>
      <c r="AA474" s="33"/>
      <c r="AB474" s="10"/>
      <c r="AC474" s="33">
        <v>8571.99</v>
      </c>
      <c r="AD474" s="10">
        <f t="shared" si="7"/>
        <v>0</v>
      </c>
      <c r="AE474" s="82"/>
      <c r="AF474" s="34"/>
    </row>
    <row r="475" spans="1:32" x14ac:dyDescent="0.25">
      <c r="A475" s="7" t="s">
        <v>4385</v>
      </c>
      <c r="B475" s="9">
        <v>4174900</v>
      </c>
      <c r="C475" s="70">
        <v>45579</v>
      </c>
      <c r="D475" s="70">
        <v>45579</v>
      </c>
      <c r="E475" s="73"/>
      <c r="F475" s="9"/>
      <c r="H475" s="9" t="s">
        <v>4403</v>
      </c>
      <c r="I475" s="7" t="s">
        <v>2588</v>
      </c>
      <c r="J475" s="7" t="s">
        <v>3667</v>
      </c>
      <c r="K475" s="7"/>
      <c r="L475" s="10"/>
      <c r="M475" s="10"/>
      <c r="N475" s="10"/>
      <c r="O475" s="10"/>
      <c r="P475" s="10"/>
      <c r="Q475" s="10"/>
      <c r="R475" s="10"/>
      <c r="S475" s="10"/>
      <c r="T475" s="10">
        <v>11000.21</v>
      </c>
      <c r="U475" s="10"/>
      <c r="V475" s="10"/>
      <c r="W475" s="10"/>
      <c r="X475" s="10"/>
      <c r="Y475" s="10"/>
      <c r="Z475" s="10"/>
      <c r="AA475" s="33"/>
      <c r="AB475" s="10"/>
      <c r="AC475" s="33">
        <v>11000.21</v>
      </c>
      <c r="AD475" s="10">
        <f t="shared" si="7"/>
        <v>0</v>
      </c>
      <c r="AE475" s="82"/>
      <c r="AF475" s="34"/>
    </row>
    <row r="476" spans="1:32" x14ac:dyDescent="0.25">
      <c r="A476" s="7" t="s">
        <v>4386</v>
      </c>
      <c r="B476" s="9" t="s">
        <v>4387</v>
      </c>
      <c r="C476" s="70">
        <v>45579</v>
      </c>
      <c r="D476" s="70">
        <v>45579</v>
      </c>
      <c r="E476" s="73">
        <v>45582</v>
      </c>
      <c r="F476" s="9" t="s">
        <v>4421</v>
      </c>
      <c r="G476" s="9" t="s">
        <v>3698</v>
      </c>
      <c r="H476" s="9"/>
      <c r="I476" s="7" t="s">
        <v>4388</v>
      </c>
      <c r="J476" s="7" t="s">
        <v>1999</v>
      </c>
      <c r="K476" s="7" t="s">
        <v>2271</v>
      </c>
      <c r="L476" s="10">
        <v>4553.57</v>
      </c>
      <c r="M476" s="10">
        <v>37946.43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33"/>
      <c r="AB476" s="10"/>
      <c r="AC476" s="33">
        <v>42500</v>
      </c>
      <c r="AD476" s="10">
        <f t="shared" si="7"/>
        <v>0</v>
      </c>
      <c r="AE476" s="82"/>
      <c r="AF476" s="34">
        <v>379.46</v>
      </c>
    </row>
    <row r="477" spans="1:32" x14ac:dyDescent="0.25">
      <c r="A477" s="7" t="s">
        <v>4392</v>
      </c>
      <c r="B477" s="9" t="s">
        <v>4401</v>
      </c>
      <c r="C477" s="70">
        <v>45581</v>
      </c>
      <c r="D477" s="70">
        <v>45581</v>
      </c>
      <c r="E477" s="73">
        <v>45581</v>
      </c>
      <c r="F477" s="9" t="s">
        <v>4420</v>
      </c>
      <c r="G477" s="9" t="s">
        <v>3699</v>
      </c>
      <c r="H477" s="9"/>
      <c r="I477" s="61" t="s">
        <v>4402</v>
      </c>
      <c r="J477" s="7" t="s">
        <v>1999</v>
      </c>
      <c r="K477" s="7" t="s">
        <v>2271</v>
      </c>
      <c r="L477" s="59">
        <v>2839.29</v>
      </c>
      <c r="M477" s="59">
        <v>23660.71</v>
      </c>
      <c r="T477" s="10"/>
      <c r="U477" s="10"/>
      <c r="V477" s="10"/>
      <c r="W477" s="10"/>
      <c r="X477" s="10"/>
      <c r="Y477" s="10"/>
      <c r="Z477" s="10"/>
      <c r="AA477" s="33"/>
      <c r="AB477" s="10"/>
      <c r="AC477" s="33">
        <v>26500</v>
      </c>
      <c r="AD477" s="10">
        <f t="shared" si="7"/>
        <v>0</v>
      </c>
      <c r="AE477" s="82"/>
      <c r="AF477" s="34">
        <v>236.61</v>
      </c>
    </row>
    <row r="478" spans="1:32" x14ac:dyDescent="0.25">
      <c r="A478" s="7" t="s">
        <v>4393</v>
      </c>
      <c r="B478" s="9">
        <v>4174901</v>
      </c>
      <c r="C478" s="70">
        <v>45581</v>
      </c>
      <c r="D478" s="70">
        <v>45581</v>
      </c>
      <c r="E478" s="73"/>
      <c r="F478" s="9"/>
      <c r="H478" s="9"/>
      <c r="I478" s="7" t="s">
        <v>4390</v>
      </c>
      <c r="J478" s="7" t="s">
        <v>46</v>
      </c>
      <c r="K478" s="7"/>
      <c r="L478" s="10">
        <v>160.61000000000001</v>
      </c>
      <c r="M478" s="10"/>
      <c r="N478" s="10"/>
      <c r="O478" s="10"/>
      <c r="P478" s="10"/>
      <c r="Q478" s="10"/>
      <c r="R478" s="10"/>
      <c r="S478" s="10">
        <v>1338.39</v>
      </c>
      <c r="T478" s="10"/>
      <c r="U478" s="10"/>
      <c r="V478" s="10"/>
      <c r="W478" s="10"/>
      <c r="X478" s="10"/>
      <c r="Y478" s="10"/>
      <c r="Z478" s="10"/>
      <c r="AA478" s="33"/>
      <c r="AB478" s="10"/>
      <c r="AC478" s="33">
        <v>1499</v>
      </c>
      <c r="AD478" s="10">
        <f t="shared" si="7"/>
        <v>0</v>
      </c>
      <c r="AE478" s="82"/>
      <c r="AF478" s="34"/>
    </row>
    <row r="479" spans="1:32" x14ac:dyDescent="0.25">
      <c r="A479" s="7" t="s">
        <v>4394</v>
      </c>
      <c r="B479" s="9">
        <v>4174902</v>
      </c>
      <c r="C479" s="70">
        <v>45581</v>
      </c>
      <c r="D479" s="70">
        <v>45581</v>
      </c>
      <c r="E479" s="73"/>
      <c r="F479" s="9"/>
      <c r="H479" s="9"/>
      <c r="I479" s="7" t="s">
        <v>4390</v>
      </c>
      <c r="J479" s="7" t="s">
        <v>46</v>
      </c>
      <c r="K479" s="7"/>
      <c r="L479" s="10">
        <v>107.04</v>
      </c>
      <c r="M479" s="10"/>
      <c r="N479" s="10"/>
      <c r="O479" s="10"/>
      <c r="P479" s="10"/>
      <c r="Q479" s="10"/>
      <c r="R479" s="10"/>
      <c r="S479" s="10">
        <v>891.96</v>
      </c>
      <c r="T479" s="10"/>
      <c r="U479" s="10"/>
      <c r="V479" s="10"/>
      <c r="W479" s="10"/>
      <c r="X479" s="10"/>
      <c r="Y479" s="10"/>
      <c r="Z479" s="10"/>
      <c r="AA479" s="33"/>
      <c r="AB479" s="10"/>
      <c r="AC479" s="33">
        <v>999</v>
      </c>
      <c r="AD479" s="10">
        <f t="shared" si="7"/>
        <v>0</v>
      </c>
      <c r="AE479" s="82"/>
      <c r="AF479" s="34"/>
    </row>
    <row r="480" spans="1:32" x14ac:dyDescent="0.25">
      <c r="A480" s="7" t="s">
        <v>4395</v>
      </c>
      <c r="B480" s="9">
        <v>4174903</v>
      </c>
      <c r="C480" s="70">
        <v>45581</v>
      </c>
      <c r="D480" s="70">
        <v>45581</v>
      </c>
      <c r="E480" s="73"/>
      <c r="F480" s="9"/>
      <c r="H480" s="9"/>
      <c r="I480" s="7" t="s">
        <v>4391</v>
      </c>
      <c r="J480" s="7" t="s">
        <v>46</v>
      </c>
      <c r="K480" s="7"/>
      <c r="L480" s="10">
        <v>107.04</v>
      </c>
      <c r="M480" s="10"/>
      <c r="N480" s="10"/>
      <c r="O480" s="10"/>
      <c r="P480" s="10"/>
      <c r="Q480" s="10"/>
      <c r="R480" s="10"/>
      <c r="S480" s="10">
        <v>891.96</v>
      </c>
      <c r="T480" s="10"/>
      <c r="U480" s="10"/>
      <c r="V480" s="10"/>
      <c r="W480" s="10"/>
      <c r="X480" s="10"/>
      <c r="Y480" s="10"/>
      <c r="Z480" s="10"/>
      <c r="AA480" s="33"/>
      <c r="AB480" s="10"/>
      <c r="AC480" s="33">
        <v>999</v>
      </c>
      <c r="AD480" s="10">
        <f t="shared" si="7"/>
        <v>0</v>
      </c>
      <c r="AE480" s="82"/>
      <c r="AF480" s="34"/>
    </row>
    <row r="481" spans="1:32" x14ac:dyDescent="0.25">
      <c r="A481" s="7" t="s">
        <v>4396</v>
      </c>
      <c r="B481" s="9">
        <v>4174904</v>
      </c>
      <c r="C481" s="70">
        <v>45581</v>
      </c>
      <c r="D481" s="70">
        <v>45581</v>
      </c>
      <c r="E481" s="73"/>
      <c r="F481" s="9"/>
      <c r="H481" s="9"/>
      <c r="I481" s="7" t="s">
        <v>4391</v>
      </c>
      <c r="J481" s="7" t="s">
        <v>46</v>
      </c>
      <c r="K481" s="7"/>
      <c r="L481" s="10">
        <v>107.04</v>
      </c>
      <c r="M481" s="10"/>
      <c r="N481" s="10"/>
      <c r="O481" s="10"/>
      <c r="P481" s="10"/>
      <c r="Q481" s="10"/>
      <c r="R481" s="10"/>
      <c r="S481" s="10">
        <v>891.96</v>
      </c>
      <c r="T481" s="10"/>
      <c r="U481" s="10"/>
      <c r="V481" s="10"/>
      <c r="W481" s="10"/>
      <c r="X481" s="10"/>
      <c r="Y481" s="10"/>
      <c r="Z481" s="10"/>
      <c r="AA481" s="33"/>
      <c r="AB481" s="10"/>
      <c r="AC481" s="33">
        <v>999</v>
      </c>
      <c r="AD481" s="10">
        <f t="shared" si="7"/>
        <v>0</v>
      </c>
      <c r="AE481" s="82"/>
      <c r="AF481" s="34"/>
    </row>
    <row r="482" spans="1:32" x14ac:dyDescent="0.25">
      <c r="A482" s="7" t="s">
        <v>4397</v>
      </c>
      <c r="B482" s="9">
        <v>4174905</v>
      </c>
      <c r="C482" s="70">
        <v>45581</v>
      </c>
      <c r="D482" s="70">
        <v>45581</v>
      </c>
      <c r="E482" s="73"/>
      <c r="F482" s="9"/>
      <c r="H482" s="9" t="s">
        <v>4404</v>
      </c>
      <c r="I482" s="7" t="s">
        <v>1174</v>
      </c>
      <c r="J482" s="7" t="s">
        <v>3667</v>
      </c>
      <c r="K482" s="7"/>
      <c r="L482" s="10"/>
      <c r="M482" s="10"/>
      <c r="N482" s="10"/>
      <c r="O482" s="10"/>
      <c r="P482" s="10"/>
      <c r="Q482" s="10"/>
      <c r="R482" s="10"/>
      <c r="S482" s="10"/>
      <c r="T482" s="10">
        <v>5033.1400000000003</v>
      </c>
      <c r="U482" s="10"/>
      <c r="V482" s="10"/>
      <c r="W482" s="10"/>
      <c r="X482" s="10"/>
      <c r="Y482" s="10"/>
      <c r="Z482" s="10"/>
      <c r="AA482" s="33"/>
      <c r="AB482" s="10"/>
      <c r="AC482" s="33">
        <v>5033.1400000000003</v>
      </c>
      <c r="AD482" s="10">
        <f t="shared" si="7"/>
        <v>0</v>
      </c>
      <c r="AE482" s="82"/>
      <c r="AF482" s="34"/>
    </row>
    <row r="483" spans="1:32" x14ac:dyDescent="0.25">
      <c r="A483" s="7" t="s">
        <v>4398</v>
      </c>
      <c r="B483" s="9">
        <v>4174906</v>
      </c>
      <c r="C483" s="70">
        <v>45581</v>
      </c>
      <c r="D483" s="70">
        <v>45582</v>
      </c>
      <c r="E483" s="73"/>
      <c r="F483" s="9"/>
      <c r="H483" s="9"/>
      <c r="I483" s="7" t="s">
        <v>468</v>
      </c>
      <c r="J483" s="7" t="s">
        <v>1633</v>
      </c>
      <c r="K483" s="7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33">
        <v>15864.21</v>
      </c>
      <c r="AB483" s="10"/>
      <c r="AC483" s="33">
        <v>15864.21</v>
      </c>
      <c r="AD483" s="10">
        <f t="shared" si="7"/>
        <v>0</v>
      </c>
      <c r="AE483" s="82"/>
      <c r="AF483" s="34"/>
    </row>
    <row r="484" spans="1:32" x14ac:dyDescent="0.25">
      <c r="A484" s="7" t="s">
        <v>4399</v>
      </c>
      <c r="B484" s="9">
        <v>4174907</v>
      </c>
      <c r="C484" s="70">
        <v>45586</v>
      </c>
      <c r="D484" s="70">
        <v>45586</v>
      </c>
      <c r="E484" s="73"/>
      <c r="F484" s="9"/>
      <c r="H484" s="9" t="s">
        <v>4422</v>
      </c>
      <c r="I484" s="7" t="s">
        <v>4427</v>
      </c>
      <c r="J484" s="7" t="s">
        <v>3667</v>
      </c>
      <c r="K484" s="7"/>
      <c r="L484" s="10"/>
      <c r="M484" s="10"/>
      <c r="N484" s="10"/>
      <c r="O484" s="10"/>
      <c r="P484" s="10"/>
      <c r="Q484" s="10"/>
      <c r="R484" s="10"/>
      <c r="S484" s="10"/>
      <c r="T484" s="10">
        <v>13037.52</v>
      </c>
      <c r="U484" s="10"/>
      <c r="V484" s="10"/>
      <c r="W484" s="10"/>
      <c r="X484" s="10"/>
      <c r="Y484" s="10"/>
      <c r="Z484" s="10"/>
      <c r="AA484" s="33"/>
      <c r="AB484" s="10"/>
      <c r="AC484" s="33">
        <v>13037.52</v>
      </c>
      <c r="AD484" s="10">
        <f t="shared" si="7"/>
        <v>0</v>
      </c>
      <c r="AE484" s="82"/>
      <c r="AF484" s="34"/>
    </row>
    <row r="485" spans="1:32" x14ac:dyDescent="0.25">
      <c r="A485" s="7" t="s">
        <v>4400</v>
      </c>
      <c r="B485" s="9">
        <v>4174908</v>
      </c>
      <c r="C485" s="70">
        <v>45586</v>
      </c>
      <c r="D485" s="70">
        <v>45586</v>
      </c>
      <c r="E485" s="73"/>
      <c r="F485" s="9"/>
      <c r="H485" s="9"/>
      <c r="I485" s="7" t="s">
        <v>3979</v>
      </c>
      <c r="J485" s="7" t="s">
        <v>46</v>
      </c>
      <c r="K485" s="7"/>
      <c r="L485" s="10">
        <v>1284.1099999999999</v>
      </c>
      <c r="M485" s="10"/>
      <c r="N485" s="10"/>
      <c r="O485" s="10"/>
      <c r="P485" s="10"/>
      <c r="Q485" s="10"/>
      <c r="R485" s="10"/>
      <c r="S485" s="10">
        <v>10700.89</v>
      </c>
      <c r="T485" s="10"/>
      <c r="U485" s="10"/>
      <c r="V485" s="10"/>
      <c r="W485" s="10"/>
      <c r="X485" s="10"/>
      <c r="Y485" s="10"/>
      <c r="Z485" s="10"/>
      <c r="AA485" s="33"/>
      <c r="AB485" s="10"/>
      <c r="AC485" s="33">
        <v>11985</v>
      </c>
      <c r="AD485" s="10">
        <f t="shared" si="7"/>
        <v>0</v>
      </c>
      <c r="AE485" s="82"/>
      <c r="AF485" s="34">
        <v>214.05</v>
      </c>
    </row>
    <row r="486" spans="1:32" x14ac:dyDescent="0.25">
      <c r="A486" s="7" t="s">
        <v>4405</v>
      </c>
      <c r="B486" s="9">
        <v>4174909</v>
      </c>
      <c r="C486" s="70">
        <v>45612</v>
      </c>
      <c r="D486" s="70">
        <v>45586</v>
      </c>
      <c r="E486" s="73">
        <v>45614</v>
      </c>
      <c r="F486" s="9" t="s">
        <v>4509</v>
      </c>
      <c r="G486" s="9" t="s">
        <v>3700</v>
      </c>
      <c r="H486" s="9"/>
      <c r="I486" s="7" t="s">
        <v>4423</v>
      </c>
      <c r="J486" s="7" t="s">
        <v>3527</v>
      </c>
      <c r="K486" s="7"/>
      <c r="L486" s="10">
        <v>1895.36</v>
      </c>
      <c r="M486" s="10">
        <v>15794.64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33"/>
      <c r="AB486" s="10"/>
      <c r="AC486" s="33">
        <v>17690</v>
      </c>
      <c r="AD486" s="10">
        <f t="shared" si="7"/>
        <v>0</v>
      </c>
      <c r="AE486" s="82"/>
      <c r="AF486" s="34">
        <v>157.94999999999999</v>
      </c>
    </row>
    <row r="487" spans="1:32" x14ac:dyDescent="0.25">
      <c r="A487" s="7" t="s">
        <v>4406</v>
      </c>
      <c r="B487" s="9">
        <v>4174910</v>
      </c>
      <c r="C487" s="70">
        <v>45612</v>
      </c>
      <c r="D487" s="70">
        <v>45586</v>
      </c>
      <c r="E487" s="73">
        <v>45611</v>
      </c>
      <c r="F487" s="9" t="s">
        <v>4506</v>
      </c>
      <c r="G487" s="9" t="s">
        <v>3701</v>
      </c>
      <c r="H487" s="9"/>
      <c r="I487" s="7" t="s">
        <v>4424</v>
      </c>
      <c r="J487" s="7" t="s">
        <v>2687</v>
      </c>
      <c r="K487" s="7"/>
      <c r="L487" s="10">
        <v>857.14</v>
      </c>
      <c r="M487" s="10">
        <v>7142.86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33"/>
      <c r="AB487" s="10"/>
      <c r="AC487" s="33">
        <v>8000</v>
      </c>
      <c r="AD487" s="10">
        <f t="shared" si="7"/>
        <v>0</v>
      </c>
      <c r="AE487" s="82"/>
      <c r="AF487" s="34">
        <v>71.430000000000007</v>
      </c>
    </row>
    <row r="488" spans="1:32" x14ac:dyDescent="0.25">
      <c r="A488" s="7" t="s">
        <v>4407</v>
      </c>
      <c r="B488" s="9" t="s">
        <v>4426</v>
      </c>
      <c r="C488" s="70">
        <v>45587</v>
      </c>
      <c r="D488" s="70">
        <v>45587</v>
      </c>
      <c r="E488" s="73"/>
      <c r="F488" s="9"/>
      <c r="H488" s="9" t="s">
        <v>4454</v>
      </c>
      <c r="I488" s="7" t="s">
        <v>4425</v>
      </c>
      <c r="J488" s="7" t="s">
        <v>65</v>
      </c>
      <c r="K488" s="7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33">
        <v>23736.5</v>
      </c>
      <c r="AB488" s="10"/>
      <c r="AC488" s="33">
        <v>50000</v>
      </c>
      <c r="AD488" s="10">
        <f t="shared" si="7"/>
        <v>26263.5</v>
      </c>
      <c r="AE488" s="82" t="s">
        <v>4442</v>
      </c>
      <c r="AF488" s="34"/>
    </row>
    <row r="489" spans="1:32" x14ac:dyDescent="0.25">
      <c r="A489" s="7" t="s">
        <v>4408</v>
      </c>
      <c r="B489" s="9">
        <v>4174911</v>
      </c>
      <c r="C489" s="70">
        <v>45617</v>
      </c>
      <c r="D489" s="70">
        <v>45589</v>
      </c>
      <c r="E489" s="73">
        <v>45614</v>
      </c>
      <c r="F489" s="9" t="s">
        <v>4510</v>
      </c>
      <c r="G489" s="9" t="s">
        <v>3703</v>
      </c>
      <c r="H489" s="9"/>
      <c r="I489" s="7" t="s">
        <v>4428</v>
      </c>
      <c r="J489" s="7" t="s">
        <v>3527</v>
      </c>
      <c r="K489" s="7" t="s">
        <v>3530</v>
      </c>
      <c r="L489" s="10">
        <v>866.79</v>
      </c>
      <c r="M489" s="10">
        <v>7223.21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33"/>
      <c r="AB489" s="10"/>
      <c r="AC489" s="33">
        <v>8090</v>
      </c>
      <c r="AD489" s="10">
        <f t="shared" si="7"/>
        <v>0</v>
      </c>
      <c r="AE489" s="82"/>
      <c r="AF489" s="34">
        <v>72.23</v>
      </c>
    </row>
    <row r="490" spans="1:32" x14ac:dyDescent="0.25">
      <c r="A490" s="7" t="s">
        <v>4409</v>
      </c>
      <c r="B490" s="9">
        <v>4174912</v>
      </c>
      <c r="C490" s="70">
        <v>45617</v>
      </c>
      <c r="D490" s="70">
        <v>45589</v>
      </c>
      <c r="E490" s="73">
        <v>45616</v>
      </c>
      <c r="F490" s="9" t="s">
        <v>4522</v>
      </c>
      <c r="H490" s="9"/>
      <c r="I490" s="7" t="s">
        <v>4429</v>
      </c>
      <c r="J490" s="7" t="s">
        <v>187</v>
      </c>
      <c r="K490" s="7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33">
        <v>5997.6</v>
      </c>
      <c r="AB490" s="10"/>
      <c r="AC490" s="33">
        <v>5997.6</v>
      </c>
      <c r="AD490" s="10">
        <f t="shared" si="7"/>
        <v>0</v>
      </c>
      <c r="AE490" s="82"/>
      <c r="AF490" s="34"/>
    </row>
    <row r="491" spans="1:32" x14ac:dyDescent="0.25">
      <c r="A491" s="7" t="s">
        <v>4410</v>
      </c>
      <c r="B491" s="9">
        <v>4174913</v>
      </c>
      <c r="C491" s="70">
        <v>45589</v>
      </c>
      <c r="D491" s="70">
        <v>45589</v>
      </c>
      <c r="E491" s="73">
        <v>45590</v>
      </c>
      <c r="F491" s="9" t="s">
        <v>4432</v>
      </c>
      <c r="H491" s="9"/>
      <c r="I491" s="7" t="s">
        <v>4430</v>
      </c>
      <c r="J491" s="7" t="s">
        <v>4431</v>
      </c>
      <c r="K491" s="7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33">
        <v>3000</v>
      </c>
      <c r="AB491" s="10"/>
      <c r="AC491" s="33">
        <v>3000</v>
      </c>
      <c r="AD491" s="10">
        <f t="shared" si="7"/>
        <v>0</v>
      </c>
      <c r="AE491" s="82"/>
      <c r="AF491" s="34"/>
    </row>
    <row r="492" spans="1:32" x14ac:dyDescent="0.25">
      <c r="A492" s="7" t="s">
        <v>4411</v>
      </c>
      <c r="B492" s="9">
        <v>4174914</v>
      </c>
      <c r="C492" s="70">
        <v>45621</v>
      </c>
      <c r="D492" s="70">
        <v>45590</v>
      </c>
      <c r="E492" s="73">
        <v>45614</v>
      </c>
      <c r="F492" s="9" t="s">
        <v>4511</v>
      </c>
      <c r="G492" s="9" t="s">
        <v>3713</v>
      </c>
      <c r="H492" s="9"/>
      <c r="I492" s="7" t="s">
        <v>4434</v>
      </c>
      <c r="J492" s="7" t="s">
        <v>3527</v>
      </c>
      <c r="K492" s="7" t="s">
        <v>3530</v>
      </c>
      <c r="L492" s="10">
        <v>8859.64</v>
      </c>
      <c r="M492" s="10">
        <v>73830.36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33"/>
      <c r="AB492" s="10"/>
      <c r="AC492" s="33">
        <v>82690</v>
      </c>
      <c r="AD492" s="10">
        <f t="shared" si="7"/>
        <v>0</v>
      </c>
      <c r="AE492" s="82"/>
      <c r="AF492" s="34">
        <v>738.3</v>
      </c>
    </row>
    <row r="493" spans="1:32" x14ac:dyDescent="0.25">
      <c r="A493" s="7" t="s">
        <v>4412</v>
      </c>
      <c r="B493" s="9">
        <v>4174918</v>
      </c>
      <c r="C493" s="70">
        <v>45595</v>
      </c>
      <c r="D493" s="70">
        <v>45590</v>
      </c>
      <c r="E493" s="73"/>
      <c r="F493" s="9"/>
      <c r="H493" s="9"/>
      <c r="I493" s="7" t="s">
        <v>118</v>
      </c>
      <c r="J493" s="7" t="s">
        <v>1847</v>
      </c>
      <c r="K493" s="7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33">
        <v>22400</v>
      </c>
      <c r="AB493" s="10"/>
      <c r="AC493" s="33"/>
      <c r="AD493" s="10">
        <f t="shared" si="7"/>
        <v>-22400</v>
      </c>
      <c r="AE493" s="82"/>
      <c r="AF493" s="34"/>
    </row>
    <row r="494" spans="1:32" x14ac:dyDescent="0.25">
      <c r="A494" s="7" t="s">
        <v>4413</v>
      </c>
      <c r="B494" s="9">
        <v>4174916</v>
      </c>
      <c r="C494" s="70">
        <v>45595</v>
      </c>
      <c r="D494" s="70">
        <v>45590</v>
      </c>
      <c r="E494" s="73"/>
      <c r="F494" s="9"/>
      <c r="H494" s="9"/>
      <c r="I494" s="7" t="s">
        <v>118</v>
      </c>
      <c r="J494" s="7" t="s">
        <v>125</v>
      </c>
      <c r="K494" s="7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33">
        <v>25000</v>
      </c>
      <c r="AB494" s="10"/>
      <c r="AC494" s="33"/>
      <c r="AD494" s="10">
        <f t="shared" si="7"/>
        <v>-25000</v>
      </c>
      <c r="AE494" s="82"/>
      <c r="AF494" s="34"/>
    </row>
    <row r="495" spans="1:32" x14ac:dyDescent="0.25">
      <c r="A495" s="7" t="s">
        <v>4414</v>
      </c>
      <c r="B495" s="9" t="s">
        <v>4435</v>
      </c>
      <c r="C495" s="70">
        <v>45590</v>
      </c>
      <c r="D495" s="70">
        <v>45590</v>
      </c>
      <c r="E495" s="73"/>
      <c r="F495" s="9"/>
      <c r="H495" s="9"/>
      <c r="I495" s="7" t="s">
        <v>55</v>
      </c>
      <c r="J495" s="7" t="s">
        <v>54</v>
      </c>
      <c r="K495" s="7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>
        <v>300000</v>
      </c>
      <c r="AA495" s="33"/>
      <c r="AB495" s="10"/>
      <c r="AC495" s="33">
        <v>300000</v>
      </c>
      <c r="AD495" s="10">
        <f t="shared" si="7"/>
        <v>0</v>
      </c>
      <c r="AE495" s="82"/>
      <c r="AF495" s="34"/>
    </row>
    <row r="496" spans="1:32" x14ac:dyDescent="0.25">
      <c r="A496" s="7" t="s">
        <v>4415</v>
      </c>
      <c r="B496" s="9" t="s">
        <v>4436</v>
      </c>
      <c r="C496" s="70">
        <v>45590</v>
      </c>
      <c r="D496" s="70">
        <v>45590</v>
      </c>
      <c r="E496" s="73"/>
      <c r="F496" s="9"/>
      <c r="H496" s="9"/>
      <c r="I496" s="7" t="s">
        <v>55</v>
      </c>
      <c r="J496" s="7" t="s">
        <v>54</v>
      </c>
      <c r="K496" s="7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>
        <v>350000</v>
      </c>
      <c r="AA496" s="33"/>
      <c r="AB496" s="10"/>
      <c r="AC496" s="33">
        <v>350000</v>
      </c>
      <c r="AD496" s="10">
        <f t="shared" si="7"/>
        <v>0</v>
      </c>
      <c r="AE496" s="82"/>
      <c r="AF496" s="34"/>
    </row>
    <row r="497" spans="1:32" x14ac:dyDescent="0.25">
      <c r="A497" s="7" t="s">
        <v>4416</v>
      </c>
      <c r="B497" s="9" t="s">
        <v>4437</v>
      </c>
      <c r="C497" s="70">
        <v>45590</v>
      </c>
      <c r="D497" s="70">
        <v>45590</v>
      </c>
      <c r="E497" s="73"/>
      <c r="F497" s="9"/>
      <c r="H497" s="9" t="s">
        <v>4662</v>
      </c>
      <c r="I497" s="7" t="s">
        <v>4438</v>
      </c>
      <c r="J497" s="7" t="s">
        <v>39</v>
      </c>
      <c r="K497" s="7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33">
        <v>169743.56</v>
      </c>
      <c r="AB497" s="10"/>
      <c r="AC497" s="33">
        <v>170000</v>
      </c>
      <c r="AD497" s="10">
        <f t="shared" si="7"/>
        <v>256.44000000000233</v>
      </c>
      <c r="AE497" s="82" t="s">
        <v>4661</v>
      </c>
      <c r="AF497" s="34"/>
    </row>
    <row r="498" spans="1:32" x14ac:dyDescent="0.25">
      <c r="A498" s="7" t="s">
        <v>4417</v>
      </c>
      <c r="B498" s="9" t="s">
        <v>4439</v>
      </c>
      <c r="C498" s="70">
        <v>45590</v>
      </c>
      <c r="D498" s="70">
        <v>45590</v>
      </c>
      <c r="E498" s="73">
        <v>45593</v>
      </c>
      <c r="F498" s="9" t="s">
        <v>4441</v>
      </c>
      <c r="G498" s="9" t="s">
        <v>3714</v>
      </c>
      <c r="H498" s="9"/>
      <c r="I498" s="7" t="s">
        <v>4440</v>
      </c>
      <c r="J498" s="7" t="s">
        <v>1999</v>
      </c>
      <c r="K498" s="7" t="s">
        <v>2271</v>
      </c>
      <c r="L498" s="10">
        <v>1071.43</v>
      </c>
      <c r="M498" s="10">
        <v>8928.57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33"/>
      <c r="AB498" s="10"/>
      <c r="AC498" s="33">
        <v>10000</v>
      </c>
      <c r="AD498" s="10">
        <f t="shared" si="7"/>
        <v>0</v>
      </c>
      <c r="AE498" s="82"/>
      <c r="AF498" s="34">
        <v>89.29</v>
      </c>
    </row>
    <row r="499" spans="1:32" x14ac:dyDescent="0.25">
      <c r="A499" s="7" t="s">
        <v>4418</v>
      </c>
      <c r="B499" s="9">
        <v>4174919</v>
      </c>
      <c r="C499" s="70">
        <v>45596</v>
      </c>
      <c r="D499" s="70">
        <v>45594</v>
      </c>
      <c r="E499" s="73"/>
      <c r="F499" s="9"/>
      <c r="H499" s="9"/>
      <c r="I499" s="7" t="s">
        <v>123</v>
      </c>
      <c r="J499" s="7" t="s">
        <v>4447</v>
      </c>
      <c r="K499" s="7"/>
      <c r="L499" s="10"/>
      <c r="M499" s="10">
        <v>23000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33"/>
      <c r="AB499" s="10"/>
      <c r="AC499" s="33">
        <v>23000</v>
      </c>
      <c r="AD499" s="10">
        <f t="shared" si="7"/>
        <v>0</v>
      </c>
      <c r="AE499" s="82"/>
      <c r="AF499" s="34"/>
    </row>
    <row r="500" spans="1:32" x14ac:dyDescent="0.25">
      <c r="A500" s="7" t="s">
        <v>4419</v>
      </c>
      <c r="B500" s="9">
        <v>4174920</v>
      </c>
      <c r="C500" s="70">
        <v>45594</v>
      </c>
      <c r="D500" s="70">
        <v>45594</v>
      </c>
      <c r="E500" s="73"/>
      <c r="F500" s="9"/>
      <c r="H500" s="9"/>
      <c r="I500" s="7" t="s">
        <v>4450</v>
      </c>
      <c r="J500" s="7" t="s">
        <v>1469</v>
      </c>
      <c r="K500" s="7"/>
      <c r="L500" s="10">
        <v>1125</v>
      </c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33">
        <v>9375</v>
      </c>
      <c r="AB500" s="10"/>
      <c r="AC500" s="33">
        <v>10500</v>
      </c>
      <c r="AD500" s="10">
        <f t="shared" si="7"/>
        <v>0</v>
      </c>
      <c r="AE500" s="82"/>
      <c r="AF500" s="34"/>
    </row>
    <row r="501" spans="1:32" x14ac:dyDescent="0.25">
      <c r="A501" s="7" t="s">
        <v>4443</v>
      </c>
      <c r="B501" s="9">
        <v>4174921</v>
      </c>
      <c r="C501" s="70">
        <v>45594</v>
      </c>
      <c r="D501" s="70">
        <v>45594</v>
      </c>
      <c r="E501" s="73"/>
      <c r="F501" s="9"/>
      <c r="H501" s="9"/>
      <c r="I501" s="7" t="s">
        <v>4448</v>
      </c>
      <c r="J501" s="7" t="s">
        <v>4449</v>
      </c>
      <c r="K501" s="7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33">
        <v>4700</v>
      </c>
      <c r="AB501" s="10"/>
      <c r="AC501" s="33">
        <v>4700</v>
      </c>
      <c r="AD501" s="10">
        <f t="shared" si="7"/>
        <v>0</v>
      </c>
      <c r="AE501" s="82"/>
      <c r="AF501" s="34"/>
    </row>
    <row r="502" spans="1:32" x14ac:dyDescent="0.25">
      <c r="A502" s="7" t="s">
        <v>4444</v>
      </c>
      <c r="B502" s="9">
        <v>4174922</v>
      </c>
      <c r="C502" s="70">
        <v>45594</v>
      </c>
      <c r="D502" s="70">
        <v>45594</v>
      </c>
      <c r="E502" s="73"/>
      <c r="F502" s="9"/>
      <c r="H502" s="9" t="s">
        <v>4446</v>
      </c>
      <c r="I502" s="7" t="s">
        <v>1174</v>
      </c>
      <c r="J502" s="7" t="s">
        <v>3667</v>
      </c>
      <c r="K502" s="7"/>
      <c r="L502" s="10"/>
      <c r="M502" s="10"/>
      <c r="N502" s="10"/>
      <c r="O502" s="10"/>
      <c r="P502" s="10"/>
      <c r="Q502" s="10"/>
      <c r="R502" s="10"/>
      <c r="S502" s="10"/>
      <c r="T502" s="10">
        <v>10082.44</v>
      </c>
      <c r="U502" s="10"/>
      <c r="V502" s="10"/>
      <c r="W502" s="10"/>
      <c r="X502" s="10"/>
      <c r="Y502" s="10"/>
      <c r="Z502" s="10"/>
      <c r="AA502" s="33"/>
      <c r="AB502" s="10"/>
      <c r="AC502" s="33">
        <v>10082.44</v>
      </c>
      <c r="AD502" s="10">
        <f t="shared" si="7"/>
        <v>0</v>
      </c>
      <c r="AE502" s="82"/>
      <c r="AF502" s="34"/>
    </row>
    <row r="503" spans="1:32" s="39" customFormat="1" x14ac:dyDescent="0.25">
      <c r="A503" s="20"/>
      <c r="B503" s="19"/>
      <c r="C503" s="72"/>
      <c r="D503" s="72"/>
      <c r="E503" s="77"/>
      <c r="F503" s="19"/>
      <c r="G503" s="19"/>
      <c r="H503" s="19"/>
      <c r="I503" s="20"/>
      <c r="J503" s="20"/>
      <c r="K503" s="20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32"/>
      <c r="AB503" s="22"/>
      <c r="AC503" s="22"/>
      <c r="AD503" s="22"/>
      <c r="AE503" s="96"/>
      <c r="AF503" s="35"/>
    </row>
    <row r="504" spans="1:32" s="39" customFormat="1" x14ac:dyDescent="0.25">
      <c r="A504" s="25">
        <v>45597</v>
      </c>
      <c r="B504" s="19"/>
      <c r="C504" s="72"/>
      <c r="D504" s="72"/>
      <c r="E504" s="77"/>
      <c r="F504" s="19"/>
      <c r="G504" s="19"/>
      <c r="H504" s="19"/>
      <c r="I504" s="20"/>
      <c r="J504" s="20"/>
      <c r="K504" s="20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32"/>
      <c r="AB504" s="22"/>
      <c r="AC504" s="22"/>
      <c r="AD504" s="22"/>
      <c r="AE504" s="96"/>
      <c r="AF504" s="35"/>
    </row>
    <row r="505" spans="1:32" x14ac:dyDescent="0.25">
      <c r="A505" s="7" t="s">
        <v>4445</v>
      </c>
      <c r="B505" s="9">
        <v>4174924</v>
      </c>
      <c r="C505" s="70">
        <v>45600</v>
      </c>
      <c r="D505" s="70">
        <v>45600</v>
      </c>
      <c r="E505" s="73">
        <v>45617</v>
      </c>
      <c r="F505" s="9" t="s">
        <v>4523</v>
      </c>
      <c r="H505" s="9"/>
      <c r="I505" s="62" t="s">
        <v>4468</v>
      </c>
      <c r="J505" s="7" t="s">
        <v>109</v>
      </c>
      <c r="K505" s="7"/>
      <c r="L505" s="10"/>
      <c r="M505" s="10"/>
      <c r="N505" s="10">
        <v>14458.78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33"/>
      <c r="AB505" s="10"/>
      <c r="AC505" s="33">
        <v>14458.78</v>
      </c>
      <c r="AD505" s="10">
        <f t="shared" si="7"/>
        <v>0</v>
      </c>
      <c r="AE505" s="82"/>
      <c r="AF505" s="34"/>
    </row>
    <row r="506" spans="1:32" x14ac:dyDescent="0.25">
      <c r="A506" s="7" t="s">
        <v>4451</v>
      </c>
      <c r="B506" s="9" t="s">
        <v>4452</v>
      </c>
      <c r="C506" s="70">
        <v>45600</v>
      </c>
      <c r="D506" s="70">
        <v>45600</v>
      </c>
      <c r="E506" s="73">
        <v>45601</v>
      </c>
      <c r="F506" s="9" t="s">
        <v>4465</v>
      </c>
      <c r="G506" s="9" t="s">
        <v>3716</v>
      </c>
      <c r="H506" s="9"/>
      <c r="I506" s="7" t="s">
        <v>4485</v>
      </c>
      <c r="J506" s="7" t="s">
        <v>1999</v>
      </c>
      <c r="K506" s="7" t="s">
        <v>2271</v>
      </c>
      <c r="L506" s="10">
        <v>12317.6</v>
      </c>
      <c r="M506" s="10">
        <v>102646.69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33"/>
      <c r="AB506" s="10"/>
      <c r="AC506" s="33">
        <v>114964.29</v>
      </c>
      <c r="AD506" s="10">
        <f t="shared" si="7"/>
        <v>0</v>
      </c>
      <c r="AE506" s="82"/>
      <c r="AF506" s="34">
        <v>1035.71</v>
      </c>
    </row>
    <row r="507" spans="1:32" x14ac:dyDescent="0.25">
      <c r="A507" s="7" t="s">
        <v>4460</v>
      </c>
      <c r="B507" s="9">
        <v>4174925</v>
      </c>
      <c r="C507" s="70">
        <v>45601</v>
      </c>
      <c r="D507" s="70">
        <v>45601</v>
      </c>
      <c r="E507" s="73"/>
      <c r="F507" s="9"/>
      <c r="H507" s="9" t="s">
        <v>4463</v>
      </c>
      <c r="I507" s="7" t="s">
        <v>4462</v>
      </c>
      <c r="J507" s="7" t="s">
        <v>3667</v>
      </c>
      <c r="K507" s="7"/>
      <c r="L507" s="10"/>
      <c r="M507" s="10"/>
      <c r="N507" s="10"/>
      <c r="O507" s="10"/>
      <c r="P507" s="10"/>
      <c r="Q507" s="10"/>
      <c r="R507" s="10"/>
      <c r="S507" s="10"/>
      <c r="T507" s="10">
        <v>6233.44</v>
      </c>
      <c r="U507" s="10"/>
      <c r="V507" s="10"/>
      <c r="W507" s="10"/>
      <c r="X507" s="10"/>
      <c r="Y507" s="10"/>
      <c r="Z507" s="10"/>
      <c r="AA507" s="33"/>
      <c r="AB507" s="10"/>
      <c r="AC507" s="33">
        <v>6233.44</v>
      </c>
      <c r="AD507" s="10">
        <f t="shared" si="7"/>
        <v>0</v>
      </c>
      <c r="AE507" s="82"/>
      <c r="AF507" s="34"/>
    </row>
    <row r="508" spans="1:32" x14ac:dyDescent="0.25">
      <c r="A508" s="7" t="s">
        <v>4461</v>
      </c>
      <c r="B508" s="9">
        <v>4174926</v>
      </c>
      <c r="C508" s="70">
        <v>45601</v>
      </c>
      <c r="D508" s="70">
        <v>45601</v>
      </c>
      <c r="E508" s="73"/>
      <c r="F508" s="9"/>
      <c r="H508" s="9" t="s">
        <v>4466</v>
      </c>
      <c r="I508" s="7" t="s">
        <v>4464</v>
      </c>
      <c r="J508" s="7" t="s">
        <v>3667</v>
      </c>
      <c r="K508" s="7"/>
      <c r="L508" s="10"/>
      <c r="M508" s="10"/>
      <c r="N508" s="10"/>
      <c r="O508" s="10"/>
      <c r="P508" s="10"/>
      <c r="Q508" s="10"/>
      <c r="R508" s="10"/>
      <c r="S508" s="10"/>
      <c r="T508" s="10">
        <v>10493.01</v>
      </c>
      <c r="U508" s="10"/>
      <c r="V508" s="10"/>
      <c r="W508" s="10"/>
      <c r="X508" s="10"/>
      <c r="Y508" s="10"/>
      <c r="Z508" s="10"/>
      <c r="AA508" s="33"/>
      <c r="AB508" s="10"/>
      <c r="AC508" s="33">
        <v>10493.01</v>
      </c>
      <c r="AD508" s="10">
        <f t="shared" si="7"/>
        <v>0</v>
      </c>
      <c r="AE508" s="82"/>
      <c r="AF508" s="34"/>
    </row>
    <row r="509" spans="1:32" x14ac:dyDescent="0.25">
      <c r="A509" s="7" t="s">
        <v>4457</v>
      </c>
      <c r="B509" s="9" t="s">
        <v>4458</v>
      </c>
      <c r="C509" s="70">
        <v>45601</v>
      </c>
      <c r="D509" s="70">
        <v>45601</v>
      </c>
      <c r="E509" s="73"/>
      <c r="F509" s="9"/>
      <c r="H509" s="9"/>
      <c r="I509" s="7" t="s">
        <v>4459</v>
      </c>
      <c r="J509" s="7" t="s">
        <v>1250</v>
      </c>
      <c r="K509" s="7"/>
      <c r="L509" s="10"/>
      <c r="M509" s="10"/>
      <c r="N509" s="10"/>
      <c r="O509" s="10"/>
      <c r="P509" s="10">
        <v>23000</v>
      </c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33"/>
      <c r="AB509" s="10"/>
      <c r="AC509" s="33">
        <v>23000</v>
      </c>
      <c r="AD509" s="10">
        <f t="shared" si="7"/>
        <v>0</v>
      </c>
      <c r="AE509" s="82"/>
      <c r="AF509" s="34"/>
    </row>
    <row r="510" spans="1:32" x14ac:dyDescent="0.25">
      <c r="A510" s="7" t="s">
        <v>4469</v>
      </c>
      <c r="B510" s="9">
        <v>4174927</v>
      </c>
      <c r="C510" s="70">
        <v>45603</v>
      </c>
      <c r="D510" s="70">
        <v>45603</v>
      </c>
      <c r="E510" s="73"/>
      <c r="F510" s="9"/>
      <c r="H510" s="9"/>
      <c r="I510" s="7" t="s">
        <v>50</v>
      </c>
      <c r="J510" s="7" t="s">
        <v>4124</v>
      </c>
      <c r="K510" s="7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33">
        <v>14458.78</v>
      </c>
      <c r="AB510" s="10"/>
      <c r="AC510" s="33">
        <v>14458.78</v>
      </c>
      <c r="AD510" s="10">
        <f t="shared" si="7"/>
        <v>0</v>
      </c>
      <c r="AE510" s="82"/>
      <c r="AF510" s="34"/>
    </row>
    <row r="511" spans="1:32" x14ac:dyDescent="0.25">
      <c r="A511" s="7" t="s">
        <v>4470</v>
      </c>
      <c r="B511" s="9">
        <v>4174928</v>
      </c>
      <c r="C511" s="70">
        <v>45604</v>
      </c>
      <c r="D511" s="70">
        <v>45604</v>
      </c>
      <c r="E511" s="73"/>
      <c r="F511" s="9"/>
      <c r="H511" s="9"/>
      <c r="I511" s="7" t="s">
        <v>4471</v>
      </c>
      <c r="J511" s="7" t="s">
        <v>43</v>
      </c>
      <c r="K511" s="7"/>
      <c r="L511" s="10">
        <v>64.180000000000007</v>
      </c>
      <c r="M511" s="10">
        <v>534.82000000000005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33"/>
      <c r="AB511" s="10"/>
      <c r="AC511" s="33">
        <v>599</v>
      </c>
      <c r="AD511" s="10">
        <f t="shared" ref="AD511:AD574" si="8">SUM(AB511:AC511)-SUM(L511:AA511)</f>
        <v>0</v>
      </c>
      <c r="AE511" s="82"/>
      <c r="AF511" s="34"/>
    </row>
    <row r="512" spans="1:32" x14ac:dyDescent="0.25">
      <c r="A512" s="7" t="s">
        <v>4472</v>
      </c>
      <c r="B512" s="9">
        <v>4174930</v>
      </c>
      <c r="C512" s="70">
        <v>45604</v>
      </c>
      <c r="D512" s="70">
        <v>45604</v>
      </c>
      <c r="E512" s="73"/>
      <c r="F512" s="9"/>
      <c r="H512" s="9"/>
      <c r="I512" s="7" t="s">
        <v>4471</v>
      </c>
      <c r="J512" s="7" t="s">
        <v>43</v>
      </c>
      <c r="K512" s="7"/>
      <c r="L512" s="10">
        <v>32.14</v>
      </c>
      <c r="M512" s="10">
        <v>267.86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33"/>
      <c r="AB512" s="10"/>
      <c r="AC512" s="33">
        <v>300</v>
      </c>
      <c r="AD512" s="10">
        <f t="shared" si="8"/>
        <v>0</v>
      </c>
      <c r="AE512" s="82"/>
      <c r="AF512" s="34"/>
    </row>
    <row r="513" spans="1:32" x14ac:dyDescent="0.25">
      <c r="A513" s="7" t="s">
        <v>4473</v>
      </c>
      <c r="B513" s="9">
        <v>4174931</v>
      </c>
      <c r="C513" s="70">
        <v>45604</v>
      </c>
      <c r="D513" s="70">
        <v>45604</v>
      </c>
      <c r="E513" s="73">
        <v>45607</v>
      </c>
      <c r="F513" s="9" t="s">
        <v>4433</v>
      </c>
      <c r="G513" s="9" t="s">
        <v>3553</v>
      </c>
      <c r="H513" s="9"/>
      <c r="I513" s="7" t="s">
        <v>1131</v>
      </c>
      <c r="J513" s="7" t="s">
        <v>1226</v>
      </c>
      <c r="K513" s="7" t="s">
        <v>2924</v>
      </c>
      <c r="L513" s="10">
        <v>9107.14</v>
      </c>
      <c r="M513" s="10">
        <v>75892.86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33"/>
      <c r="AB513" s="10"/>
      <c r="AC513" s="33">
        <v>85000</v>
      </c>
      <c r="AD513" s="10">
        <f t="shared" si="8"/>
        <v>0</v>
      </c>
      <c r="AE513" s="82"/>
      <c r="AF513" s="34">
        <v>758.93</v>
      </c>
    </row>
    <row r="514" spans="1:32" x14ac:dyDescent="0.25">
      <c r="A514" s="7" t="s">
        <v>4474</v>
      </c>
      <c r="B514" s="9">
        <v>4174932</v>
      </c>
      <c r="C514" s="70">
        <v>45604</v>
      </c>
      <c r="D514" s="70">
        <v>45604</v>
      </c>
      <c r="E514" s="73"/>
      <c r="F514" s="45"/>
      <c r="H514" s="9"/>
      <c r="I514" s="7" t="s">
        <v>4475</v>
      </c>
      <c r="J514" s="7" t="s">
        <v>35</v>
      </c>
      <c r="K514" s="7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33">
        <v>17719.11</v>
      </c>
      <c r="AB514" s="10"/>
      <c r="AC514" s="33">
        <v>17719.11</v>
      </c>
      <c r="AD514" s="10">
        <f t="shared" si="8"/>
        <v>0</v>
      </c>
      <c r="AE514" s="82"/>
      <c r="AF514" s="34"/>
    </row>
    <row r="515" spans="1:32" x14ac:dyDescent="0.25">
      <c r="A515" s="7" t="s">
        <v>4477</v>
      </c>
      <c r="B515" s="9" t="s">
        <v>4476</v>
      </c>
      <c r="C515" s="70">
        <v>45604</v>
      </c>
      <c r="D515" s="70">
        <v>45604</v>
      </c>
      <c r="E515" s="73"/>
      <c r="F515" s="9"/>
      <c r="H515" s="9"/>
      <c r="I515" s="7" t="s">
        <v>55</v>
      </c>
      <c r="J515" s="7" t="s">
        <v>54</v>
      </c>
      <c r="K515" s="7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>
        <v>400000</v>
      </c>
      <c r="AA515" s="33"/>
      <c r="AB515" s="10"/>
      <c r="AC515" s="33">
        <v>400000</v>
      </c>
      <c r="AD515" s="10">
        <f t="shared" si="8"/>
        <v>0</v>
      </c>
      <c r="AE515" s="82"/>
      <c r="AF515" s="34"/>
    </row>
    <row r="516" spans="1:32" x14ac:dyDescent="0.25">
      <c r="A516" s="7" t="s">
        <v>4479</v>
      </c>
      <c r="B516" s="9">
        <v>4174933</v>
      </c>
      <c r="C516" s="70">
        <v>45637</v>
      </c>
      <c r="D516" s="70">
        <v>45608</v>
      </c>
      <c r="E516" s="73">
        <v>45610</v>
      </c>
      <c r="F516" s="9" t="s">
        <v>4505</v>
      </c>
      <c r="G516" s="9" t="s">
        <v>3722</v>
      </c>
      <c r="H516" s="9"/>
      <c r="I516" s="7" t="s">
        <v>1001</v>
      </c>
      <c r="J516" s="7" t="s">
        <v>2087</v>
      </c>
      <c r="K516" s="7" t="s">
        <v>2088</v>
      </c>
      <c r="L516" s="10">
        <v>11517.86</v>
      </c>
      <c r="M516" s="10">
        <v>95982.14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33"/>
      <c r="AB516" s="10"/>
      <c r="AC516" s="33">
        <v>107500</v>
      </c>
      <c r="AD516" s="10">
        <f t="shared" si="8"/>
        <v>0</v>
      </c>
      <c r="AE516" s="82"/>
      <c r="AF516" s="34">
        <v>959.82</v>
      </c>
    </row>
    <row r="517" spans="1:32" x14ac:dyDescent="0.25">
      <c r="A517" s="7" t="s">
        <v>4480</v>
      </c>
      <c r="B517" s="9">
        <v>4174935</v>
      </c>
      <c r="C517" s="70">
        <v>45610</v>
      </c>
      <c r="D517" s="70">
        <v>45608</v>
      </c>
      <c r="E517" s="73"/>
      <c r="F517" s="9"/>
      <c r="H517" s="9"/>
      <c r="I517" s="7" t="s">
        <v>118</v>
      </c>
      <c r="J517" s="7" t="s">
        <v>1847</v>
      </c>
      <c r="K517" s="7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33">
        <v>28000</v>
      </c>
      <c r="AB517" s="10"/>
      <c r="AC517" s="33">
        <v>28000</v>
      </c>
      <c r="AD517" s="10">
        <f t="shared" si="8"/>
        <v>0</v>
      </c>
      <c r="AE517" s="82"/>
      <c r="AF517" s="34"/>
    </row>
    <row r="518" spans="1:32" x14ac:dyDescent="0.25">
      <c r="A518" s="7" t="s">
        <v>4481</v>
      </c>
      <c r="B518" s="9">
        <v>4174936</v>
      </c>
      <c r="C518" s="70">
        <v>45610</v>
      </c>
      <c r="D518" s="70">
        <v>45608</v>
      </c>
      <c r="E518" s="73"/>
      <c r="F518" s="9"/>
      <c r="H518" s="9"/>
      <c r="I518" s="7" t="s">
        <v>118</v>
      </c>
      <c r="J518" s="7" t="s">
        <v>125</v>
      </c>
      <c r="K518" s="7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33">
        <v>25000</v>
      </c>
      <c r="AB518" s="10"/>
      <c r="AC518" s="33">
        <v>25000</v>
      </c>
      <c r="AD518" s="10">
        <f t="shared" si="8"/>
        <v>0</v>
      </c>
      <c r="AE518" s="82"/>
      <c r="AF518" s="34"/>
    </row>
    <row r="519" spans="1:32" x14ac:dyDescent="0.25">
      <c r="A519" s="7" t="s">
        <v>4482</v>
      </c>
      <c r="B519" s="9" t="s">
        <v>4483</v>
      </c>
      <c r="C519" s="70">
        <v>45608</v>
      </c>
      <c r="D519" s="70">
        <v>45608</v>
      </c>
      <c r="E519" s="73">
        <v>45608</v>
      </c>
      <c r="F519" s="9" t="s">
        <v>4486</v>
      </c>
      <c r="G519" s="9" t="s">
        <v>3723</v>
      </c>
      <c r="H519" s="9"/>
      <c r="I519" s="7" t="s">
        <v>4484</v>
      </c>
      <c r="J519" s="7" t="s">
        <v>1999</v>
      </c>
      <c r="K519" s="7" t="s">
        <v>2271</v>
      </c>
      <c r="L519" s="10">
        <v>11517.86</v>
      </c>
      <c r="M519" s="10">
        <v>95982.14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33"/>
      <c r="AB519" s="10"/>
      <c r="AC519" s="33">
        <v>107500</v>
      </c>
      <c r="AD519" s="10">
        <f t="shared" si="8"/>
        <v>0</v>
      </c>
      <c r="AE519" s="82"/>
      <c r="AF519" s="34">
        <v>959.82</v>
      </c>
    </row>
    <row r="520" spans="1:32" x14ac:dyDescent="0.25">
      <c r="A520" s="7" t="s">
        <v>4487</v>
      </c>
      <c r="B520" s="9" t="s">
        <v>4491</v>
      </c>
      <c r="C520" s="70">
        <v>45610</v>
      </c>
      <c r="D520" s="70">
        <v>45610</v>
      </c>
      <c r="E520" s="73"/>
      <c r="F520" s="9"/>
      <c r="H520" s="9"/>
      <c r="I520" s="7" t="s">
        <v>55</v>
      </c>
      <c r="J520" s="7" t="s">
        <v>54</v>
      </c>
      <c r="K520" s="7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>
        <v>300000</v>
      </c>
      <c r="AA520" s="33"/>
      <c r="AB520" s="10"/>
      <c r="AC520" s="33">
        <v>300000</v>
      </c>
      <c r="AD520" s="10">
        <f t="shared" si="8"/>
        <v>0</v>
      </c>
      <c r="AE520" s="82"/>
      <c r="AF520" s="34"/>
    </row>
    <row r="521" spans="1:32" x14ac:dyDescent="0.25">
      <c r="A521" s="7" t="s">
        <v>4488</v>
      </c>
      <c r="B521" s="9">
        <v>4174937</v>
      </c>
      <c r="C521" s="70">
        <v>45611</v>
      </c>
      <c r="D521" s="70">
        <v>45610</v>
      </c>
      <c r="E521" s="73">
        <v>45617</v>
      </c>
      <c r="F521" s="9" t="s">
        <v>4524</v>
      </c>
      <c r="H521" s="9"/>
      <c r="I521" s="7" t="s">
        <v>4492</v>
      </c>
      <c r="J521" s="7" t="s">
        <v>109</v>
      </c>
      <c r="K521" s="7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33">
        <v>33540</v>
      </c>
      <c r="AB521" s="10"/>
      <c r="AC521" s="33">
        <v>33540</v>
      </c>
      <c r="AD521" s="10">
        <f t="shared" si="8"/>
        <v>0</v>
      </c>
      <c r="AE521" s="82"/>
      <c r="AF521" s="34"/>
    </row>
    <row r="522" spans="1:32" x14ac:dyDescent="0.25">
      <c r="A522" s="7" t="s">
        <v>4489</v>
      </c>
      <c r="B522" s="9">
        <v>4174938</v>
      </c>
      <c r="C522" s="70">
        <v>45611</v>
      </c>
      <c r="D522" s="70">
        <v>45610</v>
      </c>
      <c r="E522" s="73">
        <v>45617</v>
      </c>
      <c r="F522" s="9" t="s">
        <v>4523</v>
      </c>
      <c r="H522" s="9"/>
      <c r="I522" s="7" t="s">
        <v>4493</v>
      </c>
      <c r="J522" s="7" t="s">
        <v>109</v>
      </c>
      <c r="K522" s="7"/>
      <c r="L522" s="10"/>
      <c r="M522" s="10"/>
      <c r="N522" s="10">
        <v>39091.22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33"/>
      <c r="AB522" s="10"/>
      <c r="AC522" s="33">
        <v>39091.22</v>
      </c>
      <c r="AD522" s="10">
        <f t="shared" si="8"/>
        <v>0</v>
      </c>
      <c r="AE522" s="82"/>
      <c r="AF522" s="34"/>
    </row>
    <row r="523" spans="1:32" x14ac:dyDescent="0.25">
      <c r="A523" s="7" t="s">
        <v>4490</v>
      </c>
      <c r="C523" s="70">
        <v>45610</v>
      </c>
      <c r="D523" s="70">
        <v>45610</v>
      </c>
      <c r="E523" s="73"/>
      <c r="F523" s="45" t="s">
        <v>48</v>
      </c>
      <c r="G523" s="45" t="s">
        <v>48</v>
      </c>
      <c r="H523" s="9"/>
      <c r="I523" s="7" t="s">
        <v>4494</v>
      </c>
      <c r="J523" s="7" t="s">
        <v>4495</v>
      </c>
      <c r="K523" s="7"/>
      <c r="L523" s="10">
        <v>3053.57</v>
      </c>
      <c r="M523" s="10">
        <v>25446.43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33"/>
      <c r="AB523" s="10"/>
      <c r="AC523" s="33">
        <v>28500</v>
      </c>
      <c r="AD523" s="10">
        <f t="shared" si="8"/>
        <v>0</v>
      </c>
      <c r="AE523" s="82" t="s">
        <v>48</v>
      </c>
      <c r="AF523" s="34"/>
    </row>
    <row r="524" spans="1:32" x14ac:dyDescent="0.25">
      <c r="A524" s="7" t="s">
        <v>4496</v>
      </c>
      <c r="B524" s="9">
        <v>4174940</v>
      </c>
      <c r="C524" s="70">
        <v>45610</v>
      </c>
      <c r="D524" s="70">
        <v>45610</v>
      </c>
      <c r="E524" s="73"/>
      <c r="F524" s="9"/>
      <c r="H524" s="9"/>
      <c r="I524" s="7" t="s">
        <v>4502</v>
      </c>
      <c r="J524" s="7" t="s">
        <v>18</v>
      </c>
      <c r="K524" s="7"/>
      <c r="L524" s="10">
        <v>151.09</v>
      </c>
      <c r="M524" s="10"/>
      <c r="N524" s="10"/>
      <c r="O524" s="10"/>
      <c r="P524" s="10"/>
      <c r="Q524" s="10"/>
      <c r="R524" s="10">
        <v>1259.06</v>
      </c>
      <c r="S524" s="10"/>
      <c r="T524" s="10"/>
      <c r="U524" s="10"/>
      <c r="V524" s="10"/>
      <c r="W524" s="10"/>
      <c r="X524" s="10"/>
      <c r="Y524" s="10"/>
      <c r="Z524" s="10"/>
      <c r="AA524" s="33"/>
      <c r="AB524" s="10"/>
      <c r="AC524" s="33">
        <v>1410.15</v>
      </c>
      <c r="AD524" s="10">
        <f t="shared" si="8"/>
        <v>0</v>
      </c>
      <c r="AE524" s="82"/>
      <c r="AF524" s="34"/>
    </row>
    <row r="525" spans="1:32" x14ac:dyDescent="0.25">
      <c r="A525" s="7" t="s">
        <v>4497</v>
      </c>
      <c r="B525" s="9">
        <v>4174941</v>
      </c>
      <c r="C525" s="70">
        <v>45610</v>
      </c>
      <c r="D525" s="70">
        <v>45610</v>
      </c>
      <c r="E525" s="73"/>
      <c r="F525" s="9"/>
      <c r="H525" s="9"/>
      <c r="I525" s="7" t="s">
        <v>4502</v>
      </c>
      <c r="J525" s="7" t="s">
        <v>18</v>
      </c>
      <c r="K525" s="7"/>
      <c r="L525" s="10">
        <v>811.09</v>
      </c>
      <c r="M525" s="10"/>
      <c r="N525" s="10"/>
      <c r="O525" s="10"/>
      <c r="P525" s="10"/>
      <c r="Q525" s="10"/>
      <c r="R525" s="10">
        <v>6759.06</v>
      </c>
      <c r="S525" s="10"/>
      <c r="T525" s="10"/>
      <c r="U525" s="10"/>
      <c r="V525" s="10"/>
      <c r="W525" s="10"/>
      <c r="X525" s="10"/>
      <c r="Y525" s="10"/>
      <c r="Z525" s="10"/>
      <c r="AA525" s="33"/>
      <c r="AB525" s="10"/>
      <c r="AC525" s="33">
        <v>7570.15</v>
      </c>
      <c r="AD525" s="10">
        <f t="shared" si="8"/>
        <v>0</v>
      </c>
      <c r="AE525" s="82"/>
      <c r="AF525" s="34"/>
    </row>
    <row r="526" spans="1:32" x14ac:dyDescent="0.25">
      <c r="A526" s="7" t="s">
        <v>4500</v>
      </c>
      <c r="B526" s="9">
        <v>4174942</v>
      </c>
      <c r="C526" s="70">
        <v>45610</v>
      </c>
      <c r="D526" s="70">
        <v>45610</v>
      </c>
      <c r="E526" s="73"/>
      <c r="F526" s="9"/>
      <c r="H526" s="9"/>
      <c r="I526" s="7" t="s">
        <v>4503</v>
      </c>
      <c r="J526" s="7" t="s">
        <v>44</v>
      </c>
      <c r="K526" s="7"/>
      <c r="L526" s="10">
        <v>957.86</v>
      </c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>
        <v>7982.2</v>
      </c>
      <c r="Y526" s="10"/>
      <c r="Z526" s="10"/>
      <c r="AA526" s="33"/>
      <c r="AB526" s="10"/>
      <c r="AC526" s="33">
        <v>8940.06</v>
      </c>
      <c r="AD526" s="10">
        <f t="shared" si="8"/>
        <v>0</v>
      </c>
      <c r="AE526" s="82"/>
      <c r="AF526" s="34"/>
    </row>
    <row r="527" spans="1:32" x14ac:dyDescent="0.25">
      <c r="A527" s="7" t="s">
        <v>4499</v>
      </c>
      <c r="B527" s="9">
        <v>4174943</v>
      </c>
      <c r="C527" s="70">
        <v>45649</v>
      </c>
      <c r="D527" s="70">
        <v>45610</v>
      </c>
      <c r="E527" s="73">
        <v>45618</v>
      </c>
      <c r="F527" s="9" t="s">
        <v>4527</v>
      </c>
      <c r="G527" s="9" t="s">
        <v>3637</v>
      </c>
      <c r="H527" s="9"/>
      <c r="I527" s="7" t="s">
        <v>1131</v>
      </c>
      <c r="J527" s="7" t="s">
        <v>1226</v>
      </c>
      <c r="K527" s="7" t="s">
        <v>2924</v>
      </c>
      <c r="L527" s="10">
        <v>9025.83</v>
      </c>
      <c r="M527" s="10">
        <v>75215.240000000005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33"/>
      <c r="AB527" s="10"/>
      <c r="AC527" s="33">
        <v>84241.07</v>
      </c>
      <c r="AD527" s="10">
        <f t="shared" si="8"/>
        <v>0</v>
      </c>
      <c r="AE527" s="82"/>
      <c r="AF527" s="34">
        <v>758.93</v>
      </c>
    </row>
    <row r="528" spans="1:32" x14ac:dyDescent="0.25">
      <c r="A528" s="7" t="s">
        <v>4498</v>
      </c>
      <c r="B528" s="9">
        <v>4174944</v>
      </c>
      <c r="C528" s="70">
        <v>45610</v>
      </c>
      <c r="D528" s="70">
        <v>45610</v>
      </c>
      <c r="E528" s="73"/>
      <c r="F528" s="9"/>
      <c r="H528" s="9" t="s">
        <v>4508</v>
      </c>
      <c r="I528" s="7" t="s">
        <v>4462</v>
      </c>
      <c r="J528" s="7" t="s">
        <v>3667</v>
      </c>
      <c r="K528" s="7"/>
      <c r="L528" s="10"/>
      <c r="M528" s="10"/>
      <c r="N528" s="10"/>
      <c r="O528" s="10"/>
      <c r="P528" s="10"/>
      <c r="Q528" s="10"/>
      <c r="R528" s="10"/>
      <c r="S528" s="10"/>
      <c r="T528" s="10">
        <v>14385.49</v>
      </c>
      <c r="U528" s="10"/>
      <c r="V528" s="10"/>
      <c r="W528" s="10"/>
      <c r="X528" s="10"/>
      <c r="Y528" s="10"/>
      <c r="Z528" s="10"/>
      <c r="AA528" s="33"/>
      <c r="AB528" s="10"/>
      <c r="AC528" s="33">
        <v>14385.49</v>
      </c>
      <c r="AD528" s="10">
        <f t="shared" si="8"/>
        <v>0</v>
      </c>
      <c r="AE528" s="82"/>
      <c r="AF528" s="34"/>
    </row>
    <row r="529" spans="1:32" x14ac:dyDescent="0.25">
      <c r="A529" s="7" t="s">
        <v>4501</v>
      </c>
      <c r="B529" s="9" t="s">
        <v>4504</v>
      </c>
      <c r="C529" s="70">
        <v>45610</v>
      </c>
      <c r="D529" s="70">
        <v>45610</v>
      </c>
      <c r="E529" s="73"/>
      <c r="F529" s="9"/>
      <c r="H529" s="9"/>
      <c r="I529" s="7" t="s">
        <v>970</v>
      </c>
      <c r="J529" s="7" t="s">
        <v>4549</v>
      </c>
      <c r="K529" s="7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33">
        <v>23990.93</v>
      </c>
      <c r="AB529" s="10"/>
      <c r="AC529" s="33">
        <v>23990.93</v>
      </c>
      <c r="AD529" s="10">
        <f t="shared" si="8"/>
        <v>0</v>
      </c>
      <c r="AE529" s="82"/>
      <c r="AF529" s="34"/>
    </row>
    <row r="530" spans="1:32" x14ac:dyDescent="0.25">
      <c r="A530" s="7" t="s">
        <v>4490</v>
      </c>
      <c r="B530" s="9">
        <v>4174945</v>
      </c>
      <c r="C530" s="70">
        <v>45610</v>
      </c>
      <c r="D530" s="70">
        <v>45610</v>
      </c>
      <c r="E530" s="73">
        <v>45610</v>
      </c>
      <c r="F530" s="9" t="s">
        <v>4507</v>
      </c>
      <c r="G530" s="9" t="s">
        <v>3724</v>
      </c>
      <c r="H530" s="9"/>
      <c r="I530" s="7" t="s">
        <v>4494</v>
      </c>
      <c r="J530" s="7" t="s">
        <v>4495</v>
      </c>
      <c r="K530" s="7"/>
      <c r="L530" s="10">
        <v>3053.57</v>
      </c>
      <c r="M530" s="10">
        <v>25446.43</v>
      </c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33"/>
      <c r="AB530" s="10"/>
      <c r="AC530" s="33">
        <v>28500</v>
      </c>
      <c r="AD530" s="10">
        <f t="shared" si="8"/>
        <v>0</v>
      </c>
      <c r="AE530" s="82"/>
      <c r="AF530" s="101">
        <v>254.46</v>
      </c>
    </row>
    <row r="531" spans="1:32" x14ac:dyDescent="0.25">
      <c r="A531" s="7" t="s">
        <v>4512</v>
      </c>
      <c r="B531" s="9">
        <v>4174946</v>
      </c>
      <c r="C531" s="70">
        <v>45614</v>
      </c>
      <c r="D531" s="70">
        <v>45614</v>
      </c>
      <c r="E531" s="73"/>
      <c r="F531" s="9"/>
      <c r="H531" s="9"/>
      <c r="I531" s="7" t="s">
        <v>4513</v>
      </c>
      <c r="J531" s="7" t="s">
        <v>46</v>
      </c>
      <c r="K531" s="7"/>
      <c r="L531" s="10">
        <v>249.27</v>
      </c>
      <c r="M531" s="10"/>
      <c r="N531" s="10"/>
      <c r="O531" s="10"/>
      <c r="P531" s="10"/>
      <c r="Q531" s="10"/>
      <c r="R531" s="10"/>
      <c r="S531" s="10">
        <v>2077.21</v>
      </c>
      <c r="T531" s="10"/>
      <c r="U531" s="10"/>
      <c r="V531" s="10"/>
      <c r="W531" s="10"/>
      <c r="X531" s="10"/>
      <c r="Y531" s="10"/>
      <c r="Z531" s="10"/>
      <c r="AA531" s="33"/>
      <c r="AB531" s="10"/>
      <c r="AC531" s="33"/>
      <c r="AD531" s="10">
        <f t="shared" si="8"/>
        <v>-2326.48</v>
      </c>
      <c r="AE531" s="82"/>
      <c r="AF531" s="34"/>
    </row>
    <row r="532" spans="1:32" x14ac:dyDescent="0.25">
      <c r="A532" s="7" t="s">
        <v>4514</v>
      </c>
      <c r="B532" s="9">
        <v>4174947</v>
      </c>
      <c r="C532" s="70">
        <v>45614</v>
      </c>
      <c r="D532" s="70">
        <v>45614</v>
      </c>
      <c r="E532" s="73"/>
      <c r="F532" s="9"/>
      <c r="H532" s="9"/>
      <c r="I532" s="7" t="s">
        <v>4515</v>
      </c>
      <c r="J532" s="7" t="s">
        <v>46</v>
      </c>
      <c r="K532" s="7"/>
      <c r="L532" s="10">
        <v>107.04</v>
      </c>
      <c r="M532" s="10"/>
      <c r="N532" s="10"/>
      <c r="O532" s="10"/>
      <c r="P532" s="10"/>
      <c r="Q532" s="10"/>
      <c r="R532" s="10"/>
      <c r="S532" s="10">
        <v>891.96</v>
      </c>
      <c r="T532" s="10"/>
      <c r="U532" s="10"/>
      <c r="V532" s="10"/>
      <c r="W532" s="10"/>
      <c r="X532" s="10"/>
      <c r="Y532" s="10"/>
      <c r="Z532" s="10"/>
      <c r="AA532" s="33"/>
      <c r="AB532" s="10"/>
      <c r="AC532" s="33"/>
      <c r="AD532" s="10">
        <f t="shared" si="8"/>
        <v>-999</v>
      </c>
      <c r="AE532" s="82"/>
      <c r="AF532" s="34"/>
    </row>
    <row r="533" spans="1:32" x14ac:dyDescent="0.25">
      <c r="A533" s="7" t="s">
        <v>4517</v>
      </c>
      <c r="B533" s="9">
        <v>4174948</v>
      </c>
      <c r="C533" s="70">
        <v>45614</v>
      </c>
      <c r="D533" s="70">
        <v>45614</v>
      </c>
      <c r="E533" s="73"/>
      <c r="F533" s="45"/>
      <c r="H533" s="9"/>
      <c r="I533" s="7" t="s">
        <v>4516</v>
      </c>
      <c r="J533" s="7" t="s">
        <v>46</v>
      </c>
      <c r="K533" s="7"/>
      <c r="L533" s="10">
        <v>107.04</v>
      </c>
      <c r="M533" s="10"/>
      <c r="N533" s="10"/>
      <c r="O533" s="10"/>
      <c r="P533" s="10"/>
      <c r="Q533" s="10"/>
      <c r="R533" s="10"/>
      <c r="S533" s="10">
        <v>891.96</v>
      </c>
      <c r="T533" s="10"/>
      <c r="U533" s="10"/>
      <c r="V533" s="10"/>
      <c r="W533" s="10"/>
      <c r="X533" s="10"/>
      <c r="Y533" s="10"/>
      <c r="Z533" s="10"/>
      <c r="AA533" s="33"/>
      <c r="AB533" s="10"/>
      <c r="AC533" s="33"/>
      <c r="AD533" s="10">
        <f t="shared" si="8"/>
        <v>-999</v>
      </c>
      <c r="AE533" s="82"/>
      <c r="AF533" s="34"/>
    </row>
    <row r="534" spans="1:32" x14ac:dyDescent="0.25">
      <c r="A534" s="7" t="s">
        <v>4518</v>
      </c>
      <c r="B534" s="9">
        <v>4174949</v>
      </c>
      <c r="C534" s="70">
        <v>45614</v>
      </c>
      <c r="D534" s="70">
        <v>45614</v>
      </c>
      <c r="E534" s="73"/>
      <c r="F534" s="9"/>
      <c r="H534" s="9"/>
      <c r="I534" s="7" t="s">
        <v>4516</v>
      </c>
      <c r="J534" s="7" t="s">
        <v>46</v>
      </c>
      <c r="K534" s="7"/>
      <c r="L534" s="10">
        <v>107.04</v>
      </c>
      <c r="M534" s="10"/>
      <c r="N534" s="10"/>
      <c r="O534" s="10"/>
      <c r="P534" s="10"/>
      <c r="Q534" s="10"/>
      <c r="R534" s="10"/>
      <c r="S534" s="10">
        <v>891.96</v>
      </c>
      <c r="T534" s="10"/>
      <c r="U534" s="10"/>
      <c r="V534" s="10"/>
      <c r="W534" s="10"/>
      <c r="X534" s="10"/>
      <c r="Y534" s="10"/>
      <c r="Z534" s="10"/>
      <c r="AA534" s="33"/>
      <c r="AB534" s="10"/>
      <c r="AC534" s="33"/>
      <c r="AD534" s="10">
        <f t="shared" si="8"/>
        <v>-999</v>
      </c>
      <c r="AE534" s="82"/>
      <c r="AF534" s="34"/>
    </row>
    <row r="535" spans="1:32" x14ac:dyDescent="0.25">
      <c r="A535" s="7" t="s">
        <v>4519</v>
      </c>
      <c r="B535" s="9" t="s">
        <v>4520</v>
      </c>
      <c r="C535" s="70">
        <v>45614</v>
      </c>
      <c r="D535" s="70">
        <v>45614</v>
      </c>
      <c r="E535" s="73">
        <v>45615</v>
      </c>
      <c r="F535" s="9" t="s">
        <v>4521</v>
      </c>
      <c r="G535" s="9" t="s">
        <v>3726</v>
      </c>
      <c r="H535" s="9"/>
      <c r="I535" s="7" t="s">
        <v>4484</v>
      </c>
      <c r="J535" s="7" t="s">
        <v>1999</v>
      </c>
      <c r="K535" s="7" t="s">
        <v>2271</v>
      </c>
      <c r="L535" s="10">
        <v>11517.86</v>
      </c>
      <c r="M535" s="10">
        <v>95982.14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33"/>
      <c r="AB535" s="10"/>
      <c r="AC535" s="33">
        <v>107500</v>
      </c>
      <c r="AD535" s="10">
        <f t="shared" si="8"/>
        <v>0</v>
      </c>
      <c r="AE535" s="82"/>
      <c r="AF535" s="34">
        <v>959.82</v>
      </c>
    </row>
    <row r="536" spans="1:32" x14ac:dyDescent="0.25">
      <c r="A536" s="7" t="s">
        <v>4525</v>
      </c>
      <c r="B536" s="9">
        <v>4174950</v>
      </c>
      <c r="C536" s="70">
        <v>45623</v>
      </c>
      <c r="D536" s="70">
        <v>45617</v>
      </c>
      <c r="E536" s="73"/>
      <c r="F536" s="9"/>
      <c r="H536" s="9"/>
      <c r="I536" s="7" t="s">
        <v>123</v>
      </c>
      <c r="J536" s="7" t="s">
        <v>4526</v>
      </c>
      <c r="K536" s="7"/>
      <c r="L536" s="10"/>
      <c r="M536" s="10">
        <v>23000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33"/>
      <c r="AB536" s="10"/>
      <c r="AC536" s="33">
        <v>23000</v>
      </c>
      <c r="AD536" s="10">
        <f t="shared" si="8"/>
        <v>0</v>
      </c>
      <c r="AE536" s="82"/>
      <c r="AF536" s="34"/>
    </row>
    <row r="537" spans="1:32" x14ac:dyDescent="0.25">
      <c r="A537" s="7" t="s">
        <v>4528</v>
      </c>
      <c r="B537" s="9">
        <v>4233451</v>
      </c>
      <c r="C537" s="70">
        <v>45621</v>
      </c>
      <c r="D537" s="70">
        <v>45621</v>
      </c>
      <c r="E537" s="73"/>
      <c r="F537" s="9"/>
      <c r="G537" s="45"/>
      <c r="H537" s="9" t="s">
        <v>4529</v>
      </c>
      <c r="I537" s="7" t="s">
        <v>1174</v>
      </c>
      <c r="J537" s="7" t="s">
        <v>3667</v>
      </c>
      <c r="K537" s="7"/>
      <c r="L537" s="10"/>
      <c r="M537" s="10"/>
      <c r="N537" s="10"/>
      <c r="O537" s="10"/>
      <c r="P537" s="10"/>
      <c r="Q537" s="10"/>
      <c r="R537" s="10"/>
      <c r="S537" s="10"/>
      <c r="T537" s="10">
        <v>13140.3</v>
      </c>
      <c r="U537" s="10"/>
      <c r="V537" s="10"/>
      <c r="W537" s="10"/>
      <c r="X537" s="10"/>
      <c r="Y537" s="10"/>
      <c r="Z537" s="10"/>
      <c r="AA537" s="33"/>
      <c r="AB537" s="10"/>
      <c r="AC537" s="33">
        <v>13140.3</v>
      </c>
      <c r="AD537" s="10">
        <f t="shared" si="8"/>
        <v>0</v>
      </c>
      <c r="AE537" s="82"/>
      <c r="AF537" s="34"/>
    </row>
    <row r="538" spans="1:32" x14ac:dyDescent="0.25">
      <c r="A538" s="7" t="s">
        <v>4530</v>
      </c>
      <c r="B538" s="9">
        <v>4233452</v>
      </c>
      <c r="C538" s="70">
        <v>45621</v>
      </c>
      <c r="D538" s="70">
        <v>45621</v>
      </c>
      <c r="E538" s="73"/>
      <c r="F538" s="9"/>
      <c r="H538" s="9" t="s">
        <v>4551</v>
      </c>
      <c r="I538" s="7" t="s">
        <v>4531</v>
      </c>
      <c r="J538" s="7" t="s">
        <v>39</v>
      </c>
      <c r="K538" s="7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33">
        <v>6342.36</v>
      </c>
      <c r="AB538" s="10"/>
      <c r="AC538" s="33">
        <v>8000</v>
      </c>
      <c r="AD538" s="10">
        <f t="shared" si="8"/>
        <v>1657.6400000000003</v>
      </c>
      <c r="AE538" s="82" t="s">
        <v>4550</v>
      </c>
      <c r="AF538" s="34"/>
    </row>
    <row r="539" spans="1:32" x14ac:dyDescent="0.25">
      <c r="A539" s="7" t="s">
        <v>4532</v>
      </c>
      <c r="B539" s="9">
        <v>4233453</v>
      </c>
      <c r="C539" s="70">
        <v>45661</v>
      </c>
      <c r="D539" s="70">
        <v>45621</v>
      </c>
      <c r="E539" s="73">
        <v>45629</v>
      </c>
      <c r="F539" s="9" t="s">
        <v>4564</v>
      </c>
      <c r="G539" s="9" t="s">
        <v>3728</v>
      </c>
      <c r="H539" s="9"/>
      <c r="I539" s="7" t="s">
        <v>3274</v>
      </c>
      <c r="J539" s="7" t="s">
        <v>1226</v>
      </c>
      <c r="K539" s="7" t="s">
        <v>2924</v>
      </c>
      <c r="L539" s="10">
        <v>5892.86</v>
      </c>
      <c r="M539" s="10">
        <v>49107.14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33"/>
      <c r="AB539" s="10"/>
      <c r="AC539" s="33">
        <v>55000</v>
      </c>
      <c r="AD539" s="10">
        <f t="shared" si="8"/>
        <v>0</v>
      </c>
      <c r="AE539" s="82"/>
      <c r="AF539" s="34">
        <v>491.07</v>
      </c>
    </row>
    <row r="540" spans="1:32" x14ac:dyDescent="0.25">
      <c r="A540" s="7" t="s">
        <v>4533</v>
      </c>
      <c r="B540" s="9">
        <v>4233454</v>
      </c>
      <c r="C540" s="70">
        <v>45646</v>
      </c>
      <c r="D540" s="70">
        <v>45616</v>
      </c>
      <c r="E540" s="73">
        <v>45624</v>
      </c>
      <c r="F540" s="9" t="s">
        <v>4560</v>
      </c>
      <c r="G540" s="9" t="s">
        <v>3727</v>
      </c>
      <c r="H540" s="9"/>
      <c r="I540" s="7" t="s">
        <v>4534</v>
      </c>
      <c r="J540" s="7" t="s">
        <v>52</v>
      </c>
      <c r="K540" s="7" t="s">
        <v>2066</v>
      </c>
      <c r="L540" s="10">
        <v>1845.16</v>
      </c>
      <c r="M540" s="10">
        <v>15376.34</v>
      </c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33"/>
      <c r="AB540" s="10"/>
      <c r="AC540" s="33">
        <v>17221.5</v>
      </c>
      <c r="AD540" s="10">
        <f t="shared" si="8"/>
        <v>0</v>
      </c>
      <c r="AE540" s="82"/>
      <c r="AF540" s="34">
        <v>153.76</v>
      </c>
    </row>
    <row r="541" spans="1:32" x14ac:dyDescent="0.25">
      <c r="A541" s="7" t="s">
        <v>4535</v>
      </c>
      <c r="B541" s="9">
        <v>4233455</v>
      </c>
      <c r="C541" s="70">
        <v>45621</v>
      </c>
      <c r="D541" s="70">
        <v>45621</v>
      </c>
      <c r="E541" s="73"/>
      <c r="F541" s="9"/>
      <c r="H541" s="9"/>
      <c r="I541" s="7" t="s">
        <v>4536</v>
      </c>
      <c r="J541" s="7" t="s">
        <v>3667</v>
      </c>
      <c r="K541" s="7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33">
        <v>24500</v>
      </c>
      <c r="AB541" s="10"/>
      <c r="AC541" s="33">
        <v>24500</v>
      </c>
      <c r="AD541" s="10">
        <f t="shared" si="8"/>
        <v>0</v>
      </c>
      <c r="AE541" s="82"/>
      <c r="AF541" s="34"/>
    </row>
    <row r="542" spans="1:32" x14ac:dyDescent="0.25">
      <c r="A542" s="7" t="s">
        <v>4537</v>
      </c>
      <c r="B542" s="9">
        <v>4233456</v>
      </c>
      <c r="C542" s="70">
        <v>45621</v>
      </c>
      <c r="D542" s="70">
        <v>45621</v>
      </c>
      <c r="E542" s="73"/>
      <c r="F542" s="9"/>
      <c r="H542" s="9"/>
      <c r="I542" s="7" t="s">
        <v>4538</v>
      </c>
      <c r="J542" s="7" t="s">
        <v>3667</v>
      </c>
      <c r="K542" s="7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33">
        <v>21199</v>
      </c>
      <c r="AB542" s="10"/>
      <c r="AC542" s="33">
        <v>21199</v>
      </c>
      <c r="AD542" s="10">
        <f t="shared" si="8"/>
        <v>0</v>
      </c>
      <c r="AE542" s="82"/>
      <c r="AF542" s="34"/>
    </row>
    <row r="543" spans="1:32" x14ac:dyDescent="0.25">
      <c r="A543" s="7" t="s">
        <v>4539</v>
      </c>
      <c r="B543" s="9">
        <v>4233457</v>
      </c>
      <c r="C543" s="70">
        <v>45628</v>
      </c>
      <c r="D543" s="70">
        <v>45622</v>
      </c>
      <c r="E543" s="73"/>
      <c r="F543" s="9"/>
      <c r="H543" s="9"/>
      <c r="I543" s="7" t="s">
        <v>4544</v>
      </c>
      <c r="J543" s="7" t="s">
        <v>47</v>
      </c>
      <c r="K543" s="7"/>
      <c r="L543" s="10"/>
      <c r="M543" s="10">
        <v>37000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33"/>
      <c r="AB543" s="10"/>
      <c r="AC543" s="33">
        <v>37000</v>
      </c>
      <c r="AD543" s="10">
        <f t="shared" si="8"/>
        <v>0</v>
      </c>
      <c r="AE543" s="82"/>
      <c r="AF543" s="34"/>
    </row>
    <row r="544" spans="1:32" x14ac:dyDescent="0.25">
      <c r="A544" s="7" t="s">
        <v>4540</v>
      </c>
      <c r="B544" s="9">
        <v>4233458</v>
      </c>
      <c r="C544" s="70">
        <v>45622</v>
      </c>
      <c r="D544" s="70">
        <v>45622</v>
      </c>
      <c r="E544" s="73"/>
      <c r="F544" s="9"/>
      <c r="H544" s="9"/>
      <c r="I544" s="7" t="s">
        <v>4545</v>
      </c>
      <c r="J544" s="7" t="s">
        <v>46</v>
      </c>
      <c r="K544" s="7"/>
      <c r="L544" s="10">
        <v>1261.17</v>
      </c>
      <c r="M544" s="10"/>
      <c r="N544" s="10"/>
      <c r="O544" s="10"/>
      <c r="P544" s="10"/>
      <c r="Q544" s="10"/>
      <c r="R544" s="10"/>
      <c r="S544" s="10">
        <v>10509.78</v>
      </c>
      <c r="T544" s="10"/>
      <c r="U544" s="10"/>
      <c r="V544" s="10"/>
      <c r="W544" s="10"/>
      <c r="X544" s="10"/>
      <c r="Y544" s="10"/>
      <c r="Z544" s="10"/>
      <c r="AA544" s="33"/>
      <c r="AB544" s="10"/>
      <c r="AC544" s="33">
        <v>11770.95</v>
      </c>
      <c r="AD544" s="10">
        <f t="shared" si="8"/>
        <v>0</v>
      </c>
      <c r="AE544" s="82"/>
      <c r="AF544" s="34"/>
    </row>
    <row r="545" spans="1:32" x14ac:dyDescent="0.25">
      <c r="A545" s="7" t="s">
        <v>4541</v>
      </c>
      <c r="B545" s="9" t="s">
        <v>4546</v>
      </c>
      <c r="C545" s="70">
        <v>45622</v>
      </c>
      <c r="D545" s="70">
        <v>45622</v>
      </c>
      <c r="E545" s="73">
        <v>45623</v>
      </c>
      <c r="F545" s="9" t="s">
        <v>4555</v>
      </c>
      <c r="G545" s="9" t="s">
        <v>3745</v>
      </c>
      <c r="H545" s="9"/>
      <c r="I545" s="7" t="s">
        <v>4547</v>
      </c>
      <c r="J545" s="7" t="s">
        <v>1999</v>
      </c>
      <c r="K545" s="7" t="s">
        <v>2271</v>
      </c>
      <c r="L545" s="10">
        <v>800.89</v>
      </c>
      <c r="M545" s="10">
        <v>6674.11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33"/>
      <c r="AB545" s="10"/>
      <c r="AC545" s="33">
        <v>7475</v>
      </c>
      <c r="AD545" s="10">
        <f t="shared" si="8"/>
        <v>0</v>
      </c>
      <c r="AE545" s="82"/>
      <c r="AF545" s="34">
        <v>66.739999999999995</v>
      </c>
    </row>
    <row r="546" spans="1:32" x14ac:dyDescent="0.25">
      <c r="A546" s="7" t="s">
        <v>4542</v>
      </c>
      <c r="B546" s="9" t="s">
        <v>4548</v>
      </c>
      <c r="C546" s="70">
        <v>45622</v>
      </c>
      <c r="D546" s="70">
        <v>45622</v>
      </c>
      <c r="E546" s="73"/>
      <c r="F546" s="9"/>
      <c r="H546" s="9"/>
      <c r="I546" s="7" t="s">
        <v>970</v>
      </c>
      <c r="J546" s="7" t="s">
        <v>4549</v>
      </c>
      <c r="K546" s="7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33">
        <v>21921.7</v>
      </c>
      <c r="AB546" s="10"/>
      <c r="AC546" s="33">
        <v>21921.7</v>
      </c>
      <c r="AD546" s="10">
        <f t="shared" si="8"/>
        <v>0</v>
      </c>
      <c r="AE546" s="82"/>
      <c r="AF546" s="34"/>
    </row>
    <row r="547" spans="1:32" x14ac:dyDescent="0.25">
      <c r="A547" s="7" t="s">
        <v>4543</v>
      </c>
      <c r="B547" s="9" t="s">
        <v>4552</v>
      </c>
      <c r="C547" s="70">
        <v>45622</v>
      </c>
      <c r="D547" s="70">
        <v>45622</v>
      </c>
      <c r="E547" s="73"/>
      <c r="F547" s="9"/>
      <c r="H547" s="9"/>
      <c r="I547" s="7" t="s">
        <v>55</v>
      </c>
      <c r="J547" s="7" t="s">
        <v>54</v>
      </c>
      <c r="K547" s="7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>
        <v>200000</v>
      </c>
      <c r="AA547" s="33"/>
      <c r="AB547" s="10"/>
      <c r="AC547" s="33">
        <v>200000</v>
      </c>
      <c r="AD547" s="10">
        <f t="shared" si="8"/>
        <v>0</v>
      </c>
      <c r="AE547" s="82"/>
      <c r="AF547" s="34"/>
    </row>
    <row r="548" spans="1:32" x14ac:dyDescent="0.25">
      <c r="A548" s="7" t="s">
        <v>4553</v>
      </c>
      <c r="B548" s="9">
        <v>4233459</v>
      </c>
      <c r="C548" s="70">
        <v>45625</v>
      </c>
      <c r="D548" s="70">
        <v>45622</v>
      </c>
      <c r="E548" s="73"/>
      <c r="F548" s="9"/>
      <c r="H548" s="9"/>
      <c r="I548" s="7" t="s">
        <v>118</v>
      </c>
      <c r="J548" s="7" t="s">
        <v>1847</v>
      </c>
      <c r="K548" s="7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33">
        <v>33250</v>
      </c>
      <c r="AB548" s="10"/>
      <c r="AC548" s="33">
        <v>33250</v>
      </c>
      <c r="AD548" s="10">
        <f t="shared" si="8"/>
        <v>0</v>
      </c>
      <c r="AE548" s="82"/>
      <c r="AF548" s="34"/>
    </row>
    <row r="549" spans="1:32" x14ac:dyDescent="0.25">
      <c r="A549" s="7" t="s">
        <v>4554</v>
      </c>
      <c r="B549" s="9">
        <v>4233460</v>
      </c>
      <c r="C549" s="70">
        <v>45625</v>
      </c>
      <c r="D549" s="70">
        <v>45622</v>
      </c>
      <c r="E549" s="73"/>
      <c r="F549" s="9"/>
      <c r="H549" s="9"/>
      <c r="I549" s="7" t="s">
        <v>118</v>
      </c>
      <c r="J549" s="7" t="s">
        <v>125</v>
      </c>
      <c r="K549" s="7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33">
        <v>25000</v>
      </c>
      <c r="AB549" s="10"/>
      <c r="AC549" s="33">
        <v>25000</v>
      </c>
      <c r="AD549" s="10">
        <f t="shared" si="8"/>
        <v>0</v>
      </c>
      <c r="AE549" s="82"/>
      <c r="AF549" s="34"/>
    </row>
    <row r="550" spans="1:32" x14ac:dyDescent="0.25">
      <c r="A550" s="7" t="s">
        <v>4556</v>
      </c>
      <c r="B550" s="9">
        <v>4233461</v>
      </c>
      <c r="C550" s="70">
        <v>45624</v>
      </c>
      <c r="D550" s="70">
        <v>45624</v>
      </c>
      <c r="E550" s="73"/>
      <c r="F550" s="9"/>
      <c r="H550" s="9" t="s">
        <v>4561</v>
      </c>
      <c r="I550" s="7" t="s">
        <v>1174</v>
      </c>
      <c r="J550" s="7" t="s">
        <v>3667</v>
      </c>
      <c r="K550" s="7"/>
      <c r="L550" s="10"/>
      <c r="M550" s="10"/>
      <c r="N550" s="10"/>
      <c r="O550" s="10"/>
      <c r="P550" s="10"/>
      <c r="Q550" s="10"/>
      <c r="R550" s="10"/>
      <c r="S550" s="10"/>
      <c r="T550" s="10">
        <v>9015.0300000000007</v>
      </c>
      <c r="U550" s="10"/>
      <c r="V550" s="10"/>
      <c r="W550" s="10"/>
      <c r="X550" s="10"/>
      <c r="Y550" s="10"/>
      <c r="Z550" s="10"/>
      <c r="AA550" s="33"/>
      <c r="AB550" s="10"/>
      <c r="AC550" s="33">
        <v>9015.0300000000007</v>
      </c>
      <c r="AD550" s="10">
        <f t="shared" si="8"/>
        <v>0</v>
      </c>
      <c r="AE550" s="82"/>
      <c r="AF550" s="34"/>
    </row>
    <row r="551" spans="1:32" x14ac:dyDescent="0.25">
      <c r="A551" s="7" t="s">
        <v>4557</v>
      </c>
      <c r="B551" s="9" t="s">
        <v>4558</v>
      </c>
      <c r="C551" s="70">
        <v>45624</v>
      </c>
      <c r="D551" s="70">
        <v>45624</v>
      </c>
      <c r="E551" s="73">
        <v>45625</v>
      </c>
      <c r="F551" s="9" t="s">
        <v>4562</v>
      </c>
      <c r="G551" s="9" t="s">
        <v>3759</v>
      </c>
      <c r="H551" s="9"/>
      <c r="I551" s="7" t="s">
        <v>4559</v>
      </c>
      <c r="J551" s="7" t="s">
        <v>1999</v>
      </c>
      <c r="K551" s="7" t="s">
        <v>2271</v>
      </c>
      <c r="L551" s="10">
        <v>13017.86</v>
      </c>
      <c r="M551" s="10">
        <v>108482.14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33"/>
      <c r="AB551" s="10"/>
      <c r="AC551" s="33">
        <v>121500</v>
      </c>
      <c r="AD551" s="10">
        <f t="shared" si="8"/>
        <v>0</v>
      </c>
      <c r="AE551" s="82"/>
      <c r="AF551" s="34">
        <v>1084.82</v>
      </c>
    </row>
    <row r="552" spans="1:32" x14ac:dyDescent="0.25">
      <c r="A552" s="20"/>
      <c r="B552" s="19"/>
      <c r="C552" s="72"/>
      <c r="D552" s="72"/>
      <c r="E552" s="77"/>
      <c r="F552" s="19"/>
      <c r="G552" s="19"/>
      <c r="H552" s="19"/>
      <c r="I552" s="20"/>
      <c r="J552" s="20"/>
      <c r="K552" s="20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32"/>
      <c r="AB552" s="22"/>
      <c r="AC552" s="22"/>
      <c r="AD552" s="22"/>
      <c r="AE552" s="96"/>
      <c r="AF552" s="35"/>
    </row>
    <row r="553" spans="1:32" x14ac:dyDescent="0.25">
      <c r="A553" s="25">
        <v>45627</v>
      </c>
      <c r="B553" s="19"/>
      <c r="C553" s="72"/>
      <c r="D553" s="72"/>
      <c r="E553" s="77"/>
      <c r="F553" s="19"/>
      <c r="G553" s="19"/>
      <c r="H553" s="19"/>
      <c r="I553" s="20"/>
      <c r="J553" s="20"/>
      <c r="K553" s="20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32"/>
      <c r="AB553" s="22"/>
      <c r="AC553" s="22"/>
      <c r="AD553" s="22"/>
      <c r="AE553" s="96"/>
      <c r="AF553" s="35"/>
    </row>
    <row r="554" spans="1:32" x14ac:dyDescent="0.25">
      <c r="A554" s="7" t="s">
        <v>4563</v>
      </c>
      <c r="B554" s="7">
        <v>4233462</v>
      </c>
      <c r="C554" s="70">
        <v>45628</v>
      </c>
      <c r="D554" s="70">
        <v>45628</v>
      </c>
      <c r="E554" s="73"/>
      <c r="F554" s="9"/>
      <c r="H554" s="9" t="s">
        <v>4594</v>
      </c>
      <c r="I554" s="7" t="s">
        <v>2588</v>
      </c>
      <c r="J554" s="7" t="s">
        <v>3667</v>
      </c>
      <c r="K554" s="7"/>
      <c r="L554" s="10"/>
      <c r="M554" s="10"/>
      <c r="N554" s="10"/>
      <c r="O554" s="10"/>
      <c r="P554" s="10"/>
      <c r="Q554" s="10"/>
      <c r="R554" s="10"/>
      <c r="S554" s="10"/>
      <c r="T554" s="10">
        <v>11137.8</v>
      </c>
      <c r="U554" s="10"/>
      <c r="V554" s="10"/>
      <c r="W554" s="10"/>
      <c r="X554" s="10"/>
      <c r="Y554" s="10"/>
      <c r="Z554" s="10"/>
      <c r="AA554" s="33"/>
      <c r="AB554" s="10"/>
      <c r="AC554" s="33">
        <v>11137.8</v>
      </c>
      <c r="AD554" s="10">
        <f t="shared" si="8"/>
        <v>0</v>
      </c>
      <c r="AE554" s="82"/>
      <c r="AF554" s="34"/>
    </row>
    <row r="555" spans="1:32" x14ac:dyDescent="0.25">
      <c r="A555" s="7" t="s">
        <v>4565</v>
      </c>
      <c r="B555" s="9">
        <v>4233463</v>
      </c>
      <c r="C555" s="70">
        <v>45296</v>
      </c>
      <c r="D555" s="70">
        <v>45631</v>
      </c>
      <c r="E555" s="73">
        <v>45631</v>
      </c>
      <c r="F555" s="9" t="s">
        <v>4708</v>
      </c>
      <c r="G555" s="9" t="s">
        <v>3746</v>
      </c>
      <c r="H555" s="9"/>
      <c r="I555" s="7" t="s">
        <v>4566</v>
      </c>
      <c r="J555" s="7" t="s">
        <v>83</v>
      </c>
      <c r="K555" s="7" t="s">
        <v>1336</v>
      </c>
      <c r="L555" s="10">
        <v>1751.79</v>
      </c>
      <c r="M555" s="10">
        <v>14598.21</v>
      </c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33"/>
      <c r="AB555" s="10"/>
      <c r="AC555" s="33">
        <v>16350</v>
      </c>
      <c r="AD555" s="10">
        <f t="shared" si="8"/>
        <v>0</v>
      </c>
      <c r="AE555" s="82"/>
      <c r="AF555" s="34">
        <v>145.97999999999999</v>
      </c>
    </row>
    <row r="556" spans="1:32" x14ac:dyDescent="0.25">
      <c r="A556" s="7" t="s">
        <v>4567</v>
      </c>
      <c r="B556" s="102" t="s">
        <v>48</v>
      </c>
      <c r="C556" s="70">
        <v>45296</v>
      </c>
      <c r="D556" s="70">
        <v>45631</v>
      </c>
      <c r="E556" s="73">
        <v>45631</v>
      </c>
      <c r="F556" s="102" t="s">
        <v>48</v>
      </c>
      <c r="G556" s="9" t="s">
        <v>3762</v>
      </c>
      <c r="H556" s="9"/>
      <c r="I556" s="7" t="s">
        <v>4568</v>
      </c>
      <c r="J556" s="7" t="s">
        <v>83</v>
      </c>
      <c r="K556" s="7" t="s">
        <v>1336</v>
      </c>
      <c r="L556" s="10">
        <v>10458.86</v>
      </c>
      <c r="M556" s="10">
        <v>87157.14</v>
      </c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33"/>
      <c r="AB556" s="10"/>
      <c r="AC556" s="33">
        <v>97616</v>
      </c>
      <c r="AD556" s="10">
        <f t="shared" si="8"/>
        <v>0</v>
      </c>
      <c r="AE556" s="82" t="s">
        <v>48</v>
      </c>
      <c r="AF556" s="34">
        <v>871.57</v>
      </c>
    </row>
    <row r="557" spans="1:32" x14ac:dyDescent="0.25">
      <c r="A557" s="7" t="s">
        <v>4569</v>
      </c>
      <c r="B557" s="9">
        <v>4233466</v>
      </c>
      <c r="C557" s="70">
        <v>45296</v>
      </c>
      <c r="D557" s="70">
        <v>45631</v>
      </c>
      <c r="E557" s="73">
        <v>45631</v>
      </c>
      <c r="F557" s="9" t="s">
        <v>4705</v>
      </c>
      <c r="G557" s="9" t="s">
        <v>3763</v>
      </c>
      <c r="H557" s="9"/>
      <c r="I557" s="7" t="s">
        <v>4570</v>
      </c>
      <c r="J557" s="7" t="s">
        <v>83</v>
      </c>
      <c r="K557" s="7" t="s">
        <v>1336</v>
      </c>
      <c r="L557" s="10">
        <v>1832.14</v>
      </c>
      <c r="M557" s="10">
        <v>15267.86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33"/>
      <c r="AB557" s="10"/>
      <c r="AC557" s="33">
        <v>17100</v>
      </c>
      <c r="AD557" s="10">
        <f t="shared" si="8"/>
        <v>0</v>
      </c>
      <c r="AE557" s="82"/>
      <c r="AF557" s="34">
        <v>152.68</v>
      </c>
    </row>
    <row r="558" spans="1:32" x14ac:dyDescent="0.25">
      <c r="A558" s="7" t="s">
        <v>4571</v>
      </c>
      <c r="B558" s="102" t="s">
        <v>48</v>
      </c>
      <c r="C558" s="70">
        <v>45296</v>
      </c>
      <c r="D558" s="70">
        <v>45631</v>
      </c>
      <c r="E558" s="73">
        <v>45631</v>
      </c>
      <c r="F558" s="102" t="s">
        <v>48</v>
      </c>
      <c r="G558" s="9" t="s">
        <v>3766</v>
      </c>
      <c r="H558" s="9"/>
      <c r="I558" s="7" t="s">
        <v>4572</v>
      </c>
      <c r="J558" s="7" t="s">
        <v>83</v>
      </c>
      <c r="K558" s="7" t="s">
        <v>1336</v>
      </c>
      <c r="L558" s="10">
        <v>6601.71</v>
      </c>
      <c r="M558" s="10">
        <v>55014.29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33"/>
      <c r="AB558" s="10"/>
      <c r="AC558" s="33">
        <v>61616</v>
      </c>
      <c r="AD558" s="10">
        <f t="shared" si="8"/>
        <v>0</v>
      </c>
      <c r="AE558" s="82" t="s">
        <v>48</v>
      </c>
      <c r="AF558" s="34">
        <v>550.14</v>
      </c>
    </row>
    <row r="559" spans="1:32" x14ac:dyDescent="0.25">
      <c r="A559" s="7" t="s">
        <v>4573</v>
      </c>
      <c r="B559" s="9">
        <v>4233468</v>
      </c>
      <c r="C559" s="70">
        <v>45308</v>
      </c>
      <c r="D559" s="70">
        <v>45631</v>
      </c>
      <c r="E559" s="73">
        <v>45630</v>
      </c>
      <c r="F559" s="9" t="s">
        <v>4610</v>
      </c>
      <c r="G559" s="9" t="s">
        <v>3747</v>
      </c>
      <c r="H559" s="9"/>
      <c r="I559" s="7" t="s">
        <v>4574</v>
      </c>
      <c r="J559" s="7" t="s">
        <v>1226</v>
      </c>
      <c r="K559" s="7" t="s">
        <v>2924</v>
      </c>
      <c r="L559" s="10">
        <v>5839.29</v>
      </c>
      <c r="M559" s="10">
        <v>48660.71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33"/>
      <c r="AB559" s="10"/>
      <c r="AC559" s="33">
        <v>54500</v>
      </c>
      <c r="AD559" s="10">
        <f t="shared" si="8"/>
        <v>0</v>
      </c>
      <c r="AE559" s="82"/>
      <c r="AF559" s="34">
        <v>486.61</v>
      </c>
    </row>
    <row r="560" spans="1:32" x14ac:dyDescent="0.25">
      <c r="A560" s="7" t="s">
        <v>4575</v>
      </c>
      <c r="B560" s="9">
        <v>4233469</v>
      </c>
      <c r="C560" s="70">
        <v>45307</v>
      </c>
      <c r="D560" s="70">
        <v>45631</v>
      </c>
      <c r="E560" s="73">
        <v>45628</v>
      </c>
      <c r="F560" s="9" t="s">
        <v>4609</v>
      </c>
      <c r="G560" s="9" t="s">
        <v>3637</v>
      </c>
      <c r="H560" s="9"/>
      <c r="I560" s="7" t="s">
        <v>4576</v>
      </c>
      <c r="J560" s="7" t="s">
        <v>1226</v>
      </c>
      <c r="K560" s="7" t="s">
        <v>2924</v>
      </c>
      <c r="L560" s="10">
        <v>9107.14</v>
      </c>
      <c r="M560" s="10">
        <v>75892.86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33"/>
      <c r="AB560" s="10"/>
      <c r="AC560" s="33">
        <v>85000</v>
      </c>
      <c r="AD560" s="10">
        <f t="shared" si="8"/>
        <v>0</v>
      </c>
      <c r="AE560" s="82"/>
      <c r="AF560" s="34">
        <v>758.93</v>
      </c>
    </row>
    <row r="561" spans="1:32" x14ac:dyDescent="0.25">
      <c r="A561" s="7" t="s">
        <v>4577</v>
      </c>
      <c r="B561" s="9">
        <v>4233470</v>
      </c>
      <c r="C561" s="70">
        <v>45636</v>
      </c>
      <c r="D561" s="70">
        <v>45631</v>
      </c>
      <c r="E561" s="73"/>
      <c r="F561" s="9"/>
      <c r="H561" s="9"/>
      <c r="I561" s="7" t="s">
        <v>4578</v>
      </c>
      <c r="J561" s="7" t="s">
        <v>18</v>
      </c>
      <c r="K561" s="7"/>
      <c r="L561" s="10">
        <v>151.09</v>
      </c>
      <c r="M561" s="10"/>
      <c r="N561" s="10"/>
      <c r="O561" s="10"/>
      <c r="P561" s="10"/>
      <c r="Q561" s="10"/>
      <c r="R561" s="10">
        <v>1259.06</v>
      </c>
      <c r="S561" s="10"/>
      <c r="T561" s="10"/>
      <c r="U561" s="10"/>
      <c r="V561" s="10"/>
      <c r="W561" s="10"/>
      <c r="X561" s="10"/>
      <c r="Y561" s="10"/>
      <c r="Z561" s="10"/>
      <c r="AA561" s="33"/>
      <c r="AB561" s="10"/>
      <c r="AC561" s="33">
        <v>1410.15</v>
      </c>
      <c r="AD561" s="10">
        <f t="shared" si="8"/>
        <v>0</v>
      </c>
      <c r="AE561" s="82"/>
      <c r="AF561" s="34"/>
    </row>
    <row r="562" spans="1:32" x14ac:dyDescent="0.25">
      <c r="A562" s="7" t="s">
        <v>4579</v>
      </c>
      <c r="B562" s="9">
        <v>4233471</v>
      </c>
      <c r="C562" s="70">
        <v>45636</v>
      </c>
      <c r="D562" s="70">
        <v>45631</v>
      </c>
      <c r="E562" s="73"/>
      <c r="F562" s="9"/>
      <c r="H562" s="9"/>
      <c r="I562" s="7" t="s">
        <v>4578</v>
      </c>
      <c r="J562" s="7" t="s">
        <v>18</v>
      </c>
      <c r="K562" s="7"/>
      <c r="L562" s="10">
        <v>811.09</v>
      </c>
      <c r="M562" s="10"/>
      <c r="N562" s="10"/>
      <c r="O562" s="10"/>
      <c r="P562" s="10"/>
      <c r="Q562" s="10"/>
      <c r="R562" s="10">
        <v>6759.06</v>
      </c>
      <c r="S562" s="10"/>
      <c r="T562" s="10"/>
      <c r="U562" s="10"/>
      <c r="V562" s="10"/>
      <c r="W562" s="10"/>
      <c r="X562" s="10"/>
      <c r="Y562" s="10"/>
      <c r="Z562" s="10"/>
      <c r="AA562" s="33"/>
      <c r="AB562" s="10"/>
      <c r="AC562" s="33">
        <v>7570.15</v>
      </c>
      <c r="AD562" s="10">
        <f t="shared" si="8"/>
        <v>0</v>
      </c>
      <c r="AE562" s="82"/>
      <c r="AF562" s="34"/>
    </row>
    <row r="563" spans="1:32" x14ac:dyDescent="0.25">
      <c r="A563" s="7" t="s">
        <v>4580</v>
      </c>
      <c r="B563" s="9">
        <v>4233472</v>
      </c>
      <c r="C563" s="70">
        <v>45636</v>
      </c>
      <c r="D563" s="70">
        <v>45631</v>
      </c>
      <c r="E563" s="73"/>
      <c r="F563" s="9"/>
      <c r="H563" s="9"/>
      <c r="I563" s="7" t="s">
        <v>4581</v>
      </c>
      <c r="J563" s="7" t="s">
        <v>43</v>
      </c>
      <c r="K563" s="7"/>
      <c r="L563" s="10">
        <v>32.14</v>
      </c>
      <c r="M563" s="10">
        <v>267.86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33"/>
      <c r="AB563" s="10"/>
      <c r="AC563" s="33">
        <v>300</v>
      </c>
      <c r="AD563" s="10">
        <f t="shared" si="8"/>
        <v>0</v>
      </c>
      <c r="AE563" s="82"/>
      <c r="AF563" s="34"/>
    </row>
    <row r="564" spans="1:32" x14ac:dyDescent="0.25">
      <c r="A564" s="7" t="s">
        <v>4582</v>
      </c>
      <c r="B564" s="9">
        <v>4233473</v>
      </c>
      <c r="C564" s="70">
        <v>45636</v>
      </c>
      <c r="D564" s="70">
        <v>45631</v>
      </c>
      <c r="E564" s="73"/>
      <c r="F564" s="9"/>
      <c r="H564" s="9"/>
      <c r="I564" s="7" t="s">
        <v>4581</v>
      </c>
      <c r="J564" s="7" t="s">
        <v>43</v>
      </c>
      <c r="K564" s="7"/>
      <c r="L564" s="10">
        <v>64.180000000000007</v>
      </c>
      <c r="M564" s="10">
        <v>534.82000000000005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33"/>
      <c r="AB564" s="10"/>
      <c r="AC564" s="33">
        <v>599</v>
      </c>
      <c r="AD564" s="10">
        <f t="shared" si="8"/>
        <v>0</v>
      </c>
      <c r="AE564" s="82"/>
      <c r="AF564" s="34"/>
    </row>
    <row r="565" spans="1:32" x14ac:dyDescent="0.25">
      <c r="A565" s="7" t="s">
        <v>4583</v>
      </c>
      <c r="B565" s="9" t="s">
        <v>4584</v>
      </c>
      <c r="C565" s="70">
        <v>45631</v>
      </c>
      <c r="D565" s="70">
        <v>45631</v>
      </c>
      <c r="E565" s="73"/>
      <c r="F565" s="9"/>
      <c r="H565" s="9"/>
      <c r="I565" s="7" t="s">
        <v>41</v>
      </c>
      <c r="J565" s="7" t="s">
        <v>54</v>
      </c>
      <c r="K565" s="7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>
        <v>350000</v>
      </c>
      <c r="AA565" s="33"/>
      <c r="AB565" s="10"/>
      <c r="AC565" s="33">
        <v>350000</v>
      </c>
      <c r="AD565" s="10">
        <f t="shared" si="8"/>
        <v>0</v>
      </c>
      <c r="AE565" s="82"/>
      <c r="AF565" s="34"/>
    </row>
    <row r="566" spans="1:32" x14ac:dyDescent="0.25">
      <c r="A566" s="7" t="s">
        <v>4585</v>
      </c>
      <c r="B566" s="9" t="s">
        <v>4586</v>
      </c>
      <c r="C566" s="70">
        <v>45631</v>
      </c>
      <c r="D566" s="70">
        <v>45631</v>
      </c>
      <c r="E566" s="73">
        <v>45632</v>
      </c>
      <c r="F566" s="9" t="s">
        <v>4595</v>
      </c>
      <c r="G566" s="9" t="s">
        <v>3767</v>
      </c>
      <c r="H566" s="9"/>
      <c r="I566" s="7" t="s">
        <v>4587</v>
      </c>
      <c r="J566" s="7" t="s">
        <v>1999</v>
      </c>
      <c r="K566" s="7" t="s">
        <v>2271</v>
      </c>
      <c r="L566" s="10">
        <v>4553.57</v>
      </c>
      <c r="M566" s="10">
        <v>37946.43</v>
      </c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33"/>
      <c r="AB566" s="10"/>
      <c r="AC566" s="33">
        <v>42500</v>
      </c>
      <c r="AD566" s="10">
        <f t="shared" si="8"/>
        <v>0</v>
      </c>
      <c r="AE566" s="82"/>
      <c r="AF566" s="34">
        <v>379.46</v>
      </c>
    </row>
    <row r="567" spans="1:32" x14ac:dyDescent="0.25">
      <c r="A567" s="7" t="s">
        <v>4590</v>
      </c>
      <c r="B567" s="9" t="s">
        <v>4591</v>
      </c>
      <c r="C567" s="70">
        <v>45631</v>
      </c>
      <c r="D567" s="70">
        <v>45631</v>
      </c>
      <c r="E567" s="73"/>
      <c r="F567" s="9"/>
      <c r="H567" s="9"/>
      <c r="I567" s="7" t="s">
        <v>4592</v>
      </c>
      <c r="J567" s="7" t="s">
        <v>109</v>
      </c>
      <c r="K567" s="7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33">
        <v>10900</v>
      </c>
      <c r="AB567" s="10"/>
      <c r="AC567" s="33">
        <v>10900</v>
      </c>
      <c r="AD567" s="10">
        <f t="shared" si="8"/>
        <v>0</v>
      </c>
      <c r="AE567" s="82"/>
      <c r="AF567" s="34"/>
    </row>
    <row r="568" spans="1:32" x14ac:dyDescent="0.25">
      <c r="A568" s="7" t="s">
        <v>4593</v>
      </c>
      <c r="B568" s="9">
        <v>4233474</v>
      </c>
      <c r="C568" s="70">
        <v>45632</v>
      </c>
      <c r="D568" s="70">
        <v>45632</v>
      </c>
      <c r="E568" s="73"/>
      <c r="F568" s="9"/>
      <c r="H568" s="9" t="s">
        <v>5169</v>
      </c>
      <c r="I568" s="7" t="s">
        <v>4462</v>
      </c>
      <c r="J568" s="7" t="s">
        <v>3667</v>
      </c>
      <c r="K568" s="7"/>
      <c r="L568" s="10"/>
      <c r="M568" s="10"/>
      <c r="N568" s="10"/>
      <c r="O568" s="10"/>
      <c r="P568" s="10"/>
      <c r="Q568" s="10"/>
      <c r="R568" s="10"/>
      <c r="S568" s="10"/>
      <c r="T568" s="10">
        <v>15565.82</v>
      </c>
      <c r="U568" s="10"/>
      <c r="V568" s="10"/>
      <c r="W568" s="10"/>
      <c r="X568" s="10"/>
      <c r="Y568" s="10"/>
      <c r="Z568" s="10"/>
      <c r="AA568" s="33"/>
      <c r="AB568" s="10"/>
      <c r="AC568" s="33">
        <v>15565.82</v>
      </c>
      <c r="AD568" s="10">
        <f t="shared" si="8"/>
        <v>0</v>
      </c>
      <c r="AE568" s="82"/>
      <c r="AF568" s="34"/>
    </row>
    <row r="569" spans="1:32" x14ac:dyDescent="0.25">
      <c r="A569" s="7" t="s">
        <v>4596</v>
      </c>
      <c r="B569" s="9" t="s">
        <v>4597</v>
      </c>
      <c r="C569" s="70">
        <v>45635</v>
      </c>
      <c r="D569" s="70">
        <v>45635</v>
      </c>
      <c r="E569" s="73">
        <v>45637</v>
      </c>
      <c r="F569" s="9" t="s">
        <v>4624</v>
      </c>
      <c r="G569" s="9" t="s">
        <v>4599</v>
      </c>
      <c r="H569" s="9"/>
      <c r="I569" s="7" t="s">
        <v>4598</v>
      </c>
      <c r="J569" s="7" t="s">
        <v>1999</v>
      </c>
      <c r="K569" s="7" t="s">
        <v>2271</v>
      </c>
      <c r="L569" s="10">
        <v>1001.79</v>
      </c>
      <c r="M569" s="10">
        <v>8348.2099999999991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33"/>
      <c r="AB569" s="10"/>
      <c r="AC569" s="33">
        <v>9350</v>
      </c>
      <c r="AD569" s="10">
        <f t="shared" si="8"/>
        <v>0</v>
      </c>
      <c r="AE569" s="82"/>
      <c r="AF569" s="34">
        <v>83.48</v>
      </c>
    </row>
    <row r="570" spans="1:32" x14ac:dyDescent="0.25">
      <c r="A570" s="7" t="s">
        <v>4600</v>
      </c>
      <c r="B570" s="9">
        <v>4233475</v>
      </c>
      <c r="C570" s="70">
        <v>45639</v>
      </c>
      <c r="D570" s="70">
        <v>45635</v>
      </c>
      <c r="E570" s="73"/>
      <c r="F570" s="9"/>
      <c r="H570" s="9"/>
      <c r="I570" s="7" t="s">
        <v>4601</v>
      </c>
      <c r="J570" s="7" t="s">
        <v>4549</v>
      </c>
      <c r="K570" s="7"/>
      <c r="L570" s="10"/>
      <c r="M570" s="10">
        <v>28000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33"/>
      <c r="AB570" s="10"/>
      <c r="AC570" s="33">
        <v>28000</v>
      </c>
      <c r="AD570" s="10">
        <f t="shared" si="8"/>
        <v>0</v>
      </c>
      <c r="AE570" s="82"/>
      <c r="AF570" s="34"/>
    </row>
    <row r="571" spans="1:32" x14ac:dyDescent="0.25">
      <c r="A571" s="7" t="s">
        <v>4602</v>
      </c>
      <c r="B571" s="9">
        <v>4233476</v>
      </c>
      <c r="C571" s="70">
        <v>45637</v>
      </c>
      <c r="D571" s="70">
        <v>45635</v>
      </c>
      <c r="E571" s="73"/>
      <c r="F571" s="9"/>
      <c r="H571" s="9" t="s">
        <v>4664</v>
      </c>
      <c r="I571" s="7" t="s">
        <v>4603</v>
      </c>
      <c r="J571" s="7" t="s">
        <v>39</v>
      </c>
      <c r="K571" s="7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33">
        <v>19724.830000000002</v>
      </c>
      <c r="AB571" s="10"/>
      <c r="AC571" s="33">
        <v>20000</v>
      </c>
      <c r="AD571" s="10">
        <f t="shared" si="8"/>
        <v>275.16999999999825</v>
      </c>
      <c r="AE571" s="82" t="s">
        <v>4663</v>
      </c>
      <c r="AF571" s="34"/>
    </row>
    <row r="572" spans="1:32" x14ac:dyDescent="0.25">
      <c r="A572" s="7" t="s">
        <v>4604</v>
      </c>
      <c r="B572" s="9" t="s">
        <v>4605</v>
      </c>
      <c r="C572" s="70">
        <v>45635</v>
      </c>
      <c r="D572" s="70">
        <v>45635</v>
      </c>
      <c r="E572" s="73"/>
      <c r="F572" s="9"/>
      <c r="H572" s="9"/>
      <c r="I572" s="7" t="s">
        <v>41</v>
      </c>
      <c r="J572" s="7" t="s">
        <v>54</v>
      </c>
      <c r="K572" s="7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>
        <v>150000</v>
      </c>
      <c r="AA572" s="33"/>
      <c r="AB572" s="10"/>
      <c r="AC572" s="33">
        <v>150000</v>
      </c>
      <c r="AD572" s="10">
        <f t="shared" si="8"/>
        <v>0</v>
      </c>
      <c r="AE572" s="82"/>
      <c r="AF572" s="34"/>
    </row>
    <row r="573" spans="1:32" x14ac:dyDescent="0.25">
      <c r="A573" s="7" t="s">
        <v>4606</v>
      </c>
      <c r="B573" s="102" t="s">
        <v>48</v>
      </c>
      <c r="C573" s="70">
        <v>45635</v>
      </c>
      <c r="D573" s="70">
        <v>45635</v>
      </c>
      <c r="E573" s="73"/>
      <c r="F573" s="102" t="s">
        <v>48</v>
      </c>
      <c r="H573" s="9"/>
      <c r="I573" s="7" t="s">
        <v>4607</v>
      </c>
      <c r="J573" s="7" t="s">
        <v>4608</v>
      </c>
      <c r="K573" s="7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33">
        <v>17500</v>
      </c>
      <c r="AB573" s="10"/>
      <c r="AC573" s="33">
        <v>17500</v>
      </c>
      <c r="AD573" s="10">
        <f t="shared" si="8"/>
        <v>0</v>
      </c>
      <c r="AE573" s="82"/>
      <c r="AF573" s="34"/>
    </row>
    <row r="574" spans="1:32" x14ac:dyDescent="0.25">
      <c r="A574" s="7" t="s">
        <v>4611</v>
      </c>
      <c r="B574" s="9">
        <v>4233478</v>
      </c>
      <c r="C574" s="70">
        <v>45639</v>
      </c>
      <c r="D574" s="70">
        <v>45636</v>
      </c>
      <c r="E574" s="73"/>
      <c r="F574" s="9"/>
      <c r="H574" s="9"/>
      <c r="I574" s="7" t="s">
        <v>4612</v>
      </c>
      <c r="J574" s="7" t="s">
        <v>1847</v>
      </c>
      <c r="K574" s="7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33">
        <v>30800</v>
      </c>
      <c r="AB574" s="10"/>
      <c r="AC574" s="33">
        <v>30800</v>
      </c>
      <c r="AD574" s="10">
        <f t="shared" si="8"/>
        <v>0</v>
      </c>
      <c r="AE574" s="82"/>
      <c r="AF574" s="34"/>
    </row>
    <row r="575" spans="1:32" x14ac:dyDescent="0.25">
      <c r="A575" s="7" t="s">
        <v>4613</v>
      </c>
      <c r="B575" s="9">
        <v>4233479</v>
      </c>
      <c r="C575" s="70">
        <v>45639</v>
      </c>
      <c r="D575" s="70">
        <v>45636</v>
      </c>
      <c r="E575" s="73"/>
      <c r="F575" s="9"/>
      <c r="H575" s="9"/>
      <c r="I575" s="7" t="s">
        <v>4612</v>
      </c>
      <c r="J575" s="7" t="s">
        <v>125</v>
      </c>
      <c r="K575" s="7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33">
        <v>27500</v>
      </c>
      <c r="AB575" s="10"/>
      <c r="AC575" s="33">
        <v>27500</v>
      </c>
      <c r="AD575" s="10">
        <f t="shared" ref="AD575:AD626" si="9">SUM(AB575:AC575)-SUM(L575:AA575)</f>
        <v>0</v>
      </c>
      <c r="AE575" s="82"/>
      <c r="AF575" s="34"/>
    </row>
    <row r="576" spans="1:32" x14ac:dyDescent="0.25">
      <c r="A576" s="7" t="s">
        <v>4614</v>
      </c>
      <c r="B576" s="9">
        <v>4233480</v>
      </c>
      <c r="C576" s="70">
        <v>45316</v>
      </c>
      <c r="D576" s="70">
        <v>45637</v>
      </c>
      <c r="E576" s="73">
        <v>45642</v>
      </c>
      <c r="F576" s="9" t="s">
        <v>4635</v>
      </c>
      <c r="G576" s="9" t="s">
        <v>4616</v>
      </c>
      <c r="H576" s="9"/>
      <c r="I576" s="7" t="s">
        <v>4615</v>
      </c>
      <c r="J576" s="7" t="s">
        <v>1226</v>
      </c>
      <c r="K576" s="7" t="s">
        <v>2924</v>
      </c>
      <c r="L576" s="10">
        <v>4553.57</v>
      </c>
      <c r="M576" s="10">
        <v>37946.43</v>
      </c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33"/>
      <c r="AB576" s="10"/>
      <c r="AC576" s="33">
        <v>42500</v>
      </c>
      <c r="AD576" s="10">
        <f t="shared" si="9"/>
        <v>0</v>
      </c>
      <c r="AE576" s="82"/>
      <c r="AF576" s="34">
        <v>379.46</v>
      </c>
    </row>
    <row r="577" spans="1:32" x14ac:dyDescent="0.25">
      <c r="A577" s="7" t="s">
        <v>4617</v>
      </c>
      <c r="B577" s="9">
        <v>4233481</v>
      </c>
      <c r="C577" s="70">
        <v>45296</v>
      </c>
      <c r="D577" s="70">
        <v>45637</v>
      </c>
      <c r="E577" s="73"/>
      <c r="F577" s="9" t="s">
        <v>4589</v>
      </c>
      <c r="G577" s="9" t="s">
        <v>4618</v>
      </c>
      <c r="H577" s="9"/>
      <c r="I577" s="7" t="s">
        <v>4568</v>
      </c>
      <c r="J577" s="7" t="s">
        <v>83</v>
      </c>
      <c r="K577" s="7" t="s">
        <v>1336</v>
      </c>
      <c r="L577" s="10">
        <v>8851.7099999999991</v>
      </c>
      <c r="M577" s="10">
        <v>73764.289999999994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33"/>
      <c r="AB577" s="10"/>
      <c r="AC577" s="33"/>
      <c r="AD577" s="10">
        <f t="shared" si="9"/>
        <v>-82616</v>
      </c>
      <c r="AE577" s="82"/>
      <c r="AF577" s="34">
        <v>737.64</v>
      </c>
    </row>
    <row r="578" spans="1:32" x14ac:dyDescent="0.25">
      <c r="A578" s="7" t="s">
        <v>4619</v>
      </c>
      <c r="B578" s="9">
        <v>4233482</v>
      </c>
      <c r="C578" s="70">
        <v>45296</v>
      </c>
      <c r="D578" s="70">
        <v>45637</v>
      </c>
      <c r="E578" s="73"/>
      <c r="F578" s="9" t="s">
        <v>4588</v>
      </c>
      <c r="G578" s="9" t="s">
        <v>4620</v>
      </c>
      <c r="H578" s="9"/>
      <c r="I578" s="7" t="s">
        <v>4572</v>
      </c>
      <c r="J578" s="7" t="s">
        <v>83</v>
      </c>
      <c r="K578" s="7" t="s">
        <v>1336</v>
      </c>
      <c r="L578" s="10">
        <v>6387.43</v>
      </c>
      <c r="M578" s="10">
        <v>53228.57</v>
      </c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33"/>
      <c r="AB578" s="10"/>
      <c r="AC578" s="33"/>
      <c r="AD578" s="10">
        <f t="shared" si="9"/>
        <v>-59616</v>
      </c>
      <c r="AE578" s="82"/>
      <c r="AF578" s="34">
        <v>532.29</v>
      </c>
    </row>
    <row r="579" spans="1:32" x14ac:dyDescent="0.25">
      <c r="A579" s="7" t="s">
        <v>4621</v>
      </c>
      <c r="B579" s="9">
        <v>4233483</v>
      </c>
      <c r="C579" s="70">
        <v>45637</v>
      </c>
      <c r="D579" s="70">
        <v>45637</v>
      </c>
      <c r="E579" s="73"/>
      <c r="F579" s="9"/>
      <c r="H579" s="9"/>
      <c r="I579" s="7" t="s">
        <v>4607</v>
      </c>
      <c r="J579" s="7" t="s">
        <v>4608</v>
      </c>
      <c r="K579" s="7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33">
        <v>14500</v>
      </c>
      <c r="AB579" s="10"/>
      <c r="AC579" s="33">
        <v>14500</v>
      </c>
      <c r="AD579" s="10">
        <f t="shared" si="9"/>
        <v>0</v>
      </c>
      <c r="AE579" s="82"/>
      <c r="AF579" s="34"/>
    </row>
    <row r="580" spans="1:32" x14ac:dyDescent="0.25">
      <c r="A580" s="7" t="s">
        <v>4622</v>
      </c>
      <c r="B580" s="9">
        <v>4233484</v>
      </c>
      <c r="C580" s="70">
        <v>45637</v>
      </c>
      <c r="D580" s="70">
        <v>45637</v>
      </c>
      <c r="E580" s="73"/>
      <c r="F580" s="9"/>
      <c r="H580" s="9"/>
      <c r="I580" s="7" t="s">
        <v>4623</v>
      </c>
      <c r="J580" s="7" t="s">
        <v>1250</v>
      </c>
      <c r="K580" s="7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33">
        <v>5000</v>
      </c>
      <c r="AB580" s="10"/>
      <c r="AC580" s="33">
        <v>5000</v>
      </c>
      <c r="AD580" s="10">
        <f t="shared" si="9"/>
        <v>0</v>
      </c>
      <c r="AE580" s="82"/>
      <c r="AF580" s="34"/>
    </row>
    <row r="581" spans="1:32" x14ac:dyDescent="0.25">
      <c r="A581" s="7" t="s">
        <v>4625</v>
      </c>
      <c r="B581" s="9">
        <v>4233485</v>
      </c>
      <c r="C581" s="70">
        <v>45639</v>
      </c>
      <c r="D581" s="70">
        <v>45639</v>
      </c>
      <c r="E581" s="73"/>
      <c r="F581" s="9"/>
      <c r="H581" s="9" t="s">
        <v>4650</v>
      </c>
      <c r="I581" s="7" t="s">
        <v>4626</v>
      </c>
      <c r="J581" s="7" t="s">
        <v>39</v>
      </c>
      <c r="K581" s="7"/>
      <c r="L581" s="10"/>
      <c r="M581" s="10"/>
      <c r="N581" s="10"/>
      <c r="O581" s="10"/>
      <c r="P581" s="10"/>
      <c r="Q581" s="10"/>
      <c r="R581" s="10"/>
      <c r="S581" s="10"/>
      <c r="T581" s="10">
        <v>5553.01</v>
      </c>
      <c r="U581" s="10"/>
      <c r="V581" s="10"/>
      <c r="W581" s="10"/>
      <c r="X581" s="10"/>
      <c r="Y581" s="10"/>
      <c r="Z581" s="10"/>
      <c r="AA581" s="33"/>
      <c r="AB581" s="10"/>
      <c r="AC581" s="33">
        <v>5553.01</v>
      </c>
      <c r="AD581" s="10">
        <f t="shared" si="9"/>
        <v>0</v>
      </c>
      <c r="AE581" s="82"/>
      <c r="AF581" s="34"/>
    </row>
    <row r="582" spans="1:32" x14ac:dyDescent="0.25">
      <c r="A582" s="7" t="s">
        <v>4627</v>
      </c>
      <c r="B582" s="9">
        <v>4233486</v>
      </c>
      <c r="C582" s="70">
        <v>45639</v>
      </c>
      <c r="D582" s="70">
        <v>45639</v>
      </c>
      <c r="E582" s="73"/>
      <c r="F582" s="9"/>
      <c r="H582" s="9"/>
      <c r="I582" s="7" t="s">
        <v>4852</v>
      </c>
      <c r="J582" s="7" t="s">
        <v>4628</v>
      </c>
      <c r="K582" s="7"/>
      <c r="L582" s="10">
        <v>1134</v>
      </c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>
        <v>9450</v>
      </c>
      <c r="Y582" s="10"/>
      <c r="Z582" s="10"/>
      <c r="AA582" s="33"/>
      <c r="AB582" s="10"/>
      <c r="AC582" s="33">
        <v>10584</v>
      </c>
      <c r="AD582" s="10">
        <f t="shared" si="9"/>
        <v>0</v>
      </c>
      <c r="AE582" s="82"/>
      <c r="AF582" s="34"/>
    </row>
    <row r="583" spans="1:32" x14ac:dyDescent="0.25">
      <c r="A583" s="7" t="s">
        <v>4629</v>
      </c>
      <c r="B583" s="9">
        <v>4233487</v>
      </c>
      <c r="C583" s="70">
        <v>45646</v>
      </c>
      <c r="D583" s="70">
        <v>45639</v>
      </c>
      <c r="E583" s="73"/>
      <c r="F583" s="9"/>
      <c r="H583" s="9"/>
      <c r="I583" s="7" t="s">
        <v>63</v>
      </c>
      <c r="J583" s="7" t="s">
        <v>109</v>
      </c>
      <c r="K583" s="7"/>
      <c r="L583" s="10"/>
      <c r="M583" s="10"/>
      <c r="N583" s="10">
        <v>36785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33"/>
      <c r="AB583" s="10"/>
      <c r="AC583" s="33">
        <v>36785</v>
      </c>
      <c r="AD583" s="10">
        <f t="shared" si="9"/>
        <v>0</v>
      </c>
      <c r="AE583" s="82"/>
      <c r="AF583" s="34"/>
    </row>
    <row r="584" spans="1:32" x14ac:dyDescent="0.25">
      <c r="A584" s="7" t="s">
        <v>4630</v>
      </c>
      <c r="B584" s="9">
        <v>4233488</v>
      </c>
      <c r="C584" s="70">
        <v>45643</v>
      </c>
      <c r="D584" s="70">
        <v>45639</v>
      </c>
      <c r="E584" s="73"/>
      <c r="F584" s="9"/>
      <c r="H584" s="9"/>
      <c r="I584" s="7" t="s">
        <v>50</v>
      </c>
      <c r="J584" s="7" t="s">
        <v>39</v>
      </c>
      <c r="K584" s="7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33">
        <v>16818.75</v>
      </c>
      <c r="AB584" s="10"/>
      <c r="AC584" s="33">
        <v>16818.75</v>
      </c>
      <c r="AD584" s="10">
        <f t="shared" si="9"/>
        <v>0</v>
      </c>
      <c r="AE584" s="82"/>
      <c r="AF584" s="34"/>
    </row>
    <row r="585" spans="1:32" x14ac:dyDescent="0.25">
      <c r="A585" s="7" t="s">
        <v>4631</v>
      </c>
      <c r="B585" s="9">
        <v>4233489</v>
      </c>
      <c r="C585" s="70">
        <v>45302</v>
      </c>
      <c r="D585" s="70">
        <v>45639</v>
      </c>
      <c r="E585" s="73">
        <v>45665</v>
      </c>
      <c r="F585" s="9" t="s">
        <v>4688</v>
      </c>
      <c r="G585" s="9" t="s">
        <v>3760</v>
      </c>
      <c r="H585" s="9"/>
      <c r="I585" s="7" t="s">
        <v>4632</v>
      </c>
      <c r="J585" s="7" t="s">
        <v>2043</v>
      </c>
      <c r="K585" s="7" t="s">
        <v>3645</v>
      </c>
      <c r="L585" s="10">
        <v>1178.57</v>
      </c>
      <c r="M585" s="10">
        <v>9821.43</v>
      </c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33"/>
      <c r="AB585" s="10"/>
      <c r="AC585" s="33">
        <v>11000</v>
      </c>
      <c r="AD585" s="10">
        <f t="shared" si="9"/>
        <v>0</v>
      </c>
      <c r="AE585" s="82"/>
      <c r="AF585" s="34">
        <v>98.21</v>
      </c>
    </row>
    <row r="586" spans="1:32" x14ac:dyDescent="0.25">
      <c r="A586" s="7" t="s">
        <v>4633</v>
      </c>
      <c r="B586" s="9" t="s">
        <v>4634</v>
      </c>
      <c r="C586" s="70">
        <v>45639</v>
      </c>
      <c r="D586" s="70">
        <v>45639</v>
      </c>
      <c r="E586" s="73"/>
      <c r="F586" s="9"/>
      <c r="H586" s="9"/>
      <c r="I586" s="7" t="s">
        <v>41</v>
      </c>
      <c r="J586" s="7" t="s">
        <v>54</v>
      </c>
      <c r="K586" s="7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>
        <v>300000</v>
      </c>
      <c r="AA586" s="33"/>
      <c r="AB586" s="10"/>
      <c r="AC586" s="33">
        <v>300000</v>
      </c>
      <c r="AD586" s="10">
        <f t="shared" si="9"/>
        <v>0</v>
      </c>
      <c r="AE586" s="82"/>
      <c r="AF586" s="34"/>
    </row>
    <row r="587" spans="1:32" x14ac:dyDescent="0.25">
      <c r="A587" s="7" t="s">
        <v>4636</v>
      </c>
      <c r="B587" s="9">
        <v>4233490</v>
      </c>
      <c r="C587" s="70">
        <v>45320</v>
      </c>
      <c r="D587" s="70">
        <v>45642</v>
      </c>
      <c r="E587" s="73">
        <v>45665</v>
      </c>
      <c r="F587" s="9" t="s">
        <v>4689</v>
      </c>
      <c r="G587" s="9" t="s">
        <v>3637</v>
      </c>
      <c r="H587" s="9"/>
      <c r="I587" s="7" t="s">
        <v>4576</v>
      </c>
      <c r="J587" s="7" t="s">
        <v>1226</v>
      </c>
      <c r="K587" s="7" t="s">
        <v>2924</v>
      </c>
      <c r="L587" s="10">
        <v>9107.14</v>
      </c>
      <c r="M587" s="10">
        <v>75892.86</v>
      </c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33"/>
      <c r="AB587" s="10"/>
      <c r="AC587" s="33">
        <v>85000</v>
      </c>
      <c r="AD587" s="10">
        <f t="shared" si="9"/>
        <v>0</v>
      </c>
      <c r="AE587" s="82"/>
      <c r="AF587" s="34">
        <v>758.93</v>
      </c>
    </row>
    <row r="588" spans="1:32" x14ac:dyDescent="0.25">
      <c r="A588" s="7" t="s">
        <v>4637</v>
      </c>
      <c r="B588" s="9">
        <v>4233491</v>
      </c>
      <c r="C588" s="70">
        <v>45320</v>
      </c>
      <c r="D588" s="70">
        <v>45642</v>
      </c>
      <c r="E588" s="73">
        <v>45665</v>
      </c>
      <c r="F588" s="9" t="s">
        <v>4690</v>
      </c>
      <c r="G588" s="9" t="s">
        <v>3777</v>
      </c>
      <c r="H588" s="9"/>
      <c r="I588" s="7" t="s">
        <v>4638</v>
      </c>
      <c r="J588" s="7" t="s">
        <v>1226</v>
      </c>
      <c r="K588" s="7" t="s">
        <v>2924</v>
      </c>
      <c r="L588" s="10">
        <v>2828.57</v>
      </c>
      <c r="M588" s="10">
        <v>23571.43</v>
      </c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33"/>
      <c r="AB588" s="10"/>
      <c r="AC588" s="33">
        <v>26400</v>
      </c>
      <c r="AD588" s="10">
        <f t="shared" si="9"/>
        <v>0</v>
      </c>
      <c r="AE588" s="82"/>
      <c r="AF588" s="34">
        <v>235.71</v>
      </c>
    </row>
    <row r="589" spans="1:32" x14ac:dyDescent="0.25">
      <c r="A589" s="7" t="s">
        <v>4639</v>
      </c>
      <c r="B589" s="9">
        <v>4233492</v>
      </c>
      <c r="C589" s="70">
        <v>45642</v>
      </c>
      <c r="D589" s="70">
        <v>45642</v>
      </c>
      <c r="E589" s="73"/>
      <c r="F589" s="9"/>
      <c r="H589" s="9"/>
      <c r="I589" s="7" t="s">
        <v>4640</v>
      </c>
      <c r="J589" s="7" t="s">
        <v>46</v>
      </c>
      <c r="K589" s="7"/>
      <c r="L589" s="10">
        <v>160.61000000000001</v>
      </c>
      <c r="M589" s="10"/>
      <c r="N589" s="10"/>
      <c r="O589" s="10"/>
      <c r="P589" s="10"/>
      <c r="Q589" s="10"/>
      <c r="R589" s="10"/>
      <c r="S589" s="10">
        <v>1338.39</v>
      </c>
      <c r="T589" s="10"/>
      <c r="U589" s="10"/>
      <c r="V589" s="10"/>
      <c r="W589" s="10"/>
      <c r="X589" s="10"/>
      <c r="Y589" s="10"/>
      <c r="Z589" s="10"/>
      <c r="AA589" s="33"/>
      <c r="AB589" s="10"/>
      <c r="AC589" s="33">
        <v>1499</v>
      </c>
      <c r="AD589" s="10">
        <f t="shared" si="9"/>
        <v>0</v>
      </c>
      <c r="AE589" s="82"/>
      <c r="AF589" s="34"/>
    </row>
    <row r="590" spans="1:32" x14ac:dyDescent="0.25">
      <c r="A590" s="7" t="s">
        <v>4643</v>
      </c>
      <c r="B590" s="9">
        <v>4233493</v>
      </c>
      <c r="C590" s="70">
        <v>45642</v>
      </c>
      <c r="D590" s="70">
        <v>45642</v>
      </c>
      <c r="E590" s="73"/>
      <c r="F590" s="9"/>
      <c r="H590" s="9"/>
      <c r="I590" s="7" t="s">
        <v>4641</v>
      </c>
      <c r="J590" s="7" t="s">
        <v>46</v>
      </c>
      <c r="K590" s="7"/>
      <c r="L590" s="10">
        <v>107.04</v>
      </c>
      <c r="M590" s="10"/>
      <c r="N590" s="10"/>
      <c r="O590" s="10"/>
      <c r="P590" s="10"/>
      <c r="Q590" s="10"/>
      <c r="R590" s="10"/>
      <c r="S590" s="10">
        <v>891.96</v>
      </c>
      <c r="T590" s="10"/>
      <c r="U590" s="10"/>
      <c r="V590" s="10"/>
      <c r="W590" s="10"/>
      <c r="X590" s="10"/>
      <c r="Y590" s="10"/>
      <c r="Z590" s="10"/>
      <c r="AA590" s="33"/>
      <c r="AB590" s="10"/>
      <c r="AC590" s="33">
        <v>999</v>
      </c>
      <c r="AD590" s="10">
        <f t="shared" si="9"/>
        <v>0</v>
      </c>
      <c r="AE590" s="82"/>
      <c r="AF590" s="34"/>
    </row>
    <row r="591" spans="1:32" x14ac:dyDescent="0.25">
      <c r="A591" s="7" t="s">
        <v>4644</v>
      </c>
      <c r="B591" s="9">
        <v>4233494</v>
      </c>
      <c r="C591" s="70">
        <v>45642</v>
      </c>
      <c r="D591" s="70">
        <v>45642</v>
      </c>
      <c r="E591" s="73"/>
      <c r="F591" s="9"/>
      <c r="H591" s="9"/>
      <c r="I591" s="7" t="s">
        <v>4642</v>
      </c>
      <c r="J591" s="7" t="s">
        <v>46</v>
      </c>
      <c r="K591" s="7"/>
      <c r="L591" s="10">
        <v>107.04</v>
      </c>
      <c r="M591" s="10"/>
      <c r="N591" s="10"/>
      <c r="O591" s="10"/>
      <c r="P591" s="10"/>
      <c r="Q591" s="10"/>
      <c r="R591" s="10"/>
      <c r="S591" s="10">
        <v>891.96</v>
      </c>
      <c r="T591" s="10"/>
      <c r="U591" s="10"/>
      <c r="V591" s="10"/>
      <c r="W591" s="10"/>
      <c r="X591" s="10"/>
      <c r="Y591" s="10"/>
      <c r="Z591" s="10"/>
      <c r="AA591" s="33"/>
      <c r="AB591" s="10"/>
      <c r="AC591" s="33">
        <v>999</v>
      </c>
      <c r="AD591" s="10">
        <f t="shared" si="9"/>
        <v>0</v>
      </c>
      <c r="AE591" s="82"/>
      <c r="AF591" s="34"/>
    </row>
    <row r="592" spans="1:32" x14ac:dyDescent="0.25">
      <c r="A592" s="7" t="s">
        <v>4645</v>
      </c>
      <c r="B592" s="9">
        <v>4233495</v>
      </c>
      <c r="C592" s="70">
        <v>45642</v>
      </c>
      <c r="D592" s="70">
        <v>45642</v>
      </c>
      <c r="E592" s="73"/>
      <c r="F592" s="9"/>
      <c r="H592" s="9"/>
      <c r="I592" s="7" t="s">
        <v>4642</v>
      </c>
      <c r="J592" s="7" t="s">
        <v>46</v>
      </c>
      <c r="K592" s="7"/>
      <c r="L592" s="10">
        <v>107.04</v>
      </c>
      <c r="M592" s="10"/>
      <c r="N592" s="10"/>
      <c r="O592" s="10"/>
      <c r="P592" s="10"/>
      <c r="Q592" s="10"/>
      <c r="R592" s="10"/>
      <c r="S592" s="10">
        <v>891.96</v>
      </c>
      <c r="T592" s="10"/>
      <c r="U592" s="10"/>
      <c r="V592" s="10"/>
      <c r="W592" s="10"/>
      <c r="X592" s="10"/>
      <c r="Y592" s="10"/>
      <c r="Z592" s="10"/>
      <c r="AA592" s="33"/>
      <c r="AB592" s="10"/>
      <c r="AC592" s="33">
        <v>999</v>
      </c>
      <c r="AD592" s="10">
        <f t="shared" si="9"/>
        <v>0</v>
      </c>
      <c r="AE592" s="82"/>
      <c r="AF592" s="34"/>
    </row>
    <row r="593" spans="1:32" x14ac:dyDescent="0.25">
      <c r="A593" s="7" t="s">
        <v>4646</v>
      </c>
      <c r="B593" s="9">
        <v>4233496</v>
      </c>
      <c r="C593" s="70">
        <v>45307</v>
      </c>
      <c r="D593" s="70">
        <v>45643</v>
      </c>
      <c r="E593" s="73">
        <v>45666</v>
      </c>
      <c r="F593" s="9" t="s">
        <v>4704</v>
      </c>
      <c r="G593" s="9" t="s">
        <v>3681</v>
      </c>
      <c r="H593" s="9"/>
      <c r="I593" s="7" t="s">
        <v>4647</v>
      </c>
      <c r="J593" s="7" t="s">
        <v>83</v>
      </c>
      <c r="K593" s="7" t="s">
        <v>1336</v>
      </c>
      <c r="L593" s="10">
        <v>22285.71</v>
      </c>
      <c r="M593" s="10">
        <v>185714.29</v>
      </c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33"/>
      <c r="AB593" s="10"/>
      <c r="AC593" s="33">
        <v>208000</v>
      </c>
      <c r="AD593" s="10">
        <f t="shared" si="9"/>
        <v>0</v>
      </c>
      <c r="AE593" s="82"/>
      <c r="AF593" s="34">
        <v>1857.14</v>
      </c>
    </row>
    <row r="594" spans="1:32" x14ac:dyDescent="0.25">
      <c r="A594" s="7" t="s">
        <v>4648</v>
      </c>
      <c r="B594" s="9">
        <v>4233497</v>
      </c>
      <c r="C594" s="70">
        <v>45643</v>
      </c>
      <c r="D594" s="70">
        <v>45643</v>
      </c>
      <c r="E594" s="73"/>
      <c r="F594" s="9"/>
      <c r="H594" s="9" t="s">
        <v>4651</v>
      </c>
      <c r="I594" s="7" t="s">
        <v>4649</v>
      </c>
      <c r="J594" s="7" t="s">
        <v>3667</v>
      </c>
      <c r="K594" s="7"/>
      <c r="L594" s="10"/>
      <c r="M594" s="10"/>
      <c r="N594" s="10"/>
      <c r="O594" s="10"/>
      <c r="P594" s="10"/>
      <c r="Q594" s="10"/>
      <c r="R594" s="10"/>
      <c r="S594" s="10"/>
      <c r="T594" s="10">
        <v>12125.52</v>
      </c>
      <c r="U594" s="10"/>
      <c r="V594" s="10"/>
      <c r="W594" s="10"/>
      <c r="X594" s="10"/>
      <c r="Y594" s="10"/>
      <c r="Z594" s="10"/>
      <c r="AA594" s="33"/>
      <c r="AB594" s="10"/>
      <c r="AC594" s="33">
        <v>12125.52</v>
      </c>
      <c r="AD594" s="10">
        <f t="shared" si="9"/>
        <v>0</v>
      </c>
      <c r="AE594" s="82"/>
      <c r="AF594" s="34"/>
    </row>
    <row r="595" spans="1:32" x14ac:dyDescent="0.25">
      <c r="A595" s="7" t="s">
        <v>4652</v>
      </c>
      <c r="B595" s="9">
        <v>4233498</v>
      </c>
      <c r="C595" s="70">
        <v>45644</v>
      </c>
      <c r="D595" s="70">
        <v>45644</v>
      </c>
      <c r="E595" s="73">
        <v>45666</v>
      </c>
      <c r="F595" s="9" t="s">
        <v>4707</v>
      </c>
      <c r="H595" s="9"/>
      <c r="I595" s="7" t="s">
        <v>4653</v>
      </c>
      <c r="J595" s="7" t="s">
        <v>187</v>
      </c>
      <c r="K595" s="7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33">
        <v>5997.6</v>
      </c>
      <c r="AB595" s="10"/>
      <c r="AC595" s="33">
        <v>5997.6</v>
      </c>
      <c r="AD595" s="10">
        <f t="shared" si="9"/>
        <v>0</v>
      </c>
      <c r="AE595" s="82"/>
      <c r="AF595" s="34"/>
    </row>
    <row r="596" spans="1:32" x14ac:dyDescent="0.25">
      <c r="A596" s="7" t="s">
        <v>4654</v>
      </c>
      <c r="B596" s="9">
        <v>4233499</v>
      </c>
      <c r="C596" s="70">
        <v>45644</v>
      </c>
      <c r="D596" s="70">
        <v>45644</v>
      </c>
      <c r="E596" s="73">
        <v>45666</v>
      </c>
      <c r="F596" s="9" t="s">
        <v>4706</v>
      </c>
      <c r="H596" s="9"/>
      <c r="I596" s="7" t="s">
        <v>4655</v>
      </c>
      <c r="J596" s="7" t="s">
        <v>187</v>
      </c>
      <c r="K596" s="7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33">
        <v>5928.44</v>
      </c>
      <c r="AB596" s="10"/>
      <c r="AC596" s="33">
        <v>5928.44</v>
      </c>
      <c r="AD596" s="10">
        <f t="shared" si="9"/>
        <v>0</v>
      </c>
      <c r="AE596" s="82"/>
      <c r="AF596" s="34"/>
    </row>
    <row r="597" spans="1:32" x14ac:dyDescent="0.25">
      <c r="A597" s="7" t="s">
        <v>4656</v>
      </c>
      <c r="B597" s="9">
        <v>4233500</v>
      </c>
      <c r="C597" s="70">
        <v>45689</v>
      </c>
      <c r="D597" s="70">
        <v>45644</v>
      </c>
      <c r="E597" s="73">
        <v>45666</v>
      </c>
      <c r="F597" s="9" t="s">
        <v>4709</v>
      </c>
      <c r="G597" s="9" t="s">
        <v>3743</v>
      </c>
      <c r="H597" s="9"/>
      <c r="I597" s="7" t="s">
        <v>4647</v>
      </c>
      <c r="J597" s="7" t="s">
        <v>83</v>
      </c>
      <c r="K597" s="7" t="s">
        <v>1336</v>
      </c>
      <c r="L597" s="10">
        <v>22285.71</v>
      </c>
      <c r="M597" s="10">
        <v>185714.29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33"/>
      <c r="AB597" s="10"/>
      <c r="AC597" s="33">
        <v>208000</v>
      </c>
      <c r="AD597" s="10">
        <f t="shared" si="9"/>
        <v>0</v>
      </c>
      <c r="AE597" s="82"/>
      <c r="AF597" s="34">
        <v>1857.14</v>
      </c>
    </row>
    <row r="598" spans="1:32" x14ac:dyDescent="0.25">
      <c r="A598" s="7" t="s">
        <v>4657</v>
      </c>
      <c r="B598" s="9">
        <v>4233501</v>
      </c>
      <c r="C598" s="70">
        <v>45646</v>
      </c>
      <c r="D598" s="70">
        <v>45646</v>
      </c>
      <c r="E598" s="73"/>
      <c r="F598" s="9"/>
      <c r="H598" s="9"/>
      <c r="I598" s="7" t="s">
        <v>3979</v>
      </c>
      <c r="J598" s="7" t="s">
        <v>46</v>
      </c>
      <c r="K598" s="7"/>
      <c r="L598" s="10">
        <v>1620.27</v>
      </c>
      <c r="M598" s="10"/>
      <c r="N598" s="10"/>
      <c r="O598" s="10"/>
      <c r="P598" s="10"/>
      <c r="Q598" s="10"/>
      <c r="R598" s="10"/>
      <c r="S598" s="10">
        <v>13502.28</v>
      </c>
      <c r="T598" s="10"/>
      <c r="U598" s="10"/>
      <c r="V598" s="10"/>
      <c r="W598" s="10"/>
      <c r="X598" s="10"/>
      <c r="Y598" s="10"/>
      <c r="Z598" s="10"/>
      <c r="AA598" s="33"/>
      <c r="AB598" s="10"/>
      <c r="AC598" s="33">
        <v>15122.55</v>
      </c>
      <c r="AD598" s="10">
        <f t="shared" si="9"/>
        <v>0</v>
      </c>
      <c r="AE598" s="82"/>
      <c r="AF598" s="34"/>
    </row>
    <row r="599" spans="1:32" x14ac:dyDescent="0.25">
      <c r="A599" s="7" t="s">
        <v>4658</v>
      </c>
      <c r="B599" s="9">
        <v>4233502</v>
      </c>
      <c r="C599" s="70">
        <v>45646</v>
      </c>
      <c r="D599" s="70">
        <v>45646</v>
      </c>
      <c r="E599" s="73"/>
      <c r="F599" s="9"/>
      <c r="H599" s="9" t="s">
        <v>4673</v>
      </c>
      <c r="I599" s="7" t="s">
        <v>19</v>
      </c>
      <c r="J599" s="7" t="s">
        <v>3667</v>
      </c>
      <c r="K599" s="7"/>
      <c r="L599" s="10"/>
      <c r="M599" s="10"/>
      <c r="N599" s="10"/>
      <c r="O599" s="10"/>
      <c r="P599" s="10"/>
      <c r="Q599" s="10"/>
      <c r="R599" s="10"/>
      <c r="S599" s="10"/>
      <c r="T599" s="10">
        <v>5864.1</v>
      </c>
      <c r="U599" s="10"/>
      <c r="V599" s="10"/>
      <c r="W599" s="10"/>
      <c r="X599" s="10"/>
      <c r="Y599" s="10"/>
      <c r="Z599" s="10"/>
      <c r="AA599" s="33"/>
      <c r="AB599" s="10"/>
      <c r="AC599" s="33">
        <v>5864.1</v>
      </c>
      <c r="AD599" s="10">
        <f t="shared" si="9"/>
        <v>0</v>
      </c>
      <c r="AE599" s="82"/>
      <c r="AF599" s="34"/>
    </row>
    <row r="600" spans="1:32" x14ac:dyDescent="0.25">
      <c r="A600" s="7" t="s">
        <v>4659</v>
      </c>
      <c r="B600" s="9">
        <v>4233503</v>
      </c>
      <c r="C600" s="70">
        <v>45676</v>
      </c>
      <c r="D600" s="70">
        <v>45646</v>
      </c>
      <c r="E600" s="73">
        <v>45679</v>
      </c>
      <c r="F600" s="9" t="s">
        <v>4758</v>
      </c>
      <c r="G600" s="9" t="s">
        <v>3779</v>
      </c>
      <c r="H600" s="9"/>
      <c r="I600" s="7" t="s">
        <v>4660</v>
      </c>
      <c r="J600" s="7" t="s">
        <v>2687</v>
      </c>
      <c r="K600" s="7" t="s">
        <v>2688</v>
      </c>
      <c r="L600" s="10">
        <v>2500.69</v>
      </c>
      <c r="M600" s="10">
        <v>20839.04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33"/>
      <c r="AB600" s="10"/>
      <c r="AC600" s="33">
        <v>23339.73</v>
      </c>
      <c r="AD600" s="10">
        <f t="shared" si="9"/>
        <v>0</v>
      </c>
      <c r="AE600" s="82"/>
      <c r="AF600" s="34"/>
    </row>
    <row r="601" spans="1:32" x14ac:dyDescent="0.25">
      <c r="A601" s="7" t="s">
        <v>4665</v>
      </c>
      <c r="B601" s="9">
        <v>4233504</v>
      </c>
      <c r="C601" s="70">
        <v>45649</v>
      </c>
      <c r="D601" s="70">
        <v>45649</v>
      </c>
      <c r="E601" s="73"/>
      <c r="F601" s="9"/>
      <c r="H601" s="9"/>
      <c r="I601" s="7" t="s">
        <v>4666</v>
      </c>
      <c r="J601" s="7" t="s">
        <v>3667</v>
      </c>
      <c r="K601" s="7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33">
        <v>7185</v>
      </c>
      <c r="AB601" s="10"/>
      <c r="AC601" s="33">
        <v>7185</v>
      </c>
      <c r="AD601" s="10">
        <f t="shared" si="9"/>
        <v>0</v>
      </c>
      <c r="AE601" s="82"/>
      <c r="AF601" s="34"/>
    </row>
    <row r="602" spans="1:32" x14ac:dyDescent="0.25">
      <c r="A602" s="7"/>
      <c r="B602" s="102">
        <v>4233505</v>
      </c>
      <c r="C602" s="70">
        <v>45652</v>
      </c>
      <c r="D602" s="70">
        <v>45653</v>
      </c>
      <c r="E602" s="73"/>
      <c r="F602" s="102" t="s">
        <v>48</v>
      </c>
      <c r="H602" s="9"/>
      <c r="I602" s="7" t="s">
        <v>4612</v>
      </c>
      <c r="J602" s="7" t="s">
        <v>1847</v>
      </c>
      <c r="K602" s="7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33">
        <v>30450</v>
      </c>
      <c r="AB602" s="10"/>
      <c r="AC602" s="33">
        <v>30450</v>
      </c>
      <c r="AD602" s="10">
        <f t="shared" si="9"/>
        <v>0</v>
      </c>
      <c r="AE602" s="82" t="s">
        <v>48</v>
      </c>
      <c r="AF602" s="34"/>
    </row>
    <row r="603" spans="1:32" x14ac:dyDescent="0.25">
      <c r="A603" s="7" t="s">
        <v>4668</v>
      </c>
      <c r="B603" s="9">
        <v>4233506</v>
      </c>
      <c r="C603" s="70">
        <v>45652</v>
      </c>
      <c r="D603" s="70">
        <v>45653</v>
      </c>
      <c r="E603" s="73"/>
      <c r="F603" s="9"/>
      <c r="H603" s="9"/>
      <c r="I603" s="7" t="s">
        <v>4612</v>
      </c>
      <c r="J603" s="7" t="s">
        <v>125</v>
      </c>
      <c r="K603" s="7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33">
        <v>25000</v>
      </c>
      <c r="AB603" s="10"/>
      <c r="AC603" s="33">
        <v>25000</v>
      </c>
      <c r="AD603" s="10">
        <f t="shared" si="9"/>
        <v>0</v>
      </c>
      <c r="AE603" s="82"/>
      <c r="AF603" s="34"/>
    </row>
    <row r="604" spans="1:32" x14ac:dyDescent="0.25">
      <c r="A604" s="7" t="s">
        <v>4667</v>
      </c>
      <c r="B604" s="9">
        <v>4233507</v>
      </c>
      <c r="C604" s="70">
        <v>45652</v>
      </c>
      <c r="D604" s="70">
        <v>45652</v>
      </c>
      <c r="E604" s="73"/>
      <c r="F604" s="9"/>
      <c r="H604" s="9"/>
      <c r="I604" s="7" t="s">
        <v>4612</v>
      </c>
      <c r="J604" s="7" t="s">
        <v>1847</v>
      </c>
      <c r="K604" s="7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33">
        <v>30450</v>
      </c>
      <c r="AB604" s="10"/>
      <c r="AC604" s="33">
        <v>30450</v>
      </c>
      <c r="AD604" s="10">
        <f t="shared" si="9"/>
        <v>0</v>
      </c>
      <c r="AE604" s="82"/>
      <c r="AF604" s="34"/>
    </row>
    <row r="605" spans="1:32" x14ac:dyDescent="0.25">
      <c r="A605" s="7" t="s">
        <v>4669</v>
      </c>
      <c r="B605" s="9">
        <v>4233508</v>
      </c>
      <c r="C605" s="70">
        <v>45653</v>
      </c>
      <c r="D605" s="70">
        <v>45653</v>
      </c>
      <c r="E605" s="73"/>
      <c r="F605" s="9"/>
      <c r="H605" s="9"/>
      <c r="I605" s="7" t="s">
        <v>4670</v>
      </c>
      <c r="J605" s="7" t="s">
        <v>4671</v>
      </c>
      <c r="K605" s="7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33">
        <v>620</v>
      </c>
      <c r="AB605" s="10"/>
      <c r="AC605" s="33">
        <v>620</v>
      </c>
      <c r="AD605" s="10">
        <f t="shared" si="9"/>
        <v>0</v>
      </c>
      <c r="AE605" s="82"/>
      <c r="AF605" s="34"/>
    </row>
    <row r="606" spans="1:32" x14ac:dyDescent="0.25">
      <c r="A606" s="7" t="s">
        <v>4672</v>
      </c>
      <c r="B606" s="9">
        <v>4233510</v>
      </c>
      <c r="C606" s="70">
        <v>45653</v>
      </c>
      <c r="D606" s="70">
        <v>45653</v>
      </c>
      <c r="E606" s="73"/>
      <c r="F606" s="9"/>
      <c r="H606" s="9" t="s">
        <v>4674</v>
      </c>
      <c r="I606" s="7" t="s">
        <v>4462</v>
      </c>
      <c r="J606" s="7" t="s">
        <v>3667</v>
      </c>
      <c r="K606" s="7"/>
      <c r="L606" s="10"/>
      <c r="M606" s="10"/>
      <c r="N606" s="10"/>
      <c r="O606" s="10"/>
      <c r="P606" s="10"/>
      <c r="Q606" s="10"/>
      <c r="R606" s="10"/>
      <c r="S606" s="10"/>
      <c r="T606" s="10">
        <v>14450.34</v>
      </c>
      <c r="U606" s="10"/>
      <c r="V606" s="10"/>
      <c r="W606" s="10"/>
      <c r="X606" s="10"/>
      <c r="Y606" s="10"/>
      <c r="Z606" s="10"/>
      <c r="AA606" s="33"/>
      <c r="AB606" s="10"/>
      <c r="AC606" s="33">
        <v>620</v>
      </c>
      <c r="AD606" s="10">
        <f t="shared" si="9"/>
        <v>-13830.34</v>
      </c>
      <c r="AE606" s="82"/>
      <c r="AF606" s="34"/>
    </row>
    <row r="607" spans="1:32" ht="15.75" thickBot="1" x14ac:dyDescent="0.3">
      <c r="A607" s="93" t="s">
        <v>8</v>
      </c>
      <c r="B607" s="67"/>
      <c r="C607" s="65"/>
      <c r="D607" s="65"/>
      <c r="E607" s="66"/>
      <c r="F607" s="66"/>
      <c r="G607" s="66"/>
      <c r="H607" s="66"/>
      <c r="I607" s="63"/>
      <c r="J607" s="63"/>
      <c r="K607" s="63"/>
      <c r="L607" s="63" t="e">
        <f>SUM(#REF!)</f>
        <v>#REF!</v>
      </c>
      <c r="M607" s="63" t="e">
        <f>SUM(#REF!)</f>
        <v>#REF!</v>
      </c>
      <c r="N607" s="63" t="e">
        <f>SUM(#REF!)</f>
        <v>#REF!</v>
      </c>
      <c r="O607" s="63" t="e">
        <f>SUM(#REF!)</f>
        <v>#REF!</v>
      </c>
      <c r="P607" s="63" t="e">
        <f>SUM(#REF!)</f>
        <v>#REF!</v>
      </c>
      <c r="Q607" s="63" t="e">
        <f>SUM(#REF!)</f>
        <v>#REF!</v>
      </c>
      <c r="R607" s="63" t="e">
        <f>SUM(#REF!)</f>
        <v>#REF!</v>
      </c>
      <c r="S607" s="63" t="e">
        <f>SUM(#REF!)</f>
        <v>#REF!</v>
      </c>
      <c r="T607" s="63" t="e">
        <f>SUM(#REF!)</f>
        <v>#REF!</v>
      </c>
      <c r="U607" s="63" t="e">
        <f>SUM(#REF!)</f>
        <v>#REF!</v>
      </c>
      <c r="V607" s="63" t="e">
        <f>SUM(#REF!)</f>
        <v>#REF!</v>
      </c>
      <c r="W607" s="63" t="e">
        <f>SUM(#REF!)</f>
        <v>#REF!</v>
      </c>
      <c r="X607" s="63" t="e">
        <f>SUM(#REF!)</f>
        <v>#REF!</v>
      </c>
      <c r="Y607" s="63" t="e">
        <f>SUM(#REF!)</f>
        <v>#REF!</v>
      </c>
      <c r="Z607" s="63" t="e">
        <f>SUM(#REF!)</f>
        <v>#REF!</v>
      </c>
      <c r="AA607" s="63" t="e">
        <f>SUM(#REF!)</f>
        <v>#REF!</v>
      </c>
      <c r="AB607" s="63"/>
      <c r="AC607" s="63" t="e">
        <f>SUM(#REF!)</f>
        <v>#REF!</v>
      </c>
      <c r="AD607" s="63"/>
      <c r="AE607" s="96"/>
      <c r="AF607" s="35"/>
    </row>
    <row r="608" spans="1:32" ht="15.75" thickTop="1" x14ac:dyDescent="0.25">
      <c r="A608" s="7"/>
      <c r="C608" s="70"/>
      <c r="D608" s="70"/>
      <c r="E608" s="73"/>
      <c r="F608" s="9"/>
      <c r="H608" s="9"/>
      <c r="I608" s="7"/>
      <c r="J608" s="7"/>
      <c r="K608" s="7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33"/>
      <c r="AB608" s="10"/>
      <c r="AC608" s="33"/>
      <c r="AD608" s="10">
        <f t="shared" si="9"/>
        <v>0</v>
      </c>
      <c r="AE608" s="82"/>
      <c r="AF608" s="34"/>
    </row>
    <row r="609" spans="1:32" x14ac:dyDescent="0.25">
      <c r="A609" s="7"/>
      <c r="C609" s="70"/>
      <c r="D609" s="70"/>
      <c r="E609" s="73"/>
      <c r="F609" s="9"/>
      <c r="H609" s="9"/>
      <c r="I609" s="7"/>
      <c r="J609" s="7"/>
      <c r="K609" s="7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33"/>
      <c r="AB609" s="10"/>
      <c r="AC609" s="33"/>
      <c r="AD609" s="10">
        <f t="shared" si="9"/>
        <v>0</v>
      </c>
      <c r="AE609" s="82"/>
      <c r="AF609" s="34"/>
    </row>
    <row r="610" spans="1:32" x14ac:dyDescent="0.25">
      <c r="A610" s="7"/>
      <c r="C610" s="70"/>
      <c r="D610" s="70"/>
      <c r="E610" s="73"/>
      <c r="F610" s="9"/>
      <c r="H610" s="9"/>
      <c r="I610" s="7"/>
      <c r="J610" s="7"/>
      <c r="K610" s="7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33"/>
      <c r="AB610" s="10"/>
      <c r="AC610" s="33"/>
      <c r="AD610" s="10">
        <f t="shared" si="9"/>
        <v>0</v>
      </c>
      <c r="AE610" s="82"/>
      <c r="AF610" s="34"/>
    </row>
    <row r="611" spans="1:32" x14ac:dyDescent="0.25">
      <c r="A611" s="7"/>
      <c r="C611" s="70"/>
      <c r="D611" s="70"/>
      <c r="E611" s="73"/>
      <c r="F611" s="9"/>
      <c r="H611" s="9"/>
      <c r="I611" s="7"/>
      <c r="J611" s="7"/>
      <c r="K611" s="7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33"/>
      <c r="AB611" s="10"/>
      <c r="AC611" s="33"/>
      <c r="AD611" s="10">
        <f t="shared" si="9"/>
        <v>0</v>
      </c>
      <c r="AE611" s="82"/>
      <c r="AF611" s="34"/>
    </row>
    <row r="612" spans="1:32" x14ac:dyDescent="0.25">
      <c r="A612" s="7"/>
      <c r="C612" s="70"/>
      <c r="D612" s="70"/>
      <c r="E612" s="73"/>
      <c r="F612" s="9"/>
      <c r="H612" s="9"/>
      <c r="I612" s="7"/>
      <c r="J612" s="7"/>
      <c r="K612" s="7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33"/>
      <c r="AB612" s="10"/>
      <c r="AC612" s="33"/>
      <c r="AD612" s="10">
        <f t="shared" si="9"/>
        <v>0</v>
      </c>
      <c r="AE612" s="82"/>
      <c r="AF612" s="34"/>
    </row>
    <row r="613" spans="1:32" x14ac:dyDescent="0.25">
      <c r="A613" s="7"/>
      <c r="C613" s="70"/>
      <c r="D613" s="70"/>
      <c r="E613" s="73"/>
      <c r="F613" s="9"/>
      <c r="H613" s="9"/>
      <c r="I613" s="7"/>
      <c r="J613" s="7"/>
      <c r="K613" s="7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33"/>
      <c r="AB613" s="10"/>
      <c r="AC613" s="33"/>
      <c r="AD613" s="10">
        <f t="shared" si="9"/>
        <v>0</v>
      </c>
      <c r="AE613" s="82"/>
      <c r="AF613" s="34"/>
    </row>
    <row r="614" spans="1:32" x14ac:dyDescent="0.25">
      <c r="A614" s="7"/>
      <c r="C614" s="70"/>
      <c r="D614" s="70"/>
      <c r="E614" s="73"/>
      <c r="F614" s="9"/>
      <c r="H614" s="9"/>
      <c r="I614" s="7"/>
      <c r="J614" s="7"/>
      <c r="K614" s="7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33"/>
      <c r="AB614" s="10"/>
      <c r="AC614" s="33"/>
      <c r="AD614" s="10">
        <f t="shared" si="9"/>
        <v>0</v>
      </c>
      <c r="AE614" s="82"/>
      <c r="AF614" s="34"/>
    </row>
    <row r="615" spans="1:32" x14ac:dyDescent="0.25">
      <c r="A615" s="7"/>
      <c r="C615" s="70"/>
      <c r="D615" s="70"/>
      <c r="E615" s="73"/>
      <c r="F615" s="9"/>
      <c r="H615" s="9"/>
      <c r="I615" s="7"/>
      <c r="J615" s="7"/>
      <c r="K615" s="7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33"/>
      <c r="AB615" s="10"/>
      <c r="AC615" s="33"/>
      <c r="AD615" s="10">
        <f t="shared" si="9"/>
        <v>0</v>
      </c>
      <c r="AE615" s="82"/>
      <c r="AF615" s="34"/>
    </row>
    <row r="616" spans="1:32" x14ac:dyDescent="0.25">
      <c r="A616" s="7"/>
      <c r="C616" s="70"/>
      <c r="D616" s="70"/>
      <c r="E616" s="73"/>
      <c r="F616" s="9"/>
      <c r="H616" s="9"/>
      <c r="I616" s="7"/>
      <c r="J616" s="7"/>
      <c r="K616" s="7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33"/>
      <c r="AB616" s="10"/>
      <c r="AC616" s="33"/>
      <c r="AD616" s="10">
        <f t="shared" si="9"/>
        <v>0</v>
      </c>
      <c r="AE616" s="82"/>
      <c r="AF616" s="34"/>
    </row>
    <row r="617" spans="1:32" x14ac:dyDescent="0.25">
      <c r="A617" s="7"/>
      <c r="C617" s="70"/>
      <c r="D617" s="70"/>
      <c r="E617" s="73"/>
      <c r="F617" s="9"/>
      <c r="H617" s="9"/>
      <c r="I617" s="7"/>
      <c r="J617" s="7"/>
      <c r="K617" s="7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33"/>
      <c r="AB617" s="10"/>
      <c r="AC617" s="33"/>
      <c r="AD617" s="10">
        <f t="shared" si="9"/>
        <v>0</v>
      </c>
      <c r="AE617" s="82"/>
      <c r="AF617" s="34"/>
    </row>
    <row r="618" spans="1:32" x14ac:dyDescent="0.25">
      <c r="A618" s="7"/>
      <c r="C618" s="70"/>
      <c r="D618" s="70"/>
      <c r="E618" s="73"/>
      <c r="F618" s="9"/>
      <c r="H618" s="9"/>
      <c r="I618" s="7"/>
      <c r="J618" s="7"/>
      <c r="K618" s="7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33"/>
      <c r="AB618" s="10"/>
      <c r="AC618" s="33"/>
      <c r="AD618" s="10">
        <f t="shared" si="9"/>
        <v>0</v>
      </c>
      <c r="AE618" s="82"/>
      <c r="AF618" s="34"/>
    </row>
    <row r="619" spans="1:32" x14ac:dyDescent="0.25">
      <c r="A619" s="7"/>
      <c r="C619" s="70"/>
      <c r="D619" s="70"/>
      <c r="E619" s="73"/>
      <c r="F619" s="9"/>
      <c r="H619" s="9"/>
      <c r="I619" s="7"/>
      <c r="J619" s="7"/>
      <c r="K619" s="7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33"/>
      <c r="AB619" s="10"/>
      <c r="AC619" s="33"/>
      <c r="AD619" s="10">
        <f t="shared" si="9"/>
        <v>0</v>
      </c>
      <c r="AE619" s="82"/>
      <c r="AF619" s="34"/>
    </row>
    <row r="620" spans="1:32" x14ac:dyDescent="0.25">
      <c r="A620" s="7"/>
      <c r="C620" s="70"/>
      <c r="D620" s="70"/>
      <c r="E620" s="73"/>
      <c r="F620" s="9"/>
      <c r="H620" s="9"/>
      <c r="I620" s="7"/>
      <c r="J620" s="7"/>
      <c r="K620" s="7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33"/>
      <c r="AB620" s="10"/>
      <c r="AC620" s="33"/>
      <c r="AD620" s="10">
        <f t="shared" si="9"/>
        <v>0</v>
      </c>
      <c r="AE620" s="82"/>
      <c r="AF620" s="34"/>
    </row>
    <row r="621" spans="1:32" x14ac:dyDescent="0.25">
      <c r="A621" s="7"/>
      <c r="C621" s="70"/>
      <c r="D621" s="70"/>
      <c r="E621" s="73"/>
      <c r="F621" s="9"/>
      <c r="H621" s="9"/>
      <c r="I621" s="7"/>
      <c r="J621" s="7"/>
      <c r="K621" s="7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33"/>
      <c r="AB621" s="10"/>
      <c r="AC621" s="33"/>
      <c r="AD621" s="10">
        <f t="shared" si="9"/>
        <v>0</v>
      </c>
      <c r="AE621" s="82"/>
      <c r="AF621" s="34"/>
    </row>
    <row r="622" spans="1:32" x14ac:dyDescent="0.25">
      <c r="A622" s="7"/>
      <c r="C622" s="70"/>
      <c r="D622" s="70"/>
      <c r="E622" s="73"/>
      <c r="F622" s="9"/>
      <c r="H622" s="9"/>
      <c r="I622" s="7"/>
      <c r="J622" s="7"/>
      <c r="K622" s="7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33"/>
      <c r="AB622" s="10"/>
      <c r="AC622" s="33"/>
      <c r="AD622" s="10">
        <f t="shared" si="9"/>
        <v>0</v>
      </c>
      <c r="AE622" s="82"/>
      <c r="AF622" s="34"/>
    </row>
    <row r="623" spans="1:32" x14ac:dyDescent="0.25">
      <c r="A623" s="7"/>
      <c r="C623" s="70"/>
      <c r="D623" s="70"/>
      <c r="E623" s="73"/>
      <c r="F623" s="9"/>
      <c r="H623" s="9"/>
      <c r="I623" s="7"/>
      <c r="J623" s="7"/>
      <c r="K623" s="7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33"/>
      <c r="AB623" s="10"/>
      <c r="AC623" s="33"/>
      <c r="AD623" s="10">
        <f t="shared" si="9"/>
        <v>0</v>
      </c>
      <c r="AE623" s="82"/>
      <c r="AF623" s="34"/>
    </row>
    <row r="624" spans="1:32" x14ac:dyDescent="0.25">
      <c r="A624" s="7"/>
      <c r="C624" s="70"/>
      <c r="D624" s="70"/>
      <c r="E624" s="73"/>
      <c r="F624" s="9"/>
      <c r="H624" s="9"/>
      <c r="I624" s="7"/>
      <c r="J624" s="7"/>
      <c r="K624" s="7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33"/>
      <c r="AB624" s="10"/>
      <c r="AC624" s="33"/>
      <c r="AD624" s="10">
        <f t="shared" si="9"/>
        <v>0</v>
      </c>
      <c r="AE624" s="82"/>
      <c r="AF624" s="34"/>
    </row>
    <row r="625" spans="1:32" x14ac:dyDescent="0.25">
      <c r="A625" s="7"/>
      <c r="C625" s="70"/>
      <c r="D625" s="70"/>
      <c r="E625" s="73"/>
      <c r="F625" s="9"/>
      <c r="H625" s="9"/>
      <c r="I625" s="7"/>
      <c r="J625" s="7"/>
      <c r="K625" s="7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33"/>
      <c r="AB625" s="10"/>
      <c r="AC625" s="33"/>
      <c r="AD625" s="10">
        <f t="shared" si="9"/>
        <v>0</v>
      </c>
      <c r="AE625" s="82"/>
      <c r="AF625" s="34"/>
    </row>
    <row r="626" spans="1:32" ht="15.75" thickBot="1" x14ac:dyDescent="0.3">
      <c r="A626" s="93" t="s">
        <v>8</v>
      </c>
      <c r="B626" s="67"/>
      <c r="C626" s="65"/>
      <c r="D626" s="65"/>
      <c r="E626" s="66"/>
      <c r="F626" s="66"/>
      <c r="G626" s="66"/>
      <c r="H626" s="66"/>
      <c r="I626" s="63"/>
      <c r="J626" s="63"/>
      <c r="K626" s="63"/>
      <c r="L626" s="63" t="e">
        <f>SUM(#REF!)</f>
        <v>#REF!</v>
      </c>
      <c r="M626" s="63" t="e">
        <f>SUM(#REF!)</f>
        <v>#REF!</v>
      </c>
      <c r="N626" s="63" t="e">
        <f>SUM(#REF!)</f>
        <v>#REF!</v>
      </c>
      <c r="O626" s="63" t="e">
        <f>SUM(#REF!)</f>
        <v>#REF!</v>
      </c>
      <c r="P626" s="63" t="e">
        <f>SUM(#REF!)</f>
        <v>#REF!</v>
      </c>
      <c r="Q626" s="63" t="e">
        <f>SUM(#REF!)</f>
        <v>#REF!</v>
      </c>
      <c r="R626" s="63" t="e">
        <f>SUM(#REF!)</f>
        <v>#REF!</v>
      </c>
      <c r="S626" s="63" t="e">
        <f>SUM(#REF!)</f>
        <v>#REF!</v>
      </c>
      <c r="T626" s="63" t="e">
        <f>SUM(#REF!)</f>
        <v>#REF!</v>
      </c>
      <c r="U626" s="63" t="e">
        <f>SUM(#REF!)</f>
        <v>#REF!</v>
      </c>
      <c r="V626" s="63" t="e">
        <f>SUM(#REF!)</f>
        <v>#REF!</v>
      </c>
      <c r="W626" s="63" t="e">
        <f>SUM(#REF!)</f>
        <v>#REF!</v>
      </c>
      <c r="X626" s="63" t="e">
        <f>SUM(#REF!)</f>
        <v>#REF!</v>
      </c>
      <c r="Y626" s="63" t="e">
        <f>SUM(#REF!)</f>
        <v>#REF!</v>
      </c>
      <c r="Z626" s="63" t="e">
        <f>SUM(#REF!)</f>
        <v>#REF!</v>
      </c>
      <c r="AA626" s="63" t="e">
        <f>SUM(#REF!)</f>
        <v>#REF!</v>
      </c>
      <c r="AB626" s="63"/>
      <c r="AC626" s="63" t="e">
        <f>SUM(#REF!)</f>
        <v>#REF!</v>
      </c>
      <c r="AD626" s="10" t="e">
        <f t="shared" si="9"/>
        <v>#REF!</v>
      </c>
      <c r="AE626" s="10"/>
      <c r="AF626"/>
    </row>
    <row r="627" spans="1:32" ht="15.75" thickTop="1" x14ac:dyDescent="0.25">
      <c r="A627" s="7"/>
      <c r="C627" s="70"/>
      <c r="D627" s="70"/>
      <c r="E627" s="73"/>
      <c r="F627" s="9"/>
      <c r="H627" s="9"/>
      <c r="I627" s="10"/>
      <c r="J627" s="10"/>
      <c r="K627" s="7"/>
      <c r="L627" s="10"/>
      <c r="M627" s="10"/>
      <c r="N627" s="10"/>
      <c r="O627" s="10"/>
      <c r="P627" s="10"/>
      <c r="Q627" s="10"/>
      <c r="R627" s="10"/>
      <c r="S627" s="10"/>
      <c r="T627" s="14"/>
      <c r="U627" s="10"/>
      <c r="V627" s="10"/>
      <c r="W627" s="10"/>
      <c r="X627" s="7"/>
      <c r="Y627" s="7"/>
      <c r="Z627" s="7"/>
      <c r="AA627" s="34"/>
      <c r="AB627" s="7"/>
      <c r="AC627" s="34"/>
      <c r="AD627" s="10"/>
      <c r="AF627"/>
    </row>
    <row r="628" spans="1:32" x14ac:dyDescent="0.25">
      <c r="A628" s="7"/>
      <c r="C628" s="70"/>
      <c r="D628" s="70"/>
      <c r="E628" s="73"/>
      <c r="F628" s="9"/>
      <c r="H628" s="9"/>
      <c r="I628" s="10"/>
      <c r="J628" s="10"/>
      <c r="K628" s="7"/>
      <c r="L628" s="10"/>
      <c r="M628" s="10"/>
      <c r="N628" s="10"/>
      <c r="O628" s="10"/>
      <c r="P628" s="10"/>
      <c r="Q628" s="10"/>
      <c r="R628" s="10"/>
      <c r="S628" s="10"/>
      <c r="T628" s="14"/>
      <c r="U628" s="10"/>
      <c r="V628" s="10"/>
      <c r="W628" s="10"/>
      <c r="X628" s="7"/>
      <c r="Y628" s="7"/>
      <c r="Z628" s="7"/>
      <c r="AA628" s="34"/>
      <c r="AB628" s="7"/>
      <c r="AC628" s="34"/>
      <c r="AD628" s="10"/>
      <c r="AF628"/>
    </row>
    <row r="629" spans="1:32" x14ac:dyDescent="0.25">
      <c r="A629" s="7"/>
      <c r="C629" s="70"/>
      <c r="D629" s="70"/>
      <c r="E629" s="73"/>
      <c r="F629" s="9"/>
      <c r="H629" s="9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4"/>
      <c r="U629" s="10"/>
      <c r="V629" s="10"/>
      <c r="W629" s="10"/>
      <c r="X629" s="7"/>
      <c r="Y629" s="7"/>
      <c r="Z629" s="7"/>
      <c r="AA629" s="34"/>
      <c r="AB629" s="7"/>
      <c r="AC629" s="34"/>
      <c r="AD629" s="10"/>
      <c r="AF629"/>
    </row>
    <row r="630" spans="1:32" x14ac:dyDescent="0.25">
      <c r="A630" s="7"/>
      <c r="C630" s="70"/>
      <c r="D630" s="70"/>
      <c r="E630" s="73"/>
      <c r="F630" s="9"/>
      <c r="H630" s="9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4"/>
      <c r="U630" s="10"/>
      <c r="V630" s="10"/>
      <c r="W630" s="10"/>
      <c r="X630" s="7"/>
      <c r="Y630" s="7"/>
      <c r="Z630" s="7"/>
      <c r="AA630" s="34"/>
      <c r="AB630" s="7"/>
      <c r="AC630" s="34"/>
      <c r="AD630" s="10"/>
      <c r="AF630"/>
    </row>
    <row r="631" spans="1:32" x14ac:dyDescent="0.25">
      <c r="A631" s="7"/>
      <c r="C631" s="70"/>
      <c r="D631" s="70"/>
      <c r="E631" s="73"/>
      <c r="F631" s="9"/>
      <c r="H631" s="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4"/>
      <c r="U631" s="10"/>
      <c r="V631" s="10"/>
      <c r="W631" s="10"/>
      <c r="X631" s="7"/>
      <c r="Y631" s="7"/>
      <c r="Z631" s="7"/>
      <c r="AA631" s="34"/>
      <c r="AB631" s="7"/>
      <c r="AC631" s="34"/>
      <c r="AD631" s="10"/>
      <c r="AF631"/>
    </row>
    <row r="632" spans="1:32" x14ac:dyDescent="0.25">
      <c r="A632" s="7"/>
      <c r="C632" s="70"/>
      <c r="D632" s="70"/>
      <c r="E632" s="73"/>
      <c r="F632" s="9"/>
      <c r="H632" s="9"/>
      <c r="I632" s="10"/>
      <c r="J632" s="10"/>
      <c r="K632" s="7"/>
      <c r="L632" s="10"/>
      <c r="M632" s="10"/>
      <c r="N632" s="10"/>
      <c r="O632" s="10"/>
      <c r="P632" s="10"/>
      <c r="Q632" s="10"/>
      <c r="R632" s="10"/>
      <c r="S632" s="10"/>
      <c r="T632" s="14"/>
      <c r="U632" s="10"/>
      <c r="V632" s="10"/>
      <c r="W632" s="10"/>
      <c r="X632" s="7"/>
      <c r="Y632" s="7"/>
      <c r="Z632" s="34"/>
      <c r="AA632" s="34"/>
      <c r="AB632" s="7"/>
      <c r="AC632" s="34"/>
      <c r="AD632" s="10"/>
      <c r="AF632"/>
    </row>
    <row r="633" spans="1:32" x14ac:dyDescent="0.25">
      <c r="A633" s="7"/>
      <c r="C633" s="70"/>
      <c r="D633" s="70"/>
      <c r="E633" s="73"/>
      <c r="F633" s="9"/>
      <c r="H633" s="9"/>
      <c r="I633" s="10"/>
      <c r="J633" s="10"/>
      <c r="K633" s="7"/>
      <c r="L633" s="10"/>
      <c r="M633" s="10"/>
      <c r="N633" s="10"/>
      <c r="O633" s="10"/>
      <c r="P633" s="10"/>
      <c r="Q633" s="10"/>
      <c r="R633" s="10"/>
      <c r="S633" s="10"/>
      <c r="T633" s="14"/>
      <c r="U633" s="10"/>
      <c r="V633" s="10"/>
      <c r="W633" s="10"/>
      <c r="X633" s="7"/>
      <c r="Y633" s="7"/>
      <c r="Z633" s="7"/>
      <c r="AA633" s="34"/>
      <c r="AB633" s="7"/>
      <c r="AC633" s="34"/>
      <c r="AD633" s="10"/>
      <c r="AF633"/>
    </row>
    <row r="634" spans="1:32" x14ac:dyDescent="0.25">
      <c r="A634" s="7"/>
      <c r="C634" s="70"/>
      <c r="D634" s="70"/>
      <c r="E634" s="73"/>
      <c r="F634" s="9"/>
      <c r="H634" s="9"/>
      <c r="I634" s="10"/>
      <c r="J634" s="10"/>
      <c r="K634" s="7"/>
      <c r="L634" s="10"/>
      <c r="M634" s="10"/>
      <c r="N634" s="10"/>
      <c r="O634" s="10"/>
      <c r="P634" s="10"/>
      <c r="Q634" s="10"/>
      <c r="R634" s="10"/>
      <c r="S634" s="10"/>
      <c r="T634" s="14"/>
      <c r="U634" s="10"/>
      <c r="V634" s="10"/>
      <c r="W634" s="10"/>
      <c r="X634" s="7"/>
      <c r="Y634" s="7"/>
      <c r="Z634" s="7"/>
      <c r="AA634" s="34"/>
      <c r="AB634" s="7"/>
      <c r="AC634" s="34"/>
      <c r="AD634" s="10"/>
      <c r="AF634"/>
    </row>
    <row r="635" spans="1:32" x14ac:dyDescent="0.25">
      <c r="A635" s="7"/>
      <c r="C635" s="70"/>
      <c r="D635" s="70"/>
      <c r="E635" s="73"/>
      <c r="F635" s="9"/>
      <c r="H635" s="9"/>
      <c r="I635" s="10"/>
      <c r="J635" s="7"/>
      <c r="K635" s="7"/>
      <c r="L635" s="10"/>
      <c r="M635" s="10"/>
      <c r="N635" s="10"/>
      <c r="O635" s="10"/>
      <c r="P635" s="10"/>
      <c r="Q635" s="10"/>
      <c r="R635" s="10"/>
      <c r="S635" s="10"/>
      <c r="T635" s="14"/>
      <c r="U635" s="10"/>
      <c r="V635" s="10"/>
      <c r="W635" s="10"/>
      <c r="X635" s="7"/>
      <c r="Y635" s="7"/>
      <c r="Z635" s="7"/>
      <c r="AA635" s="34"/>
      <c r="AB635" s="7"/>
      <c r="AC635" s="34"/>
      <c r="AD635" s="10"/>
      <c r="AF635"/>
    </row>
    <row r="636" spans="1:32" x14ac:dyDescent="0.25">
      <c r="A636" s="7"/>
      <c r="C636" s="70"/>
      <c r="D636" s="70"/>
      <c r="E636" s="73"/>
      <c r="F636" s="9"/>
      <c r="H636" s="9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4"/>
      <c r="U636" s="10"/>
      <c r="V636" s="10"/>
      <c r="W636" s="10"/>
      <c r="X636" s="7"/>
      <c r="Y636" s="7"/>
      <c r="Z636" s="7"/>
      <c r="AA636" s="34"/>
      <c r="AB636" s="7"/>
      <c r="AC636" s="34"/>
      <c r="AD636" s="10"/>
      <c r="AF636"/>
    </row>
    <row r="637" spans="1:32" x14ac:dyDescent="0.25">
      <c r="A637" s="7"/>
      <c r="C637" s="70"/>
      <c r="D637" s="70"/>
      <c r="E637" s="73"/>
      <c r="F637" s="9"/>
      <c r="H637" s="9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4"/>
      <c r="U637" s="10"/>
      <c r="V637" s="10"/>
      <c r="W637" s="10"/>
      <c r="X637" s="7"/>
      <c r="Y637" s="7"/>
      <c r="Z637" s="7"/>
      <c r="AA637" s="34"/>
      <c r="AB637" s="7"/>
      <c r="AC637" s="34"/>
      <c r="AD637" s="10"/>
      <c r="AF637"/>
    </row>
    <row r="638" spans="1:32" x14ac:dyDescent="0.25">
      <c r="A638" s="43"/>
      <c r="C638" s="70"/>
      <c r="D638" s="70"/>
      <c r="E638" s="73"/>
      <c r="F638" s="9"/>
      <c r="H638" s="9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4"/>
      <c r="U638" s="10"/>
      <c r="V638" s="10"/>
      <c r="W638" s="10"/>
      <c r="X638" s="7"/>
      <c r="Y638" s="7"/>
      <c r="Z638" s="7"/>
      <c r="AA638" s="34"/>
      <c r="AB638" s="7"/>
      <c r="AC638" s="34"/>
      <c r="AD638" s="10"/>
      <c r="AF638"/>
    </row>
    <row r="639" spans="1:32" x14ac:dyDescent="0.25">
      <c r="A639" s="7"/>
      <c r="C639" s="70"/>
      <c r="D639" s="70"/>
      <c r="E639" s="73"/>
      <c r="F639" s="9"/>
      <c r="H639" s="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4"/>
      <c r="U639" s="10"/>
      <c r="V639" s="10"/>
      <c r="W639" s="10"/>
      <c r="X639" s="7"/>
      <c r="Y639" s="7"/>
      <c r="Z639" s="34"/>
      <c r="AA639" s="34"/>
      <c r="AB639" s="7"/>
      <c r="AC639" s="34"/>
      <c r="AD639" s="10"/>
      <c r="AF639"/>
    </row>
    <row r="640" spans="1:32" x14ac:dyDescent="0.25">
      <c r="A640" s="7"/>
      <c r="C640" s="70"/>
      <c r="D640" s="70"/>
      <c r="E640" s="73"/>
      <c r="F640" s="9"/>
      <c r="H640" s="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4"/>
      <c r="U640" s="10"/>
      <c r="V640" s="10"/>
      <c r="W640" s="10"/>
      <c r="X640" s="7"/>
      <c r="Y640" s="7"/>
      <c r="Z640" s="7"/>
      <c r="AA640" s="34"/>
      <c r="AB640" s="7"/>
      <c r="AC640" s="34"/>
      <c r="AD640" s="10"/>
      <c r="AF640"/>
    </row>
    <row r="641" spans="1:32" x14ac:dyDescent="0.25">
      <c r="A641" s="7"/>
      <c r="C641" s="70"/>
      <c r="D641" s="70"/>
      <c r="E641" s="73"/>
      <c r="F641" s="9"/>
      <c r="H641" s="9"/>
      <c r="I641" s="10"/>
      <c r="J641" s="7"/>
      <c r="K641" s="7"/>
      <c r="L641" s="10"/>
      <c r="M641" s="10"/>
      <c r="N641" s="10"/>
      <c r="O641" s="10"/>
      <c r="P641" s="10"/>
      <c r="Q641" s="10"/>
      <c r="R641" s="10"/>
      <c r="S641" s="10"/>
      <c r="T641" s="14"/>
      <c r="U641" s="10"/>
      <c r="V641" s="10"/>
      <c r="W641" s="10"/>
      <c r="X641" s="7"/>
      <c r="Y641" s="7"/>
      <c r="Z641" s="7"/>
      <c r="AA641" s="34"/>
      <c r="AB641" s="7"/>
      <c r="AC641" s="34"/>
      <c r="AD641" s="10"/>
      <c r="AF641"/>
    </row>
    <row r="642" spans="1:32" x14ac:dyDescent="0.25">
      <c r="A642" s="7"/>
      <c r="C642" s="70"/>
      <c r="D642" s="70"/>
      <c r="E642" s="73"/>
      <c r="F642" s="45"/>
      <c r="H642" s="9"/>
      <c r="I642" s="10"/>
      <c r="J642" s="7"/>
      <c r="K642" s="7"/>
      <c r="L642" s="10"/>
      <c r="M642" s="10"/>
      <c r="N642" s="10"/>
      <c r="O642" s="10"/>
      <c r="P642" s="10"/>
      <c r="Q642" s="10"/>
      <c r="R642" s="10"/>
      <c r="S642" s="10"/>
      <c r="T642" s="14"/>
      <c r="U642" s="10"/>
      <c r="V642" s="10"/>
      <c r="W642" s="10"/>
      <c r="X642" s="7"/>
      <c r="Y642" s="34"/>
      <c r="Z642" s="7"/>
      <c r="AA642" s="34"/>
      <c r="AB642" s="7"/>
      <c r="AC642" s="34"/>
      <c r="AD642" s="10"/>
      <c r="AF642"/>
    </row>
    <row r="643" spans="1:32" x14ac:dyDescent="0.25">
      <c r="A643" s="7"/>
      <c r="C643" s="70"/>
      <c r="D643" s="70"/>
      <c r="E643" s="73"/>
      <c r="F643" s="9"/>
      <c r="H643" s="9"/>
      <c r="I643" s="10"/>
      <c r="J643" s="7"/>
      <c r="K643" s="7"/>
      <c r="L643" s="10"/>
      <c r="M643" s="10"/>
      <c r="N643" s="10"/>
      <c r="O643" s="10"/>
      <c r="P643" s="10"/>
      <c r="Q643" s="10"/>
      <c r="R643" s="10"/>
      <c r="S643" s="10"/>
      <c r="T643" s="14"/>
      <c r="U643" s="10"/>
      <c r="V643" s="10"/>
      <c r="W643" s="10"/>
      <c r="X643" s="7"/>
      <c r="Y643" s="7"/>
      <c r="Z643" s="7"/>
      <c r="AA643" s="34"/>
      <c r="AB643" s="7"/>
      <c r="AC643" s="34"/>
      <c r="AD643" s="10"/>
      <c r="AF643"/>
    </row>
    <row r="644" spans="1:32" x14ac:dyDescent="0.25">
      <c r="A644" s="7"/>
      <c r="C644" s="70"/>
      <c r="D644" s="70"/>
      <c r="E644" s="73"/>
      <c r="F644" s="9"/>
      <c r="H644" s="9"/>
      <c r="I644" s="10"/>
      <c r="J644" s="7"/>
      <c r="K644" s="7"/>
      <c r="L644" s="10"/>
      <c r="M644" s="10"/>
      <c r="N644" s="10"/>
      <c r="O644" s="10"/>
      <c r="P644" s="10"/>
      <c r="Q644" s="10"/>
      <c r="R644" s="10"/>
      <c r="S644" s="10"/>
      <c r="T644" s="14"/>
      <c r="U644" s="10"/>
      <c r="V644" s="10"/>
      <c r="W644" s="10"/>
      <c r="X644" s="7"/>
      <c r="Y644" s="7"/>
      <c r="Z644" s="7"/>
      <c r="AA644" s="34"/>
      <c r="AB644" s="7"/>
      <c r="AC644" s="34"/>
      <c r="AD644" s="10"/>
      <c r="AF644"/>
    </row>
    <row r="645" spans="1:32" x14ac:dyDescent="0.25">
      <c r="A645" s="7"/>
      <c r="C645" s="70"/>
      <c r="D645" s="70"/>
      <c r="E645" s="73"/>
      <c r="F645" s="9"/>
      <c r="H645" s="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4"/>
      <c r="U645" s="10"/>
      <c r="V645" s="10"/>
      <c r="W645" s="10"/>
      <c r="X645" s="7"/>
      <c r="Y645" s="7"/>
      <c r="Z645" s="7"/>
      <c r="AA645" s="34"/>
      <c r="AB645" s="7"/>
      <c r="AC645" s="34"/>
      <c r="AD645" s="10"/>
      <c r="AF645"/>
    </row>
    <row r="646" spans="1:32" x14ac:dyDescent="0.25">
      <c r="A646" s="7"/>
      <c r="C646" s="70"/>
      <c r="D646" s="70"/>
      <c r="E646" s="73"/>
      <c r="F646" s="9"/>
      <c r="H646" s="9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4"/>
      <c r="U646" s="10"/>
      <c r="V646" s="10"/>
      <c r="W646" s="10"/>
      <c r="X646" s="7"/>
      <c r="Y646" s="7"/>
      <c r="Z646" s="34"/>
      <c r="AA646" s="34"/>
      <c r="AB646" s="7"/>
      <c r="AC646" s="34"/>
      <c r="AD646" s="10"/>
      <c r="AF646"/>
    </row>
    <row r="647" spans="1:32" x14ac:dyDescent="0.25">
      <c r="A647" s="7"/>
      <c r="C647" s="70"/>
      <c r="D647" s="70"/>
      <c r="E647" s="73"/>
      <c r="F647" s="9"/>
      <c r="H647" s="9"/>
      <c r="I647" s="10"/>
      <c r="J647" s="7"/>
      <c r="K647" s="7"/>
      <c r="L647" s="10"/>
      <c r="M647" s="10"/>
      <c r="N647" s="10"/>
      <c r="O647" s="10"/>
      <c r="P647" s="10"/>
      <c r="Q647" s="10"/>
      <c r="R647" s="10"/>
      <c r="S647" s="10"/>
      <c r="T647" s="14"/>
      <c r="U647" s="10"/>
      <c r="V647" s="10"/>
      <c r="W647" s="10"/>
      <c r="X647" s="7"/>
      <c r="Y647" s="7"/>
      <c r="Z647" s="7"/>
      <c r="AA647" s="34"/>
      <c r="AB647" s="7"/>
      <c r="AC647" s="34"/>
      <c r="AD647" s="10"/>
      <c r="AF647"/>
    </row>
    <row r="648" spans="1:32" x14ac:dyDescent="0.25">
      <c r="A648" s="7"/>
      <c r="C648" s="70"/>
      <c r="D648" s="70"/>
      <c r="E648" s="73"/>
      <c r="F648" s="9"/>
      <c r="H648" s="9"/>
      <c r="I648" s="10"/>
      <c r="J648" s="7"/>
      <c r="K648" s="7"/>
      <c r="L648" s="10"/>
      <c r="M648" s="10"/>
      <c r="N648" s="10"/>
      <c r="O648" s="10"/>
      <c r="P648" s="10"/>
      <c r="Q648" s="10"/>
      <c r="R648" s="10"/>
      <c r="S648" s="10"/>
      <c r="T648" s="14"/>
      <c r="U648" s="10"/>
      <c r="V648" s="10"/>
      <c r="W648" s="10"/>
      <c r="X648" s="7"/>
      <c r="Y648" s="7"/>
      <c r="Z648" s="7"/>
      <c r="AA648" s="34"/>
      <c r="AB648" s="7"/>
      <c r="AC648" s="34"/>
      <c r="AD648" s="10"/>
      <c r="AF648"/>
    </row>
    <row r="649" spans="1:32" x14ac:dyDescent="0.25">
      <c r="A649" s="7"/>
      <c r="C649" s="70"/>
      <c r="D649" s="70"/>
      <c r="E649" s="73"/>
      <c r="F649" s="45"/>
      <c r="H649" s="9"/>
      <c r="I649" s="10"/>
      <c r="J649" s="7"/>
      <c r="K649" s="7"/>
      <c r="L649" s="10"/>
      <c r="M649" s="10"/>
      <c r="N649" s="10"/>
      <c r="O649" s="10"/>
      <c r="P649" s="10"/>
      <c r="Q649" s="10"/>
      <c r="R649" s="10"/>
      <c r="S649" s="10"/>
      <c r="T649" s="14"/>
      <c r="U649" s="10"/>
      <c r="V649" s="10"/>
      <c r="W649" s="10"/>
      <c r="X649" s="7"/>
      <c r="Y649" s="34"/>
      <c r="Z649" s="7"/>
      <c r="AA649" s="34"/>
      <c r="AB649" s="7"/>
      <c r="AC649" s="34"/>
      <c r="AD649" s="10"/>
      <c r="AF649"/>
    </row>
    <row r="650" spans="1:32" x14ac:dyDescent="0.25">
      <c r="A650" s="7"/>
      <c r="C650" s="70"/>
      <c r="D650" s="70"/>
      <c r="E650" s="73"/>
      <c r="F650" s="9"/>
      <c r="H650" s="9"/>
      <c r="I650" s="10"/>
      <c r="J650" s="7"/>
      <c r="K650" s="7"/>
      <c r="L650" s="10"/>
      <c r="M650" s="10"/>
      <c r="N650" s="10"/>
      <c r="O650" s="10"/>
      <c r="P650" s="10"/>
      <c r="Q650" s="10"/>
      <c r="R650" s="10"/>
      <c r="S650" s="10"/>
      <c r="T650" s="14"/>
      <c r="U650" s="10"/>
      <c r="V650" s="10"/>
      <c r="W650" s="10"/>
      <c r="X650" s="7"/>
      <c r="Y650" s="7"/>
      <c r="Z650" s="7"/>
      <c r="AA650" s="34"/>
      <c r="AB650" s="7"/>
      <c r="AC650" s="34"/>
      <c r="AD650" s="10"/>
      <c r="AF650"/>
    </row>
    <row r="651" spans="1:32" x14ac:dyDescent="0.25">
      <c r="A651" s="7"/>
      <c r="C651" s="70"/>
      <c r="D651" s="70"/>
      <c r="E651" s="73"/>
      <c r="F651" s="9"/>
      <c r="H651" s="9"/>
      <c r="I651" s="10"/>
      <c r="J651" s="7"/>
      <c r="K651" s="7"/>
      <c r="L651" s="10"/>
      <c r="M651" s="10"/>
      <c r="N651" s="10"/>
      <c r="O651" s="10"/>
      <c r="P651" s="10"/>
      <c r="Q651" s="10"/>
      <c r="R651" s="10"/>
      <c r="S651" s="10"/>
      <c r="T651" s="14"/>
      <c r="U651" s="10"/>
      <c r="V651" s="10"/>
      <c r="W651" s="10"/>
      <c r="X651" s="7"/>
      <c r="Y651" s="7"/>
      <c r="Z651" s="7"/>
      <c r="AA651" s="34"/>
      <c r="AB651" s="7"/>
      <c r="AC651" s="34"/>
      <c r="AD651" s="10"/>
      <c r="AF651"/>
    </row>
    <row r="652" spans="1:32" x14ac:dyDescent="0.25">
      <c r="A652" s="7"/>
      <c r="C652" s="70"/>
      <c r="D652" s="70"/>
      <c r="E652" s="73"/>
      <c r="F652" s="9"/>
      <c r="H652" s="9"/>
      <c r="I652" s="10"/>
      <c r="J652" s="7"/>
      <c r="K652" s="7"/>
      <c r="L652" s="10"/>
      <c r="M652" s="10"/>
      <c r="N652" s="10"/>
      <c r="O652" s="10"/>
      <c r="P652" s="10"/>
      <c r="Q652" s="10"/>
      <c r="R652" s="10"/>
      <c r="S652" s="10"/>
      <c r="T652" s="14"/>
      <c r="U652" s="10"/>
      <c r="V652" s="10"/>
      <c r="W652" s="10"/>
      <c r="X652" s="7"/>
      <c r="Y652" s="7"/>
      <c r="Z652" s="7"/>
      <c r="AA652" s="34"/>
      <c r="AB652" s="7"/>
      <c r="AC652" s="34"/>
      <c r="AD652" s="10"/>
      <c r="AF652"/>
    </row>
    <row r="653" spans="1:32" x14ac:dyDescent="0.25">
      <c r="A653" s="7"/>
      <c r="C653" s="70"/>
      <c r="D653" s="70"/>
      <c r="E653" s="73"/>
      <c r="F653" s="9"/>
      <c r="H653" s="9"/>
      <c r="I653" s="10"/>
      <c r="J653" s="7"/>
      <c r="K653" s="24"/>
      <c r="L653" s="10"/>
      <c r="M653" s="10"/>
      <c r="N653" s="10"/>
      <c r="O653" s="10"/>
      <c r="P653" s="10"/>
      <c r="Q653" s="10"/>
      <c r="R653" s="10"/>
      <c r="S653" s="10"/>
      <c r="T653" s="14"/>
      <c r="U653" s="10"/>
      <c r="V653" s="10"/>
      <c r="W653" s="10"/>
      <c r="X653" s="7"/>
      <c r="Y653" s="7"/>
      <c r="Z653" s="7"/>
      <c r="AA653" s="34"/>
      <c r="AB653" s="7"/>
      <c r="AC653" s="34"/>
      <c r="AD653" s="10"/>
      <c r="AF653"/>
    </row>
    <row r="654" spans="1:32" x14ac:dyDescent="0.25">
      <c r="A654" s="7"/>
      <c r="C654" s="70"/>
      <c r="D654" s="70"/>
      <c r="E654" s="73"/>
      <c r="F654" s="9"/>
      <c r="H654" s="9"/>
      <c r="I654" s="10"/>
      <c r="J654" s="7"/>
      <c r="K654" s="7"/>
      <c r="L654" s="10"/>
      <c r="M654" s="10"/>
      <c r="N654" s="10"/>
      <c r="O654" s="10"/>
      <c r="P654" s="10"/>
      <c r="Q654" s="10"/>
      <c r="R654" s="10"/>
      <c r="S654" s="10"/>
      <c r="T654" s="14"/>
      <c r="U654" s="10"/>
      <c r="V654" s="10"/>
      <c r="W654" s="10"/>
      <c r="X654" s="7"/>
      <c r="Y654" s="7"/>
      <c r="Z654" s="7"/>
      <c r="AA654" s="34"/>
      <c r="AB654" s="7"/>
      <c r="AC654" s="34"/>
      <c r="AD654" s="10"/>
      <c r="AF654"/>
    </row>
    <row r="655" spans="1:32" x14ac:dyDescent="0.25">
      <c r="A655" s="7"/>
      <c r="C655" s="70"/>
      <c r="D655" s="70"/>
      <c r="E655" s="73"/>
      <c r="F655" s="9"/>
      <c r="H655" s="9"/>
      <c r="I655" s="10"/>
      <c r="J655" s="7"/>
      <c r="K655" s="24"/>
      <c r="L655" s="10"/>
      <c r="M655" s="10"/>
      <c r="N655" s="10"/>
      <c r="O655" s="10"/>
      <c r="P655" s="10"/>
      <c r="Q655" s="10"/>
      <c r="R655" s="10"/>
      <c r="S655" s="10"/>
      <c r="T655" s="14"/>
      <c r="U655" s="10"/>
      <c r="V655" s="10"/>
      <c r="W655" s="10"/>
      <c r="X655" s="7"/>
      <c r="Y655" s="7"/>
      <c r="Z655" s="7"/>
      <c r="AA655" s="34"/>
      <c r="AB655" s="7"/>
      <c r="AC655" s="34"/>
      <c r="AD655" s="10"/>
      <c r="AF655"/>
    </row>
    <row r="656" spans="1:32" x14ac:dyDescent="0.25">
      <c r="A656" s="7"/>
      <c r="C656" s="70"/>
      <c r="D656" s="70"/>
      <c r="E656" s="73"/>
      <c r="F656" s="9"/>
      <c r="H656" s="9"/>
      <c r="I656" s="10"/>
      <c r="J656" s="7"/>
      <c r="K656" s="7"/>
      <c r="L656" s="10"/>
      <c r="M656" s="10"/>
      <c r="N656" s="10"/>
      <c r="O656" s="10"/>
      <c r="P656" s="10"/>
      <c r="Q656" s="10"/>
      <c r="R656" s="10"/>
      <c r="S656" s="10"/>
      <c r="T656" s="14"/>
      <c r="U656" s="10"/>
      <c r="V656" s="10"/>
      <c r="W656" s="10"/>
      <c r="X656" s="7"/>
      <c r="Y656" s="7"/>
      <c r="Z656" s="7"/>
      <c r="AA656" s="34"/>
      <c r="AB656" s="7"/>
      <c r="AC656" s="34"/>
      <c r="AD656" s="10"/>
      <c r="AF656"/>
    </row>
    <row r="657" spans="1:32" x14ac:dyDescent="0.25">
      <c r="A657" s="7"/>
      <c r="C657" s="70"/>
      <c r="D657" s="70"/>
      <c r="E657" s="73"/>
      <c r="F657" s="9"/>
      <c r="H657" s="9"/>
      <c r="I657" s="10"/>
      <c r="J657" s="7"/>
      <c r="K657" s="7"/>
      <c r="L657" s="10"/>
      <c r="M657" s="10"/>
      <c r="N657" s="10"/>
      <c r="O657" s="10"/>
      <c r="P657" s="10"/>
      <c r="Q657" s="10"/>
      <c r="R657" s="10"/>
      <c r="S657" s="10"/>
      <c r="T657" s="14"/>
      <c r="U657" s="10"/>
      <c r="V657" s="10"/>
      <c r="W657" s="10"/>
      <c r="X657" s="7"/>
      <c r="Y657" s="7"/>
      <c r="Z657" s="7"/>
      <c r="AA657" s="34"/>
      <c r="AB657" s="7"/>
      <c r="AC657" s="34"/>
      <c r="AD657" s="10"/>
      <c r="AF657"/>
    </row>
    <row r="658" spans="1:32" x14ac:dyDescent="0.25">
      <c r="A658" s="7"/>
      <c r="C658" s="70"/>
      <c r="D658" s="70"/>
      <c r="E658" s="73"/>
      <c r="F658" s="9"/>
      <c r="H658" s="9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4"/>
      <c r="U658" s="10"/>
      <c r="V658" s="10"/>
      <c r="W658" s="10"/>
      <c r="X658" s="7"/>
      <c r="Y658" s="7"/>
      <c r="Z658" s="34"/>
      <c r="AA658" s="34"/>
      <c r="AB658" s="7"/>
      <c r="AC658" s="34"/>
      <c r="AD658" s="10"/>
      <c r="AF658"/>
    </row>
    <row r="659" spans="1:32" x14ac:dyDescent="0.25">
      <c r="A659" s="7"/>
      <c r="C659" s="70"/>
      <c r="D659" s="70"/>
      <c r="E659" s="73"/>
      <c r="F659" s="9"/>
      <c r="H659" s="9"/>
      <c r="I659" s="10"/>
      <c r="J659" s="60"/>
      <c r="K659" s="42"/>
      <c r="L659" s="10"/>
      <c r="M659" s="10"/>
      <c r="N659" s="10"/>
      <c r="O659" s="10"/>
      <c r="P659" s="10"/>
      <c r="Q659" s="10"/>
      <c r="R659" s="10"/>
      <c r="S659" s="10"/>
      <c r="T659" s="14"/>
      <c r="U659" s="10"/>
      <c r="V659" s="10"/>
      <c r="W659" s="10"/>
      <c r="X659" s="7"/>
      <c r="Y659" s="7"/>
      <c r="Z659" s="34"/>
      <c r="AA659" s="34"/>
      <c r="AB659" s="7"/>
      <c r="AC659" s="34"/>
      <c r="AD659" s="10"/>
      <c r="AF659"/>
    </row>
    <row r="660" spans="1:32" x14ac:dyDescent="0.25">
      <c r="A660" s="7"/>
      <c r="C660" s="70"/>
      <c r="D660" s="70"/>
      <c r="E660" s="73"/>
      <c r="F660" s="9"/>
      <c r="H660" s="9"/>
      <c r="I660" s="10"/>
      <c r="J660" s="7"/>
      <c r="K660" s="7"/>
      <c r="L660" s="10"/>
      <c r="M660" s="10"/>
      <c r="N660" s="10"/>
      <c r="O660" s="10"/>
      <c r="P660" s="10"/>
      <c r="Q660" s="10"/>
      <c r="R660" s="10"/>
      <c r="S660" s="10"/>
      <c r="T660" s="14"/>
      <c r="U660" s="10"/>
      <c r="V660" s="10"/>
      <c r="W660" s="10"/>
      <c r="X660" s="7"/>
      <c r="Y660" s="7"/>
      <c r="Z660" s="7"/>
      <c r="AA660" s="34"/>
      <c r="AB660" s="7"/>
      <c r="AC660" s="34"/>
      <c r="AD660" s="10"/>
      <c r="AF660"/>
    </row>
    <row r="661" spans="1:32" x14ac:dyDescent="0.25">
      <c r="A661" s="7"/>
      <c r="C661" s="70"/>
      <c r="D661" s="70"/>
      <c r="E661" s="73"/>
      <c r="F661" s="9"/>
      <c r="H661" s="9"/>
      <c r="I661" s="10"/>
      <c r="J661" s="7"/>
      <c r="K661" s="7"/>
      <c r="L661" s="10"/>
      <c r="M661" s="10"/>
      <c r="N661" s="10"/>
      <c r="O661" s="10"/>
      <c r="P661" s="10"/>
      <c r="Q661" s="10"/>
      <c r="R661" s="10"/>
      <c r="S661" s="10"/>
      <c r="T661" s="14"/>
      <c r="U661" s="10"/>
      <c r="V661" s="10"/>
      <c r="W661" s="10"/>
      <c r="X661" s="7"/>
      <c r="Y661" s="7"/>
      <c r="Z661" s="7"/>
      <c r="AA661" s="34"/>
      <c r="AB661" s="7"/>
      <c r="AC661" s="34"/>
      <c r="AD661" s="10"/>
      <c r="AF661"/>
    </row>
    <row r="662" spans="1:32" x14ac:dyDescent="0.25">
      <c r="A662" s="7"/>
      <c r="C662" s="70"/>
      <c r="D662" s="70"/>
      <c r="E662" s="73"/>
      <c r="F662" s="9"/>
      <c r="H662" s="9"/>
      <c r="I662" s="10"/>
      <c r="J662" s="7"/>
      <c r="K662" s="10"/>
      <c r="L662" s="10"/>
      <c r="M662" s="10"/>
      <c r="N662" s="10"/>
      <c r="O662" s="10"/>
      <c r="P662" s="10"/>
      <c r="Q662" s="10"/>
      <c r="R662" s="10"/>
      <c r="S662" s="10"/>
      <c r="T662" s="14"/>
      <c r="U662" s="10"/>
      <c r="V662" s="10"/>
      <c r="W662" s="10"/>
      <c r="X662" s="7"/>
      <c r="Y662" s="7"/>
      <c r="Z662" s="7"/>
      <c r="AA662" s="34"/>
      <c r="AB662" s="7"/>
      <c r="AC662" s="34"/>
      <c r="AD662" s="10"/>
      <c r="AF662"/>
    </row>
    <row r="663" spans="1:32" x14ac:dyDescent="0.25">
      <c r="A663" s="7"/>
      <c r="C663" s="70"/>
      <c r="D663" s="70"/>
      <c r="E663" s="73"/>
      <c r="F663" s="9"/>
      <c r="H663" s="9"/>
      <c r="I663" s="10"/>
      <c r="J663" s="7"/>
      <c r="K663" s="7"/>
      <c r="L663" s="10"/>
      <c r="M663" s="10"/>
      <c r="N663" s="10"/>
      <c r="O663" s="10"/>
      <c r="P663" s="10"/>
      <c r="Q663" s="10"/>
      <c r="R663" s="10"/>
      <c r="S663" s="10"/>
      <c r="T663" s="14"/>
      <c r="U663" s="10"/>
      <c r="V663" s="10"/>
      <c r="W663" s="10"/>
      <c r="X663" s="7"/>
      <c r="Y663" s="7"/>
      <c r="Z663" s="7"/>
      <c r="AA663" s="34"/>
      <c r="AB663" s="7"/>
      <c r="AC663" s="34"/>
      <c r="AD663" s="10"/>
      <c r="AF663"/>
    </row>
    <row r="664" spans="1:32" x14ac:dyDescent="0.25">
      <c r="A664" s="7"/>
      <c r="C664" s="70"/>
      <c r="D664" s="70"/>
      <c r="E664" s="73"/>
      <c r="F664" s="9"/>
      <c r="H664" s="9"/>
      <c r="I664" s="10"/>
      <c r="J664" s="7"/>
      <c r="K664" s="7"/>
      <c r="L664" s="10"/>
      <c r="M664" s="10"/>
      <c r="N664" s="10"/>
      <c r="O664" s="10"/>
      <c r="P664" s="10"/>
      <c r="Q664" s="10"/>
      <c r="R664" s="10"/>
      <c r="S664" s="10"/>
      <c r="T664" s="14"/>
      <c r="U664" s="10"/>
      <c r="V664" s="10"/>
      <c r="W664" s="10"/>
      <c r="X664" s="7"/>
      <c r="Y664" s="7"/>
      <c r="Z664" s="7"/>
      <c r="AA664" s="34"/>
      <c r="AB664" s="7"/>
      <c r="AC664" s="34"/>
      <c r="AD664" s="10"/>
      <c r="AF664"/>
    </row>
    <row r="665" spans="1:32" x14ac:dyDescent="0.25">
      <c r="A665" s="7"/>
      <c r="C665" s="70"/>
      <c r="D665" s="70"/>
      <c r="E665" s="73"/>
      <c r="F665" s="9"/>
      <c r="H665" s="9"/>
      <c r="I665" s="10"/>
      <c r="J665" s="7"/>
      <c r="K665" s="7"/>
      <c r="L665" s="10"/>
      <c r="M665" s="10"/>
      <c r="N665" s="10"/>
      <c r="O665" s="10"/>
      <c r="P665" s="10"/>
      <c r="Q665" s="10"/>
      <c r="R665" s="10"/>
      <c r="S665" s="10"/>
      <c r="T665" s="14"/>
      <c r="U665" s="10"/>
      <c r="V665" s="10"/>
      <c r="W665" s="10"/>
      <c r="X665" s="7"/>
      <c r="Y665" s="7"/>
      <c r="Z665" s="7"/>
      <c r="AA665" s="34"/>
      <c r="AB665" s="7"/>
      <c r="AC665" s="34"/>
      <c r="AD665" s="10"/>
      <c r="AF665"/>
    </row>
    <row r="666" spans="1:32" x14ac:dyDescent="0.25">
      <c r="A666" s="7"/>
      <c r="C666" s="70"/>
      <c r="D666" s="70"/>
      <c r="E666" s="73"/>
      <c r="F666" s="9"/>
      <c r="H666" s="9"/>
      <c r="I666" s="10"/>
      <c r="J666" s="7"/>
      <c r="K666" s="7"/>
      <c r="L666" s="10"/>
      <c r="M666" s="10"/>
      <c r="N666" s="10"/>
      <c r="O666" s="10"/>
      <c r="P666" s="10"/>
      <c r="Q666" s="10"/>
      <c r="R666" s="10"/>
      <c r="S666" s="10"/>
      <c r="T666" s="14"/>
      <c r="U666" s="10"/>
      <c r="V666" s="10"/>
      <c r="W666" s="10"/>
      <c r="X666" s="7"/>
      <c r="Y666" s="7"/>
      <c r="Z666" s="7"/>
      <c r="AA666" s="34"/>
      <c r="AB666" s="7"/>
      <c r="AC666" s="34"/>
      <c r="AD666" s="10"/>
      <c r="AF666"/>
    </row>
    <row r="667" spans="1:32" x14ac:dyDescent="0.25">
      <c r="A667" s="7"/>
      <c r="C667" s="70"/>
      <c r="D667" s="70"/>
      <c r="E667" s="73"/>
      <c r="F667" s="9"/>
      <c r="H667" s="9"/>
      <c r="I667" s="10"/>
      <c r="J667" s="7"/>
      <c r="K667" s="24"/>
      <c r="L667" s="10"/>
      <c r="M667" s="10"/>
      <c r="N667" s="10"/>
      <c r="O667" s="10"/>
      <c r="P667" s="10"/>
      <c r="Q667" s="10"/>
      <c r="R667" s="10"/>
      <c r="S667" s="10"/>
      <c r="T667" s="14"/>
      <c r="U667" s="10"/>
      <c r="V667" s="10"/>
      <c r="W667" s="10"/>
      <c r="X667" s="7"/>
      <c r="Y667" s="7"/>
      <c r="Z667" s="34"/>
      <c r="AA667" s="34"/>
      <c r="AB667" s="7"/>
      <c r="AC667" s="34"/>
      <c r="AD667" s="10"/>
      <c r="AF667"/>
    </row>
    <row r="668" spans="1:32" x14ac:dyDescent="0.25">
      <c r="A668" s="7"/>
      <c r="C668" s="70"/>
      <c r="D668" s="70"/>
      <c r="E668" s="73"/>
      <c r="F668" s="9"/>
      <c r="H668" s="9"/>
      <c r="I668" s="10"/>
      <c r="J668" s="10"/>
      <c r="K668" s="10"/>
      <c r="L668" s="34"/>
      <c r="M668" s="10"/>
      <c r="N668" s="10"/>
      <c r="O668" s="10"/>
      <c r="P668" s="10"/>
      <c r="Q668" s="10"/>
      <c r="R668" s="10"/>
      <c r="S668" s="10"/>
      <c r="T668" s="14"/>
      <c r="U668" s="10"/>
      <c r="V668" s="10"/>
      <c r="W668" s="10"/>
      <c r="X668" s="34"/>
      <c r="Y668" s="7"/>
      <c r="Z668" s="34"/>
      <c r="AA668" s="34"/>
      <c r="AB668" s="7"/>
      <c r="AC668" s="34"/>
      <c r="AD668" s="10"/>
      <c r="AF668"/>
    </row>
    <row r="669" spans="1:32" x14ac:dyDescent="0.25">
      <c r="A669" s="7"/>
      <c r="C669" s="70"/>
      <c r="D669" s="70"/>
      <c r="E669" s="73"/>
      <c r="F669" s="9"/>
      <c r="H669" s="9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4"/>
      <c r="U669" s="10"/>
      <c r="V669" s="10"/>
      <c r="W669" s="10"/>
      <c r="X669" s="7"/>
      <c r="Y669" s="7"/>
      <c r="Z669" s="7"/>
      <c r="AA669" s="34"/>
      <c r="AB669" s="7"/>
      <c r="AC669" s="34"/>
      <c r="AD669" s="10"/>
      <c r="AF669"/>
    </row>
    <row r="670" spans="1:32" x14ac:dyDescent="0.25">
      <c r="A670" s="7"/>
      <c r="C670" s="70"/>
      <c r="D670" s="70"/>
      <c r="E670" s="73"/>
      <c r="F670" s="9"/>
      <c r="H670" s="9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4"/>
      <c r="U670" s="10"/>
      <c r="V670" s="10"/>
      <c r="W670" s="10"/>
      <c r="X670" s="7"/>
      <c r="Y670" s="7"/>
      <c r="Z670" s="7"/>
      <c r="AA670" s="34"/>
      <c r="AB670" s="7"/>
      <c r="AC670" s="34"/>
      <c r="AD670" s="10"/>
      <c r="AF670"/>
    </row>
    <row r="671" spans="1:32" x14ac:dyDescent="0.25">
      <c r="A671" s="7"/>
      <c r="C671" s="70"/>
      <c r="D671" s="70"/>
      <c r="E671" s="73"/>
      <c r="F671" s="9"/>
      <c r="H671" s="9"/>
      <c r="I671" s="10"/>
      <c r="J671" s="7"/>
      <c r="K671" s="7"/>
      <c r="L671" s="10"/>
      <c r="M671" s="10"/>
      <c r="N671" s="10"/>
      <c r="O671" s="10"/>
      <c r="P671" s="10"/>
      <c r="Q671" s="10"/>
      <c r="R671" s="10"/>
      <c r="S671" s="10"/>
      <c r="T671" s="14"/>
      <c r="U671" s="10"/>
      <c r="V671" s="10"/>
      <c r="W671" s="10"/>
      <c r="X671" s="7"/>
      <c r="Y671" s="7"/>
      <c r="Z671" s="7"/>
      <c r="AA671" s="34"/>
      <c r="AB671" s="7"/>
      <c r="AC671" s="34"/>
      <c r="AD671" s="10"/>
      <c r="AF671"/>
    </row>
    <row r="672" spans="1:32" x14ac:dyDescent="0.25">
      <c r="A672" s="7"/>
      <c r="C672" s="70"/>
      <c r="D672" s="70"/>
      <c r="E672" s="73"/>
      <c r="F672" s="9"/>
      <c r="H672" s="9"/>
      <c r="I672" s="10"/>
      <c r="J672" s="7"/>
      <c r="K672" s="7"/>
      <c r="L672" s="10"/>
      <c r="M672" s="10"/>
      <c r="N672" s="10"/>
      <c r="O672" s="10"/>
      <c r="P672" s="10"/>
      <c r="Q672" s="10"/>
      <c r="R672" s="10"/>
      <c r="S672" s="10"/>
      <c r="T672" s="14"/>
      <c r="U672" s="10"/>
      <c r="V672" s="10"/>
      <c r="W672" s="10"/>
      <c r="X672" s="7"/>
      <c r="Y672" s="7"/>
      <c r="Z672" s="34"/>
      <c r="AA672" s="34"/>
      <c r="AB672" s="7"/>
      <c r="AC672" s="34"/>
      <c r="AD672" s="10"/>
      <c r="AF672"/>
    </row>
    <row r="673" spans="1:32" x14ac:dyDescent="0.25">
      <c r="A673" s="7"/>
      <c r="C673" s="70"/>
      <c r="D673" s="70"/>
      <c r="E673" s="73"/>
      <c r="F673" s="9"/>
      <c r="H673" s="9"/>
      <c r="I673" s="10"/>
      <c r="J673" s="7"/>
      <c r="K673" s="7"/>
      <c r="L673" s="10"/>
      <c r="M673" s="10"/>
      <c r="N673" s="10"/>
      <c r="O673" s="10"/>
      <c r="P673" s="10"/>
      <c r="Q673" s="10"/>
      <c r="R673" s="10"/>
      <c r="S673" s="10"/>
      <c r="T673" s="14"/>
      <c r="U673" s="10"/>
      <c r="V673" s="10"/>
      <c r="W673" s="10"/>
      <c r="X673" s="7"/>
      <c r="Y673" s="7"/>
      <c r="Z673" s="34"/>
      <c r="AA673" s="34"/>
      <c r="AB673" s="7"/>
      <c r="AC673" s="34"/>
      <c r="AD673" s="10"/>
      <c r="AF673"/>
    </row>
    <row r="674" spans="1:32" x14ac:dyDescent="0.25">
      <c r="A674" s="7"/>
      <c r="C674" s="70"/>
      <c r="D674" s="70"/>
      <c r="E674" s="73"/>
      <c r="F674" s="9"/>
      <c r="H674" s="9"/>
      <c r="I674" s="10"/>
      <c r="J674" s="7"/>
      <c r="K674" s="7"/>
      <c r="L674" s="10"/>
      <c r="M674" s="10"/>
      <c r="N674" s="10"/>
      <c r="O674" s="10"/>
      <c r="P674" s="10"/>
      <c r="Q674" s="10"/>
      <c r="R674" s="10"/>
      <c r="S674" s="10"/>
      <c r="T674" s="14"/>
      <c r="U674" s="10"/>
      <c r="V674" s="10"/>
      <c r="W674" s="10"/>
      <c r="X674" s="7"/>
      <c r="Y674" s="7"/>
      <c r="Z674" s="7"/>
      <c r="AA674" s="34"/>
      <c r="AB674" s="7"/>
      <c r="AC674" s="34"/>
      <c r="AD674" s="10"/>
      <c r="AF674"/>
    </row>
    <row r="675" spans="1:32" x14ac:dyDescent="0.25">
      <c r="A675" s="7"/>
      <c r="C675" s="70"/>
      <c r="D675" s="70"/>
      <c r="E675" s="73"/>
      <c r="F675" s="9"/>
      <c r="H675" s="9"/>
      <c r="I675" s="10"/>
      <c r="J675" s="7"/>
      <c r="K675" s="7"/>
      <c r="L675" s="10"/>
      <c r="M675" s="10"/>
      <c r="N675" s="10"/>
      <c r="O675" s="10"/>
      <c r="P675" s="10"/>
      <c r="Q675" s="10"/>
      <c r="R675" s="10"/>
      <c r="S675" s="10"/>
      <c r="T675" s="14"/>
      <c r="U675" s="10"/>
      <c r="V675" s="10"/>
      <c r="W675" s="10"/>
      <c r="X675" s="7"/>
      <c r="Y675" s="7"/>
      <c r="Z675" s="7"/>
      <c r="AA675" s="34"/>
      <c r="AB675" s="7"/>
      <c r="AC675" s="34"/>
      <c r="AD675" s="10"/>
      <c r="AF675"/>
    </row>
    <row r="676" spans="1:32" x14ac:dyDescent="0.25">
      <c r="A676" s="7"/>
      <c r="C676" s="70"/>
      <c r="D676" s="70"/>
      <c r="E676" s="73"/>
      <c r="F676" s="9"/>
      <c r="H676" s="9"/>
      <c r="I676" s="10"/>
      <c r="J676" s="7"/>
      <c r="K676" s="7"/>
      <c r="L676" s="10"/>
      <c r="M676" s="10"/>
      <c r="N676" s="10"/>
      <c r="O676" s="10"/>
      <c r="P676" s="10"/>
      <c r="Q676" s="10"/>
      <c r="R676" s="10"/>
      <c r="S676" s="10"/>
      <c r="T676" s="14"/>
      <c r="U676" s="10"/>
      <c r="V676" s="10"/>
      <c r="W676" s="10"/>
      <c r="X676" s="7"/>
      <c r="Y676" s="7"/>
      <c r="Z676" s="7"/>
      <c r="AA676" s="34"/>
      <c r="AB676" s="7"/>
      <c r="AC676" s="34"/>
      <c r="AD676" s="10"/>
      <c r="AF676"/>
    </row>
    <row r="677" spans="1:32" x14ac:dyDescent="0.25">
      <c r="A677" s="7"/>
      <c r="C677" s="70"/>
      <c r="D677" s="70"/>
      <c r="E677" s="73"/>
      <c r="F677" s="9"/>
      <c r="H677" s="9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4"/>
      <c r="U677" s="10"/>
      <c r="V677" s="10"/>
      <c r="W677" s="10"/>
      <c r="X677" s="7"/>
      <c r="Y677" s="7"/>
      <c r="Z677" s="7"/>
      <c r="AA677" s="34"/>
      <c r="AB677" s="7"/>
      <c r="AC677" s="34"/>
      <c r="AD677" s="10"/>
      <c r="AF677"/>
    </row>
    <row r="678" spans="1:32" x14ac:dyDescent="0.25">
      <c r="A678" s="7"/>
      <c r="C678" s="70"/>
      <c r="D678" s="70"/>
      <c r="E678" s="73"/>
      <c r="F678" s="9"/>
      <c r="H678" s="9"/>
      <c r="I678" s="10"/>
      <c r="J678" s="7"/>
      <c r="K678" s="24"/>
      <c r="L678" s="10"/>
      <c r="M678" s="10"/>
      <c r="N678" s="10"/>
      <c r="O678" s="10"/>
      <c r="P678" s="10"/>
      <c r="Q678" s="10"/>
      <c r="R678" s="10"/>
      <c r="S678" s="10"/>
      <c r="T678" s="14"/>
      <c r="U678" s="10"/>
      <c r="V678" s="10"/>
      <c r="W678" s="10"/>
      <c r="X678" s="7"/>
      <c r="Y678" s="7"/>
      <c r="Z678" s="7"/>
      <c r="AA678" s="34"/>
      <c r="AB678" s="7"/>
      <c r="AC678" s="34"/>
      <c r="AD678" s="10"/>
      <c r="AF678"/>
    </row>
    <row r="679" spans="1:32" x14ac:dyDescent="0.25">
      <c r="A679" s="7"/>
      <c r="C679" s="70"/>
      <c r="D679" s="70"/>
      <c r="E679" s="73"/>
      <c r="F679" s="48"/>
      <c r="H679" s="9"/>
      <c r="I679" s="10"/>
      <c r="J679" s="7"/>
      <c r="K679" s="24"/>
      <c r="L679" s="10"/>
      <c r="M679" s="10"/>
      <c r="N679" s="10"/>
      <c r="O679" s="10"/>
      <c r="P679" s="10"/>
      <c r="Q679" s="10"/>
      <c r="R679" s="10"/>
      <c r="S679" s="10"/>
      <c r="T679" s="14"/>
      <c r="U679" s="10"/>
      <c r="V679" s="10"/>
      <c r="W679" s="10"/>
      <c r="X679" s="7"/>
      <c r="Y679" s="34"/>
      <c r="Z679" s="7"/>
      <c r="AA679" s="34"/>
      <c r="AB679" s="7"/>
      <c r="AC679" s="34"/>
      <c r="AD679" s="10"/>
      <c r="AF679"/>
    </row>
    <row r="680" spans="1:32" x14ac:dyDescent="0.25">
      <c r="A680" s="7"/>
      <c r="C680" s="70"/>
      <c r="D680" s="70"/>
      <c r="E680" s="73"/>
      <c r="F680" s="9"/>
      <c r="H680" s="9"/>
      <c r="I680" s="10"/>
      <c r="J680" s="7"/>
      <c r="K680" s="24"/>
      <c r="L680" s="10"/>
      <c r="M680" s="10"/>
      <c r="N680" s="10"/>
      <c r="O680" s="10"/>
      <c r="P680" s="10"/>
      <c r="Q680" s="10"/>
      <c r="R680" s="10"/>
      <c r="S680" s="10"/>
      <c r="T680" s="14"/>
      <c r="U680" s="10"/>
      <c r="V680" s="10"/>
      <c r="W680" s="10"/>
      <c r="X680" s="7"/>
      <c r="Y680" s="7"/>
      <c r="Z680" s="7"/>
      <c r="AA680" s="34"/>
      <c r="AB680" s="7"/>
      <c r="AC680" s="34"/>
      <c r="AD680" s="10"/>
      <c r="AF680"/>
    </row>
    <row r="681" spans="1:32" x14ac:dyDescent="0.25">
      <c r="A681" s="7"/>
      <c r="C681" s="70"/>
      <c r="D681" s="70"/>
      <c r="E681" s="73"/>
      <c r="F681" s="9"/>
      <c r="H681" s="9"/>
      <c r="I681" s="10"/>
      <c r="J681" s="7"/>
      <c r="K681" s="7"/>
      <c r="L681" s="10"/>
      <c r="M681" s="10"/>
      <c r="N681" s="10"/>
      <c r="O681" s="10"/>
      <c r="P681" s="10"/>
      <c r="Q681" s="10"/>
      <c r="R681" s="10"/>
      <c r="S681" s="10"/>
      <c r="T681" s="14"/>
      <c r="U681" s="10"/>
      <c r="V681" s="10"/>
      <c r="W681" s="10"/>
      <c r="X681" s="7"/>
      <c r="Y681" s="7"/>
      <c r="Z681" s="7"/>
      <c r="AA681" s="34"/>
      <c r="AB681" s="7"/>
      <c r="AC681" s="34"/>
      <c r="AD681" s="10"/>
      <c r="AF681"/>
    </row>
    <row r="682" spans="1:32" x14ac:dyDescent="0.25">
      <c r="A682" s="7"/>
      <c r="C682" s="70"/>
      <c r="D682" s="70"/>
      <c r="E682" s="73"/>
      <c r="F682" s="9"/>
      <c r="H682" s="9"/>
      <c r="I682" s="10"/>
      <c r="J682" s="10"/>
      <c r="K682" s="7"/>
      <c r="L682" s="10"/>
      <c r="M682" s="10"/>
      <c r="N682" s="10"/>
      <c r="O682" s="10"/>
      <c r="P682" s="10"/>
      <c r="Q682" s="10"/>
      <c r="R682" s="10"/>
      <c r="S682" s="10"/>
      <c r="T682" s="14"/>
      <c r="U682" s="10"/>
      <c r="V682" s="10"/>
      <c r="W682" s="10"/>
      <c r="X682" s="7"/>
      <c r="Y682" s="7"/>
      <c r="Z682" s="34"/>
      <c r="AA682" s="34"/>
      <c r="AB682" s="7"/>
      <c r="AC682" s="34"/>
      <c r="AD682" s="10"/>
      <c r="AF682"/>
    </row>
    <row r="683" spans="1:32" x14ac:dyDescent="0.25">
      <c r="A683" s="7"/>
      <c r="C683" s="70"/>
      <c r="D683" s="70"/>
      <c r="E683" s="73"/>
      <c r="F683" s="9"/>
      <c r="H683" s="9"/>
      <c r="I683" s="10"/>
      <c r="J683" s="7"/>
      <c r="K683" s="24"/>
      <c r="L683" s="10"/>
      <c r="M683" s="10"/>
      <c r="N683" s="10"/>
      <c r="O683" s="10"/>
      <c r="P683" s="10"/>
      <c r="Q683" s="10"/>
      <c r="R683" s="10"/>
      <c r="S683" s="10"/>
      <c r="T683" s="14"/>
      <c r="U683" s="10"/>
      <c r="V683" s="10"/>
      <c r="W683" s="10"/>
      <c r="X683" s="7"/>
      <c r="Y683" s="7"/>
      <c r="Z683" s="34"/>
      <c r="AA683" s="34"/>
      <c r="AB683" s="7"/>
      <c r="AC683" s="34"/>
      <c r="AD683" s="10"/>
      <c r="AF683"/>
    </row>
    <row r="684" spans="1:32" x14ac:dyDescent="0.25">
      <c r="A684" s="7"/>
      <c r="C684" s="70"/>
      <c r="D684" s="70"/>
      <c r="E684" s="73"/>
      <c r="F684" s="9"/>
      <c r="H684" s="9"/>
      <c r="I684" s="10"/>
      <c r="J684" s="7"/>
      <c r="K684" s="7"/>
      <c r="L684" s="10"/>
      <c r="M684" s="10"/>
      <c r="N684" s="10"/>
      <c r="O684" s="10"/>
      <c r="P684" s="10"/>
      <c r="Q684" s="10"/>
      <c r="R684" s="10"/>
      <c r="S684" s="10"/>
      <c r="T684" s="14"/>
      <c r="U684" s="10"/>
      <c r="V684" s="10"/>
      <c r="W684" s="10"/>
      <c r="X684" s="7"/>
      <c r="Y684" s="7"/>
      <c r="Z684" s="7"/>
      <c r="AA684" s="34"/>
      <c r="AB684" s="7"/>
      <c r="AC684" s="34"/>
      <c r="AD684" s="10"/>
      <c r="AF684"/>
    </row>
    <row r="685" spans="1:32" x14ac:dyDescent="0.25">
      <c r="A685" s="7"/>
      <c r="C685" s="70"/>
      <c r="D685" s="70"/>
      <c r="E685" s="73"/>
      <c r="F685" s="9"/>
      <c r="H685" s="9"/>
      <c r="I685" s="10"/>
      <c r="J685" s="7"/>
      <c r="K685" s="7"/>
      <c r="L685" s="10"/>
      <c r="M685" s="10"/>
      <c r="N685" s="10"/>
      <c r="O685" s="10"/>
      <c r="P685" s="10"/>
      <c r="Q685" s="10"/>
      <c r="R685" s="10"/>
      <c r="S685" s="10"/>
      <c r="T685" s="14"/>
      <c r="U685" s="10"/>
      <c r="V685" s="10"/>
      <c r="W685" s="10"/>
      <c r="X685" s="7"/>
      <c r="Y685" s="7"/>
      <c r="Z685" s="7"/>
      <c r="AA685" s="34"/>
      <c r="AB685" s="7"/>
      <c r="AC685" s="34"/>
      <c r="AD685" s="10"/>
      <c r="AF685"/>
    </row>
    <row r="686" spans="1:32" x14ac:dyDescent="0.25">
      <c r="A686" s="7"/>
      <c r="C686" s="70"/>
      <c r="D686" s="70"/>
      <c r="E686" s="73"/>
      <c r="F686" s="9"/>
      <c r="H686" s="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4"/>
      <c r="U686" s="10"/>
      <c r="V686" s="10"/>
      <c r="W686" s="10"/>
      <c r="X686" s="34"/>
      <c r="Y686" s="7"/>
      <c r="Z686" s="7"/>
      <c r="AA686" s="34"/>
      <c r="AB686" s="7"/>
      <c r="AC686" s="34"/>
      <c r="AD686" s="10"/>
      <c r="AF686"/>
    </row>
    <row r="687" spans="1:32" x14ac:dyDescent="0.25">
      <c r="A687" s="7"/>
      <c r="C687" s="70"/>
      <c r="D687" s="70"/>
      <c r="E687" s="73"/>
      <c r="F687" s="9"/>
      <c r="H687" s="9"/>
      <c r="I687" s="10"/>
      <c r="J687" s="10"/>
      <c r="K687" s="7"/>
      <c r="L687" s="10"/>
      <c r="M687" s="10"/>
      <c r="N687" s="10"/>
      <c r="O687" s="10"/>
      <c r="P687" s="10"/>
      <c r="Q687" s="10"/>
      <c r="R687" s="10"/>
      <c r="S687" s="10"/>
      <c r="T687" s="14"/>
      <c r="U687" s="10"/>
      <c r="V687" s="10"/>
      <c r="W687" s="10"/>
      <c r="X687" s="7"/>
      <c r="Y687" s="7"/>
      <c r="Z687" s="7"/>
      <c r="AA687" s="34"/>
      <c r="AB687" s="7"/>
      <c r="AC687" s="34"/>
      <c r="AD687" s="10"/>
      <c r="AF687"/>
    </row>
    <row r="688" spans="1:32" x14ac:dyDescent="0.25">
      <c r="A688" s="7"/>
      <c r="C688" s="70"/>
      <c r="D688" s="70"/>
      <c r="E688" s="73"/>
      <c r="F688" s="9"/>
      <c r="H688" s="9"/>
      <c r="I688" s="10"/>
      <c r="J688" s="7"/>
      <c r="K688" s="7"/>
      <c r="L688" s="10"/>
      <c r="M688" s="10"/>
      <c r="N688" s="10"/>
      <c r="O688" s="10"/>
      <c r="P688" s="10"/>
      <c r="Q688" s="10"/>
      <c r="R688" s="10"/>
      <c r="S688" s="10"/>
      <c r="T688" s="14"/>
      <c r="U688" s="10"/>
      <c r="V688" s="10"/>
      <c r="W688" s="10"/>
      <c r="X688" s="7"/>
      <c r="Y688" s="7"/>
      <c r="Z688" s="7"/>
      <c r="AA688" s="34"/>
      <c r="AB688" s="7"/>
      <c r="AC688" s="34"/>
      <c r="AD688" s="10"/>
      <c r="AF688"/>
    </row>
    <row r="689" spans="1:32" x14ac:dyDescent="0.25">
      <c r="A689" s="7"/>
      <c r="C689" s="70"/>
      <c r="D689" s="70"/>
      <c r="E689" s="73"/>
      <c r="F689" s="9"/>
      <c r="H689" s="9"/>
      <c r="I689" s="10"/>
      <c r="J689" s="7"/>
      <c r="K689" s="7"/>
      <c r="L689" s="10"/>
      <c r="M689" s="10"/>
      <c r="N689" s="10"/>
      <c r="O689" s="10"/>
      <c r="P689" s="10"/>
      <c r="Q689" s="10"/>
      <c r="R689" s="10"/>
      <c r="S689" s="10"/>
      <c r="T689" s="14"/>
      <c r="U689" s="10"/>
      <c r="V689" s="10"/>
      <c r="W689" s="10"/>
      <c r="X689" s="7"/>
      <c r="Y689" s="7"/>
      <c r="Z689" s="7"/>
      <c r="AA689" s="34"/>
      <c r="AB689" s="7"/>
      <c r="AC689" s="34"/>
      <c r="AD689" s="10"/>
      <c r="AF689"/>
    </row>
    <row r="690" spans="1:32" x14ac:dyDescent="0.25">
      <c r="A690" s="7"/>
      <c r="C690" s="70"/>
      <c r="D690" s="70"/>
      <c r="E690" s="73"/>
      <c r="F690" s="9"/>
      <c r="H690" s="9"/>
      <c r="I690" s="10"/>
      <c r="J690" s="7"/>
      <c r="K690" s="7"/>
      <c r="L690" s="10"/>
      <c r="M690" s="10"/>
      <c r="N690" s="10"/>
      <c r="O690" s="10"/>
      <c r="P690" s="10"/>
      <c r="Q690" s="10"/>
      <c r="R690" s="10"/>
      <c r="S690" s="10"/>
      <c r="T690" s="14"/>
      <c r="U690" s="10"/>
      <c r="V690" s="10"/>
      <c r="W690" s="10"/>
      <c r="X690" s="34"/>
      <c r="Y690" s="7"/>
      <c r="Z690" s="7"/>
      <c r="AA690" s="34"/>
      <c r="AB690" s="7"/>
      <c r="AC690" s="34"/>
      <c r="AD690" s="10"/>
      <c r="AF690"/>
    </row>
    <row r="691" spans="1:32" x14ac:dyDescent="0.25">
      <c r="A691" s="7"/>
      <c r="C691" s="70"/>
      <c r="D691" s="70"/>
      <c r="E691" s="73"/>
      <c r="F691" s="9"/>
      <c r="H691" s="9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4"/>
      <c r="U691" s="10"/>
      <c r="V691" s="10"/>
      <c r="W691" s="10"/>
      <c r="X691" s="7"/>
      <c r="Y691" s="7"/>
      <c r="Z691" s="7"/>
      <c r="AA691" s="34"/>
      <c r="AB691" s="7"/>
      <c r="AC691" s="34"/>
      <c r="AD691" s="10"/>
      <c r="AF691"/>
    </row>
    <row r="692" spans="1:32" x14ac:dyDescent="0.25">
      <c r="A692" s="7"/>
      <c r="C692" s="70"/>
      <c r="D692" s="70"/>
      <c r="E692" s="73"/>
      <c r="F692" s="9"/>
      <c r="H692" s="9"/>
      <c r="I692" s="10"/>
      <c r="J692" s="7"/>
      <c r="K692" s="7"/>
      <c r="L692" s="10"/>
      <c r="M692" s="10"/>
      <c r="N692" s="10"/>
      <c r="O692" s="10"/>
      <c r="P692" s="10"/>
      <c r="Q692" s="10"/>
      <c r="R692" s="10"/>
      <c r="S692" s="10"/>
      <c r="T692" s="14"/>
      <c r="U692" s="10"/>
      <c r="V692" s="10"/>
      <c r="W692" s="10"/>
      <c r="X692" s="7"/>
      <c r="Y692" s="7"/>
      <c r="Z692" s="34"/>
      <c r="AA692" s="34"/>
      <c r="AB692" s="7"/>
      <c r="AC692" s="34"/>
      <c r="AD692" s="10"/>
      <c r="AF692"/>
    </row>
    <row r="693" spans="1:32" x14ac:dyDescent="0.25">
      <c r="A693" s="7"/>
      <c r="C693" s="70"/>
      <c r="D693" s="70"/>
      <c r="E693" s="73"/>
      <c r="F693" s="9"/>
      <c r="H693" s="9"/>
      <c r="I693" s="10"/>
      <c r="J693" s="7"/>
      <c r="K693" s="7"/>
      <c r="L693" s="10"/>
      <c r="M693" s="10"/>
      <c r="N693" s="10"/>
      <c r="O693" s="10"/>
      <c r="P693" s="10"/>
      <c r="Q693" s="10"/>
      <c r="R693" s="10"/>
      <c r="S693" s="10"/>
      <c r="T693" s="14"/>
      <c r="U693" s="10"/>
      <c r="V693" s="10"/>
      <c r="W693" s="10"/>
      <c r="X693" s="7"/>
      <c r="Y693" s="7"/>
      <c r="Z693" s="7"/>
      <c r="AA693" s="34"/>
      <c r="AB693" s="7"/>
      <c r="AC693" s="34"/>
      <c r="AD693" s="10"/>
      <c r="AF693"/>
    </row>
    <row r="694" spans="1:32" x14ac:dyDescent="0.25">
      <c r="A694" s="7"/>
      <c r="C694" s="70"/>
      <c r="D694" s="70"/>
      <c r="E694" s="73"/>
      <c r="F694" s="9"/>
      <c r="H694" s="9"/>
      <c r="I694" s="10"/>
      <c r="J694" s="7"/>
      <c r="K694" s="10"/>
      <c r="L694" s="10"/>
      <c r="M694" s="10"/>
      <c r="N694" s="10"/>
      <c r="O694" s="10"/>
      <c r="P694" s="10"/>
      <c r="Q694" s="10"/>
      <c r="R694" s="10"/>
      <c r="S694" s="10"/>
      <c r="T694" s="14"/>
      <c r="U694" s="10"/>
      <c r="V694" s="10"/>
      <c r="W694" s="10"/>
      <c r="X694" s="7"/>
      <c r="Y694" s="7"/>
      <c r="Z694" s="7"/>
      <c r="AA694" s="34"/>
      <c r="AB694" s="7"/>
      <c r="AC694" s="34"/>
      <c r="AD694" s="10"/>
      <c r="AF694"/>
    </row>
    <row r="695" spans="1:32" x14ac:dyDescent="0.25">
      <c r="A695" s="7"/>
      <c r="C695" s="70"/>
      <c r="D695" s="70"/>
      <c r="E695" s="73"/>
      <c r="F695" s="9"/>
      <c r="H695" s="9"/>
      <c r="I695" s="10"/>
      <c r="J695" s="7"/>
      <c r="K695" s="24"/>
      <c r="L695" s="10"/>
      <c r="M695" s="10"/>
      <c r="N695" s="10"/>
      <c r="O695" s="10"/>
      <c r="P695" s="10"/>
      <c r="Q695" s="10"/>
      <c r="R695" s="10"/>
      <c r="S695" s="10"/>
      <c r="T695" s="14"/>
      <c r="U695" s="10"/>
      <c r="V695" s="10"/>
      <c r="W695" s="10"/>
      <c r="X695" s="7"/>
      <c r="Y695" s="7"/>
      <c r="Z695" s="7"/>
      <c r="AA695" s="34"/>
      <c r="AB695" s="7"/>
      <c r="AC695" s="34"/>
      <c r="AD695" s="10"/>
      <c r="AF695"/>
    </row>
    <row r="696" spans="1:32" x14ac:dyDescent="0.25">
      <c r="A696" s="7"/>
      <c r="C696" s="70"/>
      <c r="D696" s="70"/>
      <c r="E696" s="73"/>
      <c r="F696" s="9"/>
      <c r="H696" s="9"/>
      <c r="I696" s="10"/>
      <c r="J696" s="7"/>
      <c r="K696" s="7"/>
      <c r="L696" s="10"/>
      <c r="M696" s="10"/>
      <c r="N696" s="10"/>
      <c r="O696" s="10"/>
      <c r="P696" s="10"/>
      <c r="Q696" s="10"/>
      <c r="R696" s="10"/>
      <c r="S696" s="10"/>
      <c r="T696" s="14"/>
      <c r="U696" s="10"/>
      <c r="V696" s="10"/>
      <c r="W696" s="10"/>
      <c r="X696" s="7"/>
      <c r="Y696" s="7"/>
      <c r="Z696" s="7"/>
      <c r="AA696" s="34"/>
      <c r="AB696" s="7"/>
      <c r="AC696" s="34"/>
      <c r="AD696" s="10"/>
      <c r="AF696"/>
    </row>
    <row r="697" spans="1:32" x14ac:dyDescent="0.25">
      <c r="A697" s="7"/>
      <c r="C697" s="70"/>
      <c r="D697" s="70"/>
      <c r="E697" s="73"/>
      <c r="F697" s="9"/>
      <c r="H697" s="9"/>
      <c r="I697" s="10"/>
      <c r="J697" s="60"/>
      <c r="K697" s="42"/>
      <c r="L697" s="10"/>
      <c r="M697" s="10"/>
      <c r="N697" s="10"/>
      <c r="O697" s="10"/>
      <c r="P697" s="10"/>
      <c r="Q697" s="10"/>
      <c r="R697" s="10"/>
      <c r="S697" s="10"/>
      <c r="T697" s="14"/>
      <c r="U697" s="10"/>
      <c r="V697" s="10"/>
      <c r="W697" s="10"/>
      <c r="X697" s="7"/>
      <c r="Y697" s="7"/>
      <c r="Z697" s="34"/>
      <c r="AA697" s="34"/>
      <c r="AB697" s="7"/>
      <c r="AC697" s="34"/>
      <c r="AD697" s="10"/>
      <c r="AF697"/>
    </row>
    <row r="698" spans="1:32" x14ac:dyDescent="0.25">
      <c r="A698" s="7"/>
      <c r="C698" s="70"/>
      <c r="D698" s="70"/>
      <c r="E698" s="73"/>
      <c r="F698" s="9"/>
      <c r="H698" s="9"/>
      <c r="I698" s="10"/>
      <c r="J698" s="7"/>
      <c r="K698" s="7"/>
      <c r="L698" s="10"/>
      <c r="M698" s="10"/>
      <c r="N698" s="10"/>
      <c r="O698" s="10"/>
      <c r="P698" s="10"/>
      <c r="Q698" s="10"/>
      <c r="R698" s="10"/>
      <c r="S698" s="10"/>
      <c r="T698" s="14"/>
      <c r="U698" s="10"/>
      <c r="V698" s="10"/>
      <c r="W698" s="10"/>
      <c r="X698" s="7"/>
      <c r="Y698" s="7"/>
      <c r="Z698" s="7"/>
      <c r="AA698" s="34"/>
      <c r="AB698" s="7"/>
      <c r="AC698" s="34"/>
      <c r="AD698" s="10"/>
      <c r="AF698"/>
    </row>
    <row r="699" spans="1:32" x14ac:dyDescent="0.25">
      <c r="A699" s="7"/>
      <c r="C699" s="70"/>
      <c r="D699" s="70"/>
      <c r="E699" s="73"/>
      <c r="F699" s="9"/>
      <c r="H699" s="9"/>
      <c r="I699" s="10"/>
      <c r="J699" s="10"/>
      <c r="K699" s="7"/>
      <c r="L699" s="10"/>
      <c r="M699" s="10"/>
      <c r="N699" s="10"/>
      <c r="O699" s="10"/>
      <c r="P699" s="10"/>
      <c r="Q699" s="10"/>
      <c r="R699" s="10"/>
      <c r="S699" s="10"/>
      <c r="T699" s="14"/>
      <c r="U699" s="10"/>
      <c r="V699" s="10"/>
      <c r="W699" s="10"/>
      <c r="X699" s="7"/>
      <c r="Y699" s="7"/>
      <c r="Z699" s="7"/>
      <c r="AA699" s="34"/>
      <c r="AB699" s="7"/>
      <c r="AC699" s="34"/>
      <c r="AD699" s="10"/>
      <c r="AF699"/>
    </row>
    <row r="700" spans="1:32" x14ac:dyDescent="0.25">
      <c r="A700" s="7"/>
      <c r="C700" s="70"/>
      <c r="D700" s="70"/>
      <c r="E700" s="73"/>
      <c r="F700" s="9"/>
      <c r="H700" s="9"/>
      <c r="I700" s="10"/>
      <c r="J700" s="7"/>
      <c r="K700" s="7"/>
      <c r="L700" s="10"/>
      <c r="M700" s="10"/>
      <c r="N700" s="10"/>
      <c r="O700" s="10"/>
      <c r="P700" s="10"/>
      <c r="Q700" s="10"/>
      <c r="R700" s="10"/>
      <c r="S700" s="10"/>
      <c r="T700" s="14"/>
      <c r="U700" s="10"/>
      <c r="V700" s="10"/>
      <c r="W700" s="10"/>
      <c r="X700" s="7"/>
      <c r="Y700" s="7"/>
      <c r="Z700" s="7"/>
      <c r="AA700" s="34"/>
      <c r="AB700" s="7"/>
      <c r="AC700" s="34"/>
      <c r="AD700" s="10"/>
      <c r="AF700"/>
    </row>
    <row r="701" spans="1:32" x14ac:dyDescent="0.25">
      <c r="A701" s="7"/>
      <c r="C701" s="70"/>
      <c r="D701" s="70"/>
      <c r="E701" s="73"/>
      <c r="F701" s="9"/>
      <c r="H701" s="9"/>
      <c r="I701" s="10"/>
      <c r="J701" s="10"/>
      <c r="K701" s="7"/>
      <c r="L701" s="10"/>
      <c r="M701" s="10"/>
      <c r="N701" s="10"/>
      <c r="O701" s="10"/>
      <c r="P701" s="10"/>
      <c r="Q701" s="10"/>
      <c r="R701" s="10"/>
      <c r="S701" s="10"/>
      <c r="T701" s="14"/>
      <c r="U701" s="10"/>
      <c r="V701" s="10"/>
      <c r="W701" s="10"/>
      <c r="X701" s="7"/>
      <c r="Y701" s="7"/>
      <c r="Z701" s="7"/>
      <c r="AA701" s="34"/>
      <c r="AB701" s="7"/>
      <c r="AC701" s="34"/>
      <c r="AD701" s="10"/>
      <c r="AF701"/>
    </row>
    <row r="702" spans="1:32" x14ac:dyDescent="0.25">
      <c r="A702" s="7"/>
      <c r="C702" s="70"/>
      <c r="D702" s="70"/>
      <c r="E702" s="73"/>
      <c r="F702" s="9"/>
      <c r="H702" s="9"/>
      <c r="I702" s="10"/>
      <c r="J702" s="7"/>
      <c r="K702" s="7"/>
      <c r="L702" s="10"/>
      <c r="M702" s="10"/>
      <c r="N702" s="10"/>
      <c r="O702" s="10"/>
      <c r="P702" s="10"/>
      <c r="Q702" s="10"/>
      <c r="R702" s="10"/>
      <c r="S702" s="10"/>
      <c r="T702" s="14"/>
      <c r="U702" s="10"/>
      <c r="V702" s="10"/>
      <c r="W702" s="10"/>
      <c r="X702" s="7"/>
      <c r="Y702" s="34"/>
      <c r="Z702" s="7"/>
      <c r="AA702" s="34"/>
      <c r="AB702" s="7"/>
      <c r="AC702" s="34"/>
      <c r="AD702" s="10"/>
      <c r="AF702"/>
    </row>
    <row r="703" spans="1:32" x14ac:dyDescent="0.25">
      <c r="A703" s="7"/>
      <c r="C703" s="70"/>
      <c r="D703" s="70"/>
      <c r="E703" s="73"/>
      <c r="F703" s="9"/>
      <c r="H703" s="9"/>
      <c r="I703" s="10"/>
      <c r="J703" s="7"/>
      <c r="K703" s="7"/>
      <c r="L703" s="10"/>
      <c r="M703" s="10"/>
      <c r="N703" s="10"/>
      <c r="O703" s="10"/>
      <c r="P703" s="10"/>
      <c r="Q703" s="10"/>
      <c r="R703" s="10"/>
      <c r="S703" s="10"/>
      <c r="T703" s="14"/>
      <c r="U703" s="10"/>
      <c r="V703" s="10"/>
      <c r="W703" s="10"/>
      <c r="X703" s="7"/>
      <c r="Y703" s="7"/>
      <c r="Z703" s="7"/>
      <c r="AA703" s="34"/>
      <c r="AB703" s="7"/>
      <c r="AC703" s="34"/>
      <c r="AD703" s="10"/>
      <c r="AF703"/>
    </row>
    <row r="704" spans="1:32" x14ac:dyDescent="0.25">
      <c r="A704" s="7"/>
      <c r="C704" s="70"/>
      <c r="D704" s="70"/>
      <c r="E704" s="73"/>
      <c r="F704" s="9"/>
      <c r="H704" s="9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4"/>
      <c r="U704" s="10"/>
      <c r="V704" s="10"/>
      <c r="W704" s="10"/>
      <c r="X704" s="7"/>
      <c r="Y704" s="7"/>
      <c r="Z704" s="7"/>
      <c r="AA704" s="34"/>
      <c r="AB704" s="7"/>
      <c r="AC704" s="34"/>
      <c r="AD704" s="10"/>
      <c r="AF704"/>
    </row>
    <row r="705" spans="1:32" x14ac:dyDescent="0.25">
      <c r="A705" s="7"/>
      <c r="C705" s="70"/>
      <c r="D705" s="70"/>
      <c r="E705" s="73"/>
      <c r="F705" s="9"/>
      <c r="H705" s="9"/>
      <c r="I705" s="10"/>
      <c r="J705" s="7"/>
      <c r="K705" s="7"/>
      <c r="L705" s="10"/>
      <c r="M705" s="10"/>
      <c r="N705" s="10"/>
      <c r="O705" s="10"/>
      <c r="P705" s="10"/>
      <c r="Q705" s="10"/>
      <c r="R705" s="10"/>
      <c r="S705" s="10"/>
      <c r="T705" s="14"/>
      <c r="U705" s="10"/>
      <c r="V705" s="10"/>
      <c r="W705" s="10"/>
      <c r="X705" s="7"/>
      <c r="Y705" s="7"/>
      <c r="Z705" s="7"/>
      <c r="AA705" s="34"/>
      <c r="AB705" s="7"/>
      <c r="AC705" s="34"/>
      <c r="AD705" s="10"/>
      <c r="AF705"/>
    </row>
    <row r="706" spans="1:32" x14ac:dyDescent="0.25">
      <c r="A706" s="7"/>
      <c r="C706" s="70"/>
      <c r="D706" s="70"/>
      <c r="E706" s="73"/>
      <c r="F706" s="9"/>
      <c r="H706" s="9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4"/>
      <c r="U706" s="10"/>
      <c r="V706" s="10"/>
      <c r="W706" s="10"/>
      <c r="X706" s="7"/>
      <c r="Y706" s="7"/>
      <c r="Z706" s="7"/>
      <c r="AA706" s="34"/>
      <c r="AB706" s="7"/>
      <c r="AC706" s="34"/>
      <c r="AD706" s="10"/>
      <c r="AF706"/>
    </row>
    <row r="707" spans="1:32" x14ac:dyDescent="0.25">
      <c r="A707" s="7"/>
      <c r="C707" s="70"/>
      <c r="D707" s="70"/>
      <c r="E707" s="73"/>
      <c r="F707" s="9"/>
      <c r="H707" s="9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4"/>
      <c r="U707" s="10"/>
      <c r="V707" s="10"/>
      <c r="W707" s="10"/>
      <c r="X707" s="7"/>
      <c r="Y707" s="7"/>
      <c r="Z707" s="34"/>
      <c r="AA707" s="34"/>
      <c r="AB707" s="7"/>
      <c r="AC707" s="34"/>
      <c r="AD707" s="10"/>
      <c r="AF707"/>
    </row>
    <row r="708" spans="1:32" x14ac:dyDescent="0.25">
      <c r="A708" s="7"/>
      <c r="C708" s="70"/>
      <c r="D708" s="70"/>
      <c r="E708" s="73"/>
      <c r="F708" s="9"/>
      <c r="H708" s="9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4"/>
      <c r="U708" s="10"/>
      <c r="V708" s="10"/>
      <c r="W708" s="10"/>
      <c r="X708" s="7"/>
      <c r="Y708" s="7"/>
      <c r="Z708" s="7"/>
      <c r="AA708" s="34"/>
      <c r="AB708" s="7"/>
      <c r="AC708" s="34"/>
      <c r="AD708" s="10"/>
      <c r="AF708"/>
    </row>
    <row r="709" spans="1:32" x14ac:dyDescent="0.25">
      <c r="A709" s="7"/>
      <c r="C709" s="70"/>
      <c r="D709" s="70"/>
      <c r="E709" s="73"/>
      <c r="F709" s="9"/>
      <c r="H709" s="9"/>
      <c r="I709" s="10"/>
      <c r="J709" s="7"/>
      <c r="K709" s="7"/>
      <c r="L709" s="10"/>
      <c r="M709" s="10"/>
      <c r="N709" s="10"/>
      <c r="O709" s="10"/>
      <c r="P709" s="10"/>
      <c r="Q709" s="10"/>
      <c r="R709" s="10"/>
      <c r="S709" s="10"/>
      <c r="T709" s="14"/>
      <c r="U709" s="10"/>
      <c r="V709" s="10"/>
      <c r="W709" s="10"/>
      <c r="X709" s="7"/>
      <c r="Y709" s="7"/>
      <c r="Z709" s="7"/>
      <c r="AA709" s="34"/>
      <c r="AB709" s="7"/>
      <c r="AC709" s="34"/>
      <c r="AD709" s="10"/>
      <c r="AF709"/>
    </row>
    <row r="710" spans="1:32" x14ac:dyDescent="0.25">
      <c r="A710" s="7"/>
      <c r="C710" s="70"/>
      <c r="D710" s="70"/>
      <c r="E710" s="73"/>
      <c r="F710" s="48"/>
      <c r="H710" s="9"/>
      <c r="I710" s="10"/>
      <c r="J710" s="10"/>
      <c r="K710" s="7"/>
      <c r="L710" s="10"/>
      <c r="M710" s="10"/>
      <c r="N710" s="10"/>
      <c r="O710" s="10"/>
      <c r="P710" s="10"/>
      <c r="Q710" s="10"/>
      <c r="R710" s="10"/>
      <c r="S710" s="10"/>
      <c r="T710" s="14"/>
      <c r="U710" s="10"/>
      <c r="V710" s="10"/>
      <c r="W710" s="10"/>
      <c r="X710" s="7"/>
      <c r="Y710" s="34"/>
      <c r="Z710" s="7"/>
      <c r="AA710" s="34"/>
      <c r="AB710" s="7"/>
      <c r="AC710" s="34"/>
      <c r="AD710" s="10"/>
      <c r="AF710"/>
    </row>
    <row r="711" spans="1:32" x14ac:dyDescent="0.25">
      <c r="A711" s="7"/>
      <c r="C711" s="70"/>
      <c r="D711" s="70"/>
      <c r="E711" s="73"/>
      <c r="F711" s="9"/>
      <c r="H711" s="9"/>
      <c r="I711" s="10"/>
      <c r="J711" s="10"/>
      <c r="K711" s="7"/>
      <c r="L711" s="10"/>
      <c r="M711" s="10"/>
      <c r="N711" s="10"/>
      <c r="O711" s="10"/>
      <c r="P711" s="10"/>
      <c r="Q711" s="10"/>
      <c r="R711" s="10"/>
      <c r="S711" s="10"/>
      <c r="T711" s="14"/>
      <c r="U711" s="10"/>
      <c r="V711" s="10"/>
      <c r="W711" s="10"/>
      <c r="X711" s="7"/>
      <c r="Y711" s="7"/>
      <c r="Z711" s="7"/>
      <c r="AA711" s="34"/>
      <c r="AB711" s="7"/>
      <c r="AC711" s="34"/>
      <c r="AD711" s="10"/>
      <c r="AF711"/>
    </row>
    <row r="712" spans="1:32" x14ac:dyDescent="0.25">
      <c r="A712" s="7"/>
      <c r="C712" s="70"/>
      <c r="D712" s="70"/>
      <c r="E712" s="73"/>
      <c r="F712" s="9"/>
      <c r="H712" s="9"/>
      <c r="I712" s="10"/>
      <c r="J712" s="10"/>
      <c r="K712" s="7"/>
      <c r="L712" s="10"/>
      <c r="M712" s="10"/>
      <c r="N712" s="10"/>
      <c r="O712" s="10"/>
      <c r="P712" s="10"/>
      <c r="Q712" s="10"/>
      <c r="R712" s="10"/>
      <c r="S712" s="10"/>
      <c r="T712" s="14"/>
      <c r="U712" s="10"/>
      <c r="V712" s="10"/>
      <c r="W712" s="10"/>
      <c r="X712" s="7"/>
      <c r="Y712" s="7"/>
      <c r="Z712" s="7"/>
      <c r="AA712" s="34"/>
      <c r="AB712" s="7"/>
      <c r="AC712" s="34"/>
      <c r="AD712" s="10"/>
      <c r="AF712"/>
    </row>
    <row r="713" spans="1:32" x14ac:dyDescent="0.25">
      <c r="A713" s="7"/>
      <c r="C713" s="70"/>
      <c r="D713" s="70"/>
      <c r="E713" s="73"/>
      <c r="F713" s="9"/>
      <c r="H713" s="9"/>
      <c r="I713" s="10"/>
      <c r="J713" s="7"/>
      <c r="K713" s="7"/>
      <c r="L713" s="10"/>
      <c r="M713" s="10"/>
      <c r="N713" s="10"/>
      <c r="O713" s="10"/>
      <c r="P713" s="10"/>
      <c r="Q713" s="10"/>
      <c r="R713" s="10"/>
      <c r="S713" s="10"/>
      <c r="T713" s="14"/>
      <c r="U713" s="10"/>
      <c r="V713" s="10"/>
      <c r="W713" s="10"/>
      <c r="X713" s="7"/>
      <c r="Y713" s="7"/>
      <c r="Z713" s="7"/>
      <c r="AA713" s="34"/>
      <c r="AB713" s="7"/>
      <c r="AC713" s="34"/>
      <c r="AD713" s="10"/>
      <c r="AF713"/>
    </row>
    <row r="714" spans="1:32" x14ac:dyDescent="0.25">
      <c r="A714" s="7"/>
      <c r="C714" s="70"/>
      <c r="D714" s="70"/>
      <c r="E714" s="73"/>
      <c r="F714" s="9"/>
      <c r="H714" s="9"/>
      <c r="I714" s="10"/>
      <c r="J714" s="7"/>
      <c r="K714" s="7"/>
      <c r="L714" s="10"/>
      <c r="M714" s="10"/>
      <c r="N714" s="10"/>
      <c r="O714" s="10"/>
      <c r="P714" s="10"/>
      <c r="Q714" s="10"/>
      <c r="R714" s="10"/>
      <c r="S714" s="10"/>
      <c r="T714" s="14"/>
      <c r="U714" s="10"/>
      <c r="V714" s="10"/>
      <c r="W714" s="10"/>
      <c r="X714" s="7"/>
      <c r="Y714" s="7"/>
      <c r="Z714" s="34"/>
      <c r="AA714" s="34"/>
      <c r="AB714" s="7"/>
      <c r="AC714" s="34"/>
      <c r="AD714" s="10"/>
      <c r="AF714"/>
    </row>
    <row r="715" spans="1:32" x14ac:dyDescent="0.25">
      <c r="A715" s="7"/>
      <c r="C715" s="70"/>
      <c r="D715" s="70"/>
      <c r="E715" s="73"/>
      <c r="F715" s="9"/>
      <c r="H715" s="9"/>
      <c r="I715" s="10"/>
      <c r="J715" s="7"/>
      <c r="K715" s="7"/>
      <c r="L715" s="10"/>
      <c r="M715" s="10"/>
      <c r="N715" s="10"/>
      <c r="O715" s="10"/>
      <c r="P715" s="10"/>
      <c r="Q715" s="10"/>
      <c r="R715" s="10"/>
      <c r="S715" s="10"/>
      <c r="T715" s="14"/>
      <c r="U715" s="10"/>
      <c r="V715" s="10"/>
      <c r="W715" s="10"/>
      <c r="X715" s="7"/>
      <c r="Y715" s="7"/>
      <c r="Z715" s="34"/>
      <c r="AA715" s="34"/>
      <c r="AB715" s="7"/>
      <c r="AC715" s="34"/>
      <c r="AD715" s="10"/>
      <c r="AF715"/>
    </row>
    <row r="716" spans="1:32" x14ac:dyDescent="0.25">
      <c r="A716" s="7"/>
      <c r="C716" s="70"/>
      <c r="D716" s="70"/>
      <c r="E716" s="73"/>
      <c r="F716" s="9"/>
      <c r="H716" s="9"/>
      <c r="I716" s="10"/>
      <c r="J716" s="7"/>
      <c r="K716" s="7"/>
      <c r="L716" s="10"/>
      <c r="M716" s="10"/>
      <c r="N716" s="10"/>
      <c r="O716" s="10"/>
      <c r="P716" s="10"/>
      <c r="Q716" s="10"/>
      <c r="R716" s="10"/>
      <c r="S716" s="10"/>
      <c r="T716" s="14"/>
      <c r="U716" s="10"/>
      <c r="V716" s="10"/>
      <c r="W716" s="10"/>
      <c r="X716" s="7"/>
      <c r="Y716" s="7"/>
      <c r="Z716" s="7"/>
      <c r="AA716" s="34"/>
      <c r="AB716" s="7"/>
      <c r="AC716" s="34"/>
      <c r="AD716" s="10"/>
      <c r="AF716"/>
    </row>
    <row r="717" spans="1:32" x14ac:dyDescent="0.25">
      <c r="A717" s="7"/>
      <c r="C717" s="70"/>
      <c r="D717" s="70"/>
      <c r="E717" s="73"/>
      <c r="F717" s="9"/>
      <c r="H717" s="9"/>
      <c r="I717" s="10"/>
      <c r="J717" s="7"/>
      <c r="K717" s="7"/>
      <c r="L717" s="10"/>
      <c r="M717" s="10"/>
      <c r="N717" s="10"/>
      <c r="O717" s="10"/>
      <c r="P717" s="10"/>
      <c r="Q717" s="10"/>
      <c r="R717" s="10"/>
      <c r="S717" s="10"/>
      <c r="T717" s="14"/>
      <c r="U717" s="10"/>
      <c r="V717" s="10"/>
      <c r="W717" s="10"/>
      <c r="X717" s="7"/>
      <c r="Y717" s="7"/>
      <c r="Z717" s="34"/>
      <c r="AA717" s="34"/>
      <c r="AB717" s="7"/>
      <c r="AC717" s="34"/>
      <c r="AD717" s="10"/>
      <c r="AF717"/>
    </row>
    <row r="718" spans="1:32" x14ac:dyDescent="0.25">
      <c r="A718" s="7"/>
      <c r="C718" s="70"/>
      <c r="D718" s="70"/>
      <c r="E718" s="73"/>
      <c r="F718" s="9"/>
      <c r="H718" s="9"/>
      <c r="I718" s="10"/>
      <c r="J718" s="7"/>
      <c r="K718" s="7"/>
      <c r="L718" s="10"/>
      <c r="M718" s="10"/>
      <c r="N718" s="10"/>
      <c r="O718" s="10"/>
      <c r="P718" s="10"/>
      <c r="Q718" s="10"/>
      <c r="R718" s="10"/>
      <c r="S718" s="10"/>
      <c r="T718" s="14"/>
      <c r="U718" s="10"/>
      <c r="V718" s="10"/>
      <c r="W718" s="10"/>
      <c r="X718" s="7"/>
      <c r="Y718" s="7"/>
      <c r="Z718" s="7"/>
      <c r="AA718" s="34"/>
      <c r="AB718" s="7"/>
      <c r="AC718" s="34"/>
      <c r="AD718" s="10"/>
      <c r="AF718"/>
    </row>
    <row r="719" spans="1:32" x14ac:dyDescent="0.25">
      <c r="A719" s="7"/>
      <c r="C719" s="70"/>
      <c r="D719" s="70"/>
      <c r="E719" s="73"/>
      <c r="F719" s="9"/>
      <c r="H719" s="9"/>
      <c r="I719" s="10"/>
      <c r="J719" s="7"/>
      <c r="K719" s="7"/>
      <c r="L719" s="10"/>
      <c r="M719" s="10"/>
      <c r="N719" s="10"/>
      <c r="O719" s="10"/>
      <c r="P719" s="10"/>
      <c r="Q719" s="10"/>
      <c r="R719" s="10"/>
      <c r="S719" s="10"/>
      <c r="T719" s="14"/>
      <c r="U719" s="10"/>
      <c r="V719" s="10"/>
      <c r="W719" s="10"/>
      <c r="X719" s="7"/>
      <c r="Y719" s="7"/>
      <c r="Z719" s="7"/>
      <c r="AA719" s="34"/>
      <c r="AB719" s="7"/>
      <c r="AC719" s="34"/>
      <c r="AD719" s="10"/>
      <c r="AF719"/>
    </row>
    <row r="720" spans="1:32" x14ac:dyDescent="0.25">
      <c r="A720" s="7"/>
      <c r="C720" s="70"/>
      <c r="D720" s="70"/>
      <c r="E720" s="73"/>
      <c r="F720" s="9"/>
      <c r="H720" s="9"/>
      <c r="I720" s="10"/>
      <c r="J720" s="7"/>
      <c r="K720" s="7"/>
      <c r="L720" s="10"/>
      <c r="M720" s="10"/>
      <c r="N720" s="10"/>
      <c r="O720" s="10"/>
      <c r="P720" s="10"/>
      <c r="Q720" s="10"/>
      <c r="R720" s="10"/>
      <c r="S720" s="10"/>
      <c r="T720" s="14"/>
      <c r="U720" s="10"/>
      <c r="V720" s="10"/>
      <c r="W720" s="10"/>
      <c r="X720" s="7"/>
      <c r="Y720" s="7"/>
      <c r="Z720" s="7"/>
      <c r="AA720" s="34"/>
      <c r="AB720" s="7"/>
      <c r="AC720" s="34"/>
      <c r="AD720" s="10"/>
      <c r="AF720"/>
    </row>
    <row r="721" spans="1:32" x14ac:dyDescent="0.25">
      <c r="A721" s="7"/>
      <c r="C721" s="70"/>
      <c r="D721" s="70"/>
      <c r="E721" s="73"/>
      <c r="F721" s="9"/>
      <c r="H721" s="9"/>
      <c r="I721" s="10"/>
      <c r="J721" s="7"/>
      <c r="K721" s="24"/>
      <c r="L721" s="10"/>
      <c r="M721" s="10"/>
      <c r="N721" s="10"/>
      <c r="O721" s="10"/>
      <c r="P721" s="10"/>
      <c r="Q721" s="10"/>
      <c r="R721" s="10"/>
      <c r="S721" s="10"/>
      <c r="T721" s="14"/>
      <c r="U721" s="10"/>
      <c r="V721" s="10"/>
      <c r="W721" s="10"/>
      <c r="X721" s="7"/>
      <c r="Y721" s="7"/>
      <c r="Z721" s="7"/>
      <c r="AA721" s="34"/>
      <c r="AB721" s="7"/>
      <c r="AC721" s="34"/>
      <c r="AD721" s="10"/>
      <c r="AF721"/>
    </row>
    <row r="722" spans="1:32" x14ac:dyDescent="0.25">
      <c r="A722" s="7"/>
      <c r="C722" s="70"/>
      <c r="D722" s="70"/>
      <c r="E722" s="73"/>
      <c r="F722" s="9"/>
      <c r="H722" s="9"/>
      <c r="I722" s="10"/>
      <c r="J722" s="10"/>
      <c r="K722" s="7"/>
      <c r="L722" s="10"/>
      <c r="M722" s="10"/>
      <c r="N722" s="10"/>
      <c r="O722" s="10"/>
      <c r="P722" s="10"/>
      <c r="Q722" s="10"/>
      <c r="R722" s="10"/>
      <c r="S722" s="10"/>
      <c r="T722" s="14"/>
      <c r="U722" s="10"/>
      <c r="V722" s="10"/>
      <c r="W722" s="10"/>
      <c r="X722" s="7"/>
      <c r="Y722" s="7"/>
      <c r="Z722" s="34"/>
      <c r="AA722" s="34"/>
      <c r="AB722" s="7"/>
      <c r="AC722" s="34"/>
      <c r="AD722" s="10"/>
      <c r="AF722"/>
    </row>
    <row r="723" spans="1:32" x14ac:dyDescent="0.25">
      <c r="A723" s="7"/>
      <c r="C723" s="70"/>
      <c r="D723" s="70"/>
      <c r="E723" s="73"/>
      <c r="F723" s="9"/>
      <c r="H723" s="9"/>
      <c r="I723" s="10"/>
      <c r="J723" s="7"/>
      <c r="K723" s="7"/>
      <c r="L723" s="10"/>
      <c r="M723" s="10"/>
      <c r="N723" s="10"/>
      <c r="O723" s="10"/>
      <c r="P723" s="10"/>
      <c r="Q723" s="10"/>
      <c r="R723" s="10"/>
      <c r="S723" s="10"/>
      <c r="T723" s="14"/>
      <c r="U723" s="10"/>
      <c r="V723" s="10"/>
      <c r="W723" s="10"/>
      <c r="X723" s="7"/>
      <c r="Y723" s="7"/>
      <c r="Z723" s="7"/>
      <c r="AA723" s="34"/>
      <c r="AB723" s="7"/>
      <c r="AC723" s="34"/>
      <c r="AD723" s="10"/>
      <c r="AF723"/>
    </row>
    <row r="724" spans="1:32" x14ac:dyDescent="0.25">
      <c r="A724" s="7"/>
      <c r="C724" s="70"/>
      <c r="D724" s="70"/>
      <c r="E724" s="73"/>
      <c r="F724" s="45"/>
      <c r="H724" s="9"/>
      <c r="I724" s="10"/>
      <c r="J724" s="7"/>
      <c r="K724" s="7"/>
      <c r="L724" s="10"/>
      <c r="M724" s="10"/>
      <c r="N724" s="10"/>
      <c r="O724" s="10"/>
      <c r="P724" s="10"/>
      <c r="Q724" s="10"/>
      <c r="R724" s="10"/>
      <c r="S724" s="10"/>
      <c r="T724" s="14"/>
      <c r="U724" s="10"/>
      <c r="V724" s="10"/>
      <c r="W724" s="10"/>
      <c r="X724" s="7"/>
      <c r="Y724" s="34"/>
      <c r="Z724" s="7"/>
      <c r="AA724" s="34"/>
      <c r="AB724" s="7"/>
      <c r="AC724" s="34"/>
      <c r="AD724" s="10"/>
      <c r="AF724"/>
    </row>
    <row r="725" spans="1:32" x14ac:dyDescent="0.25">
      <c r="A725" s="7"/>
      <c r="C725" s="70"/>
      <c r="D725" s="70"/>
      <c r="E725" s="73"/>
      <c r="F725" s="9"/>
      <c r="H725" s="9"/>
      <c r="I725" s="10"/>
      <c r="J725" s="7"/>
      <c r="K725" s="24"/>
      <c r="L725" s="10"/>
      <c r="M725" s="10"/>
      <c r="N725" s="10"/>
      <c r="O725" s="10"/>
      <c r="P725" s="10"/>
      <c r="Q725" s="10"/>
      <c r="R725" s="10"/>
      <c r="S725" s="10"/>
      <c r="T725" s="14"/>
      <c r="U725" s="10"/>
      <c r="V725" s="10"/>
      <c r="W725" s="10"/>
      <c r="X725" s="7"/>
      <c r="Y725" s="7"/>
      <c r="Z725" s="7"/>
      <c r="AA725" s="34"/>
      <c r="AB725" s="7"/>
      <c r="AC725" s="34"/>
      <c r="AD725" s="10"/>
      <c r="AF725"/>
    </row>
    <row r="726" spans="1:32" x14ac:dyDescent="0.25">
      <c r="A726" s="7"/>
      <c r="C726" s="70"/>
      <c r="D726" s="70"/>
      <c r="E726" s="73"/>
      <c r="F726" s="9"/>
      <c r="H726" s="9"/>
      <c r="I726" s="10"/>
      <c r="J726" s="7"/>
      <c r="K726" s="7"/>
      <c r="L726" s="10"/>
      <c r="M726" s="10"/>
      <c r="N726" s="10"/>
      <c r="O726" s="10"/>
      <c r="P726" s="10"/>
      <c r="Q726" s="10"/>
      <c r="R726" s="10"/>
      <c r="S726" s="10"/>
      <c r="T726" s="14"/>
      <c r="U726" s="10"/>
      <c r="V726" s="10"/>
      <c r="W726" s="10"/>
      <c r="X726" s="7"/>
      <c r="Y726" s="7"/>
      <c r="Z726" s="7"/>
      <c r="AA726" s="34"/>
      <c r="AB726" s="7"/>
      <c r="AC726" s="34"/>
      <c r="AD726" s="10"/>
      <c r="AF726"/>
    </row>
    <row r="727" spans="1:32" x14ac:dyDescent="0.25">
      <c r="A727" s="7"/>
      <c r="C727" s="70"/>
      <c r="D727" s="70"/>
      <c r="E727" s="73"/>
      <c r="F727" s="9"/>
      <c r="H727" s="9"/>
      <c r="I727" s="10"/>
      <c r="J727" s="7"/>
      <c r="K727" s="7"/>
      <c r="L727" s="10"/>
      <c r="M727" s="10"/>
      <c r="N727" s="10"/>
      <c r="O727" s="10"/>
      <c r="P727" s="10"/>
      <c r="Q727" s="10"/>
      <c r="R727" s="10"/>
      <c r="S727" s="10"/>
      <c r="T727" s="14"/>
      <c r="U727" s="10"/>
      <c r="V727" s="10"/>
      <c r="W727" s="10"/>
      <c r="X727" s="7"/>
      <c r="Y727" s="7"/>
      <c r="Z727" s="7"/>
      <c r="AA727" s="34"/>
      <c r="AB727" s="7"/>
      <c r="AC727" s="34"/>
      <c r="AD727" s="10"/>
      <c r="AF727"/>
    </row>
    <row r="728" spans="1:32" x14ac:dyDescent="0.25">
      <c r="A728" s="7"/>
      <c r="C728" s="70"/>
      <c r="D728" s="70"/>
      <c r="E728" s="78"/>
      <c r="F728" s="48"/>
      <c r="H728" s="9"/>
      <c r="I728" s="10"/>
      <c r="J728" s="7"/>
      <c r="K728" s="7"/>
      <c r="L728" s="10"/>
      <c r="M728" s="10"/>
      <c r="N728" s="10"/>
      <c r="O728" s="10"/>
      <c r="P728" s="10"/>
      <c r="Q728" s="10"/>
      <c r="R728" s="10"/>
      <c r="S728" s="10"/>
      <c r="T728" s="14"/>
      <c r="U728" s="10"/>
      <c r="V728" s="10"/>
      <c r="W728" s="10"/>
      <c r="X728" s="7"/>
      <c r="Y728" s="34"/>
      <c r="Z728" s="7"/>
      <c r="AA728" s="34"/>
      <c r="AB728" s="7"/>
      <c r="AC728" s="34"/>
      <c r="AD728" s="10"/>
      <c r="AF728"/>
    </row>
    <row r="729" spans="1:32" x14ac:dyDescent="0.25">
      <c r="A729" s="7"/>
      <c r="C729" s="70"/>
      <c r="D729" s="70"/>
      <c r="E729" s="73"/>
      <c r="F729" s="9"/>
      <c r="G729" s="48"/>
      <c r="H729" s="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4"/>
      <c r="U729" s="10"/>
      <c r="V729" s="10"/>
      <c r="W729" s="10"/>
      <c r="X729" s="7"/>
      <c r="Y729" s="7"/>
      <c r="Z729" s="7"/>
      <c r="AA729" s="34"/>
      <c r="AB729" s="7"/>
      <c r="AC729" s="34"/>
      <c r="AD729" s="10"/>
      <c r="AF729"/>
    </row>
    <row r="730" spans="1:32" x14ac:dyDescent="0.25">
      <c r="A730" s="7"/>
      <c r="C730" s="70"/>
      <c r="D730" s="70"/>
      <c r="E730" s="73"/>
      <c r="F730" s="9"/>
      <c r="H730" s="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4"/>
      <c r="U730" s="10"/>
      <c r="V730" s="10"/>
      <c r="W730" s="10"/>
      <c r="X730" s="7"/>
      <c r="Y730" s="34"/>
      <c r="Z730" s="7"/>
      <c r="AA730" s="34"/>
      <c r="AB730" s="7"/>
      <c r="AC730" s="34"/>
      <c r="AD730" s="10"/>
      <c r="AF730"/>
    </row>
    <row r="731" spans="1:32" x14ac:dyDescent="0.25">
      <c r="A731" s="7"/>
      <c r="C731" s="70"/>
      <c r="D731" s="70"/>
      <c r="E731" s="73"/>
      <c r="F731" s="9"/>
      <c r="H731" s="9"/>
      <c r="I731" s="10"/>
      <c r="J731" s="10"/>
      <c r="K731" s="7"/>
      <c r="L731" s="10"/>
      <c r="M731" s="10"/>
      <c r="N731" s="10"/>
      <c r="O731" s="10"/>
      <c r="P731" s="10"/>
      <c r="Q731" s="10"/>
      <c r="R731" s="10"/>
      <c r="S731" s="10"/>
      <c r="T731" s="14"/>
      <c r="U731" s="10"/>
      <c r="V731" s="10"/>
      <c r="W731" s="10"/>
      <c r="X731" s="7"/>
      <c r="Y731" s="34"/>
      <c r="Z731" s="7"/>
      <c r="AA731" s="34"/>
      <c r="AB731" s="7"/>
      <c r="AC731" s="34"/>
      <c r="AD731" s="10"/>
      <c r="AF731"/>
    </row>
    <row r="732" spans="1:32" x14ac:dyDescent="0.25">
      <c r="A732" s="7"/>
      <c r="C732" s="70"/>
      <c r="D732" s="70"/>
      <c r="E732" s="73"/>
      <c r="F732" s="9"/>
      <c r="H732" s="9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4"/>
      <c r="U732" s="10"/>
      <c r="V732" s="10"/>
      <c r="W732" s="10"/>
      <c r="X732" s="7"/>
      <c r="Y732" s="7"/>
      <c r="Z732" s="7"/>
      <c r="AA732" s="34"/>
      <c r="AB732" s="7"/>
      <c r="AC732" s="34"/>
      <c r="AD732" s="10"/>
      <c r="AF732"/>
    </row>
    <row r="733" spans="1:32" x14ac:dyDescent="0.25">
      <c r="A733" s="7"/>
      <c r="C733" s="70"/>
      <c r="D733" s="70"/>
      <c r="E733" s="73"/>
      <c r="F733" s="9"/>
      <c r="H733" s="9"/>
      <c r="I733" s="10"/>
      <c r="J733" s="7"/>
      <c r="K733" s="7"/>
      <c r="L733" s="10"/>
      <c r="M733" s="10"/>
      <c r="N733" s="10"/>
      <c r="O733" s="10"/>
      <c r="P733" s="10"/>
      <c r="Q733" s="10"/>
      <c r="R733" s="10"/>
      <c r="S733" s="10"/>
      <c r="T733" s="14"/>
      <c r="U733" s="10"/>
      <c r="V733" s="10"/>
      <c r="W733" s="10"/>
      <c r="X733" s="7"/>
      <c r="Y733" s="7"/>
      <c r="Z733" s="7"/>
      <c r="AA733" s="34"/>
      <c r="AB733" s="7"/>
      <c r="AC733" s="34"/>
      <c r="AD733" s="10"/>
      <c r="AF733"/>
    </row>
    <row r="734" spans="1:32" x14ac:dyDescent="0.25">
      <c r="A734" s="7"/>
      <c r="C734" s="70"/>
      <c r="D734" s="70"/>
      <c r="E734" s="73"/>
      <c r="F734" s="9"/>
      <c r="H734" s="9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4"/>
      <c r="U734" s="10"/>
      <c r="V734" s="10"/>
      <c r="W734" s="10"/>
      <c r="X734" s="7"/>
      <c r="Y734" s="7"/>
      <c r="Z734" s="34"/>
      <c r="AA734" s="34"/>
      <c r="AB734" s="7"/>
      <c r="AC734" s="34"/>
      <c r="AD734" s="10"/>
      <c r="AF734"/>
    </row>
    <row r="735" spans="1:32" x14ac:dyDescent="0.25">
      <c r="A735" s="7"/>
      <c r="C735" s="70"/>
      <c r="D735" s="70"/>
      <c r="E735" s="73"/>
      <c r="F735" s="9"/>
      <c r="H735" s="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4"/>
      <c r="U735" s="10"/>
      <c r="V735" s="10"/>
      <c r="W735" s="10"/>
      <c r="X735" s="7"/>
      <c r="Y735" s="7"/>
      <c r="Z735" s="7"/>
      <c r="AA735" s="34"/>
      <c r="AB735" s="7"/>
      <c r="AC735" s="34"/>
      <c r="AD735" s="10"/>
      <c r="AF735"/>
    </row>
    <row r="736" spans="1:32" x14ac:dyDescent="0.25">
      <c r="A736" s="7"/>
      <c r="C736" s="70"/>
      <c r="D736" s="70"/>
      <c r="E736" s="73"/>
      <c r="F736" s="9"/>
      <c r="H736" s="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4"/>
      <c r="U736" s="10"/>
      <c r="V736" s="10"/>
      <c r="W736" s="10"/>
      <c r="X736" s="7"/>
      <c r="Y736" s="7"/>
      <c r="Z736" s="7"/>
      <c r="AA736" s="34"/>
      <c r="AB736" s="7"/>
      <c r="AC736" s="34"/>
      <c r="AD736" s="10"/>
      <c r="AF736"/>
    </row>
    <row r="737" spans="1:32" x14ac:dyDescent="0.25">
      <c r="A737" s="43"/>
      <c r="C737" s="70"/>
      <c r="D737" s="70"/>
      <c r="E737" s="73"/>
      <c r="F737" s="9"/>
      <c r="H737" s="9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4"/>
      <c r="U737" s="10"/>
      <c r="V737" s="10"/>
      <c r="W737" s="10"/>
      <c r="X737" s="7"/>
      <c r="Y737" s="7"/>
      <c r="Z737" s="7"/>
      <c r="AA737" s="34"/>
      <c r="AB737" s="7"/>
      <c r="AC737" s="34"/>
      <c r="AD737" s="10"/>
      <c r="AF737"/>
    </row>
    <row r="738" spans="1:32" x14ac:dyDescent="0.25">
      <c r="A738" s="7"/>
      <c r="C738" s="70"/>
      <c r="D738" s="70"/>
      <c r="E738" s="73"/>
      <c r="F738" s="9"/>
      <c r="H738" s="9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4"/>
      <c r="U738" s="10"/>
      <c r="V738" s="10"/>
      <c r="W738" s="10"/>
      <c r="X738" s="7"/>
      <c r="Y738" s="7"/>
      <c r="Z738" s="7"/>
      <c r="AA738" s="34"/>
      <c r="AB738" s="7"/>
      <c r="AC738" s="34"/>
      <c r="AD738" s="10"/>
      <c r="AF738"/>
    </row>
    <row r="739" spans="1:32" x14ac:dyDescent="0.25">
      <c r="A739" s="7"/>
      <c r="C739" s="70"/>
      <c r="D739" s="70"/>
      <c r="E739" s="73"/>
      <c r="F739" s="9"/>
      <c r="H739" s="9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4"/>
      <c r="U739" s="10"/>
      <c r="V739" s="10"/>
      <c r="W739" s="10"/>
      <c r="X739" s="7"/>
      <c r="Y739" s="7"/>
      <c r="Z739" s="7"/>
      <c r="AA739" s="34"/>
      <c r="AB739" s="7"/>
      <c r="AC739" s="34"/>
      <c r="AD739" s="10"/>
      <c r="AF739"/>
    </row>
    <row r="740" spans="1:32" x14ac:dyDescent="0.25">
      <c r="A740" s="7"/>
      <c r="C740" s="70"/>
      <c r="D740" s="70"/>
      <c r="E740" s="73"/>
      <c r="F740" s="9"/>
      <c r="H740" s="9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4"/>
      <c r="U740" s="10"/>
      <c r="V740" s="10"/>
      <c r="W740" s="10"/>
      <c r="X740" s="7"/>
      <c r="Y740" s="7"/>
      <c r="Z740" s="7"/>
      <c r="AA740" s="34"/>
      <c r="AB740" s="7"/>
      <c r="AC740" s="34"/>
      <c r="AD740" s="10"/>
      <c r="AF740"/>
    </row>
    <row r="741" spans="1:32" x14ac:dyDescent="0.25">
      <c r="A741" s="7"/>
      <c r="C741" s="70"/>
      <c r="D741" s="70"/>
      <c r="E741" s="73"/>
      <c r="F741" s="9"/>
      <c r="H741" s="9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4"/>
      <c r="U741" s="10"/>
      <c r="V741" s="10"/>
      <c r="W741" s="10"/>
      <c r="X741" s="7"/>
      <c r="Y741" s="7"/>
      <c r="Z741" s="34"/>
      <c r="AA741" s="34"/>
      <c r="AB741" s="7"/>
      <c r="AC741" s="34"/>
      <c r="AD741" s="10"/>
      <c r="AF741"/>
    </row>
    <row r="742" spans="1:32" x14ac:dyDescent="0.25">
      <c r="A742" s="7"/>
      <c r="C742" s="70"/>
      <c r="D742" s="70"/>
      <c r="E742" s="73"/>
      <c r="F742" s="9"/>
      <c r="H742" s="9"/>
      <c r="I742" s="10"/>
      <c r="J742" s="7"/>
      <c r="K742" s="7"/>
      <c r="L742" s="10"/>
      <c r="M742" s="10"/>
      <c r="N742" s="10"/>
      <c r="O742" s="10"/>
      <c r="P742" s="10"/>
      <c r="Q742" s="10"/>
      <c r="R742" s="10"/>
      <c r="S742" s="10"/>
      <c r="T742" s="14"/>
      <c r="U742" s="10"/>
      <c r="V742" s="10"/>
      <c r="W742" s="10"/>
      <c r="X742" s="7"/>
      <c r="Y742" s="7"/>
      <c r="Z742" s="7"/>
      <c r="AA742" s="34"/>
      <c r="AB742" s="7"/>
      <c r="AC742" s="34"/>
      <c r="AD742" s="10"/>
      <c r="AF742"/>
    </row>
    <row r="743" spans="1:32" x14ac:dyDescent="0.25">
      <c r="A743" s="7"/>
      <c r="C743" s="70"/>
      <c r="D743" s="70"/>
      <c r="E743" s="73"/>
      <c r="F743" s="45"/>
      <c r="H743" s="9"/>
      <c r="I743" s="10"/>
      <c r="J743" s="10"/>
      <c r="K743" s="7"/>
      <c r="L743" s="10"/>
      <c r="M743" s="10"/>
      <c r="N743" s="10"/>
      <c r="O743" s="10"/>
      <c r="P743" s="10"/>
      <c r="Q743" s="10"/>
      <c r="R743" s="10"/>
      <c r="S743" s="10"/>
      <c r="T743" s="14"/>
      <c r="U743" s="10"/>
      <c r="V743" s="10"/>
      <c r="W743" s="10"/>
      <c r="X743" s="7"/>
      <c r="Y743" s="34"/>
      <c r="Z743" s="7"/>
      <c r="AA743" s="34"/>
      <c r="AB743" s="7"/>
      <c r="AC743" s="34"/>
      <c r="AD743" s="10"/>
      <c r="AF743"/>
    </row>
    <row r="744" spans="1:32" x14ac:dyDescent="0.25">
      <c r="A744" s="7"/>
      <c r="C744" s="70"/>
      <c r="D744" s="70"/>
      <c r="E744" s="73"/>
      <c r="F744" s="9"/>
      <c r="H744" s="9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4"/>
      <c r="U744" s="10"/>
      <c r="V744" s="10"/>
      <c r="W744" s="10"/>
      <c r="X744" s="7"/>
      <c r="Y744" s="7"/>
      <c r="Z744" s="34"/>
      <c r="AA744" s="34"/>
      <c r="AB744" s="7"/>
      <c r="AC744" s="34"/>
      <c r="AD744" s="10"/>
      <c r="AF744"/>
    </row>
    <row r="745" spans="1:32" x14ac:dyDescent="0.25">
      <c r="A745" s="7"/>
      <c r="C745" s="70"/>
      <c r="D745" s="70"/>
      <c r="E745" s="73"/>
      <c r="F745" s="9"/>
      <c r="H745" s="9"/>
      <c r="I745" s="10"/>
      <c r="J745" s="7"/>
      <c r="K745" s="7"/>
      <c r="L745" s="10"/>
      <c r="M745" s="10"/>
      <c r="N745" s="10"/>
      <c r="O745" s="10"/>
      <c r="P745" s="10"/>
      <c r="Q745" s="10"/>
      <c r="R745" s="10"/>
      <c r="S745" s="10"/>
      <c r="T745" s="14"/>
      <c r="U745" s="10"/>
      <c r="V745" s="10"/>
      <c r="W745" s="10"/>
      <c r="X745" s="7"/>
      <c r="Y745" s="7"/>
      <c r="Z745" s="7"/>
      <c r="AA745" s="34"/>
      <c r="AB745" s="7"/>
      <c r="AC745" s="34"/>
      <c r="AD745" s="10"/>
      <c r="AF745"/>
    </row>
    <row r="746" spans="1:32" x14ac:dyDescent="0.25">
      <c r="A746" s="7"/>
      <c r="C746" s="70"/>
      <c r="D746" s="70"/>
      <c r="E746" s="73"/>
      <c r="F746" s="9"/>
      <c r="H746" s="9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4"/>
      <c r="U746" s="10"/>
      <c r="V746" s="10"/>
      <c r="W746" s="10"/>
      <c r="X746" s="7"/>
      <c r="Y746" s="7"/>
      <c r="Z746" s="7"/>
      <c r="AA746" s="34"/>
      <c r="AB746" s="7"/>
      <c r="AC746" s="34"/>
      <c r="AD746" s="10"/>
      <c r="AF746"/>
    </row>
    <row r="747" spans="1:32" x14ac:dyDescent="0.25">
      <c r="A747" s="7"/>
      <c r="C747" s="70"/>
      <c r="D747" s="70"/>
      <c r="E747" s="73"/>
      <c r="F747" s="9"/>
      <c r="H747" s="9"/>
      <c r="I747" s="10"/>
      <c r="J747" s="10"/>
      <c r="K747" s="10"/>
      <c r="L747" s="10"/>
      <c r="M747" s="10"/>
      <c r="N747" s="10"/>
      <c r="O747" s="34"/>
      <c r="P747" s="10"/>
      <c r="Q747" s="10"/>
      <c r="R747" s="10"/>
      <c r="S747" s="10"/>
      <c r="T747" s="14"/>
      <c r="U747" s="10"/>
      <c r="V747" s="10"/>
      <c r="W747" s="10"/>
      <c r="X747" s="7"/>
      <c r="Y747" s="7"/>
      <c r="Z747" s="7"/>
      <c r="AA747"/>
      <c r="AB747" s="7"/>
      <c r="AC747" s="34"/>
      <c r="AD747" s="10"/>
      <c r="AF747"/>
    </row>
    <row r="748" spans="1:32" x14ac:dyDescent="0.25">
      <c r="A748" s="7"/>
      <c r="C748" s="70"/>
      <c r="D748" s="70"/>
      <c r="E748" s="73"/>
      <c r="F748" s="9"/>
      <c r="H748" s="9"/>
      <c r="I748" s="10"/>
      <c r="J748" s="10"/>
      <c r="K748" s="10"/>
      <c r="L748" s="10"/>
      <c r="M748" s="10"/>
      <c r="N748" s="10"/>
      <c r="O748" s="34"/>
      <c r="P748" s="10"/>
      <c r="Q748" s="10"/>
      <c r="R748" s="10"/>
      <c r="S748" s="10"/>
      <c r="T748" s="14"/>
      <c r="U748" s="10"/>
      <c r="V748" s="10"/>
      <c r="W748" s="10"/>
      <c r="X748" s="7"/>
      <c r="Y748" s="7"/>
      <c r="Z748" s="7"/>
      <c r="AA748"/>
      <c r="AB748" s="7"/>
      <c r="AC748" s="34"/>
      <c r="AD748" s="10"/>
      <c r="AF748"/>
    </row>
    <row r="749" spans="1:32" x14ac:dyDescent="0.25">
      <c r="A749" s="7"/>
      <c r="C749" s="70"/>
      <c r="D749" s="70"/>
      <c r="E749" s="73"/>
      <c r="F749" s="9"/>
      <c r="H749" s="9"/>
      <c r="I749" s="10"/>
      <c r="J749" s="10"/>
      <c r="K749" s="7"/>
      <c r="L749" s="10"/>
      <c r="M749" s="10"/>
      <c r="N749" s="10"/>
      <c r="O749" s="34"/>
      <c r="P749" s="10"/>
      <c r="Q749" s="10"/>
      <c r="R749" s="10"/>
      <c r="S749" s="10"/>
      <c r="T749" s="14"/>
      <c r="U749" s="10"/>
      <c r="V749" s="10"/>
      <c r="W749" s="10"/>
      <c r="X749" s="7"/>
      <c r="Y749" s="7"/>
      <c r="Z749" s="7"/>
      <c r="AA749"/>
      <c r="AB749" s="7"/>
      <c r="AC749" s="34"/>
      <c r="AD749" s="10"/>
      <c r="AF749"/>
    </row>
    <row r="750" spans="1:32" x14ac:dyDescent="0.25">
      <c r="A750" s="7"/>
      <c r="C750" s="70"/>
      <c r="D750" s="70"/>
      <c r="E750" s="73"/>
      <c r="F750" s="9"/>
      <c r="H750" s="9"/>
      <c r="I750" s="10"/>
      <c r="J750" s="7"/>
      <c r="K750" s="7"/>
      <c r="L750" s="10"/>
      <c r="M750" s="10"/>
      <c r="N750" s="10"/>
      <c r="O750" s="34"/>
      <c r="P750" s="10"/>
      <c r="Q750" s="10"/>
      <c r="R750" s="10"/>
      <c r="S750" s="10"/>
      <c r="T750" s="14"/>
      <c r="U750" s="10"/>
      <c r="V750" s="10"/>
      <c r="W750" s="10"/>
      <c r="X750" s="7"/>
      <c r="Y750" s="7"/>
      <c r="Z750" s="7"/>
      <c r="AA750"/>
      <c r="AB750" s="7"/>
      <c r="AC750" s="34"/>
      <c r="AD750" s="10"/>
      <c r="AF750"/>
    </row>
    <row r="751" spans="1:32" x14ac:dyDescent="0.25">
      <c r="A751" s="7"/>
      <c r="C751" s="70"/>
      <c r="D751" s="70"/>
      <c r="E751" s="73"/>
      <c r="F751" s="9"/>
      <c r="H751" s="9"/>
      <c r="I751" s="10"/>
      <c r="J751" s="7"/>
      <c r="K751" s="24"/>
      <c r="L751" s="10"/>
      <c r="M751" s="10"/>
      <c r="N751" s="10"/>
      <c r="O751" s="34"/>
      <c r="P751" s="10"/>
      <c r="Q751" s="10"/>
      <c r="R751" s="10"/>
      <c r="S751" s="10"/>
      <c r="T751" s="14"/>
      <c r="U751" s="10"/>
      <c r="V751" s="10"/>
      <c r="W751" s="10"/>
      <c r="X751" s="7"/>
      <c r="Y751" s="7"/>
      <c r="Z751" s="7"/>
      <c r="AA751"/>
      <c r="AB751" s="7"/>
      <c r="AC751" s="34"/>
      <c r="AD751" s="10"/>
      <c r="AF751"/>
    </row>
    <row r="752" spans="1:32" x14ac:dyDescent="0.25">
      <c r="A752" s="7"/>
      <c r="C752" s="70"/>
      <c r="D752" s="70"/>
      <c r="E752" s="73"/>
      <c r="F752" s="9"/>
      <c r="H752" s="9"/>
      <c r="I752" s="10"/>
      <c r="J752" s="7"/>
      <c r="K752" s="7"/>
      <c r="L752" s="10"/>
      <c r="M752" s="10"/>
      <c r="N752" s="10"/>
      <c r="O752" s="34"/>
      <c r="P752" s="10"/>
      <c r="Q752" s="10"/>
      <c r="R752" s="10"/>
      <c r="S752" s="10"/>
      <c r="T752" s="14"/>
      <c r="U752" s="10"/>
      <c r="V752" s="10"/>
      <c r="W752" s="10"/>
      <c r="X752" s="7"/>
      <c r="Y752" s="7"/>
      <c r="Z752" s="34"/>
      <c r="AA752"/>
      <c r="AB752" s="7"/>
      <c r="AC752" s="34"/>
      <c r="AD752" s="10"/>
      <c r="AF752"/>
    </row>
    <row r="753" spans="1:32" x14ac:dyDescent="0.25">
      <c r="A753" s="7"/>
      <c r="C753" s="70"/>
      <c r="D753" s="70"/>
      <c r="E753" s="73"/>
      <c r="F753" s="9"/>
      <c r="H753" s="9"/>
      <c r="I753" s="10"/>
      <c r="J753" s="7"/>
      <c r="K753" s="7"/>
      <c r="L753" s="10"/>
      <c r="M753" s="10"/>
      <c r="N753" s="10"/>
      <c r="O753" s="34"/>
      <c r="P753" s="10"/>
      <c r="Q753" s="10"/>
      <c r="R753" s="10"/>
      <c r="S753" s="10"/>
      <c r="T753" s="14"/>
      <c r="U753" s="10"/>
      <c r="V753" s="10"/>
      <c r="W753" s="10"/>
      <c r="X753" s="7"/>
      <c r="Y753" s="7"/>
      <c r="Z753" s="7"/>
      <c r="AA753"/>
      <c r="AB753" s="7"/>
      <c r="AC753" s="34"/>
      <c r="AD753" s="10"/>
      <c r="AF753"/>
    </row>
    <row r="754" spans="1:32" x14ac:dyDescent="0.25">
      <c r="A754" s="7"/>
      <c r="C754" s="70"/>
      <c r="D754" s="70"/>
      <c r="E754" s="73"/>
      <c r="F754" s="9"/>
      <c r="H754" s="9"/>
      <c r="I754" s="10"/>
      <c r="J754" s="10"/>
      <c r="K754" s="10"/>
      <c r="L754" s="10"/>
      <c r="M754" s="10"/>
      <c r="N754" s="10"/>
      <c r="O754" s="34"/>
      <c r="P754" s="10"/>
      <c r="Q754" s="10"/>
      <c r="R754" s="10"/>
      <c r="S754" s="10"/>
      <c r="T754" s="14"/>
      <c r="U754" s="10"/>
      <c r="V754" s="10"/>
      <c r="W754" s="10"/>
      <c r="X754" s="7"/>
      <c r="Y754" s="7"/>
      <c r="Z754" s="7"/>
      <c r="AA754" s="34"/>
      <c r="AB754" s="7"/>
      <c r="AC754" s="34"/>
      <c r="AD754" s="10"/>
      <c r="AF754"/>
    </row>
    <row r="755" spans="1:32" x14ac:dyDescent="0.25">
      <c r="A755" s="7"/>
      <c r="C755" s="70"/>
      <c r="D755" s="70"/>
      <c r="E755" s="73"/>
      <c r="F755" s="45"/>
      <c r="H755" s="9"/>
      <c r="I755" s="10"/>
      <c r="J755" s="10"/>
      <c r="K755" s="10"/>
      <c r="L755" s="10"/>
      <c r="M755" s="10"/>
      <c r="N755" s="10"/>
      <c r="O755" s="34"/>
      <c r="P755" s="10"/>
      <c r="Q755" s="10"/>
      <c r="R755" s="10"/>
      <c r="S755" s="10"/>
      <c r="T755" s="14"/>
      <c r="U755" s="10"/>
      <c r="V755" s="10"/>
      <c r="W755" s="10"/>
      <c r="X755" s="7"/>
      <c r="Y755" s="34"/>
      <c r="Z755" s="34"/>
      <c r="AA755"/>
      <c r="AB755" s="7"/>
      <c r="AC755" s="34"/>
      <c r="AD755" s="10"/>
      <c r="AF755"/>
    </row>
    <row r="756" spans="1:32" x14ac:dyDescent="0.25">
      <c r="A756" s="7"/>
      <c r="C756" s="70"/>
      <c r="D756" s="70"/>
      <c r="E756" s="73"/>
      <c r="F756" s="9"/>
      <c r="H756" s="9"/>
      <c r="I756" s="10"/>
      <c r="J756" s="10"/>
      <c r="K756" s="10"/>
      <c r="L756" s="10"/>
      <c r="M756" s="10"/>
      <c r="N756" s="10"/>
      <c r="O756" s="34"/>
      <c r="P756" s="10"/>
      <c r="Q756" s="10"/>
      <c r="R756" s="10"/>
      <c r="S756" s="10"/>
      <c r="T756" s="14"/>
      <c r="U756" s="10"/>
      <c r="V756" s="10"/>
      <c r="W756" s="10"/>
      <c r="X756" s="7"/>
      <c r="Y756" s="7"/>
      <c r="Z756" s="7"/>
      <c r="AA756"/>
      <c r="AB756" s="7"/>
      <c r="AC756" s="34"/>
      <c r="AD756" s="10"/>
      <c r="AF756"/>
    </row>
    <row r="757" spans="1:32" x14ac:dyDescent="0.25">
      <c r="A757" s="7"/>
      <c r="C757" s="70"/>
      <c r="D757" s="70"/>
      <c r="E757" s="73"/>
      <c r="F757" s="9"/>
      <c r="H757" s="9"/>
      <c r="I757" s="10"/>
      <c r="J757" s="10"/>
      <c r="K757" s="7"/>
      <c r="L757" s="10"/>
      <c r="M757" s="10"/>
      <c r="N757" s="10"/>
      <c r="O757" s="34"/>
      <c r="P757" s="10"/>
      <c r="Q757" s="10"/>
      <c r="R757" s="10"/>
      <c r="S757" s="10"/>
      <c r="T757" s="14"/>
      <c r="U757" s="10"/>
      <c r="V757" s="10"/>
      <c r="W757" s="10"/>
      <c r="X757" s="7"/>
      <c r="Y757" s="7"/>
      <c r="Z757" s="7"/>
      <c r="AA757" s="34"/>
      <c r="AB757" s="7"/>
      <c r="AC757" s="34"/>
      <c r="AD757" s="10"/>
      <c r="AF757"/>
    </row>
    <row r="758" spans="1:32" x14ac:dyDescent="0.25">
      <c r="A758" s="7"/>
      <c r="C758" s="70"/>
      <c r="D758" s="70"/>
      <c r="E758" s="73"/>
      <c r="F758" s="9"/>
      <c r="H758" s="9"/>
      <c r="I758" s="10"/>
      <c r="J758" s="10"/>
      <c r="K758" s="10"/>
      <c r="L758" s="10"/>
      <c r="M758" s="10"/>
      <c r="N758" s="10"/>
      <c r="O758" s="34"/>
      <c r="P758" s="10"/>
      <c r="Q758" s="10"/>
      <c r="R758" s="10"/>
      <c r="S758" s="10"/>
      <c r="T758" s="14"/>
      <c r="U758" s="10"/>
      <c r="V758" s="10"/>
      <c r="W758" s="10"/>
      <c r="X758" s="7"/>
      <c r="Y758" s="7"/>
      <c r="Z758" s="7"/>
      <c r="AA758"/>
      <c r="AB758" s="7"/>
      <c r="AC758" s="34"/>
      <c r="AD758" s="10"/>
      <c r="AF758"/>
    </row>
    <row r="759" spans="1:32" x14ac:dyDescent="0.25">
      <c r="A759" s="7"/>
      <c r="C759" s="70"/>
      <c r="D759" s="70"/>
      <c r="E759" s="73"/>
      <c r="F759" s="9"/>
      <c r="H759" s="9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4"/>
      <c r="U759" s="10"/>
      <c r="V759" s="10"/>
      <c r="W759" s="10"/>
      <c r="X759" s="7"/>
      <c r="Y759" s="7"/>
      <c r="Z759" s="7"/>
      <c r="AA759" s="34"/>
      <c r="AB759" s="7"/>
      <c r="AC759" s="34"/>
      <c r="AD759" s="10"/>
      <c r="AF759"/>
    </row>
    <row r="760" spans="1:32" x14ac:dyDescent="0.25">
      <c r="A760" s="7"/>
      <c r="C760" s="70"/>
      <c r="D760" s="70"/>
      <c r="E760" s="73"/>
      <c r="F760" s="9"/>
      <c r="H760" s="9"/>
      <c r="I760" s="10"/>
      <c r="J760" s="7"/>
      <c r="K760" s="24"/>
      <c r="L760" s="10"/>
      <c r="M760" s="10"/>
      <c r="N760" s="10"/>
      <c r="O760" s="10"/>
      <c r="P760" s="10"/>
      <c r="Q760" s="10"/>
      <c r="R760" s="10"/>
      <c r="S760" s="10"/>
      <c r="T760" s="14"/>
      <c r="U760" s="10"/>
      <c r="V760" s="10"/>
      <c r="W760" s="10"/>
      <c r="X760" s="7"/>
      <c r="Y760" s="7"/>
      <c r="Z760" s="7"/>
      <c r="AA760" s="34"/>
      <c r="AB760" s="7"/>
      <c r="AC760" s="34"/>
      <c r="AD760" s="10"/>
      <c r="AF760"/>
    </row>
    <row r="761" spans="1:32" x14ac:dyDescent="0.25">
      <c r="A761" s="7"/>
      <c r="C761" s="70"/>
      <c r="D761" s="70"/>
      <c r="E761" s="73"/>
      <c r="F761" s="9"/>
      <c r="H761" s="9"/>
      <c r="I761" s="10"/>
      <c r="J761" s="7"/>
      <c r="K761" s="24"/>
      <c r="L761" s="10"/>
      <c r="M761" s="10"/>
      <c r="N761" s="10"/>
      <c r="O761" s="10"/>
      <c r="P761" s="10"/>
      <c r="Q761" s="10"/>
      <c r="R761" s="10"/>
      <c r="S761" s="10"/>
      <c r="T761" s="14"/>
      <c r="U761" s="10"/>
      <c r="V761" s="10"/>
      <c r="W761" s="10"/>
      <c r="X761" s="7"/>
      <c r="Y761" s="7"/>
      <c r="Z761" s="7"/>
      <c r="AA761" s="34"/>
      <c r="AB761" s="7"/>
      <c r="AC761" s="34"/>
      <c r="AD761" s="10"/>
      <c r="AF761"/>
    </row>
    <row r="762" spans="1:32" x14ac:dyDescent="0.25">
      <c r="A762" s="7"/>
      <c r="C762" s="70"/>
      <c r="D762" s="70"/>
      <c r="E762" s="73"/>
      <c r="F762" s="9"/>
      <c r="H762" s="9"/>
      <c r="I762" s="10"/>
      <c r="J762" s="7"/>
      <c r="K762" s="7"/>
      <c r="L762" s="10"/>
      <c r="M762" s="10"/>
      <c r="N762" s="10"/>
      <c r="O762" s="10"/>
      <c r="P762" s="10"/>
      <c r="Q762" s="10"/>
      <c r="R762" s="10"/>
      <c r="S762" s="10"/>
      <c r="T762" s="14"/>
      <c r="U762" s="10"/>
      <c r="V762" s="10"/>
      <c r="W762" s="10"/>
      <c r="X762" s="7"/>
      <c r="Y762" s="7"/>
      <c r="Z762" s="7"/>
      <c r="AA762" s="34"/>
      <c r="AB762" s="7"/>
      <c r="AC762" s="34"/>
      <c r="AD762" s="10"/>
      <c r="AF762"/>
    </row>
    <row r="763" spans="1:32" x14ac:dyDescent="0.25">
      <c r="A763" s="7"/>
      <c r="C763" s="70"/>
      <c r="D763" s="70"/>
      <c r="E763" s="73"/>
      <c r="F763" s="9"/>
      <c r="H763" s="9"/>
      <c r="I763" s="10"/>
      <c r="J763" s="7"/>
      <c r="K763" s="7"/>
      <c r="L763" s="10"/>
      <c r="M763" s="10"/>
      <c r="N763" s="10"/>
      <c r="O763" s="10"/>
      <c r="P763" s="10"/>
      <c r="Q763" s="10"/>
      <c r="R763" s="10"/>
      <c r="S763" s="10"/>
      <c r="T763" s="14"/>
      <c r="U763" s="10"/>
      <c r="V763" s="10"/>
      <c r="W763" s="10"/>
      <c r="X763" s="7"/>
      <c r="Y763" s="7"/>
      <c r="Z763" s="7"/>
      <c r="AA763" s="34"/>
      <c r="AB763" s="7"/>
      <c r="AC763" s="34"/>
      <c r="AD763" s="10"/>
      <c r="AF763"/>
    </row>
    <row r="764" spans="1:32" x14ac:dyDescent="0.25">
      <c r="A764" s="7"/>
      <c r="C764" s="70"/>
      <c r="D764" s="70"/>
      <c r="E764" s="73"/>
      <c r="F764" s="9"/>
      <c r="H764" s="9"/>
      <c r="I764" s="10"/>
      <c r="J764" s="7"/>
      <c r="K764" s="7"/>
      <c r="L764" s="10"/>
      <c r="M764" s="10"/>
      <c r="N764" s="10"/>
      <c r="O764" s="10"/>
      <c r="P764" s="10"/>
      <c r="Q764" s="10"/>
      <c r="R764" s="10"/>
      <c r="S764" s="10"/>
      <c r="T764" s="14"/>
      <c r="U764" s="10"/>
      <c r="V764" s="10"/>
      <c r="W764" s="10"/>
      <c r="X764" s="7"/>
      <c r="Y764" s="7"/>
      <c r="Z764" s="7"/>
      <c r="AA764" s="34"/>
      <c r="AB764" s="7"/>
      <c r="AC764" s="34"/>
      <c r="AD764" s="10"/>
      <c r="AF764"/>
    </row>
    <row r="765" spans="1:32" x14ac:dyDescent="0.25">
      <c r="A765" s="7"/>
      <c r="C765" s="70"/>
      <c r="D765" s="70"/>
      <c r="E765" s="73"/>
      <c r="F765" s="45"/>
      <c r="H765" s="9"/>
      <c r="I765" s="10"/>
      <c r="J765" s="7"/>
      <c r="K765" s="7"/>
      <c r="L765" s="10"/>
      <c r="M765" s="10"/>
      <c r="N765" s="10"/>
      <c r="O765" s="10"/>
      <c r="P765" s="10"/>
      <c r="Q765" s="10"/>
      <c r="R765" s="10"/>
      <c r="S765" s="10"/>
      <c r="T765" s="14"/>
      <c r="U765" s="10"/>
      <c r="V765" s="10"/>
      <c r="W765" s="10"/>
      <c r="X765" s="7"/>
      <c r="Y765" s="34"/>
      <c r="Z765" s="7"/>
      <c r="AA765" s="34"/>
      <c r="AB765" s="7"/>
      <c r="AC765" s="34"/>
      <c r="AD765" s="10"/>
      <c r="AF765"/>
    </row>
    <row r="766" spans="1:32" x14ac:dyDescent="0.25">
      <c r="A766" s="7"/>
      <c r="C766" s="70"/>
      <c r="D766" s="70"/>
      <c r="E766" s="73"/>
      <c r="F766" s="9"/>
      <c r="H766" s="9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4"/>
      <c r="U766" s="10"/>
      <c r="V766" s="10"/>
      <c r="W766" s="10"/>
      <c r="X766" s="7"/>
      <c r="Y766" s="7"/>
      <c r="Z766" s="7"/>
      <c r="AA766" s="34"/>
      <c r="AB766" s="7"/>
      <c r="AC766" s="34"/>
      <c r="AD766" s="10"/>
      <c r="AF766"/>
    </row>
    <row r="767" spans="1:32" x14ac:dyDescent="0.25">
      <c r="A767" s="7"/>
      <c r="C767" s="70"/>
      <c r="D767" s="70"/>
      <c r="E767" s="73"/>
      <c r="F767" s="9"/>
      <c r="H767" s="9"/>
      <c r="I767" s="10"/>
      <c r="J767" s="7"/>
      <c r="K767" s="7"/>
      <c r="L767" s="10"/>
      <c r="M767" s="10"/>
      <c r="N767" s="10"/>
      <c r="O767" s="10"/>
      <c r="P767" s="10"/>
      <c r="Q767" s="10"/>
      <c r="R767" s="10"/>
      <c r="S767" s="10"/>
      <c r="T767" s="14"/>
      <c r="U767" s="10"/>
      <c r="V767" s="10"/>
      <c r="W767" s="10"/>
      <c r="X767" s="7"/>
      <c r="Y767" s="7"/>
      <c r="Z767" s="7"/>
      <c r="AA767" s="34"/>
      <c r="AB767" s="7"/>
      <c r="AC767" s="34"/>
      <c r="AD767" s="10"/>
      <c r="AF767"/>
    </row>
    <row r="768" spans="1:32" x14ac:dyDescent="0.25">
      <c r="A768" s="7"/>
      <c r="C768" s="70"/>
      <c r="D768" s="70"/>
      <c r="E768" s="73"/>
      <c r="F768" s="9"/>
      <c r="H768" s="9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4"/>
      <c r="U768" s="10"/>
      <c r="V768" s="10"/>
      <c r="W768" s="10"/>
      <c r="X768" s="7"/>
      <c r="Y768" s="34"/>
      <c r="Z768" s="34"/>
      <c r="AA768" s="34"/>
      <c r="AB768" s="7"/>
      <c r="AC768" s="34"/>
      <c r="AD768" s="10"/>
      <c r="AF768"/>
    </row>
    <row r="769" spans="1:32" x14ac:dyDescent="0.25">
      <c r="A769" s="7"/>
      <c r="C769" s="70"/>
      <c r="D769" s="70"/>
      <c r="E769" s="73"/>
      <c r="F769" s="9"/>
      <c r="H769" s="9"/>
      <c r="I769" s="10"/>
      <c r="J769" s="7"/>
      <c r="K769" s="24"/>
      <c r="L769" s="10"/>
      <c r="M769" s="10"/>
      <c r="N769" s="10"/>
      <c r="O769" s="10"/>
      <c r="P769" s="10"/>
      <c r="Q769" s="10"/>
      <c r="R769" s="10"/>
      <c r="S769" s="10"/>
      <c r="T769" s="14"/>
      <c r="U769" s="10"/>
      <c r="V769" s="10"/>
      <c r="W769" s="10"/>
      <c r="X769" s="7"/>
      <c r="Y769" s="7"/>
      <c r="Z769" s="7"/>
      <c r="AA769" s="34"/>
      <c r="AB769" s="7"/>
      <c r="AC769" s="34"/>
      <c r="AD769" s="10"/>
      <c r="AF769"/>
    </row>
    <row r="770" spans="1:32" x14ac:dyDescent="0.25">
      <c r="A770" s="7"/>
      <c r="C770" s="70"/>
      <c r="D770" s="70"/>
      <c r="E770" s="73"/>
      <c r="F770" s="9"/>
      <c r="H770" s="9"/>
      <c r="I770" s="10"/>
      <c r="J770" s="10"/>
      <c r="K770" s="7"/>
      <c r="L770" s="10"/>
      <c r="M770" s="10"/>
      <c r="N770" s="10"/>
      <c r="O770" s="10"/>
      <c r="P770" s="10"/>
      <c r="Q770" s="10"/>
      <c r="R770" s="10"/>
      <c r="S770" s="10"/>
      <c r="T770" s="14"/>
      <c r="U770" s="10"/>
      <c r="V770" s="10"/>
      <c r="W770" s="10"/>
      <c r="X770" s="7"/>
      <c r="Y770" s="7"/>
      <c r="Z770" s="34"/>
      <c r="AA770" s="34"/>
      <c r="AB770" s="7"/>
      <c r="AC770" s="34"/>
      <c r="AD770" s="10"/>
      <c r="AF770"/>
    </row>
    <row r="771" spans="1:32" x14ac:dyDescent="0.25">
      <c r="A771" s="7"/>
      <c r="C771" s="70"/>
      <c r="D771" s="70"/>
      <c r="E771" s="73"/>
      <c r="F771" s="9"/>
      <c r="H771" s="9"/>
      <c r="I771" s="10"/>
      <c r="J771" s="7"/>
      <c r="K771" s="7"/>
      <c r="L771" s="10"/>
      <c r="M771" s="10"/>
      <c r="N771" s="10"/>
      <c r="O771" s="10"/>
      <c r="P771" s="10"/>
      <c r="Q771" s="10"/>
      <c r="R771" s="10"/>
      <c r="S771" s="10"/>
      <c r="T771" s="14"/>
      <c r="U771" s="10"/>
      <c r="V771" s="10"/>
      <c r="W771" s="10"/>
      <c r="X771" s="7"/>
      <c r="Y771" s="7"/>
      <c r="Z771" s="7"/>
      <c r="AA771" s="34"/>
      <c r="AB771" s="7"/>
      <c r="AC771" s="34"/>
      <c r="AD771" s="10"/>
      <c r="AF771"/>
    </row>
    <row r="772" spans="1:32" x14ac:dyDescent="0.25">
      <c r="A772" s="7"/>
      <c r="C772" s="70"/>
      <c r="D772" s="70"/>
      <c r="E772" s="73"/>
      <c r="F772" s="9"/>
      <c r="H772" s="9"/>
      <c r="I772" s="10"/>
      <c r="J772" s="7"/>
      <c r="K772" s="24"/>
      <c r="L772" s="10"/>
      <c r="M772" s="10"/>
      <c r="N772" s="10"/>
      <c r="O772" s="10"/>
      <c r="P772" s="10"/>
      <c r="Q772" s="10"/>
      <c r="R772" s="10"/>
      <c r="S772" s="10"/>
      <c r="T772" s="14"/>
      <c r="U772" s="10"/>
      <c r="V772" s="10"/>
      <c r="W772" s="10"/>
      <c r="X772" s="7"/>
      <c r="Y772" s="7"/>
      <c r="Z772" s="7"/>
      <c r="AA772" s="34"/>
      <c r="AB772" s="7"/>
      <c r="AC772" s="34"/>
      <c r="AD772" s="10"/>
      <c r="AF772"/>
    </row>
    <row r="773" spans="1:32" x14ac:dyDescent="0.25">
      <c r="A773" s="7"/>
      <c r="C773" s="70"/>
      <c r="D773" s="70"/>
      <c r="E773" s="73"/>
      <c r="F773" s="9"/>
      <c r="H773" s="9"/>
      <c r="I773" s="10"/>
      <c r="J773" s="10"/>
      <c r="K773" s="7"/>
      <c r="L773" s="10"/>
      <c r="M773" s="10"/>
      <c r="N773" s="10"/>
      <c r="O773" s="10"/>
      <c r="P773" s="10"/>
      <c r="Q773" s="10"/>
      <c r="R773" s="10"/>
      <c r="S773" s="10"/>
      <c r="T773" s="14"/>
      <c r="U773" s="10"/>
      <c r="V773" s="10"/>
      <c r="W773" s="10"/>
      <c r="X773" s="7"/>
      <c r="Y773" s="7"/>
      <c r="Z773" s="7"/>
      <c r="AA773" s="34"/>
      <c r="AB773" s="7"/>
      <c r="AC773" s="34"/>
      <c r="AD773" s="10"/>
      <c r="AF773"/>
    </row>
    <row r="774" spans="1:32" x14ac:dyDescent="0.25">
      <c r="A774" s="7"/>
      <c r="C774" s="70"/>
      <c r="D774" s="70"/>
      <c r="E774" s="73"/>
      <c r="F774" s="9"/>
      <c r="H774" s="9"/>
      <c r="I774" s="10"/>
      <c r="J774" s="10"/>
      <c r="K774" s="7"/>
      <c r="L774" s="10"/>
      <c r="M774" s="10"/>
      <c r="N774" s="10"/>
      <c r="O774" s="10"/>
      <c r="P774" s="10"/>
      <c r="Q774" s="10"/>
      <c r="R774" s="10"/>
      <c r="S774" s="10"/>
      <c r="T774" s="14"/>
      <c r="U774" s="10"/>
      <c r="V774" s="10"/>
      <c r="W774" s="10"/>
      <c r="X774" s="7"/>
      <c r="Y774" s="7"/>
      <c r="Z774" s="7"/>
      <c r="AA774" s="34"/>
      <c r="AB774" s="7"/>
      <c r="AC774" s="34"/>
      <c r="AD774" s="10"/>
      <c r="AF774"/>
    </row>
    <row r="775" spans="1:32" x14ac:dyDescent="0.25">
      <c r="A775" s="7"/>
      <c r="C775" s="70"/>
      <c r="D775" s="70"/>
      <c r="E775" s="73"/>
      <c r="F775" s="9"/>
      <c r="H775" s="9"/>
      <c r="I775" s="10"/>
      <c r="J775" s="7"/>
      <c r="K775" s="7"/>
      <c r="L775" s="10"/>
      <c r="M775" s="10"/>
      <c r="N775" s="10"/>
      <c r="O775" s="10"/>
      <c r="P775" s="10"/>
      <c r="Q775" s="10"/>
      <c r="R775" s="10"/>
      <c r="S775" s="10"/>
      <c r="T775" s="14"/>
      <c r="U775" s="10"/>
      <c r="V775" s="10"/>
      <c r="W775" s="10"/>
      <c r="X775" s="7"/>
      <c r="Y775" s="7"/>
      <c r="Z775" s="7"/>
      <c r="AA775" s="34"/>
      <c r="AB775" s="7"/>
      <c r="AC775" s="34"/>
      <c r="AD775" s="10"/>
      <c r="AF775"/>
    </row>
    <row r="776" spans="1:32" x14ac:dyDescent="0.25">
      <c r="A776" s="7"/>
      <c r="C776" s="70"/>
      <c r="D776" s="70"/>
      <c r="E776" s="73"/>
      <c r="F776" s="9"/>
      <c r="H776" s="9"/>
      <c r="I776" s="10"/>
      <c r="J776" s="7"/>
      <c r="K776" s="24"/>
      <c r="L776" s="10"/>
      <c r="M776" s="10"/>
      <c r="N776" s="10"/>
      <c r="O776" s="10"/>
      <c r="P776" s="10"/>
      <c r="Q776" s="10"/>
      <c r="R776" s="10"/>
      <c r="S776" s="10"/>
      <c r="T776" s="14"/>
      <c r="U776" s="10"/>
      <c r="V776" s="10"/>
      <c r="W776" s="10"/>
      <c r="X776" s="7"/>
      <c r="Y776" s="7"/>
      <c r="Z776" s="7"/>
      <c r="AA776" s="34"/>
      <c r="AB776" s="7"/>
      <c r="AC776" s="34"/>
      <c r="AD776" s="10"/>
      <c r="AF776"/>
    </row>
    <row r="777" spans="1:32" x14ac:dyDescent="0.25">
      <c r="A777" s="7"/>
      <c r="C777" s="70"/>
      <c r="D777" s="70"/>
      <c r="E777" s="73"/>
      <c r="F777" s="9"/>
      <c r="H777" s="9"/>
      <c r="I777" s="10"/>
      <c r="J777" s="7"/>
      <c r="K777" s="7"/>
      <c r="L777" s="10"/>
      <c r="M777" s="10"/>
      <c r="N777" s="10"/>
      <c r="O777" s="10"/>
      <c r="P777" s="10"/>
      <c r="Q777" s="10"/>
      <c r="R777" s="10"/>
      <c r="S777" s="10"/>
      <c r="T777" s="14"/>
      <c r="U777" s="10"/>
      <c r="V777" s="10"/>
      <c r="W777" s="10"/>
      <c r="X777" s="7"/>
      <c r="Y777" s="7"/>
      <c r="Z777" s="7"/>
      <c r="AA777" s="34"/>
      <c r="AB777" s="7"/>
      <c r="AC777" s="34"/>
      <c r="AD777" s="10"/>
      <c r="AF777"/>
    </row>
    <row r="778" spans="1:32" x14ac:dyDescent="0.25">
      <c r="A778" s="7"/>
      <c r="C778" s="70"/>
      <c r="D778" s="70"/>
      <c r="E778" s="73"/>
      <c r="F778" s="9"/>
      <c r="H778" s="9"/>
      <c r="I778" s="10"/>
      <c r="J778" s="7"/>
      <c r="K778" s="7"/>
      <c r="L778" s="10"/>
      <c r="M778" s="10"/>
      <c r="N778" s="10"/>
      <c r="O778" s="10"/>
      <c r="P778" s="10"/>
      <c r="Q778" s="10"/>
      <c r="R778" s="10"/>
      <c r="S778" s="10"/>
      <c r="T778" s="14"/>
      <c r="U778" s="10"/>
      <c r="V778" s="10"/>
      <c r="W778" s="10"/>
      <c r="X778" s="7"/>
      <c r="Y778" s="7"/>
      <c r="Z778" s="7"/>
      <c r="AA778" s="34"/>
      <c r="AB778" s="7"/>
      <c r="AC778" s="34"/>
      <c r="AD778" s="10"/>
      <c r="AF778"/>
    </row>
    <row r="779" spans="1:32" x14ac:dyDescent="0.25">
      <c r="A779" s="7"/>
      <c r="C779" s="70"/>
      <c r="D779" s="70"/>
      <c r="E779" s="73"/>
      <c r="F779" s="45"/>
      <c r="H779" s="9"/>
      <c r="I779" s="10"/>
      <c r="J779" s="7"/>
      <c r="K779" s="7"/>
      <c r="L779" s="10"/>
      <c r="M779" s="10"/>
      <c r="N779" s="10"/>
      <c r="O779" s="10"/>
      <c r="P779" s="10"/>
      <c r="Q779" s="10"/>
      <c r="R779" s="10"/>
      <c r="S779" s="10"/>
      <c r="T779" s="14"/>
      <c r="U779" s="10"/>
      <c r="V779" s="10"/>
      <c r="W779" s="10"/>
      <c r="X779" s="7"/>
      <c r="Y779" s="34"/>
      <c r="Z779" s="7"/>
      <c r="AA779" s="34"/>
      <c r="AB779" s="7"/>
      <c r="AC779" s="34"/>
      <c r="AD779" s="10"/>
      <c r="AF779"/>
    </row>
    <row r="780" spans="1:32" x14ac:dyDescent="0.25">
      <c r="A780" s="7"/>
      <c r="C780" s="70"/>
      <c r="D780" s="70"/>
      <c r="E780" s="73"/>
      <c r="F780" s="9"/>
      <c r="H780" s="9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4"/>
      <c r="U780" s="10"/>
      <c r="V780" s="10"/>
      <c r="W780" s="10"/>
      <c r="X780" s="34"/>
      <c r="Y780" s="7"/>
      <c r="Z780" s="7"/>
      <c r="AA780" s="34"/>
      <c r="AB780" s="7"/>
      <c r="AC780" s="34"/>
      <c r="AD780" s="10"/>
      <c r="AF780"/>
    </row>
    <row r="781" spans="1:32" x14ac:dyDescent="0.25">
      <c r="A781" s="7"/>
      <c r="C781" s="70"/>
      <c r="D781" s="70"/>
      <c r="E781" s="73"/>
      <c r="F781" s="9"/>
      <c r="H781" s="9"/>
      <c r="I781" s="10"/>
      <c r="J781" s="7"/>
      <c r="K781" s="24"/>
      <c r="L781" s="10"/>
      <c r="M781" s="10"/>
      <c r="N781" s="10"/>
      <c r="O781" s="10"/>
      <c r="P781" s="10"/>
      <c r="Q781" s="10"/>
      <c r="R781" s="10"/>
      <c r="S781" s="10"/>
      <c r="T781" s="14"/>
      <c r="U781" s="10"/>
      <c r="V781" s="10"/>
      <c r="W781" s="10"/>
      <c r="X781" s="7"/>
      <c r="Y781" s="7"/>
      <c r="Z781" s="7"/>
      <c r="AA781" s="34"/>
      <c r="AB781" s="7"/>
      <c r="AC781" s="34"/>
      <c r="AD781" s="10"/>
      <c r="AF781"/>
    </row>
    <row r="782" spans="1:32" x14ac:dyDescent="0.25">
      <c r="A782" s="7"/>
      <c r="C782" s="70"/>
      <c r="D782" s="70"/>
      <c r="E782" s="73"/>
      <c r="F782" s="9"/>
      <c r="H782" s="9"/>
      <c r="I782" s="10"/>
      <c r="J782" s="7"/>
      <c r="K782" s="7"/>
      <c r="L782" s="10"/>
      <c r="M782" s="10"/>
      <c r="N782" s="10"/>
      <c r="O782" s="10"/>
      <c r="P782" s="10"/>
      <c r="Q782" s="10"/>
      <c r="R782" s="10"/>
      <c r="S782" s="10"/>
      <c r="T782" s="14"/>
      <c r="U782" s="10"/>
      <c r="V782" s="10"/>
      <c r="W782" s="10"/>
      <c r="X782" s="7"/>
      <c r="Y782" s="7"/>
      <c r="Z782" s="7"/>
      <c r="AA782" s="34"/>
      <c r="AB782" s="7"/>
      <c r="AC782" s="34"/>
      <c r="AD782" s="10"/>
      <c r="AF782"/>
    </row>
    <row r="783" spans="1:32" x14ac:dyDescent="0.25">
      <c r="A783" s="7"/>
      <c r="C783" s="70"/>
      <c r="D783" s="70"/>
      <c r="E783" s="73"/>
      <c r="F783" s="9"/>
      <c r="H783" s="9"/>
      <c r="I783" s="10"/>
      <c r="J783" s="7"/>
      <c r="K783" s="7"/>
      <c r="L783" s="10"/>
      <c r="M783" s="10"/>
      <c r="N783" s="10"/>
      <c r="O783" s="10"/>
      <c r="P783" s="10"/>
      <c r="Q783" s="10"/>
      <c r="R783" s="10"/>
      <c r="S783" s="10"/>
      <c r="T783" s="14"/>
      <c r="U783" s="10"/>
      <c r="V783" s="10"/>
      <c r="W783" s="10"/>
      <c r="X783" s="34"/>
      <c r="Y783" s="7"/>
      <c r="Z783" s="7"/>
      <c r="AA783" s="34"/>
      <c r="AB783" s="7"/>
      <c r="AC783" s="34"/>
      <c r="AD783" s="10"/>
      <c r="AF783"/>
    </row>
    <row r="784" spans="1:32" x14ac:dyDescent="0.25">
      <c r="A784" s="7"/>
      <c r="C784" s="70"/>
      <c r="D784" s="70"/>
      <c r="E784" s="73"/>
      <c r="F784" s="9"/>
      <c r="H784" s="9"/>
      <c r="I784" s="10"/>
      <c r="J784" s="10"/>
      <c r="K784" s="7"/>
      <c r="L784" s="10"/>
      <c r="M784" s="10"/>
      <c r="N784" s="10"/>
      <c r="O784" s="10"/>
      <c r="P784" s="10"/>
      <c r="Q784" s="10"/>
      <c r="R784" s="10"/>
      <c r="S784" s="10"/>
      <c r="T784" s="14"/>
      <c r="U784" s="10"/>
      <c r="V784" s="10"/>
      <c r="W784" s="10"/>
      <c r="X784" s="7"/>
      <c r="Y784" s="7"/>
      <c r="Z784" s="7"/>
      <c r="AA784" s="34"/>
      <c r="AB784" s="7"/>
      <c r="AC784" s="34"/>
      <c r="AD784" s="10"/>
      <c r="AF784"/>
    </row>
    <row r="785" spans="1:32" x14ac:dyDescent="0.25">
      <c r="A785" s="7"/>
      <c r="C785" s="70"/>
      <c r="D785" s="70"/>
      <c r="E785" s="73"/>
      <c r="F785" s="9"/>
      <c r="H785" s="9"/>
      <c r="I785" s="10"/>
      <c r="J785" s="7"/>
      <c r="K785" s="24"/>
      <c r="L785" s="10"/>
      <c r="M785" s="10"/>
      <c r="N785" s="10"/>
      <c r="O785" s="10"/>
      <c r="P785" s="10"/>
      <c r="Q785" s="10"/>
      <c r="R785" s="10"/>
      <c r="S785" s="10"/>
      <c r="T785" s="14"/>
      <c r="U785" s="10"/>
      <c r="V785" s="10"/>
      <c r="W785" s="10"/>
      <c r="X785" s="7"/>
      <c r="Y785" s="7"/>
      <c r="Z785" s="7"/>
      <c r="AA785" s="34"/>
      <c r="AB785" s="7"/>
      <c r="AC785" s="34"/>
      <c r="AD785" s="10"/>
      <c r="AF785"/>
    </row>
    <row r="786" spans="1:32" x14ac:dyDescent="0.25">
      <c r="A786" s="7"/>
      <c r="C786" s="70"/>
      <c r="D786" s="70"/>
      <c r="E786" s="73"/>
      <c r="F786" s="48"/>
      <c r="H786" s="9"/>
      <c r="I786" s="10"/>
      <c r="J786" s="10"/>
      <c r="K786" s="7"/>
      <c r="L786" s="10"/>
      <c r="M786" s="10"/>
      <c r="N786" s="10"/>
      <c r="O786" s="10"/>
      <c r="P786" s="10"/>
      <c r="Q786" s="10"/>
      <c r="R786" s="10"/>
      <c r="S786" s="10"/>
      <c r="T786" s="14"/>
      <c r="U786" s="10"/>
      <c r="V786" s="10"/>
      <c r="W786" s="10"/>
      <c r="X786" s="7"/>
      <c r="Y786" s="7"/>
      <c r="Z786" s="7"/>
      <c r="AA786" s="34"/>
      <c r="AB786" s="7"/>
      <c r="AC786" s="34"/>
      <c r="AD786" s="10"/>
      <c r="AF786"/>
    </row>
    <row r="787" spans="1:32" x14ac:dyDescent="0.25">
      <c r="A787" s="7"/>
      <c r="C787" s="70"/>
      <c r="D787" s="70"/>
      <c r="E787" s="73"/>
      <c r="F787" s="45"/>
      <c r="H787" s="9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4"/>
      <c r="U787" s="10"/>
      <c r="V787" s="10"/>
      <c r="W787" s="10"/>
      <c r="X787" s="7"/>
      <c r="Y787" s="7"/>
      <c r="Z787" s="7"/>
      <c r="AA787" s="34"/>
      <c r="AB787" s="7"/>
      <c r="AC787" s="34"/>
      <c r="AD787" s="10"/>
      <c r="AF787"/>
    </row>
    <row r="788" spans="1:32" x14ac:dyDescent="0.25">
      <c r="A788" s="7"/>
      <c r="C788" s="70"/>
      <c r="D788" s="70"/>
      <c r="E788" s="73"/>
      <c r="F788" s="45"/>
      <c r="H788" s="9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4"/>
      <c r="U788" s="10"/>
      <c r="V788" s="10"/>
      <c r="W788" s="10"/>
      <c r="X788" s="7"/>
      <c r="Y788" s="7"/>
      <c r="Z788" s="7"/>
      <c r="AA788" s="34"/>
      <c r="AB788" s="7"/>
      <c r="AC788" s="34"/>
      <c r="AD788" s="10"/>
      <c r="AF788"/>
    </row>
    <row r="789" spans="1:32" x14ac:dyDescent="0.25">
      <c r="A789" s="7"/>
      <c r="C789" s="70"/>
      <c r="D789" s="70"/>
      <c r="E789" s="73"/>
      <c r="F789" s="9"/>
      <c r="H789" s="9"/>
      <c r="I789" s="10"/>
      <c r="J789" s="7"/>
      <c r="K789" s="7"/>
      <c r="L789" s="10"/>
      <c r="M789" s="10"/>
      <c r="N789" s="10"/>
      <c r="O789" s="10"/>
      <c r="P789" s="10"/>
      <c r="Q789" s="10"/>
      <c r="R789" s="10"/>
      <c r="S789" s="10"/>
      <c r="T789" s="14"/>
      <c r="U789" s="10"/>
      <c r="V789" s="10"/>
      <c r="W789" s="10"/>
      <c r="X789" s="7"/>
      <c r="Y789" s="7"/>
      <c r="Z789" s="34"/>
      <c r="AA789" s="34"/>
      <c r="AB789" s="7"/>
      <c r="AC789" s="34"/>
      <c r="AD789" s="10"/>
      <c r="AF789"/>
    </row>
    <row r="790" spans="1:32" x14ac:dyDescent="0.25">
      <c r="A790" s="7"/>
      <c r="C790" s="70"/>
      <c r="D790" s="70"/>
      <c r="E790" s="73"/>
      <c r="F790" s="9"/>
      <c r="H790" s="9"/>
      <c r="I790" s="10"/>
      <c r="J790" s="7"/>
      <c r="K790" s="7"/>
      <c r="L790" s="10"/>
      <c r="M790" s="10"/>
      <c r="N790" s="10"/>
      <c r="O790" s="10"/>
      <c r="P790" s="10"/>
      <c r="Q790" s="10"/>
      <c r="R790" s="10"/>
      <c r="S790" s="10"/>
      <c r="T790" s="14"/>
      <c r="U790" s="10"/>
      <c r="V790" s="10"/>
      <c r="W790" s="10"/>
      <c r="X790" s="7"/>
      <c r="Y790" s="7"/>
      <c r="Z790" s="7"/>
      <c r="AA790" s="34"/>
      <c r="AB790" s="7"/>
      <c r="AC790" s="34"/>
      <c r="AD790" s="10"/>
      <c r="AF790"/>
    </row>
    <row r="791" spans="1:32" x14ac:dyDescent="0.25">
      <c r="A791" s="7"/>
      <c r="C791" s="70"/>
      <c r="D791" s="70"/>
      <c r="E791" s="73"/>
      <c r="F791" s="9"/>
      <c r="H791" s="9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4"/>
      <c r="U791" s="10"/>
      <c r="V791" s="10"/>
      <c r="W791" s="10"/>
      <c r="X791" s="7"/>
      <c r="Y791" s="7"/>
      <c r="Z791" s="7"/>
      <c r="AA791" s="34"/>
      <c r="AB791" s="7"/>
      <c r="AC791" s="34"/>
      <c r="AD791" s="10"/>
      <c r="AF791"/>
    </row>
    <row r="792" spans="1:32" x14ac:dyDescent="0.25">
      <c r="A792" s="7"/>
      <c r="C792" s="70"/>
      <c r="D792" s="70"/>
      <c r="E792" s="73"/>
      <c r="F792" s="9"/>
      <c r="H792" s="9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4"/>
      <c r="U792" s="10"/>
      <c r="V792" s="10"/>
      <c r="W792" s="10"/>
      <c r="X792" s="7"/>
      <c r="Y792" s="7"/>
      <c r="Z792" s="7"/>
      <c r="AA792" s="34"/>
      <c r="AB792" s="7"/>
      <c r="AC792" s="34"/>
      <c r="AD792" s="10"/>
      <c r="AF792"/>
    </row>
    <row r="793" spans="1:32" x14ac:dyDescent="0.25">
      <c r="A793" s="7"/>
      <c r="C793" s="70"/>
      <c r="D793" s="70"/>
      <c r="E793" s="73"/>
      <c r="F793" s="9"/>
      <c r="H793" s="9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4"/>
      <c r="U793" s="10"/>
      <c r="V793" s="10"/>
      <c r="W793" s="10"/>
      <c r="X793" s="34"/>
      <c r="Y793" s="7"/>
      <c r="Z793" s="7"/>
      <c r="AA793" s="34"/>
      <c r="AB793" s="7"/>
      <c r="AC793" s="34"/>
      <c r="AD793" s="10"/>
      <c r="AF793"/>
    </row>
    <row r="794" spans="1:32" x14ac:dyDescent="0.25">
      <c r="A794" s="7"/>
      <c r="C794" s="70"/>
      <c r="D794" s="70"/>
      <c r="E794" s="73"/>
      <c r="F794" s="9"/>
      <c r="H794" s="9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4"/>
      <c r="U794" s="10"/>
      <c r="V794" s="10"/>
      <c r="W794" s="10"/>
      <c r="X794" s="7"/>
      <c r="Y794" s="7"/>
      <c r="Z794" s="34"/>
      <c r="AA794" s="34"/>
      <c r="AB794" s="7"/>
      <c r="AC794" s="34"/>
      <c r="AD794" s="10"/>
      <c r="AF794"/>
    </row>
    <row r="795" spans="1:32" x14ac:dyDescent="0.25">
      <c r="A795" s="7"/>
      <c r="C795" s="70"/>
      <c r="D795" s="70"/>
      <c r="E795" s="73"/>
      <c r="F795" s="9"/>
      <c r="H795" s="9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4"/>
      <c r="U795" s="10"/>
      <c r="V795" s="10"/>
      <c r="W795" s="10"/>
      <c r="X795" s="7"/>
      <c r="Y795" s="7"/>
      <c r="Z795" s="7"/>
      <c r="AA795" s="34"/>
      <c r="AB795" s="7"/>
      <c r="AC795" s="34"/>
      <c r="AD795" s="10"/>
      <c r="AF795"/>
    </row>
    <row r="796" spans="1:32" x14ac:dyDescent="0.25">
      <c r="A796" s="7"/>
      <c r="C796" s="70"/>
      <c r="D796" s="70"/>
      <c r="E796" s="73"/>
      <c r="F796" s="9"/>
      <c r="H796" s="9"/>
      <c r="I796" s="10"/>
      <c r="J796" s="10"/>
      <c r="K796" s="7"/>
      <c r="L796" s="10"/>
      <c r="M796" s="10"/>
      <c r="N796" s="10"/>
      <c r="O796" s="10"/>
      <c r="P796" s="10"/>
      <c r="Q796" s="10"/>
      <c r="R796" s="10"/>
      <c r="S796" s="10"/>
      <c r="T796" s="14"/>
      <c r="U796" s="10"/>
      <c r="V796" s="10"/>
      <c r="W796" s="10"/>
      <c r="X796" s="7"/>
      <c r="Y796" s="7"/>
      <c r="Z796" s="7"/>
      <c r="AA796" s="34"/>
      <c r="AB796" s="7"/>
      <c r="AC796" s="34"/>
      <c r="AD796" s="10"/>
      <c r="AF796"/>
    </row>
    <row r="797" spans="1:32" x14ac:dyDescent="0.25">
      <c r="A797" s="7"/>
      <c r="C797" s="70"/>
      <c r="D797" s="70"/>
      <c r="E797" s="73"/>
      <c r="F797" s="9"/>
      <c r="H797" s="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4"/>
      <c r="U797" s="10"/>
      <c r="V797" s="10"/>
      <c r="W797" s="10"/>
      <c r="X797" s="7"/>
      <c r="Y797" s="7"/>
      <c r="Z797" s="34"/>
      <c r="AA797" s="34"/>
      <c r="AB797" s="7"/>
      <c r="AC797" s="34"/>
      <c r="AD797" s="10"/>
      <c r="AF797"/>
    </row>
    <row r="798" spans="1:32" x14ac:dyDescent="0.25">
      <c r="A798" s="7"/>
      <c r="C798" s="70"/>
      <c r="D798" s="70"/>
      <c r="E798" s="73"/>
      <c r="F798" s="9"/>
      <c r="H798" s="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4"/>
      <c r="U798" s="10"/>
      <c r="V798" s="10"/>
      <c r="W798" s="10"/>
      <c r="X798" s="7"/>
      <c r="Y798" s="7"/>
      <c r="Z798" s="34"/>
      <c r="AA798" s="34"/>
      <c r="AB798" s="7"/>
      <c r="AC798" s="34"/>
      <c r="AD798" s="10"/>
      <c r="AF798"/>
    </row>
    <row r="799" spans="1:32" x14ac:dyDescent="0.25">
      <c r="A799" s="7"/>
      <c r="C799" s="70"/>
      <c r="D799" s="70"/>
      <c r="E799" s="73"/>
      <c r="F799" s="9"/>
      <c r="H799" s="9"/>
      <c r="I799" s="10"/>
      <c r="J799" s="10"/>
      <c r="K799" s="24"/>
      <c r="L799" s="10"/>
      <c r="M799" s="10"/>
      <c r="N799" s="10"/>
      <c r="O799" s="10"/>
      <c r="P799" s="10"/>
      <c r="Q799" s="10"/>
      <c r="R799" s="10"/>
      <c r="S799" s="10"/>
      <c r="T799" s="14"/>
      <c r="U799" s="10"/>
      <c r="V799" s="10"/>
      <c r="W799" s="10"/>
      <c r="X799" s="7"/>
      <c r="Y799" s="7"/>
      <c r="Z799" s="7"/>
      <c r="AA799" s="34"/>
      <c r="AB799" s="7"/>
      <c r="AC799" s="34"/>
      <c r="AD799" s="10"/>
      <c r="AF799"/>
    </row>
    <row r="800" spans="1:32" x14ac:dyDescent="0.25">
      <c r="A800" s="7"/>
      <c r="C800" s="70"/>
      <c r="D800" s="70"/>
      <c r="E800" s="73"/>
      <c r="F800" s="9"/>
      <c r="H800" s="9"/>
      <c r="I800" s="10"/>
      <c r="J800" s="7"/>
      <c r="K800" s="7"/>
      <c r="L800" s="10"/>
      <c r="M800" s="10"/>
      <c r="N800" s="10"/>
      <c r="O800" s="10"/>
      <c r="P800" s="10"/>
      <c r="Q800" s="10"/>
      <c r="R800" s="10"/>
      <c r="S800" s="10"/>
      <c r="T800" s="14"/>
      <c r="U800" s="10"/>
      <c r="V800" s="10"/>
      <c r="W800" s="10"/>
      <c r="X800" s="7"/>
      <c r="Y800" s="7"/>
      <c r="Z800" s="34"/>
      <c r="AA800" s="34"/>
      <c r="AB800" s="7"/>
      <c r="AC800" s="34"/>
      <c r="AD800" s="10"/>
      <c r="AF800"/>
    </row>
    <row r="801" spans="1:32" x14ac:dyDescent="0.25">
      <c r="A801" s="7"/>
      <c r="C801" s="70"/>
      <c r="D801" s="70"/>
      <c r="E801" s="73"/>
      <c r="F801" s="9"/>
      <c r="H801" s="9"/>
      <c r="I801" s="10"/>
      <c r="J801" s="7"/>
      <c r="K801" s="7"/>
      <c r="L801" s="10"/>
      <c r="M801" s="10"/>
      <c r="N801" s="10"/>
      <c r="O801" s="10"/>
      <c r="P801" s="10"/>
      <c r="Q801" s="10"/>
      <c r="R801" s="10"/>
      <c r="S801" s="10"/>
      <c r="T801" s="14"/>
      <c r="U801" s="10"/>
      <c r="V801" s="10"/>
      <c r="W801" s="10"/>
      <c r="X801" s="7"/>
      <c r="Y801" s="7"/>
      <c r="Z801" s="7"/>
      <c r="AA801" s="34"/>
      <c r="AB801" s="7"/>
      <c r="AC801" s="34"/>
      <c r="AD801" s="10"/>
      <c r="AF801"/>
    </row>
    <row r="802" spans="1:32" x14ac:dyDescent="0.25">
      <c r="A802" s="7"/>
      <c r="C802" s="70"/>
      <c r="D802" s="70"/>
      <c r="E802" s="73"/>
      <c r="F802" s="9"/>
      <c r="H802" s="9"/>
      <c r="I802" s="10"/>
      <c r="J802" s="7"/>
      <c r="K802" s="7"/>
      <c r="L802" s="10"/>
      <c r="M802" s="10"/>
      <c r="N802" s="10"/>
      <c r="O802" s="10"/>
      <c r="P802" s="10"/>
      <c r="Q802" s="10"/>
      <c r="R802" s="10"/>
      <c r="S802" s="10"/>
      <c r="T802" s="14"/>
      <c r="U802" s="10"/>
      <c r="V802" s="10"/>
      <c r="W802" s="10"/>
      <c r="X802" s="7"/>
      <c r="Y802" s="7"/>
      <c r="Z802" s="7"/>
      <c r="AA802" s="34"/>
      <c r="AB802" s="7"/>
      <c r="AC802" s="34"/>
      <c r="AD802" s="10"/>
      <c r="AF802"/>
    </row>
    <row r="803" spans="1:32" x14ac:dyDescent="0.25">
      <c r="A803" s="7"/>
      <c r="C803" s="70"/>
      <c r="D803" s="70"/>
      <c r="E803" s="73"/>
      <c r="F803" s="9"/>
      <c r="H803" s="9"/>
      <c r="I803" s="10"/>
      <c r="J803" s="7"/>
      <c r="K803" s="7"/>
      <c r="L803" s="10"/>
      <c r="M803" s="10"/>
      <c r="N803" s="10"/>
      <c r="O803" s="10"/>
      <c r="P803" s="10"/>
      <c r="Q803" s="10"/>
      <c r="R803" s="10"/>
      <c r="S803" s="10"/>
      <c r="T803" s="14"/>
      <c r="U803" s="10"/>
      <c r="V803" s="10"/>
      <c r="W803" s="10"/>
      <c r="X803" s="7"/>
      <c r="Y803" s="7"/>
      <c r="Z803" s="7"/>
      <c r="AA803" s="34"/>
      <c r="AB803" s="7"/>
      <c r="AC803" s="34"/>
      <c r="AD803" s="10"/>
      <c r="AF803"/>
    </row>
    <row r="804" spans="1:32" x14ac:dyDescent="0.25">
      <c r="A804" s="7"/>
      <c r="C804" s="70"/>
      <c r="D804" s="70"/>
      <c r="E804" s="73"/>
      <c r="F804" s="9"/>
      <c r="H804" s="9"/>
      <c r="I804" s="10"/>
      <c r="J804" s="7"/>
      <c r="K804" s="7"/>
      <c r="L804" s="10"/>
      <c r="M804" s="10"/>
      <c r="N804" s="10"/>
      <c r="O804" s="10"/>
      <c r="P804" s="10"/>
      <c r="Q804" s="10"/>
      <c r="R804" s="10"/>
      <c r="S804" s="10"/>
      <c r="T804" s="14"/>
      <c r="U804" s="10"/>
      <c r="V804" s="10"/>
      <c r="W804" s="10"/>
      <c r="X804" s="7"/>
      <c r="Y804" s="7"/>
      <c r="Z804" s="7"/>
      <c r="AA804" s="34"/>
      <c r="AB804" s="7"/>
      <c r="AC804" s="34"/>
      <c r="AD804" s="10"/>
      <c r="AF804"/>
    </row>
    <row r="805" spans="1:32" x14ac:dyDescent="0.25">
      <c r="A805" s="43"/>
      <c r="C805" s="70"/>
      <c r="D805" s="70"/>
      <c r="E805" s="73"/>
      <c r="F805" s="9"/>
      <c r="H805" s="9"/>
      <c r="I805" s="10"/>
      <c r="J805" s="7"/>
      <c r="K805" s="7"/>
      <c r="L805" s="10"/>
      <c r="M805" s="10"/>
      <c r="N805" s="10"/>
      <c r="O805" s="10"/>
      <c r="P805" s="10"/>
      <c r="Q805" s="10"/>
      <c r="R805" s="10"/>
      <c r="S805" s="10"/>
      <c r="T805" s="14"/>
      <c r="U805" s="10"/>
      <c r="V805" s="10"/>
      <c r="W805" s="10"/>
      <c r="X805" s="7"/>
      <c r="Y805" s="7"/>
      <c r="Z805" s="7"/>
      <c r="AA805" s="34"/>
      <c r="AB805" s="7"/>
      <c r="AC805" s="34"/>
      <c r="AD805" s="10"/>
      <c r="AF805"/>
    </row>
    <row r="806" spans="1:32" x14ac:dyDescent="0.25">
      <c r="A806" s="7"/>
      <c r="C806" s="70"/>
      <c r="D806" s="70"/>
      <c r="E806" s="73"/>
      <c r="F806" s="9"/>
      <c r="H806" s="9"/>
      <c r="I806" s="10"/>
      <c r="J806" s="10"/>
      <c r="K806" s="7"/>
      <c r="L806" s="10"/>
      <c r="M806" s="10"/>
      <c r="N806" s="10"/>
      <c r="O806" s="10"/>
      <c r="P806" s="10"/>
      <c r="Q806" s="10"/>
      <c r="R806" s="10"/>
      <c r="S806" s="10"/>
      <c r="T806" s="14"/>
      <c r="U806" s="10"/>
      <c r="V806" s="10"/>
      <c r="W806" s="10"/>
      <c r="X806" s="7"/>
      <c r="Y806" s="7"/>
      <c r="Z806" s="7"/>
      <c r="AA806" s="34"/>
      <c r="AB806" s="7"/>
      <c r="AC806" s="34"/>
      <c r="AD806" s="10"/>
      <c r="AF806"/>
    </row>
    <row r="807" spans="1:32" x14ac:dyDescent="0.25">
      <c r="A807" s="7"/>
      <c r="C807" s="70"/>
      <c r="D807" s="70"/>
      <c r="E807" s="78"/>
      <c r="F807" s="48"/>
      <c r="H807" s="9"/>
      <c r="I807" s="10"/>
      <c r="J807" s="7"/>
      <c r="K807" s="7"/>
      <c r="L807" s="10"/>
      <c r="M807" s="10"/>
      <c r="N807" s="10"/>
      <c r="O807" s="10"/>
      <c r="P807" s="10"/>
      <c r="Q807" s="10"/>
      <c r="R807" s="10"/>
      <c r="S807" s="10"/>
      <c r="T807" s="14"/>
      <c r="U807" s="10"/>
      <c r="V807" s="10"/>
      <c r="W807" s="10"/>
      <c r="X807" s="7"/>
      <c r="Y807" s="7"/>
      <c r="Z807" s="7"/>
      <c r="AA807" s="34"/>
      <c r="AB807" s="7"/>
      <c r="AC807" s="34"/>
      <c r="AD807" s="10"/>
      <c r="AF807"/>
    </row>
    <row r="808" spans="1:32" x14ac:dyDescent="0.25">
      <c r="A808" s="7"/>
      <c r="C808" s="70"/>
      <c r="D808" s="70"/>
      <c r="E808" s="73"/>
      <c r="F808" s="9"/>
      <c r="H808" s="9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4"/>
      <c r="U808" s="10"/>
      <c r="V808" s="10"/>
      <c r="W808" s="10"/>
      <c r="X808" s="7"/>
      <c r="Y808" s="7"/>
      <c r="Z808" s="7"/>
      <c r="AA808" s="34"/>
      <c r="AB808" s="7"/>
      <c r="AC808" s="34"/>
      <c r="AD808" s="10"/>
      <c r="AF808"/>
    </row>
    <row r="809" spans="1:32" x14ac:dyDescent="0.25">
      <c r="A809" s="7"/>
      <c r="C809" s="70"/>
      <c r="D809" s="70"/>
      <c r="E809" s="73"/>
      <c r="F809" s="9"/>
      <c r="H809" s="9"/>
      <c r="I809" s="10"/>
      <c r="J809" s="7"/>
      <c r="K809" s="7"/>
      <c r="L809" s="10"/>
      <c r="M809" s="10"/>
      <c r="N809" s="10"/>
      <c r="O809" s="10"/>
      <c r="P809" s="10"/>
      <c r="Q809" s="10"/>
      <c r="R809" s="10"/>
      <c r="S809" s="10"/>
      <c r="T809" s="14"/>
      <c r="U809" s="10"/>
      <c r="V809" s="10"/>
      <c r="W809" s="10"/>
      <c r="X809" s="7"/>
      <c r="Y809" s="7"/>
      <c r="Z809" s="7"/>
      <c r="AA809" s="34"/>
      <c r="AB809" s="7"/>
      <c r="AC809" s="34"/>
      <c r="AD809" s="10"/>
      <c r="AF809"/>
    </row>
    <row r="810" spans="1:32" x14ac:dyDescent="0.25">
      <c r="A810" s="7"/>
      <c r="C810" s="70"/>
      <c r="D810" s="70"/>
      <c r="E810" s="73"/>
      <c r="F810" s="9"/>
      <c r="H810" s="9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4"/>
      <c r="U810" s="10"/>
      <c r="V810" s="10"/>
      <c r="W810" s="10"/>
      <c r="X810" s="7"/>
      <c r="Y810" s="7"/>
      <c r="Z810" s="7"/>
      <c r="AA810" s="34"/>
      <c r="AB810" s="7"/>
      <c r="AC810" s="34"/>
      <c r="AD810" s="10"/>
      <c r="AF810"/>
    </row>
    <row r="811" spans="1:32" x14ac:dyDescent="0.25">
      <c r="A811" s="7"/>
      <c r="C811" s="70"/>
      <c r="D811" s="70"/>
      <c r="E811" s="73"/>
      <c r="F811" s="45"/>
      <c r="H811" s="9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4"/>
      <c r="U811" s="10"/>
      <c r="V811" s="10"/>
      <c r="W811" s="10"/>
      <c r="X811" s="7"/>
      <c r="Y811" s="7"/>
      <c r="Z811" s="7"/>
      <c r="AA811" s="34"/>
      <c r="AB811" s="7"/>
      <c r="AC811" s="34"/>
      <c r="AD811" s="10"/>
      <c r="AF811"/>
    </row>
    <row r="812" spans="1:32" x14ac:dyDescent="0.25">
      <c r="A812" s="7"/>
      <c r="C812" s="70"/>
      <c r="D812" s="70"/>
      <c r="E812" s="73"/>
      <c r="F812" s="9"/>
      <c r="H812" s="9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4"/>
      <c r="U812" s="10"/>
      <c r="V812" s="10"/>
      <c r="W812" s="10"/>
      <c r="X812" s="7"/>
      <c r="Y812" s="34"/>
      <c r="Z812" s="7"/>
      <c r="AA812" s="34"/>
      <c r="AB812" s="7"/>
      <c r="AC812" s="34"/>
      <c r="AD812" s="10"/>
      <c r="AF812"/>
    </row>
    <row r="813" spans="1:32" x14ac:dyDescent="0.25">
      <c r="A813" s="7"/>
      <c r="C813" s="70"/>
      <c r="D813" s="70"/>
      <c r="E813" s="73"/>
      <c r="F813" s="9"/>
      <c r="H813" s="9"/>
      <c r="I813" s="10"/>
      <c r="J813" s="10"/>
      <c r="K813" s="7"/>
      <c r="L813" s="10"/>
      <c r="M813" s="10"/>
      <c r="N813" s="10"/>
      <c r="O813" s="10"/>
      <c r="P813" s="10"/>
      <c r="Q813" s="10"/>
      <c r="R813" s="10"/>
      <c r="S813" s="10"/>
      <c r="T813" s="14"/>
      <c r="U813" s="10"/>
      <c r="V813" s="10"/>
      <c r="W813" s="10"/>
      <c r="X813" s="7"/>
      <c r="Y813" s="7"/>
      <c r="Z813" s="7"/>
      <c r="AA813" s="34"/>
      <c r="AB813" s="7"/>
      <c r="AC813" s="34"/>
      <c r="AD813" s="10"/>
      <c r="AF813"/>
    </row>
    <row r="814" spans="1:32" x14ac:dyDescent="0.25">
      <c r="A814" s="7"/>
      <c r="C814" s="70"/>
      <c r="D814" s="70"/>
      <c r="E814" s="73"/>
      <c r="F814" s="9"/>
      <c r="H814" s="9"/>
      <c r="I814" s="10"/>
      <c r="J814" s="10"/>
      <c r="K814" s="24"/>
      <c r="L814" s="10"/>
      <c r="M814" s="10"/>
      <c r="N814" s="10"/>
      <c r="O814" s="10"/>
      <c r="P814" s="10"/>
      <c r="Q814" s="10"/>
      <c r="R814" s="10"/>
      <c r="S814" s="10"/>
      <c r="T814" s="14"/>
      <c r="U814" s="10"/>
      <c r="V814" s="10"/>
      <c r="W814" s="10"/>
      <c r="X814" s="7"/>
      <c r="Y814" s="7"/>
      <c r="Z814" s="7"/>
      <c r="AA814" s="34"/>
      <c r="AB814" s="7"/>
      <c r="AC814" s="34"/>
      <c r="AD814" s="10"/>
      <c r="AF814"/>
    </row>
    <row r="815" spans="1:32" x14ac:dyDescent="0.25">
      <c r="A815" s="7"/>
      <c r="C815" s="70"/>
      <c r="D815" s="70"/>
      <c r="E815" s="73"/>
      <c r="F815" s="45"/>
      <c r="H815" s="9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4"/>
      <c r="U815" s="10"/>
      <c r="V815" s="10"/>
      <c r="W815" s="10"/>
      <c r="X815" s="7"/>
      <c r="Y815" s="34"/>
      <c r="Z815" s="34"/>
      <c r="AA815" s="34"/>
      <c r="AB815" s="7"/>
      <c r="AC815" s="34"/>
      <c r="AD815" s="10"/>
      <c r="AF815"/>
    </row>
    <row r="816" spans="1:32" x14ac:dyDescent="0.25">
      <c r="A816" s="7"/>
      <c r="C816" s="70"/>
      <c r="D816" s="70"/>
      <c r="E816" s="73"/>
      <c r="F816" s="45"/>
      <c r="H816" s="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4"/>
      <c r="U816" s="10"/>
      <c r="V816" s="10"/>
      <c r="W816" s="10"/>
      <c r="X816" s="7"/>
      <c r="Y816" s="34"/>
      <c r="Z816" s="7"/>
      <c r="AA816" s="34"/>
      <c r="AB816" s="7"/>
      <c r="AC816" s="34"/>
      <c r="AD816" s="10"/>
      <c r="AF816"/>
    </row>
    <row r="817" spans="1:32" x14ac:dyDescent="0.25">
      <c r="A817" s="7"/>
      <c r="C817" s="70"/>
      <c r="D817" s="70"/>
      <c r="E817" s="73"/>
      <c r="F817" s="45"/>
      <c r="H817" s="9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4"/>
      <c r="U817" s="10"/>
      <c r="V817" s="10"/>
      <c r="W817" s="10"/>
      <c r="X817" s="7"/>
      <c r="Y817" s="34"/>
      <c r="Z817" s="7"/>
      <c r="AA817" s="34"/>
      <c r="AB817" s="7"/>
      <c r="AC817" s="34"/>
      <c r="AD817" s="10"/>
      <c r="AF817"/>
    </row>
    <row r="818" spans="1:32" x14ac:dyDescent="0.25">
      <c r="A818" s="7"/>
      <c r="C818" s="70"/>
      <c r="D818" s="70"/>
      <c r="E818" s="73"/>
      <c r="F818" s="9"/>
      <c r="H818" s="9"/>
      <c r="I818" s="10"/>
      <c r="J818" s="7"/>
      <c r="K818" s="7"/>
      <c r="L818" s="10"/>
      <c r="M818" s="10"/>
      <c r="N818" s="10"/>
      <c r="O818" s="10"/>
      <c r="P818" s="10"/>
      <c r="Q818" s="10"/>
      <c r="R818" s="10"/>
      <c r="S818" s="10"/>
      <c r="T818" s="14"/>
      <c r="U818" s="10"/>
      <c r="V818" s="10"/>
      <c r="W818" s="10"/>
      <c r="X818" s="7"/>
      <c r="Y818" s="7"/>
      <c r="Z818" s="7"/>
      <c r="AA818" s="34"/>
      <c r="AB818" s="7"/>
      <c r="AC818" s="34"/>
      <c r="AD818" s="10"/>
      <c r="AF818"/>
    </row>
    <row r="819" spans="1:32" x14ac:dyDescent="0.25">
      <c r="A819" s="7"/>
      <c r="C819" s="70"/>
      <c r="D819" s="70"/>
      <c r="E819" s="73"/>
      <c r="F819" s="9"/>
      <c r="H819" s="9"/>
      <c r="I819" s="10"/>
      <c r="J819" s="7"/>
      <c r="K819" s="7"/>
      <c r="L819" s="10"/>
      <c r="M819" s="10"/>
      <c r="N819" s="10"/>
      <c r="O819" s="10"/>
      <c r="P819" s="10"/>
      <c r="Q819" s="10"/>
      <c r="R819" s="10"/>
      <c r="S819" s="10"/>
      <c r="T819" s="14"/>
      <c r="U819" s="10"/>
      <c r="V819" s="10"/>
      <c r="W819" s="10"/>
      <c r="X819" s="7"/>
      <c r="Y819" s="7"/>
      <c r="Z819" s="34"/>
      <c r="AA819" s="34"/>
      <c r="AB819" s="7"/>
      <c r="AC819" s="34"/>
      <c r="AD819" s="10"/>
      <c r="AF819"/>
    </row>
    <row r="820" spans="1:32" x14ac:dyDescent="0.25">
      <c r="A820" s="7"/>
      <c r="C820" s="70"/>
      <c r="D820" s="70"/>
      <c r="E820" s="73"/>
      <c r="F820" s="9"/>
      <c r="H820" s="9"/>
      <c r="I820" s="10"/>
      <c r="J820" s="7"/>
      <c r="K820" s="7"/>
      <c r="L820" s="10"/>
      <c r="M820" s="10"/>
      <c r="N820" s="10"/>
      <c r="O820" s="10"/>
      <c r="P820" s="10"/>
      <c r="Q820" s="10"/>
      <c r="R820" s="10"/>
      <c r="S820" s="10"/>
      <c r="T820" s="14"/>
      <c r="U820" s="10"/>
      <c r="V820" s="10"/>
      <c r="W820" s="10"/>
      <c r="X820" s="7"/>
      <c r="Y820" s="7"/>
      <c r="Z820" s="34"/>
      <c r="AA820" s="34"/>
      <c r="AB820" s="7"/>
      <c r="AC820" s="34"/>
      <c r="AD820" s="10"/>
      <c r="AF820"/>
    </row>
    <row r="821" spans="1:32" x14ac:dyDescent="0.25">
      <c r="A821" s="7"/>
      <c r="C821" s="70"/>
      <c r="D821" s="70"/>
      <c r="E821" s="73"/>
      <c r="F821" s="45"/>
      <c r="H821" s="9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4"/>
      <c r="U821" s="10"/>
      <c r="V821" s="10"/>
      <c r="W821" s="10"/>
      <c r="X821" s="7"/>
      <c r="Y821" s="34"/>
      <c r="Z821" s="7"/>
      <c r="AA821" s="34"/>
      <c r="AB821" s="7"/>
      <c r="AC821" s="34"/>
      <c r="AD821" s="10"/>
      <c r="AF821"/>
    </row>
    <row r="822" spans="1:32" x14ac:dyDescent="0.25">
      <c r="A822" s="7"/>
      <c r="C822" s="70"/>
      <c r="D822" s="70"/>
      <c r="E822" s="73"/>
      <c r="F822" s="9"/>
      <c r="H822" s="9"/>
      <c r="I822" s="10"/>
      <c r="J822" s="10"/>
      <c r="K822" s="7"/>
      <c r="L822" s="10"/>
      <c r="M822" s="10"/>
      <c r="N822" s="10"/>
      <c r="O822" s="10"/>
      <c r="P822" s="10"/>
      <c r="Q822" s="10"/>
      <c r="R822" s="10"/>
      <c r="S822" s="10"/>
      <c r="T822" s="14"/>
      <c r="U822" s="10"/>
      <c r="V822" s="10"/>
      <c r="W822" s="10"/>
      <c r="X822" s="7"/>
      <c r="Y822" s="34"/>
      <c r="Z822" s="7"/>
      <c r="AA822" s="34"/>
      <c r="AB822" s="7"/>
      <c r="AC822" s="34"/>
      <c r="AD822" s="10"/>
      <c r="AF822"/>
    </row>
    <row r="823" spans="1:32" x14ac:dyDescent="0.25">
      <c r="A823" s="7"/>
      <c r="C823" s="70"/>
      <c r="D823" s="70"/>
      <c r="E823" s="73"/>
      <c r="F823" s="9"/>
      <c r="H823" s="9"/>
      <c r="I823" s="10"/>
      <c r="J823" s="7"/>
      <c r="K823" s="7"/>
      <c r="L823" s="10"/>
      <c r="M823" s="10"/>
      <c r="N823" s="10"/>
      <c r="O823" s="10"/>
      <c r="P823" s="10"/>
      <c r="Q823" s="10"/>
      <c r="R823" s="10"/>
      <c r="S823" s="10"/>
      <c r="T823" s="14"/>
      <c r="U823" s="10"/>
      <c r="V823" s="10"/>
      <c r="W823" s="10"/>
      <c r="X823" s="7"/>
      <c r="Y823" s="7"/>
      <c r="Z823" s="34"/>
      <c r="AA823" s="34"/>
      <c r="AB823" s="7"/>
      <c r="AC823" s="34"/>
      <c r="AD823" s="10"/>
      <c r="AF823"/>
    </row>
    <row r="824" spans="1:32" x14ac:dyDescent="0.25">
      <c r="A824" s="7"/>
      <c r="C824" s="70"/>
      <c r="D824" s="70"/>
      <c r="E824" s="73"/>
      <c r="F824" s="9"/>
      <c r="H824" s="9"/>
      <c r="I824" s="10"/>
      <c r="J824" s="7"/>
      <c r="K824" s="7"/>
      <c r="L824" s="10"/>
      <c r="M824" s="10"/>
      <c r="N824" s="10"/>
      <c r="O824" s="10"/>
      <c r="P824" s="10"/>
      <c r="Q824" s="10"/>
      <c r="R824" s="10"/>
      <c r="S824" s="10"/>
      <c r="T824" s="14"/>
      <c r="U824" s="10"/>
      <c r="V824" s="10"/>
      <c r="W824" s="10"/>
      <c r="X824" s="7"/>
      <c r="Y824" s="7"/>
      <c r="Z824" s="7"/>
      <c r="AA824" s="34"/>
      <c r="AB824" s="7"/>
      <c r="AC824" s="34"/>
      <c r="AD824" s="10"/>
      <c r="AF824"/>
    </row>
    <row r="825" spans="1:32" x14ac:dyDescent="0.25">
      <c r="A825" s="7"/>
      <c r="C825" s="70"/>
      <c r="D825" s="70"/>
      <c r="E825" s="73"/>
      <c r="F825" s="9"/>
      <c r="H825" s="9"/>
      <c r="I825" s="10"/>
      <c r="J825" s="7"/>
      <c r="K825" s="7"/>
      <c r="L825" s="10"/>
      <c r="M825" s="10"/>
      <c r="N825" s="10"/>
      <c r="O825" s="10"/>
      <c r="P825" s="10"/>
      <c r="Q825" s="10"/>
      <c r="R825" s="10"/>
      <c r="S825" s="10"/>
      <c r="T825" s="14"/>
      <c r="U825" s="10"/>
      <c r="V825" s="10"/>
      <c r="W825" s="10"/>
      <c r="X825" s="7"/>
      <c r="Y825" s="7"/>
      <c r="Z825" s="7"/>
      <c r="AA825" s="34"/>
      <c r="AB825" s="7"/>
      <c r="AC825" s="34"/>
      <c r="AD825" s="10"/>
      <c r="AF825"/>
    </row>
    <row r="826" spans="1:32" x14ac:dyDescent="0.25">
      <c r="A826" s="7"/>
      <c r="C826" s="70"/>
      <c r="D826" s="70"/>
      <c r="E826" s="73"/>
      <c r="F826" s="9"/>
      <c r="H826" s="9"/>
      <c r="I826" s="10"/>
      <c r="J826" s="7"/>
      <c r="K826" s="7"/>
      <c r="L826" s="10"/>
      <c r="M826" s="10"/>
      <c r="N826" s="10"/>
      <c r="O826" s="10"/>
      <c r="P826" s="10"/>
      <c r="Q826" s="10"/>
      <c r="R826" s="10"/>
      <c r="S826" s="10"/>
      <c r="T826" s="14"/>
      <c r="U826" s="10"/>
      <c r="V826" s="10"/>
      <c r="W826" s="10"/>
      <c r="X826" s="7"/>
      <c r="Y826" s="7"/>
      <c r="Z826" s="34"/>
      <c r="AA826" s="34"/>
      <c r="AB826" s="7"/>
      <c r="AC826" s="34"/>
      <c r="AD826" s="10"/>
      <c r="AF826"/>
    </row>
    <row r="827" spans="1:32" x14ac:dyDescent="0.25">
      <c r="A827" s="7"/>
      <c r="C827" s="70"/>
      <c r="D827" s="70"/>
      <c r="E827" s="73"/>
      <c r="F827" s="9"/>
      <c r="H827" s="9"/>
      <c r="I827" s="10"/>
      <c r="J827" s="7"/>
      <c r="K827" s="7"/>
      <c r="L827" s="10"/>
      <c r="M827" s="10"/>
      <c r="N827" s="10"/>
      <c r="O827" s="10"/>
      <c r="P827" s="10"/>
      <c r="Q827" s="10"/>
      <c r="R827" s="10"/>
      <c r="S827" s="10"/>
      <c r="T827" s="14"/>
      <c r="U827" s="10"/>
      <c r="V827" s="10"/>
      <c r="W827" s="10"/>
      <c r="X827" s="7"/>
      <c r="Y827" s="7"/>
      <c r="Z827" s="34"/>
      <c r="AA827" s="34"/>
      <c r="AB827" s="7"/>
      <c r="AC827" s="34"/>
      <c r="AD827" s="10"/>
      <c r="AF827"/>
    </row>
    <row r="828" spans="1:32" x14ac:dyDescent="0.25">
      <c r="A828" s="7"/>
      <c r="C828" s="70"/>
      <c r="D828" s="70"/>
      <c r="E828" s="73"/>
      <c r="F828" s="9"/>
      <c r="H828" s="9"/>
      <c r="I828" s="10"/>
      <c r="J828" s="61"/>
      <c r="K828" s="10"/>
      <c r="L828" s="10"/>
      <c r="M828" s="10"/>
      <c r="N828" s="10"/>
      <c r="O828" s="10"/>
      <c r="P828" s="10"/>
      <c r="Q828" s="10"/>
      <c r="R828" s="10"/>
      <c r="S828" s="10"/>
      <c r="T828" s="14"/>
      <c r="U828" s="10"/>
      <c r="V828" s="10"/>
      <c r="W828" s="10"/>
      <c r="X828" s="7"/>
      <c r="Y828" s="7"/>
      <c r="Z828" s="7"/>
      <c r="AA828" s="34"/>
      <c r="AB828" s="7"/>
      <c r="AC828" s="34"/>
      <c r="AD828" s="10"/>
      <c r="AF828"/>
    </row>
    <row r="829" spans="1:32" x14ac:dyDescent="0.25">
      <c r="A829" s="7"/>
      <c r="C829" s="70"/>
      <c r="D829" s="70"/>
      <c r="E829" s="73"/>
      <c r="F829" s="9"/>
      <c r="H829" s="9"/>
      <c r="I829" s="10"/>
      <c r="J829" s="7"/>
      <c r="K829" s="7"/>
      <c r="L829" s="10"/>
      <c r="M829" s="10"/>
      <c r="N829" s="10"/>
      <c r="O829" s="10"/>
      <c r="P829" s="10"/>
      <c r="Q829" s="10"/>
      <c r="R829" s="10"/>
      <c r="S829" s="10"/>
      <c r="T829" s="14"/>
      <c r="U829" s="10"/>
      <c r="V829" s="10"/>
      <c r="W829" s="10"/>
      <c r="X829" s="7"/>
      <c r="Y829" s="7"/>
      <c r="Z829" s="7"/>
      <c r="AA829" s="34"/>
      <c r="AB829" s="7"/>
      <c r="AC829" s="34"/>
      <c r="AD829" s="10"/>
      <c r="AF829"/>
    </row>
    <row r="830" spans="1:32" x14ac:dyDescent="0.25">
      <c r="A830" s="7"/>
      <c r="C830" s="70"/>
      <c r="D830" s="70"/>
      <c r="E830" s="73"/>
      <c r="F830" s="9"/>
      <c r="H830" s="9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4"/>
      <c r="U830" s="10"/>
      <c r="V830" s="10"/>
      <c r="W830" s="10"/>
      <c r="X830" s="7"/>
      <c r="Y830" s="7"/>
      <c r="Z830" s="7"/>
      <c r="AA830" s="34"/>
      <c r="AB830" s="7"/>
      <c r="AC830" s="34"/>
      <c r="AD830" s="10"/>
      <c r="AF830"/>
    </row>
    <row r="831" spans="1:32" x14ac:dyDescent="0.25">
      <c r="A831" s="7"/>
      <c r="C831" s="70"/>
      <c r="D831" s="70"/>
      <c r="E831" s="73"/>
      <c r="F831" s="9"/>
      <c r="H831" s="9"/>
      <c r="I831" s="10"/>
      <c r="J831" s="7"/>
      <c r="K831" s="7"/>
      <c r="L831" s="10"/>
      <c r="M831" s="10"/>
      <c r="N831" s="10"/>
      <c r="O831" s="10"/>
      <c r="P831" s="10"/>
      <c r="Q831" s="10"/>
      <c r="R831" s="10"/>
      <c r="S831" s="10"/>
      <c r="T831" s="14"/>
      <c r="U831" s="10"/>
      <c r="V831" s="10"/>
      <c r="W831" s="10"/>
      <c r="X831" s="7"/>
      <c r="Y831" s="7"/>
      <c r="Z831" s="7"/>
      <c r="AA831" s="34"/>
      <c r="AB831" s="7"/>
      <c r="AC831" s="34"/>
      <c r="AD831" s="10"/>
      <c r="AF831"/>
    </row>
    <row r="832" spans="1:32" x14ac:dyDescent="0.25">
      <c r="A832" s="7"/>
      <c r="C832" s="70"/>
      <c r="D832" s="70"/>
      <c r="E832" s="73"/>
      <c r="F832" s="9"/>
      <c r="H832" s="9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4"/>
      <c r="U832" s="10"/>
      <c r="V832" s="10"/>
      <c r="W832" s="10"/>
      <c r="X832" s="7"/>
      <c r="Y832" s="7"/>
      <c r="Z832" s="7"/>
      <c r="AA832" s="34"/>
      <c r="AB832" s="7"/>
      <c r="AC832" s="34"/>
      <c r="AD832" s="10"/>
      <c r="AF832"/>
    </row>
    <row r="833" spans="1:32" x14ac:dyDescent="0.25">
      <c r="A833" s="7"/>
      <c r="C833" s="70"/>
      <c r="D833" s="70"/>
      <c r="E833" s="73"/>
      <c r="F833" s="48"/>
      <c r="H833" s="9"/>
      <c r="I833" s="10"/>
      <c r="J833" s="7"/>
      <c r="K833" s="7"/>
      <c r="L833" s="10"/>
      <c r="M833" s="10"/>
      <c r="N833" s="10"/>
      <c r="O833" s="10"/>
      <c r="P833" s="10"/>
      <c r="Q833" s="10"/>
      <c r="R833" s="10"/>
      <c r="S833" s="10"/>
      <c r="T833" s="14"/>
      <c r="U833" s="10"/>
      <c r="V833" s="10"/>
      <c r="W833" s="10"/>
      <c r="X833" s="7"/>
      <c r="Y833" s="7"/>
      <c r="Z833" s="7"/>
      <c r="AA833" s="34"/>
      <c r="AB833" s="7"/>
      <c r="AC833" s="34"/>
      <c r="AD833" s="10"/>
      <c r="AF833"/>
    </row>
    <row r="834" spans="1:32" x14ac:dyDescent="0.25">
      <c r="A834" s="7"/>
      <c r="C834" s="70"/>
      <c r="D834" s="70"/>
      <c r="E834" s="73"/>
      <c r="F834" s="9"/>
      <c r="H834" s="9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4"/>
      <c r="U834" s="10"/>
      <c r="V834" s="10"/>
      <c r="W834" s="10"/>
      <c r="X834" s="7"/>
      <c r="Y834" s="7"/>
      <c r="Z834" s="34"/>
      <c r="AA834" s="34"/>
      <c r="AB834" s="7"/>
      <c r="AC834" s="34"/>
      <c r="AD834" s="10"/>
      <c r="AF834"/>
    </row>
    <row r="835" spans="1:32" x14ac:dyDescent="0.25">
      <c r="A835" s="7"/>
      <c r="C835" s="70"/>
      <c r="D835" s="70"/>
      <c r="E835" s="73"/>
      <c r="F835" s="48"/>
      <c r="H835" s="9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4"/>
      <c r="U835" s="10"/>
      <c r="V835" s="10"/>
      <c r="W835" s="10"/>
      <c r="X835" s="7"/>
      <c r="Y835" s="34"/>
      <c r="Z835" s="7"/>
      <c r="AA835" s="34"/>
      <c r="AB835" s="7"/>
      <c r="AC835" s="34"/>
      <c r="AD835" s="10"/>
      <c r="AF835"/>
    </row>
    <row r="836" spans="1:32" x14ac:dyDescent="0.25">
      <c r="A836" s="7"/>
      <c r="C836" s="70"/>
      <c r="D836" s="70"/>
      <c r="E836" s="73"/>
      <c r="F836" s="9"/>
      <c r="H836" s="9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4"/>
      <c r="U836" s="10"/>
      <c r="V836" s="10"/>
      <c r="W836" s="10"/>
      <c r="X836" s="7"/>
      <c r="Y836" s="7"/>
      <c r="Z836" s="7"/>
      <c r="AA836" s="34"/>
      <c r="AB836" s="7"/>
      <c r="AC836" s="34"/>
      <c r="AD836" s="10"/>
      <c r="AF836"/>
    </row>
    <row r="837" spans="1:32" x14ac:dyDescent="0.25">
      <c r="A837" s="7"/>
      <c r="C837" s="70"/>
      <c r="D837" s="70"/>
      <c r="E837" s="73"/>
      <c r="F837" s="9"/>
      <c r="H837" s="9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4"/>
      <c r="U837" s="10"/>
      <c r="V837" s="10"/>
      <c r="W837" s="10"/>
      <c r="X837" s="7"/>
      <c r="Y837" s="7"/>
      <c r="Z837" s="7"/>
      <c r="AA837" s="34"/>
      <c r="AB837" s="7"/>
      <c r="AC837" s="34"/>
      <c r="AD837" s="10"/>
      <c r="AF837"/>
    </row>
    <row r="838" spans="1:32" x14ac:dyDescent="0.25">
      <c r="A838" s="7"/>
      <c r="C838" s="70"/>
      <c r="D838" s="70"/>
      <c r="E838" s="73"/>
      <c r="F838" s="9"/>
      <c r="H838" s="9"/>
      <c r="I838" s="10"/>
      <c r="J838" s="7"/>
      <c r="K838" s="7"/>
      <c r="L838" s="10"/>
      <c r="M838" s="10"/>
      <c r="N838" s="10"/>
      <c r="O838" s="10"/>
      <c r="P838" s="10"/>
      <c r="Q838" s="10"/>
      <c r="R838" s="10"/>
      <c r="S838" s="10"/>
      <c r="T838" s="14"/>
      <c r="U838" s="10"/>
      <c r="V838" s="10"/>
      <c r="W838" s="10"/>
      <c r="X838" s="7"/>
      <c r="Y838" s="7"/>
      <c r="Z838" s="7"/>
      <c r="AA838" s="34"/>
      <c r="AB838" s="7"/>
      <c r="AC838" s="34"/>
      <c r="AD838" s="10"/>
      <c r="AF838"/>
    </row>
    <row r="839" spans="1:32" x14ac:dyDescent="0.25">
      <c r="A839" s="7"/>
      <c r="C839" s="70"/>
      <c r="D839" s="70"/>
      <c r="E839" s="73"/>
      <c r="F839" s="9"/>
      <c r="H839" s="9"/>
      <c r="I839" s="10"/>
      <c r="J839" s="10"/>
      <c r="K839" s="24"/>
      <c r="L839" s="10"/>
      <c r="M839" s="10"/>
      <c r="N839" s="10"/>
      <c r="O839" s="10"/>
      <c r="P839" s="10"/>
      <c r="Q839" s="10"/>
      <c r="R839" s="10"/>
      <c r="S839" s="10"/>
      <c r="T839" s="14"/>
      <c r="U839" s="10"/>
      <c r="V839" s="10"/>
      <c r="W839" s="10"/>
      <c r="X839" s="7"/>
      <c r="Y839" s="7"/>
      <c r="Z839" s="7"/>
      <c r="AA839" s="34"/>
      <c r="AB839" s="7"/>
      <c r="AC839" s="34"/>
      <c r="AD839" s="10"/>
      <c r="AF839"/>
    </row>
    <row r="840" spans="1:32" x14ac:dyDescent="0.25">
      <c r="A840" s="7"/>
      <c r="C840" s="70"/>
      <c r="D840" s="70"/>
      <c r="E840" s="73"/>
      <c r="F840" s="9"/>
      <c r="H840" s="9"/>
      <c r="I840" s="10"/>
      <c r="J840" s="10"/>
      <c r="K840" s="7"/>
      <c r="L840" s="10"/>
      <c r="M840" s="10"/>
      <c r="N840" s="10"/>
      <c r="O840" s="10"/>
      <c r="P840" s="10"/>
      <c r="Q840" s="10"/>
      <c r="R840" s="10"/>
      <c r="S840" s="10"/>
      <c r="T840" s="14"/>
      <c r="U840" s="10"/>
      <c r="V840" s="10"/>
      <c r="W840" s="10"/>
      <c r="X840" s="7"/>
      <c r="Y840" s="7"/>
      <c r="Z840" s="7"/>
      <c r="AA840" s="34"/>
      <c r="AB840" s="7"/>
      <c r="AC840" s="34"/>
      <c r="AD840" s="10"/>
      <c r="AF840"/>
    </row>
    <row r="841" spans="1:32" x14ac:dyDescent="0.25">
      <c r="A841" s="7"/>
      <c r="C841" s="70"/>
      <c r="D841" s="70"/>
      <c r="E841" s="73"/>
      <c r="F841" s="9"/>
      <c r="H841" s="9"/>
      <c r="I841" s="10"/>
      <c r="J841" s="7"/>
      <c r="K841" s="7"/>
      <c r="L841" s="10"/>
      <c r="M841" s="10"/>
      <c r="N841" s="10"/>
      <c r="O841" s="10"/>
      <c r="P841" s="10"/>
      <c r="Q841" s="10"/>
      <c r="R841" s="10"/>
      <c r="S841" s="10"/>
      <c r="T841" s="14"/>
      <c r="U841" s="10"/>
      <c r="V841" s="10"/>
      <c r="W841" s="10"/>
      <c r="X841" s="7"/>
      <c r="Y841" s="7"/>
      <c r="Z841" s="7"/>
      <c r="AA841" s="34"/>
      <c r="AB841" s="7"/>
      <c r="AC841" s="34"/>
      <c r="AD841" s="10"/>
      <c r="AF841"/>
    </row>
    <row r="842" spans="1:32" x14ac:dyDescent="0.25">
      <c r="A842" s="7"/>
      <c r="C842" s="70"/>
      <c r="D842" s="70"/>
      <c r="E842" s="73"/>
      <c r="F842" s="9"/>
      <c r="H842" s="9"/>
      <c r="I842" s="10"/>
      <c r="J842" s="7"/>
      <c r="K842" s="7"/>
      <c r="L842" s="10"/>
      <c r="M842" s="10"/>
      <c r="N842" s="10"/>
      <c r="O842" s="10"/>
      <c r="P842" s="10"/>
      <c r="Q842" s="10"/>
      <c r="R842" s="10"/>
      <c r="S842" s="10"/>
      <c r="T842" s="14"/>
      <c r="U842" s="10"/>
      <c r="V842" s="10"/>
      <c r="W842" s="10"/>
      <c r="X842" s="7"/>
      <c r="Y842" s="7"/>
      <c r="Z842" s="7"/>
      <c r="AA842" s="34"/>
      <c r="AB842" s="7"/>
      <c r="AC842" s="34"/>
      <c r="AD842" s="10"/>
      <c r="AF842"/>
    </row>
    <row r="843" spans="1:32" x14ac:dyDescent="0.25">
      <c r="A843" s="7"/>
      <c r="C843" s="70"/>
      <c r="D843" s="70"/>
      <c r="E843" s="73"/>
      <c r="F843" s="9"/>
      <c r="H843" s="9"/>
      <c r="I843" s="10"/>
      <c r="J843" s="10"/>
      <c r="K843" s="7"/>
      <c r="L843" s="10"/>
      <c r="M843" s="10"/>
      <c r="N843" s="10"/>
      <c r="O843" s="10"/>
      <c r="P843" s="10"/>
      <c r="Q843" s="10"/>
      <c r="R843" s="10"/>
      <c r="S843" s="10"/>
      <c r="T843" s="14"/>
      <c r="U843" s="10"/>
      <c r="V843" s="10"/>
      <c r="W843" s="10"/>
      <c r="X843" s="7"/>
      <c r="Y843" s="7"/>
      <c r="Z843" s="7"/>
      <c r="AA843" s="34"/>
      <c r="AB843" s="7"/>
      <c r="AC843" s="34"/>
      <c r="AD843" s="10"/>
      <c r="AF843"/>
    </row>
    <row r="844" spans="1:32" x14ac:dyDescent="0.25">
      <c r="A844" s="7"/>
      <c r="C844" s="70"/>
      <c r="D844" s="70"/>
      <c r="E844" s="73"/>
      <c r="F844" s="9"/>
      <c r="H844" s="9"/>
      <c r="I844" s="10"/>
      <c r="J844" s="7"/>
      <c r="K844" s="7"/>
      <c r="L844" s="10"/>
      <c r="M844" s="10"/>
      <c r="N844" s="10"/>
      <c r="O844" s="10"/>
      <c r="P844" s="10"/>
      <c r="Q844" s="10"/>
      <c r="R844" s="10"/>
      <c r="S844" s="10"/>
      <c r="T844" s="14"/>
      <c r="U844" s="10"/>
      <c r="V844" s="10"/>
      <c r="W844" s="10"/>
      <c r="X844" s="7"/>
      <c r="Y844" s="7"/>
      <c r="Z844" s="34"/>
      <c r="AA844" s="34"/>
      <c r="AB844" s="7"/>
      <c r="AC844" s="34"/>
      <c r="AD844" s="10"/>
      <c r="AF844"/>
    </row>
    <row r="845" spans="1:32" x14ac:dyDescent="0.25">
      <c r="A845" s="7"/>
      <c r="C845" s="70"/>
      <c r="D845" s="70"/>
      <c r="E845" s="73"/>
      <c r="F845" s="48"/>
      <c r="H845" s="9"/>
      <c r="I845" s="10"/>
      <c r="J845" s="7"/>
      <c r="K845" s="24"/>
      <c r="L845" s="10"/>
      <c r="M845" s="10"/>
      <c r="N845" s="10"/>
      <c r="O845" s="10"/>
      <c r="P845" s="10"/>
      <c r="Q845" s="10"/>
      <c r="R845" s="10"/>
      <c r="S845" s="10"/>
      <c r="T845" s="14"/>
      <c r="U845" s="10"/>
      <c r="V845" s="10"/>
      <c r="W845" s="10"/>
      <c r="X845" s="7"/>
      <c r="Y845" s="34"/>
      <c r="Z845" s="7"/>
      <c r="AA845" s="34"/>
      <c r="AB845" s="7"/>
      <c r="AC845" s="34"/>
      <c r="AD845" s="10"/>
      <c r="AF845"/>
    </row>
    <row r="846" spans="1:32" x14ac:dyDescent="0.25">
      <c r="A846" s="7"/>
      <c r="C846" s="70"/>
      <c r="D846" s="70"/>
      <c r="E846" s="73"/>
      <c r="F846" s="9"/>
      <c r="H846" s="9"/>
      <c r="I846" s="10"/>
      <c r="J846" s="7"/>
      <c r="K846" s="24"/>
      <c r="L846" s="10"/>
      <c r="M846" s="10"/>
      <c r="N846" s="10"/>
      <c r="O846" s="10"/>
      <c r="P846" s="10"/>
      <c r="Q846" s="10"/>
      <c r="R846" s="10"/>
      <c r="S846" s="10"/>
      <c r="T846" s="14"/>
      <c r="U846" s="10"/>
      <c r="V846" s="10"/>
      <c r="W846" s="10"/>
      <c r="X846" s="7"/>
      <c r="Y846" s="7"/>
      <c r="Z846" s="7"/>
      <c r="AA846" s="34"/>
      <c r="AB846" s="7"/>
      <c r="AC846" s="34"/>
      <c r="AD846" s="10"/>
      <c r="AF846"/>
    </row>
    <row r="847" spans="1:32" x14ac:dyDescent="0.25">
      <c r="A847" s="7"/>
      <c r="C847" s="70"/>
      <c r="D847" s="70"/>
      <c r="E847" s="73"/>
      <c r="F847" s="9"/>
      <c r="H847" s="9"/>
      <c r="I847" s="10"/>
      <c r="J847" s="10"/>
      <c r="K847" s="7"/>
      <c r="L847" s="10"/>
      <c r="M847" s="10"/>
      <c r="N847" s="10"/>
      <c r="O847" s="10"/>
      <c r="P847" s="10"/>
      <c r="Q847" s="10"/>
      <c r="R847" s="10"/>
      <c r="S847" s="10"/>
      <c r="T847" s="14"/>
      <c r="U847" s="10"/>
      <c r="V847" s="10"/>
      <c r="W847" s="10"/>
      <c r="X847" s="7"/>
      <c r="Y847" s="7"/>
      <c r="Z847" s="34"/>
      <c r="AA847" s="34"/>
      <c r="AB847" s="7"/>
      <c r="AC847" s="34"/>
      <c r="AD847" s="10"/>
      <c r="AF847"/>
    </row>
    <row r="848" spans="1:32" x14ac:dyDescent="0.25">
      <c r="A848" s="7"/>
      <c r="C848" s="70"/>
      <c r="D848" s="70"/>
      <c r="E848" s="73"/>
      <c r="F848" s="9"/>
      <c r="H848" s="9"/>
      <c r="I848" s="10"/>
      <c r="J848" s="10"/>
      <c r="K848" s="7"/>
      <c r="L848" s="10"/>
      <c r="M848" s="10"/>
      <c r="N848" s="10"/>
      <c r="O848" s="10"/>
      <c r="P848" s="10"/>
      <c r="Q848" s="10"/>
      <c r="R848" s="10"/>
      <c r="S848" s="10"/>
      <c r="T848" s="14"/>
      <c r="U848" s="10"/>
      <c r="V848" s="10"/>
      <c r="W848" s="10"/>
      <c r="X848" s="7"/>
      <c r="Y848" s="7"/>
      <c r="Z848" s="7"/>
      <c r="AA848" s="34"/>
      <c r="AB848" s="7"/>
      <c r="AC848" s="34"/>
      <c r="AD848" s="10"/>
      <c r="AF848"/>
    </row>
    <row r="849" spans="1:32" x14ac:dyDescent="0.25">
      <c r="A849" s="7"/>
      <c r="C849" s="70"/>
      <c r="D849" s="70"/>
      <c r="E849" s="73"/>
      <c r="F849" s="45"/>
      <c r="H849" s="9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4"/>
      <c r="U849" s="10"/>
      <c r="V849" s="10"/>
      <c r="W849" s="10"/>
      <c r="X849" s="7"/>
      <c r="Y849" s="7"/>
      <c r="Z849" s="7"/>
      <c r="AA849" s="34"/>
      <c r="AB849" s="7"/>
      <c r="AC849" s="34"/>
      <c r="AD849" s="10"/>
      <c r="AF849"/>
    </row>
    <row r="850" spans="1:32" x14ac:dyDescent="0.25">
      <c r="A850" s="7"/>
      <c r="C850" s="70"/>
      <c r="D850" s="70"/>
      <c r="E850" s="73"/>
      <c r="F850" s="9"/>
      <c r="H850" s="9"/>
      <c r="I850" s="10"/>
      <c r="J850" s="61"/>
      <c r="K850" s="10"/>
      <c r="L850" s="10"/>
      <c r="M850" s="10"/>
      <c r="N850" s="10"/>
      <c r="O850" s="10"/>
      <c r="P850" s="10"/>
      <c r="Q850" s="10"/>
      <c r="R850" s="10"/>
      <c r="S850" s="10"/>
      <c r="T850" s="14"/>
      <c r="U850" s="10"/>
      <c r="V850" s="10"/>
      <c r="W850" s="10"/>
      <c r="X850" s="7"/>
      <c r="Y850" s="7"/>
      <c r="Z850" s="7"/>
      <c r="AA850" s="34"/>
      <c r="AB850" s="7"/>
      <c r="AC850" s="34"/>
      <c r="AD850" s="10"/>
      <c r="AF850"/>
    </row>
    <row r="851" spans="1:32" x14ac:dyDescent="0.25">
      <c r="A851" s="7"/>
      <c r="C851" s="70"/>
      <c r="D851" s="70"/>
      <c r="E851" s="73"/>
      <c r="F851" s="9"/>
      <c r="H851" s="9"/>
      <c r="I851" s="10"/>
      <c r="J851" s="61"/>
      <c r="K851" s="10"/>
      <c r="L851" s="10"/>
      <c r="M851" s="10"/>
      <c r="N851" s="10"/>
      <c r="O851" s="10"/>
      <c r="P851" s="10"/>
      <c r="Q851" s="10"/>
      <c r="R851" s="10"/>
      <c r="S851" s="10"/>
      <c r="T851" s="14"/>
      <c r="U851" s="10"/>
      <c r="V851" s="10"/>
      <c r="W851" s="10"/>
      <c r="X851" s="7"/>
      <c r="Y851" s="7"/>
      <c r="Z851" s="7"/>
      <c r="AA851" s="34"/>
      <c r="AB851" s="7"/>
      <c r="AC851" s="34"/>
      <c r="AD851" s="10"/>
      <c r="AF851"/>
    </row>
    <row r="852" spans="1:32" x14ac:dyDescent="0.25">
      <c r="A852" s="7"/>
      <c r="C852" s="70"/>
      <c r="D852" s="70"/>
      <c r="E852" s="73"/>
      <c r="F852" s="9"/>
      <c r="H852" s="9"/>
      <c r="I852" s="10"/>
      <c r="J852" s="7"/>
      <c r="K852" s="7"/>
      <c r="L852" s="10"/>
      <c r="M852" s="10"/>
      <c r="N852" s="10"/>
      <c r="O852" s="10"/>
      <c r="P852" s="10"/>
      <c r="Q852" s="10"/>
      <c r="R852" s="10"/>
      <c r="S852" s="10"/>
      <c r="T852" s="14"/>
      <c r="U852" s="10"/>
      <c r="V852" s="10"/>
      <c r="W852" s="10"/>
      <c r="X852" s="7"/>
      <c r="Y852" s="7"/>
      <c r="Z852" s="7"/>
      <c r="AA852" s="34"/>
      <c r="AB852" s="7"/>
      <c r="AC852" s="34"/>
      <c r="AD852" s="10"/>
      <c r="AF852"/>
    </row>
    <row r="853" spans="1:32" x14ac:dyDescent="0.25">
      <c r="A853" s="7"/>
      <c r="C853" s="70"/>
      <c r="D853" s="70"/>
      <c r="E853" s="73"/>
      <c r="F853" s="9"/>
      <c r="H853" s="9"/>
      <c r="I853" s="10"/>
      <c r="J853" s="10"/>
      <c r="K853" s="7"/>
      <c r="L853" s="10"/>
      <c r="M853" s="10"/>
      <c r="N853" s="10"/>
      <c r="O853" s="10"/>
      <c r="P853" s="10"/>
      <c r="Q853" s="10"/>
      <c r="R853" s="10"/>
      <c r="S853" s="10"/>
      <c r="T853" s="14"/>
      <c r="U853" s="10"/>
      <c r="V853" s="10"/>
      <c r="W853" s="10"/>
      <c r="X853" s="7"/>
      <c r="Y853" s="7"/>
      <c r="Z853" s="7"/>
      <c r="AA853" s="34"/>
      <c r="AB853" s="7"/>
      <c r="AC853" s="34"/>
      <c r="AD853" s="10"/>
      <c r="AF853"/>
    </row>
    <row r="854" spans="1:32" x14ac:dyDescent="0.25">
      <c r="A854" s="7"/>
      <c r="C854" s="70"/>
      <c r="D854" s="70"/>
      <c r="E854" s="73"/>
      <c r="F854" s="9"/>
      <c r="H854" s="9"/>
      <c r="I854" s="10"/>
      <c r="J854" s="10"/>
      <c r="K854" s="7"/>
      <c r="L854" s="10"/>
      <c r="M854" s="10"/>
      <c r="N854" s="10"/>
      <c r="O854" s="10"/>
      <c r="P854" s="10"/>
      <c r="Q854" s="10"/>
      <c r="R854" s="10"/>
      <c r="S854" s="10"/>
      <c r="T854" s="14"/>
      <c r="U854" s="10"/>
      <c r="V854" s="10"/>
      <c r="W854" s="10"/>
      <c r="X854" s="7"/>
      <c r="Y854" s="7"/>
      <c r="Z854" s="7"/>
      <c r="AA854" s="34"/>
      <c r="AB854" s="7"/>
      <c r="AC854" s="34"/>
      <c r="AD854" s="10"/>
      <c r="AF854"/>
    </row>
    <row r="855" spans="1:32" x14ac:dyDescent="0.25">
      <c r="A855" s="7"/>
      <c r="C855" s="70"/>
      <c r="D855" s="70"/>
      <c r="E855" s="73"/>
      <c r="F855" s="9"/>
      <c r="H855" s="9"/>
      <c r="I855" s="10"/>
      <c r="J855" s="7"/>
      <c r="K855" s="7"/>
      <c r="L855" s="10"/>
      <c r="M855" s="10"/>
      <c r="N855" s="10"/>
      <c r="O855" s="10"/>
      <c r="P855" s="10"/>
      <c r="Q855" s="10"/>
      <c r="R855" s="10"/>
      <c r="S855" s="10"/>
      <c r="T855" s="14"/>
      <c r="U855" s="10"/>
      <c r="V855" s="10"/>
      <c r="W855" s="10"/>
      <c r="X855" s="7"/>
      <c r="Y855" s="7"/>
      <c r="Z855" s="7"/>
      <c r="AA855" s="34"/>
      <c r="AB855" s="7"/>
      <c r="AC855" s="34"/>
      <c r="AD855" s="10"/>
      <c r="AF855"/>
    </row>
    <row r="856" spans="1:32" x14ac:dyDescent="0.25">
      <c r="A856" s="7"/>
      <c r="C856" s="70"/>
      <c r="D856" s="70"/>
      <c r="F856"/>
      <c r="H856" s="9"/>
      <c r="I856" s="10"/>
      <c r="J856" s="7"/>
      <c r="K856" s="10"/>
      <c r="L856" s="10"/>
      <c r="M856" s="10"/>
      <c r="N856" s="10"/>
      <c r="O856" s="10"/>
      <c r="P856" s="10"/>
      <c r="Q856" s="10"/>
      <c r="R856" s="10"/>
      <c r="S856" s="10"/>
      <c r="T856" s="14"/>
      <c r="U856" s="10"/>
      <c r="V856" s="10"/>
      <c r="W856" s="10"/>
      <c r="X856" s="7"/>
      <c r="Y856" s="7"/>
      <c r="Z856" s="7"/>
      <c r="AA856" s="34"/>
      <c r="AB856" s="7"/>
      <c r="AC856" s="34"/>
      <c r="AD856" s="10"/>
      <c r="AF856"/>
    </row>
    <row r="857" spans="1:32" x14ac:dyDescent="0.25">
      <c r="A857" s="7"/>
      <c r="C857" s="70"/>
      <c r="D857" s="70"/>
      <c r="E857" s="73"/>
      <c r="F857" s="9"/>
      <c r="H857" s="9"/>
      <c r="I857" s="10"/>
      <c r="J857" s="7"/>
      <c r="K857" s="7"/>
      <c r="L857" s="10"/>
      <c r="M857" s="10"/>
      <c r="N857" s="10"/>
      <c r="O857" s="10"/>
      <c r="P857" s="10"/>
      <c r="Q857" s="10"/>
      <c r="R857" s="10"/>
      <c r="S857" s="10"/>
      <c r="T857" s="14"/>
      <c r="U857" s="10"/>
      <c r="V857" s="10"/>
      <c r="W857" s="10"/>
      <c r="X857" s="7"/>
      <c r="Y857" s="7"/>
      <c r="Z857" s="7"/>
      <c r="AA857" s="34"/>
      <c r="AB857" s="7"/>
      <c r="AC857" s="34"/>
      <c r="AD857" s="10"/>
      <c r="AF857"/>
    </row>
    <row r="858" spans="1:32" x14ac:dyDescent="0.25">
      <c r="A858" s="7"/>
      <c r="C858" s="70"/>
      <c r="D858" s="70"/>
      <c r="E858" s="73"/>
      <c r="F858" s="9"/>
      <c r="H858" s="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4"/>
      <c r="U858" s="10"/>
      <c r="V858" s="10"/>
      <c r="W858" s="10"/>
      <c r="X858" s="7"/>
      <c r="Y858" s="7"/>
      <c r="Z858" s="34"/>
      <c r="AA858" s="34"/>
      <c r="AB858" s="7"/>
      <c r="AC858" s="34"/>
      <c r="AD858" s="10"/>
      <c r="AF858"/>
    </row>
    <row r="859" spans="1:32" x14ac:dyDescent="0.25">
      <c r="A859" s="7"/>
      <c r="C859" s="70"/>
      <c r="D859" s="70"/>
      <c r="E859" s="73"/>
      <c r="F859" s="9"/>
      <c r="H859" s="9"/>
      <c r="I859" s="10"/>
      <c r="J859" s="7"/>
      <c r="K859" s="7"/>
      <c r="L859" s="10"/>
      <c r="M859" s="10"/>
      <c r="N859" s="10"/>
      <c r="O859" s="10"/>
      <c r="P859" s="10"/>
      <c r="Q859" s="10"/>
      <c r="R859" s="10"/>
      <c r="S859" s="10"/>
      <c r="T859" s="14"/>
      <c r="U859" s="10"/>
      <c r="V859" s="10"/>
      <c r="W859" s="10"/>
      <c r="X859" s="7"/>
      <c r="Y859" s="7"/>
      <c r="Z859" s="7"/>
      <c r="AA859" s="34"/>
      <c r="AB859" s="7"/>
      <c r="AC859" s="34"/>
      <c r="AD859" s="10"/>
      <c r="AF859"/>
    </row>
    <row r="860" spans="1:32" x14ac:dyDescent="0.25">
      <c r="A860" s="7"/>
      <c r="C860" s="70"/>
      <c r="D860" s="70"/>
      <c r="E860" s="73"/>
      <c r="F860" s="9"/>
      <c r="H860" s="9"/>
      <c r="I860" s="10"/>
      <c r="J860" s="7"/>
      <c r="K860" s="10"/>
      <c r="L860" s="10"/>
      <c r="M860" s="10"/>
      <c r="N860" s="10"/>
      <c r="O860" s="10"/>
      <c r="P860" s="10"/>
      <c r="Q860" s="10"/>
      <c r="R860" s="10"/>
      <c r="S860" s="10"/>
      <c r="T860" s="14"/>
      <c r="U860" s="10"/>
      <c r="V860" s="10"/>
      <c r="W860" s="10"/>
      <c r="X860" s="34"/>
      <c r="Y860" s="34"/>
      <c r="Z860" s="7"/>
      <c r="AA860" s="34"/>
      <c r="AB860" s="7"/>
      <c r="AC860" s="34"/>
      <c r="AD860" s="10"/>
      <c r="AF860"/>
    </row>
    <row r="861" spans="1:32" x14ac:dyDescent="0.25">
      <c r="A861" s="7"/>
      <c r="C861" s="70"/>
      <c r="D861" s="70"/>
      <c r="E861" s="73"/>
      <c r="F861" s="9"/>
      <c r="H861" s="9"/>
      <c r="I861" s="10"/>
      <c r="J861" s="7"/>
      <c r="K861" s="7"/>
      <c r="L861" s="10"/>
      <c r="M861" s="10"/>
      <c r="N861" s="10"/>
      <c r="O861" s="10"/>
      <c r="P861" s="10"/>
      <c r="Q861" s="10"/>
      <c r="R861" s="10"/>
      <c r="S861" s="10"/>
      <c r="T861" s="14"/>
      <c r="U861" s="10"/>
      <c r="V861" s="10"/>
      <c r="W861" s="10"/>
      <c r="X861" s="34"/>
      <c r="Y861" s="7"/>
      <c r="Z861" s="7"/>
      <c r="AA861" s="34"/>
      <c r="AB861" s="7"/>
      <c r="AC861" s="34"/>
      <c r="AD861" s="10"/>
      <c r="AF861"/>
    </row>
    <row r="862" spans="1:32" x14ac:dyDescent="0.25">
      <c r="A862" s="7"/>
      <c r="C862" s="70"/>
      <c r="D862" s="70"/>
      <c r="E862" s="73"/>
      <c r="F862" s="9"/>
      <c r="H862" s="9"/>
      <c r="I862" s="10"/>
      <c r="J862" s="7"/>
      <c r="K862" s="7"/>
      <c r="L862" s="10"/>
      <c r="M862" s="10"/>
      <c r="N862" s="10"/>
      <c r="O862" s="10"/>
      <c r="P862" s="10"/>
      <c r="Q862" s="10"/>
      <c r="R862" s="10"/>
      <c r="S862" s="10"/>
      <c r="T862" s="14"/>
      <c r="U862" s="10"/>
      <c r="V862" s="10"/>
      <c r="W862" s="10"/>
      <c r="X862" s="7"/>
      <c r="Y862" s="7"/>
      <c r="Z862" s="7"/>
      <c r="AA862" s="34"/>
      <c r="AB862" s="7"/>
      <c r="AC862" s="34"/>
      <c r="AD862" s="10"/>
      <c r="AF862"/>
    </row>
    <row r="863" spans="1:32" x14ac:dyDescent="0.25">
      <c r="A863" s="7"/>
      <c r="C863" s="70"/>
      <c r="D863" s="70"/>
      <c r="E863" s="73"/>
      <c r="F863" s="9"/>
      <c r="H863" s="9"/>
      <c r="I863" s="10"/>
      <c r="J863" s="7"/>
      <c r="K863" s="7"/>
      <c r="L863" s="10"/>
      <c r="M863" s="10"/>
      <c r="N863" s="10"/>
      <c r="O863" s="10"/>
      <c r="P863" s="10"/>
      <c r="Q863" s="10"/>
      <c r="R863" s="10"/>
      <c r="S863" s="10"/>
      <c r="T863" s="14"/>
      <c r="U863" s="10"/>
      <c r="V863" s="10"/>
      <c r="W863" s="10"/>
      <c r="X863" s="7"/>
      <c r="Y863" s="7"/>
      <c r="Z863" s="7"/>
      <c r="AA863" s="34"/>
      <c r="AB863" s="7"/>
      <c r="AC863" s="34"/>
      <c r="AD863" s="10"/>
      <c r="AF863"/>
    </row>
    <row r="864" spans="1:32" x14ac:dyDescent="0.25">
      <c r="A864" s="7"/>
      <c r="C864" s="70"/>
      <c r="D864" s="70"/>
      <c r="E864" s="73"/>
      <c r="F864" s="9"/>
      <c r="H864" s="9"/>
      <c r="I864" s="10"/>
      <c r="J864" s="7"/>
      <c r="K864" s="7"/>
      <c r="L864" s="10"/>
      <c r="M864" s="10"/>
      <c r="N864" s="10"/>
      <c r="O864" s="10"/>
      <c r="P864" s="10"/>
      <c r="Q864" s="10"/>
      <c r="R864" s="10"/>
      <c r="S864" s="10"/>
      <c r="T864" s="14"/>
      <c r="U864" s="10"/>
      <c r="V864" s="10"/>
      <c r="W864" s="10"/>
      <c r="X864" s="7"/>
      <c r="Y864" s="7"/>
      <c r="Z864" s="7"/>
      <c r="AA864" s="34"/>
      <c r="AB864" s="7"/>
      <c r="AC864" s="34"/>
      <c r="AD864" s="10"/>
      <c r="AF864"/>
    </row>
    <row r="865" spans="1:32" x14ac:dyDescent="0.25">
      <c r="A865" s="7"/>
      <c r="C865" s="70"/>
      <c r="D865" s="70"/>
      <c r="E865" s="73"/>
      <c r="F865" s="9"/>
      <c r="H865" s="9"/>
      <c r="I865" s="10"/>
      <c r="J865" s="10"/>
      <c r="K865" s="7"/>
      <c r="L865" s="10"/>
      <c r="M865" s="10"/>
      <c r="N865" s="10"/>
      <c r="O865" s="10"/>
      <c r="P865" s="10"/>
      <c r="Q865" s="10"/>
      <c r="R865" s="10"/>
      <c r="S865" s="10"/>
      <c r="T865" s="14"/>
      <c r="U865" s="10"/>
      <c r="V865" s="10"/>
      <c r="W865" s="10"/>
      <c r="X865" s="7"/>
      <c r="Y865" s="7"/>
      <c r="Z865" s="7"/>
      <c r="AA865" s="34"/>
      <c r="AB865" s="7"/>
      <c r="AC865" s="34"/>
      <c r="AD865" s="10"/>
      <c r="AF865"/>
    </row>
    <row r="866" spans="1:32" x14ac:dyDescent="0.25">
      <c r="A866" s="7"/>
      <c r="C866" s="70"/>
      <c r="D866" s="70"/>
      <c r="E866" s="73"/>
      <c r="F866" s="9"/>
      <c r="H866" s="9"/>
      <c r="I866" s="10"/>
      <c r="J866" s="10"/>
      <c r="K866" s="7"/>
      <c r="L866" s="10"/>
      <c r="M866" s="10"/>
      <c r="N866" s="10"/>
      <c r="O866" s="10"/>
      <c r="P866" s="10"/>
      <c r="Q866" s="10"/>
      <c r="R866" s="10"/>
      <c r="S866" s="10"/>
      <c r="T866" s="14"/>
      <c r="U866" s="10"/>
      <c r="V866" s="10"/>
      <c r="W866" s="10"/>
      <c r="X866" s="7"/>
      <c r="Y866" s="7"/>
      <c r="Z866" s="7"/>
      <c r="AA866" s="34"/>
      <c r="AB866" s="7"/>
      <c r="AC866" s="34"/>
      <c r="AD866" s="10"/>
      <c r="AF866"/>
    </row>
    <row r="867" spans="1:32" x14ac:dyDescent="0.25">
      <c r="A867" s="7"/>
      <c r="C867" s="70"/>
      <c r="D867" s="70"/>
      <c r="E867" s="73"/>
      <c r="F867" s="9"/>
      <c r="H867" s="9"/>
      <c r="I867" s="10"/>
      <c r="J867" s="7"/>
      <c r="K867" s="7"/>
      <c r="L867" s="10"/>
      <c r="M867" s="10"/>
      <c r="N867" s="10"/>
      <c r="O867" s="10"/>
      <c r="P867" s="10"/>
      <c r="Q867" s="10"/>
      <c r="R867" s="10"/>
      <c r="S867" s="10"/>
      <c r="T867" s="14"/>
      <c r="U867" s="10"/>
      <c r="V867" s="10"/>
      <c r="W867" s="10"/>
      <c r="X867" s="7"/>
      <c r="Y867" s="7"/>
      <c r="Z867" s="7"/>
      <c r="AA867" s="34"/>
      <c r="AB867" s="7"/>
      <c r="AC867" s="34"/>
      <c r="AD867" s="10"/>
      <c r="AF867"/>
    </row>
    <row r="868" spans="1:32" x14ac:dyDescent="0.25">
      <c r="A868" s="7"/>
      <c r="B868" s="28"/>
      <c r="C868" s="70"/>
      <c r="D868" s="73"/>
      <c r="E868" s="73"/>
      <c r="F868" s="9"/>
      <c r="H868" s="9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4"/>
      <c r="U868" s="10"/>
      <c r="V868" s="10"/>
      <c r="W868" s="10"/>
      <c r="X868" s="7"/>
      <c r="Y868" s="7"/>
      <c r="Z868" s="7"/>
      <c r="AA868" s="34"/>
      <c r="AB868" s="7"/>
      <c r="AC868" s="34"/>
      <c r="AD868" s="10"/>
      <c r="AF868"/>
    </row>
    <row r="869" spans="1:32" x14ac:dyDescent="0.25">
      <c r="A869" s="7"/>
      <c r="C869" s="70"/>
      <c r="D869" s="70"/>
      <c r="E869" s="73"/>
      <c r="F869" s="9"/>
      <c r="H869" s="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4"/>
      <c r="U869" s="10"/>
      <c r="V869" s="10"/>
      <c r="W869" s="10"/>
      <c r="X869" s="7"/>
      <c r="Y869" s="7"/>
      <c r="Z869" s="7"/>
      <c r="AA869" s="34"/>
      <c r="AB869" s="7"/>
      <c r="AC869" s="34"/>
      <c r="AD869" s="10"/>
      <c r="AF869"/>
    </row>
    <row r="870" spans="1:32" x14ac:dyDescent="0.25">
      <c r="A870" s="7"/>
      <c r="C870" s="70"/>
      <c r="D870" s="70"/>
      <c r="E870" s="73"/>
      <c r="F870" s="9"/>
      <c r="H870" s="9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4"/>
      <c r="U870" s="10"/>
      <c r="V870" s="10"/>
      <c r="W870" s="10"/>
      <c r="X870" s="7"/>
      <c r="Y870" s="7"/>
      <c r="Z870" s="7"/>
      <c r="AA870" s="34"/>
      <c r="AB870" s="7"/>
      <c r="AC870" s="34"/>
      <c r="AD870" s="10"/>
      <c r="AF870"/>
    </row>
    <row r="871" spans="1:32" x14ac:dyDescent="0.25">
      <c r="A871" s="7"/>
      <c r="C871" s="70"/>
      <c r="D871" s="70"/>
      <c r="E871" s="73"/>
      <c r="F871" s="9"/>
      <c r="H871" s="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4"/>
      <c r="U871" s="10"/>
      <c r="V871" s="10"/>
      <c r="W871" s="10"/>
      <c r="X871" s="7"/>
      <c r="Y871" s="7"/>
      <c r="Z871" s="34"/>
      <c r="AA871" s="34"/>
      <c r="AB871" s="7"/>
      <c r="AC871" s="34"/>
      <c r="AD871" s="10"/>
      <c r="AF871"/>
    </row>
    <row r="872" spans="1:32" x14ac:dyDescent="0.25">
      <c r="A872" s="7"/>
      <c r="C872" s="70"/>
      <c r="D872" s="70"/>
      <c r="E872" s="73"/>
      <c r="F872" s="9"/>
      <c r="H872" s="9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4"/>
      <c r="U872" s="10"/>
      <c r="V872" s="10"/>
      <c r="W872" s="10"/>
      <c r="X872" s="7"/>
      <c r="Y872" s="7"/>
      <c r="Z872" s="7"/>
      <c r="AA872" s="34"/>
      <c r="AB872" s="7"/>
      <c r="AC872" s="34"/>
      <c r="AD872" s="10"/>
      <c r="AF872"/>
    </row>
    <row r="873" spans="1:32" x14ac:dyDescent="0.25">
      <c r="A873" s="7"/>
      <c r="C873" s="70"/>
      <c r="D873" s="70"/>
      <c r="E873" s="73"/>
      <c r="F873" s="9"/>
      <c r="H873" s="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4"/>
      <c r="U873" s="10"/>
      <c r="V873" s="10"/>
      <c r="W873" s="10"/>
      <c r="X873" s="7"/>
      <c r="Y873" s="7"/>
      <c r="Z873" s="7"/>
      <c r="AA873" s="34"/>
      <c r="AB873" s="7"/>
      <c r="AC873" s="34"/>
      <c r="AD873" s="10"/>
      <c r="AF873"/>
    </row>
    <row r="874" spans="1:32" x14ac:dyDescent="0.25">
      <c r="A874" s="7"/>
      <c r="C874" s="70"/>
      <c r="D874" s="70"/>
      <c r="E874" s="73"/>
      <c r="F874" s="9"/>
      <c r="H874" s="9"/>
      <c r="I874" s="10"/>
      <c r="J874" s="10"/>
      <c r="K874" s="7"/>
      <c r="L874" s="10"/>
      <c r="M874" s="10"/>
      <c r="N874" s="10"/>
      <c r="O874" s="10"/>
      <c r="P874" s="10"/>
      <c r="Q874" s="10"/>
      <c r="R874" s="10"/>
      <c r="S874" s="10"/>
      <c r="T874" s="14"/>
      <c r="U874" s="10"/>
      <c r="V874" s="10"/>
      <c r="W874" s="10"/>
      <c r="X874" s="7"/>
      <c r="Y874" s="7"/>
      <c r="Z874" s="7"/>
      <c r="AA874" s="34"/>
      <c r="AB874" s="7"/>
      <c r="AC874" s="34"/>
      <c r="AD874" s="10"/>
      <c r="AF874"/>
    </row>
    <row r="875" spans="1:32" x14ac:dyDescent="0.25">
      <c r="A875" s="7"/>
      <c r="C875" s="70"/>
      <c r="D875" s="70"/>
      <c r="E875" s="73"/>
      <c r="F875" s="9"/>
      <c r="H875" s="9"/>
      <c r="I875" s="10"/>
      <c r="J875" s="7"/>
      <c r="K875" s="24"/>
      <c r="L875" s="10"/>
      <c r="M875" s="10"/>
      <c r="N875" s="10"/>
      <c r="O875" s="10"/>
      <c r="P875" s="10"/>
      <c r="Q875" s="10"/>
      <c r="R875" s="10"/>
      <c r="S875" s="10"/>
      <c r="T875" s="14"/>
      <c r="U875" s="10"/>
      <c r="V875" s="10"/>
      <c r="W875" s="10"/>
      <c r="X875" s="7"/>
      <c r="Y875" s="7"/>
      <c r="Z875" s="7"/>
      <c r="AA875" s="34"/>
      <c r="AB875" s="7"/>
      <c r="AC875" s="34"/>
      <c r="AD875" s="10"/>
      <c r="AF875"/>
    </row>
    <row r="876" spans="1:32" x14ac:dyDescent="0.25">
      <c r="A876" s="7"/>
      <c r="C876" s="70"/>
      <c r="D876" s="70"/>
      <c r="E876" s="73"/>
      <c r="F876" s="9"/>
      <c r="H876" s="9"/>
      <c r="I876" s="10"/>
      <c r="J876" s="7"/>
      <c r="K876" s="7"/>
      <c r="L876" s="10"/>
      <c r="M876" s="10"/>
      <c r="N876" s="10"/>
      <c r="O876" s="10"/>
      <c r="P876" s="10"/>
      <c r="Q876" s="10"/>
      <c r="R876" s="10"/>
      <c r="S876" s="10"/>
      <c r="T876" s="14"/>
      <c r="U876" s="10"/>
      <c r="V876" s="10"/>
      <c r="W876" s="10"/>
      <c r="X876" s="7"/>
      <c r="Y876" s="7"/>
      <c r="Z876" s="7"/>
      <c r="AA876" s="34"/>
      <c r="AB876" s="7"/>
      <c r="AC876" s="34"/>
      <c r="AD876" s="10"/>
      <c r="AF876"/>
    </row>
    <row r="877" spans="1:32" x14ac:dyDescent="0.25">
      <c r="A877" s="7"/>
      <c r="C877" s="70"/>
      <c r="D877" s="70"/>
      <c r="E877" s="73"/>
      <c r="F877" s="45"/>
      <c r="H877" s="9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4"/>
      <c r="U877" s="10"/>
      <c r="V877" s="10"/>
      <c r="W877" s="10"/>
      <c r="X877" s="7"/>
      <c r="Y877" s="34"/>
      <c r="Z877" s="7"/>
      <c r="AA877" s="34"/>
      <c r="AB877" s="7"/>
      <c r="AC877" s="34"/>
      <c r="AD877" s="10"/>
      <c r="AF877"/>
    </row>
    <row r="878" spans="1:32" x14ac:dyDescent="0.25">
      <c r="A878" s="7"/>
      <c r="C878" s="70"/>
      <c r="D878" s="70"/>
      <c r="E878" s="73"/>
      <c r="F878" s="9"/>
      <c r="H878" s="9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4"/>
      <c r="U878" s="10"/>
      <c r="V878" s="10"/>
      <c r="W878" s="10"/>
      <c r="X878" s="7"/>
      <c r="Y878" s="7"/>
      <c r="Z878" s="34"/>
      <c r="AA878" s="34"/>
      <c r="AB878" s="7"/>
      <c r="AC878" s="34"/>
      <c r="AD878" s="10"/>
      <c r="AF878"/>
    </row>
    <row r="879" spans="1:32" x14ac:dyDescent="0.25">
      <c r="A879" s="7"/>
      <c r="C879" s="70"/>
      <c r="D879" s="70"/>
      <c r="E879" s="73"/>
      <c r="F879" s="9"/>
      <c r="H879" s="9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4"/>
      <c r="U879" s="10"/>
      <c r="V879" s="10"/>
      <c r="W879" s="10"/>
      <c r="X879" s="7"/>
      <c r="Y879" s="7"/>
      <c r="Z879" s="7"/>
      <c r="AA879" s="34"/>
      <c r="AB879" s="7"/>
      <c r="AC879" s="34"/>
      <c r="AD879" s="10"/>
      <c r="AF879"/>
    </row>
    <row r="880" spans="1:32" x14ac:dyDescent="0.25">
      <c r="A880" s="7"/>
      <c r="C880" s="70"/>
      <c r="D880" s="70"/>
      <c r="E880" s="73"/>
      <c r="F880" s="9"/>
      <c r="H880" s="9"/>
      <c r="I880" s="10"/>
      <c r="J880" s="10"/>
      <c r="K880" s="24"/>
      <c r="L880" s="10"/>
      <c r="M880" s="10"/>
      <c r="N880" s="10"/>
      <c r="O880" s="10"/>
      <c r="P880" s="10"/>
      <c r="Q880" s="10"/>
      <c r="R880" s="10"/>
      <c r="S880" s="10"/>
      <c r="T880" s="14"/>
      <c r="U880" s="10"/>
      <c r="V880" s="10"/>
      <c r="W880" s="10"/>
      <c r="X880" s="7"/>
      <c r="Y880" s="7"/>
      <c r="Z880" s="7"/>
      <c r="AA880" s="34"/>
      <c r="AB880" s="7"/>
      <c r="AC880" s="34"/>
      <c r="AD880" s="10"/>
      <c r="AF880"/>
    </row>
    <row r="881" spans="1:32" x14ac:dyDescent="0.25">
      <c r="A881" s="7"/>
      <c r="C881" s="70"/>
      <c r="D881" s="70"/>
      <c r="E881" s="73"/>
      <c r="F881" s="48"/>
      <c r="H881" s="9"/>
      <c r="I881" s="10"/>
      <c r="J881" s="10"/>
      <c r="K881" s="7"/>
      <c r="L881" s="10"/>
      <c r="M881" s="10"/>
      <c r="N881" s="10"/>
      <c r="O881" s="10"/>
      <c r="P881" s="10"/>
      <c r="Q881" s="10"/>
      <c r="R881" s="10"/>
      <c r="S881" s="10"/>
      <c r="T881" s="14"/>
      <c r="U881" s="10"/>
      <c r="V881" s="10"/>
      <c r="W881" s="10"/>
      <c r="X881" s="7"/>
      <c r="Y881" s="7"/>
      <c r="Z881" s="7"/>
      <c r="AA881" s="34"/>
      <c r="AB881" s="7"/>
      <c r="AC881" s="34"/>
      <c r="AD881" s="10"/>
      <c r="AF881"/>
    </row>
    <row r="882" spans="1:32" x14ac:dyDescent="0.25">
      <c r="A882" s="7"/>
      <c r="C882" s="70"/>
      <c r="D882" s="70"/>
      <c r="E882" s="73"/>
      <c r="F882" s="45"/>
      <c r="H882" s="9"/>
      <c r="I882" s="10"/>
      <c r="J882" s="7"/>
      <c r="K882" s="7"/>
      <c r="L882" s="10"/>
      <c r="M882" s="10"/>
      <c r="N882" s="10"/>
      <c r="O882" s="10"/>
      <c r="P882" s="10"/>
      <c r="Q882" s="10"/>
      <c r="R882" s="10"/>
      <c r="S882" s="10"/>
      <c r="T882" s="14"/>
      <c r="U882" s="10"/>
      <c r="V882" s="10"/>
      <c r="W882" s="10"/>
      <c r="X882" s="7"/>
      <c r="Y882" s="34"/>
      <c r="Z882" s="7"/>
      <c r="AA882" s="34"/>
      <c r="AB882" s="7"/>
      <c r="AC882" s="34"/>
      <c r="AD882" s="10"/>
      <c r="AF882"/>
    </row>
    <row r="883" spans="1:32" x14ac:dyDescent="0.25">
      <c r="A883" s="7"/>
      <c r="C883" s="70"/>
      <c r="D883" s="70"/>
      <c r="E883" s="73"/>
      <c r="F883" s="9"/>
      <c r="H883" s="9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4"/>
      <c r="U883" s="10"/>
      <c r="V883" s="10"/>
      <c r="W883" s="10"/>
      <c r="X883" s="7"/>
      <c r="Y883" s="7"/>
      <c r="Z883" s="7"/>
      <c r="AA883" s="34"/>
      <c r="AB883" s="7"/>
      <c r="AC883" s="34"/>
      <c r="AD883" s="10"/>
      <c r="AF883"/>
    </row>
    <row r="884" spans="1:32" x14ac:dyDescent="0.25">
      <c r="A884" s="7"/>
      <c r="C884" s="70"/>
      <c r="D884" s="70"/>
      <c r="E884" s="73"/>
      <c r="F884" s="9"/>
      <c r="H884" s="9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4"/>
      <c r="U884" s="10"/>
      <c r="V884" s="10"/>
      <c r="W884" s="10"/>
      <c r="X884" s="7"/>
      <c r="Y884" s="7"/>
      <c r="Z884" s="7"/>
      <c r="AA884" s="34"/>
      <c r="AB884" s="7"/>
      <c r="AC884" s="34"/>
      <c r="AD884" s="10"/>
      <c r="AF884"/>
    </row>
    <row r="885" spans="1:32" x14ac:dyDescent="0.25">
      <c r="A885" s="7"/>
      <c r="C885" s="70"/>
      <c r="D885" s="70"/>
      <c r="E885" s="73"/>
      <c r="F885" s="9"/>
      <c r="H885" s="9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4"/>
      <c r="U885" s="10"/>
      <c r="V885" s="10"/>
      <c r="W885" s="10"/>
      <c r="X885" s="7"/>
      <c r="Y885" s="7"/>
      <c r="Z885" s="34"/>
      <c r="AA885" s="34"/>
      <c r="AB885" s="7"/>
      <c r="AC885" s="34"/>
      <c r="AD885" s="10"/>
      <c r="AF885"/>
    </row>
    <row r="886" spans="1:32" x14ac:dyDescent="0.25">
      <c r="A886" s="7"/>
      <c r="C886" s="70"/>
      <c r="D886" s="70"/>
      <c r="E886" s="73"/>
      <c r="F886" s="9"/>
      <c r="H886" s="9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4"/>
      <c r="U886" s="10"/>
      <c r="V886" s="10"/>
      <c r="W886" s="10"/>
      <c r="X886" s="7"/>
      <c r="Y886" s="7"/>
      <c r="Z886" s="7"/>
      <c r="AA886" s="34"/>
      <c r="AB886" s="7"/>
      <c r="AC886" s="34"/>
      <c r="AD886" s="10"/>
      <c r="AF886"/>
    </row>
    <row r="887" spans="1:32" x14ac:dyDescent="0.25">
      <c r="A887" s="43"/>
      <c r="C887" s="70"/>
      <c r="D887" s="70"/>
      <c r="E887" s="73"/>
      <c r="F887" s="9"/>
      <c r="H887" s="9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4"/>
      <c r="U887" s="10"/>
      <c r="V887" s="10"/>
      <c r="W887" s="10"/>
      <c r="X887" s="7"/>
      <c r="Y887" s="7"/>
      <c r="Z887" s="7"/>
      <c r="AA887" s="34"/>
      <c r="AB887" s="7"/>
      <c r="AC887" s="34"/>
      <c r="AD887" s="10"/>
      <c r="AF887"/>
    </row>
    <row r="888" spans="1:32" x14ac:dyDescent="0.25">
      <c r="A888" s="7"/>
      <c r="C888" s="70"/>
      <c r="D888" s="70"/>
      <c r="E888" s="73"/>
      <c r="F888" s="9"/>
      <c r="H888" s="9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4"/>
      <c r="U888" s="10"/>
      <c r="V888" s="10"/>
      <c r="W888" s="10"/>
      <c r="X888" s="7"/>
      <c r="Y888" s="7"/>
      <c r="Z888" s="7"/>
      <c r="AA888" s="34"/>
      <c r="AB888" s="7"/>
      <c r="AC888" s="34"/>
      <c r="AD888" s="10"/>
      <c r="AF888"/>
    </row>
    <row r="889" spans="1:32" x14ac:dyDescent="0.25">
      <c r="A889" s="7"/>
      <c r="C889" s="70"/>
      <c r="D889" s="70"/>
      <c r="E889" s="73"/>
      <c r="F889" s="9"/>
      <c r="H889" s="9"/>
      <c r="I889" s="10"/>
      <c r="J889" s="7"/>
      <c r="K889" s="7"/>
      <c r="L889" s="10"/>
      <c r="M889" s="10"/>
      <c r="N889" s="10"/>
      <c r="O889" s="10"/>
      <c r="P889" s="10"/>
      <c r="Q889" s="10"/>
      <c r="R889" s="10"/>
      <c r="S889" s="10"/>
      <c r="T889" s="14"/>
      <c r="U889" s="10"/>
      <c r="V889" s="10"/>
      <c r="W889" s="10"/>
      <c r="X889" s="7"/>
      <c r="Y889" s="7"/>
      <c r="Z889" s="7"/>
      <c r="AA889" s="34"/>
      <c r="AB889" s="7"/>
      <c r="AC889" s="34"/>
      <c r="AD889" s="10"/>
      <c r="AF889"/>
    </row>
    <row r="890" spans="1:32" x14ac:dyDescent="0.25">
      <c r="A890" s="7"/>
      <c r="C890" s="70"/>
      <c r="D890" s="70"/>
      <c r="E890" s="73"/>
      <c r="F890" s="9"/>
      <c r="H890" s="9"/>
      <c r="I890" s="62"/>
      <c r="J890" s="7"/>
      <c r="K890" s="7"/>
      <c r="L890" s="10"/>
      <c r="M890" s="10"/>
      <c r="N890" s="10"/>
      <c r="O890" s="10"/>
      <c r="P890" s="10"/>
      <c r="Q890" s="10"/>
      <c r="R890" s="10"/>
      <c r="S890" s="10"/>
      <c r="T890" s="14"/>
      <c r="U890" s="10"/>
      <c r="V890" s="10"/>
      <c r="W890" s="10"/>
      <c r="X890" s="7"/>
      <c r="Y890" s="7"/>
      <c r="Z890" s="7"/>
      <c r="AA890" s="34"/>
      <c r="AB890" s="7"/>
      <c r="AC890" s="34"/>
      <c r="AD890" s="10"/>
      <c r="AF890"/>
    </row>
    <row r="891" spans="1:32" x14ac:dyDescent="0.25">
      <c r="A891" s="7"/>
      <c r="C891" s="70"/>
      <c r="D891" s="70"/>
      <c r="E891" s="73"/>
      <c r="F891" s="9"/>
      <c r="H891" s="9"/>
      <c r="I891" s="10"/>
      <c r="J891" s="7"/>
      <c r="K891" s="24"/>
      <c r="L891" s="10"/>
      <c r="M891" s="10"/>
      <c r="N891" s="10"/>
      <c r="O891" s="10"/>
      <c r="P891" s="10"/>
      <c r="Q891" s="10"/>
      <c r="R891" s="10"/>
      <c r="S891" s="10"/>
      <c r="T891" s="14"/>
      <c r="U891" s="10"/>
      <c r="V891" s="10"/>
      <c r="W891" s="10"/>
      <c r="X891" s="7"/>
      <c r="Y891" s="7"/>
      <c r="Z891" s="7"/>
      <c r="AA891" s="34"/>
      <c r="AB891" s="7"/>
      <c r="AC891" s="34"/>
      <c r="AD891" s="10"/>
      <c r="AF891"/>
    </row>
    <row r="892" spans="1:32" x14ac:dyDescent="0.25">
      <c r="A892" s="7"/>
      <c r="C892" s="70"/>
      <c r="D892" s="70"/>
      <c r="E892" s="73"/>
      <c r="F892" s="9"/>
      <c r="H892" s="9"/>
      <c r="I892" s="10"/>
      <c r="J892" s="10"/>
      <c r="K892" s="7"/>
      <c r="L892" s="10"/>
      <c r="M892" s="10"/>
      <c r="N892" s="10"/>
      <c r="O892" s="10"/>
      <c r="P892" s="10"/>
      <c r="Q892" s="10"/>
      <c r="R892" s="10"/>
      <c r="S892" s="10"/>
      <c r="T892" s="14"/>
      <c r="U892" s="10"/>
      <c r="V892" s="10"/>
      <c r="W892" s="10"/>
      <c r="X892" s="7"/>
      <c r="Y892" s="7"/>
      <c r="Z892" s="7"/>
      <c r="AA892" s="34"/>
      <c r="AB892" s="7"/>
      <c r="AC892" s="34"/>
      <c r="AD892" s="10"/>
      <c r="AF892"/>
    </row>
    <row r="893" spans="1:32" x14ac:dyDescent="0.25">
      <c r="A893" s="7"/>
      <c r="C893" s="70"/>
      <c r="D893" s="70"/>
      <c r="E893" s="73"/>
      <c r="F893" s="9"/>
      <c r="H893" s="9"/>
      <c r="I893" s="10"/>
      <c r="J893" s="7"/>
      <c r="K893" s="7"/>
      <c r="L893" s="10"/>
      <c r="M893" s="10"/>
      <c r="N893" s="10"/>
      <c r="O893" s="10"/>
      <c r="P893" s="10"/>
      <c r="Q893" s="10"/>
      <c r="R893" s="10"/>
      <c r="S893" s="10"/>
      <c r="T893" s="14"/>
      <c r="U893" s="10"/>
      <c r="V893" s="10"/>
      <c r="W893" s="10"/>
      <c r="X893" s="7"/>
      <c r="Y893" s="7"/>
      <c r="Z893" s="7"/>
      <c r="AA893" s="34"/>
      <c r="AB893" s="7"/>
      <c r="AC893" s="34"/>
      <c r="AD893" s="10"/>
      <c r="AF893"/>
    </row>
    <row r="894" spans="1:32" x14ac:dyDescent="0.25">
      <c r="A894" s="7"/>
      <c r="C894" s="70"/>
      <c r="D894" s="70"/>
      <c r="E894" s="73"/>
      <c r="F894" s="9"/>
      <c r="H894" s="9"/>
      <c r="I894" s="10"/>
      <c r="J894" s="7"/>
      <c r="K894" s="7"/>
      <c r="L894" s="10"/>
      <c r="M894" s="10"/>
      <c r="N894" s="10"/>
      <c r="O894" s="10"/>
      <c r="P894" s="10"/>
      <c r="Q894" s="10"/>
      <c r="R894" s="10"/>
      <c r="S894" s="10"/>
      <c r="T894" s="14"/>
      <c r="U894" s="10"/>
      <c r="V894" s="10"/>
      <c r="W894" s="10"/>
      <c r="X894" s="7"/>
      <c r="Y894" s="7"/>
      <c r="Z894" s="7"/>
      <c r="AA894" s="34"/>
      <c r="AB894" s="7"/>
      <c r="AC894" s="34"/>
      <c r="AD894" s="10"/>
      <c r="AF894"/>
    </row>
    <row r="895" spans="1:32" x14ac:dyDescent="0.25">
      <c r="A895" s="7"/>
      <c r="C895" s="70"/>
      <c r="D895" s="70"/>
      <c r="E895" s="73"/>
      <c r="F895" s="9"/>
      <c r="H895" s="9"/>
      <c r="I895" s="10"/>
      <c r="J895" s="7"/>
      <c r="K895" s="7"/>
      <c r="L895" s="10"/>
      <c r="M895" s="10"/>
      <c r="N895" s="10"/>
      <c r="O895" s="10"/>
      <c r="P895" s="10"/>
      <c r="Q895" s="10"/>
      <c r="R895" s="10"/>
      <c r="S895" s="10"/>
      <c r="T895" s="14"/>
      <c r="U895" s="10"/>
      <c r="V895" s="10"/>
      <c r="W895" s="10"/>
      <c r="X895" s="7"/>
      <c r="Y895" s="7"/>
      <c r="Z895" s="7"/>
      <c r="AA895" s="34"/>
      <c r="AB895" s="7"/>
      <c r="AC895" s="34"/>
      <c r="AD895" s="10"/>
      <c r="AF895"/>
    </row>
    <row r="896" spans="1:32" x14ac:dyDescent="0.25">
      <c r="A896" s="7"/>
      <c r="C896" s="70"/>
      <c r="D896" s="70"/>
      <c r="E896" s="73"/>
      <c r="F896" s="45"/>
      <c r="H896" s="9"/>
      <c r="I896" s="10"/>
      <c r="J896" s="7"/>
      <c r="K896" s="7"/>
      <c r="L896" s="10"/>
      <c r="M896" s="10"/>
      <c r="N896" s="10"/>
      <c r="O896" s="10"/>
      <c r="P896" s="10"/>
      <c r="Q896" s="10"/>
      <c r="R896" s="10"/>
      <c r="S896" s="10"/>
      <c r="T896" s="14"/>
      <c r="U896" s="10"/>
      <c r="V896" s="10"/>
      <c r="W896" s="10"/>
      <c r="X896" s="34"/>
      <c r="Y896" s="34"/>
      <c r="Z896" s="7"/>
      <c r="AA896" s="34"/>
      <c r="AB896" s="7"/>
      <c r="AC896" s="34"/>
      <c r="AD896" s="10"/>
      <c r="AF896"/>
    </row>
    <row r="897" spans="1:32" x14ac:dyDescent="0.25">
      <c r="A897" s="7"/>
      <c r="C897" s="70"/>
      <c r="D897" s="70"/>
      <c r="E897" s="73"/>
      <c r="F897" s="9"/>
      <c r="H897" s="9"/>
      <c r="I897" s="10"/>
      <c r="J897" s="61"/>
      <c r="K897" s="10"/>
      <c r="L897" s="10"/>
      <c r="M897" s="10"/>
      <c r="N897" s="10"/>
      <c r="O897" s="10"/>
      <c r="P897" s="10"/>
      <c r="Q897" s="10"/>
      <c r="R897" s="10"/>
      <c r="S897" s="10"/>
      <c r="T897" s="14"/>
      <c r="U897" s="10"/>
      <c r="V897" s="10"/>
      <c r="W897" s="10"/>
      <c r="X897" s="7"/>
      <c r="Y897" s="7"/>
      <c r="Z897" s="7"/>
      <c r="AA897" s="34"/>
      <c r="AB897" s="7"/>
      <c r="AC897" s="34"/>
      <c r="AD897" s="10"/>
      <c r="AF897"/>
    </row>
    <row r="898" spans="1:32" x14ac:dyDescent="0.25">
      <c r="A898" s="7"/>
      <c r="C898" s="70"/>
      <c r="D898" s="70"/>
      <c r="E898" s="73"/>
      <c r="F898" s="9"/>
      <c r="H898" s="9"/>
      <c r="I898" s="10"/>
      <c r="J898" s="7"/>
      <c r="K898" s="7"/>
      <c r="L898" s="10"/>
      <c r="M898" s="10"/>
      <c r="N898" s="10"/>
      <c r="O898" s="10"/>
      <c r="P898" s="10"/>
      <c r="Q898" s="10"/>
      <c r="R898" s="10"/>
      <c r="S898" s="10"/>
      <c r="T898" s="14"/>
      <c r="U898" s="10"/>
      <c r="V898" s="10"/>
      <c r="W898" s="10"/>
      <c r="X898" s="7"/>
      <c r="Y898" s="7"/>
      <c r="Z898" s="7"/>
      <c r="AA898" s="34"/>
      <c r="AB898" s="7"/>
      <c r="AC898" s="34"/>
      <c r="AD898" s="10"/>
      <c r="AF898"/>
    </row>
    <row r="899" spans="1:32" x14ac:dyDescent="0.25">
      <c r="A899" s="7"/>
      <c r="C899" s="70"/>
      <c r="D899" s="70"/>
      <c r="E899" s="73"/>
      <c r="F899" s="9"/>
      <c r="H899" s="9"/>
      <c r="I899" s="10"/>
      <c r="J899" s="7"/>
      <c r="K899" s="7"/>
      <c r="L899" s="10"/>
      <c r="M899" s="10"/>
      <c r="N899" s="10"/>
      <c r="O899" s="10"/>
      <c r="P899" s="10"/>
      <c r="Q899" s="10"/>
      <c r="R899" s="10"/>
      <c r="S899" s="10"/>
      <c r="T899" s="14"/>
      <c r="U899" s="10"/>
      <c r="V899" s="10"/>
      <c r="W899" s="10"/>
      <c r="X899" s="7"/>
      <c r="Y899" s="7"/>
      <c r="Z899" s="7"/>
      <c r="AA899" s="34"/>
      <c r="AB899" s="7"/>
      <c r="AC899" s="34"/>
      <c r="AD899" s="10"/>
      <c r="AF899"/>
    </row>
    <row r="900" spans="1:32" x14ac:dyDescent="0.25">
      <c r="A900" s="7"/>
      <c r="C900" s="70"/>
      <c r="D900" s="70"/>
      <c r="E900" s="73"/>
      <c r="F900" s="9"/>
      <c r="H900" s="9"/>
      <c r="I900" s="10"/>
      <c r="J900" s="10"/>
      <c r="K900" s="24"/>
      <c r="L900" s="10"/>
      <c r="M900" s="10"/>
      <c r="N900" s="10"/>
      <c r="O900" s="10"/>
      <c r="P900" s="10"/>
      <c r="Q900" s="10"/>
      <c r="R900" s="10"/>
      <c r="S900" s="10"/>
      <c r="T900" s="14"/>
      <c r="U900" s="10"/>
      <c r="V900" s="10"/>
      <c r="W900" s="10"/>
      <c r="X900" s="7"/>
      <c r="Y900" s="7"/>
      <c r="Z900" s="7"/>
      <c r="AA900" s="34"/>
      <c r="AB900" s="7"/>
      <c r="AC900" s="34"/>
      <c r="AD900" s="10"/>
      <c r="AF900"/>
    </row>
    <row r="901" spans="1:32" x14ac:dyDescent="0.25">
      <c r="A901" s="7"/>
      <c r="C901" s="70"/>
      <c r="D901" s="70"/>
      <c r="E901" s="73"/>
      <c r="F901" s="9"/>
      <c r="H901" s="9"/>
      <c r="I901" s="10"/>
      <c r="J901" s="10"/>
      <c r="K901" s="7"/>
      <c r="L901" s="10"/>
      <c r="M901" s="10"/>
      <c r="N901" s="10"/>
      <c r="O901" s="10"/>
      <c r="P901" s="10"/>
      <c r="Q901" s="10"/>
      <c r="R901" s="10"/>
      <c r="S901" s="10"/>
      <c r="T901" s="14"/>
      <c r="U901" s="10"/>
      <c r="V901" s="10"/>
      <c r="W901" s="10"/>
      <c r="X901" s="7"/>
      <c r="Y901" s="7"/>
      <c r="Z901" s="7"/>
      <c r="AA901" s="34"/>
      <c r="AB901" s="7"/>
      <c r="AC901" s="34"/>
      <c r="AD901" s="10"/>
      <c r="AF901"/>
    </row>
    <row r="902" spans="1:32" x14ac:dyDescent="0.25">
      <c r="A902" s="7"/>
      <c r="C902" s="70"/>
      <c r="D902" s="70"/>
      <c r="E902" s="73"/>
      <c r="F902" s="9"/>
      <c r="H902" s="9"/>
      <c r="I902" s="10"/>
      <c r="J902" s="10"/>
      <c r="K902" s="7"/>
      <c r="L902" s="10"/>
      <c r="M902" s="10"/>
      <c r="N902" s="10"/>
      <c r="O902" s="10"/>
      <c r="P902" s="10"/>
      <c r="Q902" s="10"/>
      <c r="R902" s="10"/>
      <c r="S902" s="10"/>
      <c r="T902" s="14"/>
      <c r="U902" s="10"/>
      <c r="V902" s="10"/>
      <c r="W902" s="10"/>
      <c r="X902" s="7"/>
      <c r="Y902" s="7"/>
      <c r="Z902" s="7"/>
      <c r="AA902" s="34"/>
      <c r="AB902" s="7"/>
      <c r="AC902" s="34"/>
      <c r="AD902" s="10"/>
      <c r="AF902"/>
    </row>
    <row r="903" spans="1:32" x14ac:dyDescent="0.25">
      <c r="A903" s="7"/>
      <c r="C903" s="70"/>
      <c r="D903" s="70"/>
      <c r="E903" s="73"/>
      <c r="F903" s="48"/>
      <c r="H903" s="9"/>
      <c r="I903" s="10"/>
      <c r="J903" s="7"/>
      <c r="K903" s="24"/>
      <c r="L903" s="10"/>
      <c r="M903" s="10"/>
      <c r="N903" s="10"/>
      <c r="O903" s="10"/>
      <c r="P903" s="10"/>
      <c r="Q903" s="10"/>
      <c r="R903" s="10"/>
      <c r="S903" s="10"/>
      <c r="T903" s="14"/>
      <c r="U903" s="10"/>
      <c r="V903" s="10"/>
      <c r="W903" s="10"/>
      <c r="X903" s="7"/>
      <c r="Y903" s="7"/>
      <c r="Z903" s="7"/>
      <c r="AA903" s="34"/>
      <c r="AB903" s="7"/>
      <c r="AC903" s="34"/>
      <c r="AD903" s="10"/>
      <c r="AF903"/>
    </row>
    <row r="904" spans="1:32" x14ac:dyDescent="0.25">
      <c r="A904" s="7"/>
      <c r="C904" s="70"/>
      <c r="D904" s="70"/>
      <c r="E904" s="73"/>
      <c r="F904" s="48"/>
      <c r="H904" s="9"/>
      <c r="I904" s="10"/>
      <c r="J904" s="7"/>
      <c r="K904" s="24"/>
      <c r="L904" s="10"/>
      <c r="M904" s="10"/>
      <c r="N904" s="10"/>
      <c r="O904" s="10"/>
      <c r="P904" s="10"/>
      <c r="Q904" s="10"/>
      <c r="R904" s="10"/>
      <c r="S904" s="10"/>
      <c r="T904" s="14"/>
      <c r="U904" s="10"/>
      <c r="V904" s="10"/>
      <c r="W904" s="10"/>
      <c r="X904" s="7"/>
      <c r="Y904" s="7"/>
      <c r="Z904" s="7"/>
      <c r="AA904" s="34"/>
      <c r="AB904" s="7"/>
      <c r="AC904" s="34"/>
      <c r="AD904" s="10"/>
      <c r="AF904"/>
    </row>
    <row r="905" spans="1:32" x14ac:dyDescent="0.25">
      <c r="A905" s="7"/>
      <c r="C905" s="70"/>
      <c r="D905" s="70"/>
      <c r="E905" s="73"/>
      <c r="F905" s="48"/>
      <c r="H905" s="9"/>
      <c r="I905" s="10"/>
      <c r="J905" s="7"/>
      <c r="K905" s="24"/>
      <c r="L905" s="10"/>
      <c r="M905" s="10"/>
      <c r="N905" s="10"/>
      <c r="O905" s="10"/>
      <c r="P905" s="10"/>
      <c r="Q905" s="10"/>
      <c r="R905" s="10"/>
      <c r="S905" s="10"/>
      <c r="T905" s="14"/>
      <c r="U905" s="10"/>
      <c r="V905" s="10"/>
      <c r="W905" s="10"/>
      <c r="X905" s="7"/>
      <c r="Y905" s="7"/>
      <c r="Z905" s="7"/>
      <c r="AA905" s="34"/>
      <c r="AB905" s="7"/>
      <c r="AC905" s="34"/>
      <c r="AD905" s="10"/>
      <c r="AF905"/>
    </row>
    <row r="906" spans="1:32" x14ac:dyDescent="0.25">
      <c r="A906" s="7"/>
      <c r="C906" s="70"/>
      <c r="D906" s="70"/>
      <c r="E906" s="73"/>
      <c r="F906" s="9"/>
      <c r="H906" s="9"/>
      <c r="I906" s="10"/>
      <c r="J906" s="61"/>
      <c r="K906" s="10"/>
      <c r="L906" s="10"/>
      <c r="M906" s="10"/>
      <c r="N906" s="10"/>
      <c r="O906" s="10"/>
      <c r="P906" s="10"/>
      <c r="Q906" s="10"/>
      <c r="R906" s="10"/>
      <c r="S906" s="10"/>
      <c r="T906" s="14"/>
      <c r="U906" s="10"/>
      <c r="V906" s="10"/>
      <c r="W906" s="10"/>
      <c r="X906" s="7"/>
      <c r="Y906" s="7"/>
      <c r="Z906" s="7"/>
      <c r="AA906" s="34"/>
      <c r="AB906" s="7"/>
      <c r="AC906" s="34"/>
      <c r="AD906" s="10"/>
      <c r="AF906"/>
    </row>
    <row r="907" spans="1:32" x14ac:dyDescent="0.25">
      <c r="A907" s="7"/>
      <c r="C907" s="70"/>
      <c r="D907" s="70"/>
      <c r="E907" s="73"/>
      <c r="F907" s="9"/>
      <c r="H907" s="9"/>
      <c r="I907" s="10"/>
      <c r="J907" s="7"/>
      <c r="K907" s="7"/>
      <c r="L907" s="10"/>
      <c r="M907" s="10"/>
      <c r="N907" s="10"/>
      <c r="O907" s="10"/>
      <c r="P907" s="10"/>
      <c r="Q907" s="10"/>
      <c r="R907" s="10"/>
      <c r="S907" s="10"/>
      <c r="T907" s="14"/>
      <c r="U907" s="10"/>
      <c r="V907" s="10"/>
      <c r="W907" s="10"/>
      <c r="X907" s="7"/>
      <c r="Y907" s="7"/>
      <c r="Z907" s="7"/>
      <c r="AA907" s="34"/>
      <c r="AB907" s="7"/>
      <c r="AC907" s="34"/>
      <c r="AD907" s="10"/>
      <c r="AF907"/>
    </row>
    <row r="908" spans="1:32" x14ac:dyDescent="0.25">
      <c r="A908" s="7"/>
      <c r="C908" s="70"/>
      <c r="D908" s="70"/>
      <c r="E908" s="73"/>
      <c r="F908" s="9"/>
      <c r="H908" s="9"/>
      <c r="I908" s="10"/>
      <c r="J908" s="7"/>
      <c r="K908" s="7"/>
      <c r="L908" s="10"/>
      <c r="M908" s="10"/>
      <c r="N908" s="10"/>
      <c r="O908" s="10"/>
      <c r="P908" s="10"/>
      <c r="Q908" s="10"/>
      <c r="R908" s="10"/>
      <c r="S908" s="10"/>
      <c r="T908" s="14"/>
      <c r="U908" s="10"/>
      <c r="V908" s="10"/>
      <c r="W908" s="10"/>
      <c r="X908" s="7"/>
      <c r="Y908" s="7"/>
      <c r="Z908" s="7"/>
      <c r="AA908" s="34"/>
      <c r="AB908" s="7"/>
      <c r="AC908" s="34"/>
      <c r="AD908" s="10"/>
      <c r="AF908"/>
    </row>
    <row r="909" spans="1:32" x14ac:dyDescent="0.25">
      <c r="A909" s="7"/>
      <c r="C909" s="70"/>
      <c r="D909" s="70"/>
      <c r="E909" s="73"/>
      <c r="F909" s="9"/>
      <c r="H909" s="9"/>
      <c r="I909" s="10"/>
      <c r="J909" s="7"/>
      <c r="K909" s="7"/>
      <c r="L909" s="10"/>
      <c r="M909" s="10"/>
      <c r="N909" s="10"/>
      <c r="O909" s="10"/>
      <c r="P909" s="10"/>
      <c r="Q909" s="10"/>
      <c r="R909" s="10"/>
      <c r="S909" s="10"/>
      <c r="T909" s="14"/>
      <c r="U909" s="10"/>
      <c r="V909" s="10"/>
      <c r="W909" s="10"/>
      <c r="X909" s="7"/>
      <c r="Y909" s="7"/>
      <c r="Z909" s="34"/>
      <c r="AA909" s="34"/>
      <c r="AB909" s="7"/>
      <c r="AC909" s="34"/>
      <c r="AD909" s="10"/>
      <c r="AF909"/>
    </row>
    <row r="910" spans="1:32" x14ac:dyDescent="0.25">
      <c r="A910" s="7"/>
      <c r="C910" s="70"/>
      <c r="D910" s="70"/>
      <c r="E910" s="79"/>
      <c r="F910" s="41"/>
      <c r="G910" s="41"/>
      <c r="H910" s="9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4"/>
      <c r="U910" s="10"/>
      <c r="V910" s="10"/>
      <c r="W910" s="10"/>
      <c r="X910" s="7"/>
      <c r="Y910" s="7"/>
      <c r="Z910" s="34"/>
      <c r="AA910" s="34"/>
      <c r="AB910" s="7"/>
      <c r="AC910" s="34"/>
      <c r="AD910" s="10"/>
      <c r="AF910"/>
    </row>
    <row r="911" spans="1:32" x14ac:dyDescent="0.25">
      <c r="A911" s="7"/>
      <c r="C911" s="70"/>
      <c r="D911" s="70"/>
      <c r="E911" s="73"/>
      <c r="F911" s="9"/>
      <c r="H911" s="9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4"/>
      <c r="U911" s="10"/>
      <c r="V911" s="10"/>
      <c r="W911" s="10"/>
      <c r="X911" s="7"/>
      <c r="Y911" s="7"/>
      <c r="Z911" s="7"/>
      <c r="AA911" s="34"/>
      <c r="AB911" s="7"/>
      <c r="AC911" s="34"/>
      <c r="AD911" s="10"/>
      <c r="AF911"/>
    </row>
    <row r="912" spans="1:32" x14ac:dyDescent="0.25">
      <c r="A912" s="7"/>
      <c r="C912" s="70"/>
      <c r="D912" s="70"/>
      <c r="E912" s="73"/>
      <c r="F912" s="48"/>
      <c r="H912" s="9"/>
      <c r="I912" s="10"/>
      <c r="J912" s="7"/>
      <c r="K912" s="7"/>
      <c r="L912" s="10"/>
      <c r="M912" s="10"/>
      <c r="N912" s="10"/>
      <c r="O912" s="10"/>
      <c r="P912" s="10"/>
      <c r="Q912" s="10"/>
      <c r="R912" s="10"/>
      <c r="S912" s="10"/>
      <c r="T912" s="14"/>
      <c r="U912" s="10"/>
      <c r="V912" s="10"/>
      <c r="W912" s="10"/>
      <c r="X912" s="7"/>
      <c r="Y912" s="7"/>
      <c r="Z912" s="7"/>
      <c r="AA912" s="34"/>
      <c r="AB912" s="7"/>
      <c r="AC912" s="34"/>
      <c r="AD912" s="10"/>
      <c r="AF912"/>
    </row>
    <row r="913" spans="1:32" x14ac:dyDescent="0.25">
      <c r="A913" s="7"/>
      <c r="C913" s="70"/>
      <c r="D913" s="70"/>
      <c r="E913" s="73"/>
      <c r="F913" s="9"/>
      <c r="H913" s="9"/>
      <c r="I913" s="10"/>
      <c r="J913" s="7"/>
      <c r="K913" s="7"/>
      <c r="L913" s="10"/>
      <c r="M913" s="10"/>
      <c r="N913" s="10"/>
      <c r="O913" s="10"/>
      <c r="P913" s="10"/>
      <c r="Q913" s="10"/>
      <c r="R913" s="10"/>
      <c r="S913" s="10"/>
      <c r="T913" s="14"/>
      <c r="U913" s="10"/>
      <c r="V913" s="10"/>
      <c r="W913" s="10"/>
      <c r="X913" s="7"/>
      <c r="Y913" s="7"/>
      <c r="Z913" s="7"/>
      <c r="AA913" s="34"/>
      <c r="AB913" s="7"/>
      <c r="AC913" s="34"/>
      <c r="AD913" s="10"/>
      <c r="AF913"/>
    </row>
    <row r="914" spans="1:32" x14ac:dyDescent="0.25">
      <c r="A914" s="7"/>
      <c r="C914" s="70"/>
      <c r="D914" s="70"/>
      <c r="E914" s="73"/>
      <c r="F914" s="9"/>
      <c r="H914" s="9"/>
      <c r="I914" s="10"/>
      <c r="J914" s="7"/>
      <c r="K914" s="7"/>
      <c r="L914" s="10"/>
      <c r="M914" s="10"/>
      <c r="N914" s="10"/>
      <c r="O914" s="10"/>
      <c r="P914" s="10"/>
      <c r="Q914" s="10"/>
      <c r="R914" s="10"/>
      <c r="S914" s="10"/>
      <c r="T914" s="14"/>
      <c r="U914" s="10"/>
      <c r="V914" s="10"/>
      <c r="W914" s="10"/>
      <c r="X914" s="7"/>
      <c r="Y914" s="7"/>
      <c r="Z914" s="7"/>
      <c r="AA914" s="34"/>
      <c r="AB914" s="7"/>
      <c r="AC914" s="34"/>
      <c r="AD914" s="10"/>
      <c r="AF914"/>
    </row>
    <row r="915" spans="1:32" x14ac:dyDescent="0.25">
      <c r="A915" s="7"/>
      <c r="C915" s="70"/>
      <c r="D915" s="70"/>
      <c r="E915" s="73"/>
      <c r="F915" s="9"/>
      <c r="H915" s="9"/>
      <c r="I915" s="10"/>
      <c r="J915" s="7"/>
      <c r="K915" s="7"/>
      <c r="L915" s="10"/>
      <c r="M915" s="10"/>
      <c r="N915" s="10"/>
      <c r="O915" s="10"/>
      <c r="P915" s="10"/>
      <c r="Q915" s="10"/>
      <c r="R915" s="10"/>
      <c r="S915" s="10"/>
      <c r="T915" s="14"/>
      <c r="U915" s="10"/>
      <c r="V915" s="10"/>
      <c r="W915" s="10"/>
      <c r="X915" s="7"/>
      <c r="Y915" s="7"/>
      <c r="Z915" s="7"/>
      <c r="AA915" s="34"/>
      <c r="AB915" s="7"/>
      <c r="AC915" s="34"/>
      <c r="AD915" s="10"/>
      <c r="AF915"/>
    </row>
    <row r="916" spans="1:32" x14ac:dyDescent="0.25">
      <c r="A916" s="7"/>
      <c r="C916" s="70"/>
      <c r="D916" s="70"/>
      <c r="E916" s="73"/>
      <c r="F916" s="9"/>
      <c r="H916" s="9"/>
      <c r="I916" s="10"/>
      <c r="J916" s="10"/>
      <c r="K916" s="7"/>
      <c r="L916" s="10"/>
      <c r="M916" s="10"/>
      <c r="N916" s="10"/>
      <c r="O916" s="10"/>
      <c r="P916" s="10"/>
      <c r="Q916" s="10"/>
      <c r="R916" s="10"/>
      <c r="S916" s="10"/>
      <c r="T916" s="14"/>
      <c r="U916" s="10"/>
      <c r="V916" s="10"/>
      <c r="W916" s="10"/>
      <c r="X916" s="7"/>
      <c r="Y916" s="7"/>
      <c r="Z916" s="7"/>
      <c r="AA916" s="34"/>
      <c r="AB916" s="7"/>
      <c r="AC916" s="34"/>
      <c r="AD916" s="10"/>
      <c r="AF916"/>
    </row>
    <row r="917" spans="1:32" x14ac:dyDescent="0.25">
      <c r="A917" s="7"/>
      <c r="C917" s="70"/>
      <c r="D917" s="70"/>
      <c r="E917" s="73"/>
      <c r="F917" s="9"/>
      <c r="H917" s="9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4"/>
      <c r="U917" s="10"/>
      <c r="V917" s="10"/>
      <c r="W917" s="10"/>
      <c r="X917" s="7"/>
      <c r="Y917" s="7"/>
      <c r="Z917" s="7"/>
      <c r="AA917" s="34"/>
      <c r="AB917" s="7"/>
      <c r="AC917" s="34"/>
      <c r="AD917" s="10"/>
      <c r="AF917"/>
    </row>
    <row r="918" spans="1:32" x14ac:dyDescent="0.25">
      <c r="A918" s="7"/>
      <c r="C918" s="70"/>
      <c r="D918" s="70"/>
      <c r="E918" s="73"/>
      <c r="F918" s="9"/>
      <c r="H918" s="9"/>
      <c r="I918" s="10"/>
      <c r="J918" s="7"/>
      <c r="K918" s="7"/>
      <c r="L918" s="10"/>
      <c r="M918" s="10"/>
      <c r="N918" s="10"/>
      <c r="O918" s="10"/>
      <c r="P918" s="10"/>
      <c r="Q918" s="10"/>
      <c r="R918" s="10"/>
      <c r="S918" s="10"/>
      <c r="T918" s="14"/>
      <c r="U918" s="10"/>
      <c r="V918" s="10"/>
      <c r="W918" s="10"/>
      <c r="X918" s="7"/>
      <c r="Y918" s="7"/>
      <c r="Z918" s="7"/>
      <c r="AA918" s="34"/>
      <c r="AB918" s="7"/>
      <c r="AC918" s="34"/>
      <c r="AD918" s="10"/>
      <c r="AF918"/>
    </row>
    <row r="919" spans="1:32" x14ac:dyDescent="0.25">
      <c r="A919" s="7"/>
      <c r="C919" s="70"/>
      <c r="D919" s="70"/>
      <c r="E919" s="78"/>
      <c r="F919" s="48"/>
      <c r="G919" s="56"/>
      <c r="H919" s="9"/>
      <c r="I919" s="10"/>
      <c r="J919" s="7"/>
      <c r="K919" s="7"/>
      <c r="L919" s="10"/>
      <c r="M919" s="10"/>
      <c r="N919" s="10"/>
      <c r="O919" s="10"/>
      <c r="P919" s="10"/>
      <c r="Q919" s="10"/>
      <c r="R919" s="10"/>
      <c r="S919" s="10"/>
      <c r="T919" s="14"/>
      <c r="U919" s="10"/>
      <c r="V919" s="10"/>
      <c r="W919" s="10"/>
      <c r="X919" s="7"/>
      <c r="Y919" s="7"/>
      <c r="Z919" s="7"/>
      <c r="AA919" s="34"/>
      <c r="AB919" s="7"/>
      <c r="AC919" s="34"/>
      <c r="AD919" s="10"/>
      <c r="AF919"/>
    </row>
    <row r="920" spans="1:32" x14ac:dyDescent="0.25">
      <c r="A920" s="7"/>
      <c r="C920" s="70"/>
      <c r="D920" s="70"/>
      <c r="E920" s="78"/>
      <c r="F920" s="48"/>
      <c r="G920" s="56"/>
      <c r="H920" s="9"/>
      <c r="I920" s="10"/>
      <c r="J920" s="7"/>
      <c r="K920" s="7"/>
      <c r="L920" s="10"/>
      <c r="M920" s="10"/>
      <c r="N920" s="10"/>
      <c r="O920" s="10"/>
      <c r="P920" s="10"/>
      <c r="Q920" s="10"/>
      <c r="R920" s="10"/>
      <c r="S920" s="10"/>
      <c r="T920" s="14"/>
      <c r="U920" s="10"/>
      <c r="V920" s="10"/>
      <c r="W920" s="10"/>
      <c r="X920" s="7"/>
      <c r="Y920" s="7"/>
      <c r="Z920" s="7"/>
      <c r="AA920" s="34"/>
      <c r="AB920" s="7"/>
      <c r="AC920" s="34"/>
      <c r="AD920" s="10"/>
      <c r="AF920"/>
    </row>
    <row r="921" spans="1:32" x14ac:dyDescent="0.25">
      <c r="A921" s="7"/>
      <c r="C921" s="70"/>
      <c r="D921" s="70"/>
      <c r="E921" s="73"/>
      <c r="F921" s="9"/>
      <c r="H921" s="9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4"/>
      <c r="U921" s="10"/>
      <c r="V921" s="10"/>
      <c r="W921" s="10"/>
      <c r="X921" s="7"/>
      <c r="Y921" s="7"/>
      <c r="Z921" s="7"/>
      <c r="AA921" s="34"/>
      <c r="AB921" s="7"/>
      <c r="AC921" s="34"/>
      <c r="AD921" s="10"/>
      <c r="AF921"/>
    </row>
    <row r="922" spans="1:32" x14ac:dyDescent="0.25">
      <c r="A922" s="7"/>
      <c r="C922" s="70"/>
      <c r="D922" s="70"/>
      <c r="E922" s="73"/>
      <c r="F922" s="9"/>
      <c r="H922" s="9"/>
      <c r="I922" s="10"/>
      <c r="J922" s="10"/>
      <c r="K922" s="7"/>
      <c r="L922" s="10"/>
      <c r="M922" s="10"/>
      <c r="N922" s="10"/>
      <c r="O922" s="10"/>
      <c r="P922" s="10"/>
      <c r="Q922" s="10"/>
      <c r="R922" s="10"/>
      <c r="S922" s="10"/>
      <c r="T922" s="14"/>
      <c r="U922" s="10"/>
      <c r="V922" s="10"/>
      <c r="W922" s="10"/>
      <c r="X922" s="7"/>
      <c r="Y922" s="7"/>
      <c r="Z922" s="7"/>
      <c r="AA922" s="34"/>
      <c r="AB922" s="7"/>
      <c r="AC922" s="34"/>
      <c r="AD922" s="10"/>
      <c r="AF922"/>
    </row>
    <row r="923" spans="1:32" x14ac:dyDescent="0.25">
      <c r="A923" s="7"/>
      <c r="C923" s="70"/>
      <c r="D923" s="70"/>
      <c r="E923" s="73"/>
      <c r="F923" s="9"/>
      <c r="H923" s="9"/>
      <c r="I923" s="10"/>
      <c r="J923" s="10"/>
      <c r="K923" s="7"/>
      <c r="L923" s="10"/>
      <c r="M923" s="10"/>
      <c r="N923" s="10"/>
      <c r="O923" s="10"/>
      <c r="P923" s="10"/>
      <c r="Q923" s="10"/>
      <c r="R923" s="10"/>
      <c r="S923" s="10"/>
      <c r="T923" s="14"/>
      <c r="U923" s="10"/>
      <c r="V923" s="10"/>
      <c r="W923" s="10"/>
      <c r="X923" s="7"/>
      <c r="Y923" s="7"/>
      <c r="Z923" s="7"/>
      <c r="AA923" s="34"/>
      <c r="AB923" s="7"/>
      <c r="AC923" s="34"/>
      <c r="AD923" s="10"/>
      <c r="AF923"/>
    </row>
    <row r="924" spans="1:32" x14ac:dyDescent="0.25">
      <c r="A924" s="7"/>
      <c r="C924" s="70"/>
      <c r="D924" s="70"/>
      <c r="E924" s="73"/>
      <c r="F924" s="48"/>
      <c r="H924" s="9"/>
      <c r="I924" s="10"/>
      <c r="J924" s="10"/>
      <c r="K924" s="7"/>
      <c r="L924" s="10"/>
      <c r="M924" s="10"/>
      <c r="N924" s="10"/>
      <c r="O924" s="10"/>
      <c r="P924" s="10"/>
      <c r="Q924" s="10"/>
      <c r="R924" s="10"/>
      <c r="S924" s="10"/>
      <c r="T924" s="14"/>
      <c r="U924" s="10"/>
      <c r="V924" s="10"/>
      <c r="W924" s="10"/>
      <c r="X924" s="7"/>
      <c r="Y924" s="34"/>
      <c r="Z924" s="7"/>
      <c r="AA924" s="34"/>
      <c r="AB924" s="7"/>
      <c r="AC924" s="34"/>
      <c r="AD924" s="10"/>
      <c r="AF924"/>
    </row>
    <row r="925" spans="1:32" x14ac:dyDescent="0.25">
      <c r="A925" s="7"/>
      <c r="C925" s="70"/>
      <c r="D925" s="70"/>
      <c r="E925" s="73"/>
      <c r="F925" s="9"/>
      <c r="H925" s="9"/>
      <c r="I925" s="10"/>
      <c r="J925" s="7"/>
      <c r="K925" s="7"/>
      <c r="L925" s="10"/>
      <c r="M925" s="10"/>
      <c r="N925" s="10"/>
      <c r="O925" s="10"/>
      <c r="P925" s="10"/>
      <c r="Q925" s="10"/>
      <c r="R925" s="10"/>
      <c r="S925" s="10"/>
      <c r="T925" s="14"/>
      <c r="U925" s="10"/>
      <c r="V925" s="10"/>
      <c r="W925" s="10"/>
      <c r="X925" s="7"/>
      <c r="Y925" s="7"/>
      <c r="Z925" s="7"/>
      <c r="AA925" s="34"/>
      <c r="AB925" s="7"/>
      <c r="AC925" s="34"/>
      <c r="AD925" s="10"/>
      <c r="AF925"/>
    </row>
    <row r="926" spans="1:32" x14ac:dyDescent="0.25">
      <c r="A926" s="7"/>
      <c r="C926" s="70"/>
      <c r="D926" s="70"/>
      <c r="E926" s="73"/>
      <c r="F926" s="9"/>
      <c r="H926" s="9"/>
      <c r="I926" s="10"/>
      <c r="J926" s="7"/>
      <c r="K926" s="7"/>
      <c r="L926" s="34"/>
      <c r="M926" s="34"/>
      <c r="N926" s="10"/>
      <c r="O926" s="10"/>
      <c r="P926" s="10"/>
      <c r="Q926" s="10"/>
      <c r="R926" s="10"/>
      <c r="S926" s="10"/>
      <c r="T926" s="14"/>
      <c r="U926" s="10"/>
      <c r="V926" s="10"/>
      <c r="W926" s="10"/>
      <c r="X926" s="34"/>
      <c r="Y926" s="7"/>
      <c r="Z926" s="7"/>
      <c r="AA926" s="34"/>
      <c r="AB926" s="7"/>
      <c r="AC926" s="34"/>
      <c r="AD926" s="10"/>
      <c r="AF926"/>
    </row>
    <row r="927" spans="1:32" x14ac:dyDescent="0.25">
      <c r="A927" s="7"/>
      <c r="C927" s="70"/>
      <c r="D927" s="70"/>
      <c r="E927" s="73"/>
      <c r="F927" s="9"/>
      <c r="H927" s="9"/>
      <c r="I927" s="7"/>
      <c r="J927" s="7"/>
      <c r="K927" s="7"/>
      <c r="L927" s="14"/>
      <c r="M927" s="10"/>
      <c r="N927" s="10"/>
      <c r="O927" s="10"/>
      <c r="P927" s="10"/>
      <c r="Q927" s="10"/>
      <c r="R927" s="10"/>
      <c r="S927" s="10"/>
      <c r="T927" s="14"/>
      <c r="U927" s="10"/>
      <c r="V927" s="10"/>
      <c r="W927" s="10"/>
      <c r="X927" s="7"/>
      <c r="Y927" s="7"/>
      <c r="Z927" s="7"/>
      <c r="AA927" s="34"/>
      <c r="AB927" s="7"/>
      <c r="AC927" s="34"/>
      <c r="AD927" s="10"/>
      <c r="AF927"/>
    </row>
    <row r="928" spans="1:32" x14ac:dyDescent="0.25">
      <c r="A928" s="7"/>
      <c r="C928" s="70"/>
      <c r="D928" s="70"/>
      <c r="E928" s="73"/>
      <c r="F928" s="9"/>
      <c r="H928" s="9"/>
      <c r="I928" s="10"/>
      <c r="J928" s="7"/>
      <c r="K928" s="24"/>
      <c r="L928" s="10"/>
      <c r="M928" s="10"/>
      <c r="N928" s="10"/>
      <c r="O928" s="10"/>
      <c r="P928" s="10"/>
      <c r="Q928" s="10"/>
      <c r="R928" s="10"/>
      <c r="S928" s="10"/>
      <c r="T928" s="14"/>
      <c r="U928" s="10"/>
      <c r="V928" s="10"/>
      <c r="W928" s="10"/>
      <c r="X928" s="7"/>
      <c r="Y928" s="7"/>
      <c r="Z928" s="7"/>
      <c r="AA928" s="34"/>
      <c r="AB928" s="7"/>
      <c r="AC928" s="34"/>
      <c r="AD928" s="10"/>
      <c r="AF928"/>
    </row>
    <row r="929" spans="1:32" x14ac:dyDescent="0.25">
      <c r="A929" s="7"/>
      <c r="C929" s="70"/>
      <c r="D929" s="70"/>
      <c r="E929" s="73"/>
      <c r="F929" s="9"/>
      <c r="H929" s="9"/>
      <c r="I929" s="10"/>
      <c r="J929" s="7"/>
      <c r="K929" s="7"/>
      <c r="L929" s="10"/>
      <c r="M929" s="10"/>
      <c r="N929" s="10"/>
      <c r="O929" s="10"/>
      <c r="P929" s="10"/>
      <c r="Q929" s="10"/>
      <c r="R929" s="10"/>
      <c r="S929" s="10"/>
      <c r="T929" s="14"/>
      <c r="U929" s="10"/>
      <c r="V929" s="10"/>
      <c r="W929" s="10"/>
      <c r="X929" s="7"/>
      <c r="Y929" s="7"/>
      <c r="Z929" s="7"/>
      <c r="AA929" s="34"/>
      <c r="AB929" s="7"/>
      <c r="AC929" s="34"/>
      <c r="AD929" s="10"/>
      <c r="AF929"/>
    </row>
    <row r="930" spans="1:32" x14ac:dyDescent="0.25">
      <c r="A930" s="7"/>
      <c r="C930" s="70"/>
      <c r="D930" s="70"/>
      <c r="E930" s="73"/>
      <c r="F930" s="9"/>
      <c r="H930" s="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4"/>
      <c r="U930" s="10"/>
      <c r="V930" s="10"/>
      <c r="W930" s="10"/>
      <c r="X930" s="7"/>
      <c r="Y930" s="7"/>
      <c r="Z930" s="34"/>
      <c r="AA930" s="34"/>
      <c r="AB930" s="7"/>
      <c r="AC930" s="34"/>
      <c r="AD930" s="10"/>
      <c r="AF930"/>
    </row>
    <row r="931" spans="1:32" x14ac:dyDescent="0.25">
      <c r="A931" s="7"/>
      <c r="C931" s="70"/>
      <c r="D931" s="70"/>
      <c r="E931" s="73"/>
      <c r="F931" s="9"/>
      <c r="H931" s="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4"/>
      <c r="U931" s="10"/>
      <c r="V931" s="10"/>
      <c r="W931" s="10"/>
      <c r="X931" s="7"/>
      <c r="Y931" s="7"/>
      <c r="Z931" s="7"/>
      <c r="AA931" s="34"/>
      <c r="AB931" s="7"/>
      <c r="AC931" s="34"/>
      <c r="AD931" s="10"/>
      <c r="AF931"/>
    </row>
    <row r="932" spans="1:32" x14ac:dyDescent="0.25">
      <c r="A932" s="7"/>
      <c r="C932" s="70"/>
      <c r="D932" s="70"/>
      <c r="E932" s="73"/>
      <c r="F932" s="9"/>
      <c r="H932" s="9"/>
      <c r="I932" s="10"/>
      <c r="J932" s="7"/>
      <c r="K932" s="10"/>
      <c r="L932" s="10"/>
      <c r="M932" s="10"/>
      <c r="N932" s="10"/>
      <c r="O932" s="10"/>
      <c r="P932" s="10"/>
      <c r="Q932" s="10"/>
      <c r="R932" s="10"/>
      <c r="S932" s="10"/>
      <c r="T932" s="14"/>
      <c r="U932" s="10"/>
      <c r="V932" s="10"/>
      <c r="W932" s="10"/>
      <c r="X932" s="7"/>
      <c r="Y932" s="7"/>
      <c r="Z932" s="7"/>
      <c r="AA932" s="34"/>
      <c r="AB932" s="7"/>
      <c r="AC932" s="34"/>
      <c r="AD932" s="10"/>
      <c r="AF932"/>
    </row>
    <row r="933" spans="1:32" x14ac:dyDescent="0.25">
      <c r="A933" s="7"/>
      <c r="C933" s="70"/>
      <c r="D933" s="70"/>
      <c r="E933" s="73"/>
      <c r="F933" s="9"/>
      <c r="H933" s="9"/>
      <c r="I933" s="10"/>
      <c r="J933" s="7"/>
      <c r="K933" s="7"/>
      <c r="L933" s="10"/>
      <c r="M933" s="10"/>
      <c r="N933" s="10"/>
      <c r="O933" s="10"/>
      <c r="P933" s="10"/>
      <c r="Q933" s="10"/>
      <c r="R933" s="10"/>
      <c r="S933" s="10"/>
      <c r="T933" s="14"/>
      <c r="U933" s="10"/>
      <c r="V933" s="10"/>
      <c r="W933" s="10"/>
      <c r="X933" s="7"/>
      <c r="Y933" s="7"/>
      <c r="Z933" s="7"/>
      <c r="AA933" s="34"/>
      <c r="AB933" s="7"/>
      <c r="AC933" s="34"/>
      <c r="AD933" s="10"/>
      <c r="AF933"/>
    </row>
    <row r="934" spans="1:32" x14ac:dyDescent="0.25">
      <c r="A934" s="7"/>
      <c r="C934" s="70"/>
      <c r="D934" s="70"/>
      <c r="E934" s="73"/>
      <c r="F934" s="9"/>
      <c r="H934" s="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4"/>
      <c r="U934" s="10"/>
      <c r="V934" s="10"/>
      <c r="W934" s="10"/>
      <c r="X934" s="7"/>
      <c r="Y934" s="7"/>
      <c r="Z934" s="7"/>
      <c r="AA934" s="34"/>
      <c r="AB934" s="7"/>
      <c r="AC934" s="34"/>
      <c r="AD934" s="10"/>
      <c r="AF934"/>
    </row>
    <row r="935" spans="1:32" x14ac:dyDescent="0.25">
      <c r="A935" s="7"/>
      <c r="C935" s="70"/>
      <c r="D935" s="70"/>
      <c r="E935" s="73"/>
      <c r="F935" s="9"/>
      <c r="H935" s="9"/>
      <c r="I935" s="10"/>
      <c r="J935" s="7"/>
      <c r="K935" s="7"/>
      <c r="L935" s="10"/>
      <c r="M935" s="10"/>
      <c r="N935" s="10"/>
      <c r="O935" s="10"/>
      <c r="P935" s="10"/>
      <c r="Q935" s="10"/>
      <c r="R935" s="10"/>
      <c r="S935" s="10"/>
      <c r="T935" s="14"/>
      <c r="U935" s="10"/>
      <c r="V935" s="10"/>
      <c r="W935" s="10"/>
      <c r="X935" s="7"/>
      <c r="Y935" s="7"/>
      <c r="Z935" s="34"/>
      <c r="AA935" s="34"/>
      <c r="AB935" s="7"/>
      <c r="AC935" s="34"/>
      <c r="AD935" s="10"/>
      <c r="AF935"/>
    </row>
    <row r="936" spans="1:32" x14ac:dyDescent="0.25">
      <c r="A936" s="7"/>
      <c r="C936" s="70"/>
      <c r="D936" s="70"/>
      <c r="E936" s="73"/>
      <c r="F936" s="9"/>
      <c r="H936" s="9"/>
      <c r="I936" s="10"/>
      <c r="J936" s="10"/>
      <c r="K936" s="24"/>
      <c r="L936" s="10"/>
      <c r="M936" s="10"/>
      <c r="N936" s="10"/>
      <c r="O936" s="10"/>
      <c r="P936" s="10"/>
      <c r="Q936" s="10"/>
      <c r="R936" s="10"/>
      <c r="S936" s="10"/>
      <c r="T936" s="14"/>
      <c r="U936" s="10"/>
      <c r="V936" s="10"/>
      <c r="W936" s="10"/>
      <c r="X936" s="7"/>
      <c r="Y936" s="7"/>
      <c r="Z936" s="7"/>
      <c r="AA936" s="34"/>
      <c r="AB936" s="7"/>
      <c r="AC936" s="34"/>
      <c r="AD936" s="10"/>
      <c r="AF936"/>
    </row>
    <row r="937" spans="1:32" x14ac:dyDescent="0.25">
      <c r="A937" s="7"/>
      <c r="C937" s="70"/>
      <c r="D937" s="70"/>
      <c r="E937" s="73"/>
      <c r="F937" s="9"/>
      <c r="H937" s="9"/>
      <c r="I937" s="10"/>
      <c r="J937" s="10"/>
      <c r="K937" s="7"/>
      <c r="L937" s="10"/>
      <c r="M937" s="10"/>
      <c r="N937" s="10"/>
      <c r="O937" s="10"/>
      <c r="P937" s="10"/>
      <c r="Q937" s="10"/>
      <c r="R937" s="10"/>
      <c r="S937" s="10"/>
      <c r="T937" s="14"/>
      <c r="U937" s="10"/>
      <c r="V937" s="10"/>
      <c r="W937" s="10"/>
      <c r="X937" s="7"/>
      <c r="Y937" s="7"/>
      <c r="Z937" s="7"/>
      <c r="AA937" s="34"/>
      <c r="AB937" s="7"/>
      <c r="AC937" s="34"/>
      <c r="AD937" s="10"/>
      <c r="AF937"/>
    </row>
    <row r="938" spans="1:32" x14ac:dyDescent="0.25">
      <c r="A938" s="7"/>
      <c r="C938" s="70"/>
      <c r="D938" s="70"/>
      <c r="E938" s="73"/>
      <c r="F938" s="9"/>
      <c r="H938" s="9"/>
      <c r="I938" s="10"/>
      <c r="J938" s="7"/>
      <c r="K938" s="7"/>
      <c r="L938" s="10"/>
      <c r="M938" s="10"/>
      <c r="N938" s="10"/>
      <c r="O938" s="10"/>
      <c r="P938" s="10"/>
      <c r="Q938" s="10"/>
      <c r="R938" s="10"/>
      <c r="S938" s="10"/>
      <c r="T938" s="14"/>
      <c r="U938" s="10"/>
      <c r="V938" s="10"/>
      <c r="W938" s="10"/>
      <c r="X938" s="7"/>
      <c r="Y938" s="7"/>
      <c r="Z938" s="7"/>
      <c r="AA938" s="34"/>
      <c r="AB938" s="7"/>
      <c r="AC938" s="34"/>
      <c r="AD938" s="10"/>
      <c r="AF938"/>
    </row>
    <row r="939" spans="1:32" x14ac:dyDescent="0.25">
      <c r="A939" s="7"/>
      <c r="C939" s="70"/>
      <c r="D939" s="70"/>
      <c r="E939" s="73"/>
      <c r="F939" s="9"/>
      <c r="H939" s="9"/>
      <c r="I939" s="10"/>
      <c r="J939" s="7"/>
      <c r="K939" s="7"/>
      <c r="L939" s="10"/>
      <c r="M939" s="10"/>
      <c r="N939" s="10"/>
      <c r="O939" s="10"/>
      <c r="P939" s="10"/>
      <c r="Q939" s="10"/>
      <c r="R939" s="10"/>
      <c r="S939" s="10"/>
      <c r="T939" s="14"/>
      <c r="U939" s="10"/>
      <c r="V939" s="10"/>
      <c r="W939" s="10"/>
      <c r="X939" s="7"/>
      <c r="Y939" s="7"/>
      <c r="Z939" s="7"/>
      <c r="AA939" s="34"/>
      <c r="AB939" s="7"/>
      <c r="AC939" s="34"/>
      <c r="AD939" s="10"/>
      <c r="AF939"/>
    </row>
    <row r="940" spans="1:32" x14ac:dyDescent="0.25">
      <c r="A940" s="7"/>
      <c r="C940" s="70"/>
      <c r="D940" s="70"/>
      <c r="E940" s="73"/>
      <c r="F940" s="9"/>
      <c r="H940" s="9"/>
      <c r="I940" s="10"/>
      <c r="J940" s="7"/>
      <c r="K940" s="7"/>
      <c r="L940" s="10"/>
      <c r="M940" s="10"/>
      <c r="N940" s="10"/>
      <c r="O940" s="10"/>
      <c r="P940" s="10"/>
      <c r="Q940" s="10"/>
      <c r="R940" s="10"/>
      <c r="S940" s="10"/>
      <c r="T940" s="14"/>
      <c r="U940" s="10"/>
      <c r="V940" s="10"/>
      <c r="W940" s="10"/>
      <c r="X940" s="7"/>
      <c r="Y940" s="34"/>
      <c r="Z940" s="7"/>
      <c r="AA940" s="34"/>
      <c r="AB940" s="7"/>
      <c r="AC940" s="34"/>
      <c r="AD940" s="10"/>
      <c r="AF940"/>
    </row>
    <row r="941" spans="1:32" x14ac:dyDescent="0.25">
      <c r="A941" s="7"/>
      <c r="C941" s="70"/>
      <c r="D941" s="70"/>
      <c r="E941" s="73"/>
      <c r="F941" s="9"/>
      <c r="H941" s="9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4"/>
      <c r="U941" s="10"/>
      <c r="V941" s="10"/>
      <c r="W941" s="10"/>
      <c r="X941" s="7"/>
      <c r="Y941" s="7"/>
      <c r="Z941" s="34"/>
      <c r="AA941" s="34"/>
      <c r="AB941" s="7"/>
      <c r="AC941" s="34"/>
      <c r="AD941" s="10"/>
      <c r="AF941"/>
    </row>
    <row r="942" spans="1:32" x14ac:dyDescent="0.25">
      <c r="A942" s="7"/>
      <c r="C942" s="70"/>
      <c r="D942" s="70"/>
      <c r="E942" s="73"/>
      <c r="F942" s="9"/>
      <c r="H942" s="9"/>
      <c r="I942" s="10"/>
      <c r="J942" s="10"/>
      <c r="K942" s="7"/>
      <c r="L942" s="10"/>
      <c r="M942" s="10"/>
      <c r="N942" s="10"/>
      <c r="O942" s="10"/>
      <c r="P942" s="10"/>
      <c r="Q942" s="10"/>
      <c r="R942" s="10"/>
      <c r="S942" s="10"/>
      <c r="T942" s="14"/>
      <c r="U942" s="10"/>
      <c r="V942" s="10"/>
      <c r="W942" s="10"/>
      <c r="X942" s="7"/>
      <c r="Y942" s="7"/>
      <c r="Z942" s="7"/>
      <c r="AA942" s="34"/>
      <c r="AB942" s="7"/>
      <c r="AC942" s="34"/>
      <c r="AD942" s="10"/>
      <c r="AF942"/>
    </row>
    <row r="943" spans="1:32" x14ac:dyDescent="0.25">
      <c r="A943" s="7"/>
      <c r="C943" s="70"/>
      <c r="D943" s="70"/>
      <c r="E943" s="73"/>
      <c r="F943" s="9"/>
      <c r="H943" s="9"/>
      <c r="I943" s="10"/>
      <c r="J943" s="7"/>
      <c r="K943" s="7"/>
      <c r="L943" s="10"/>
      <c r="M943" s="10"/>
      <c r="N943" s="10"/>
      <c r="O943" s="10"/>
      <c r="P943" s="10"/>
      <c r="Q943" s="10"/>
      <c r="R943" s="10"/>
      <c r="S943" s="10"/>
      <c r="T943" s="14"/>
      <c r="U943" s="10"/>
      <c r="V943" s="10"/>
      <c r="W943" s="10"/>
      <c r="X943" s="7"/>
      <c r="Y943" s="7"/>
      <c r="Z943" s="34"/>
      <c r="AA943" s="34"/>
      <c r="AB943" s="7"/>
      <c r="AC943" s="34"/>
      <c r="AD943" s="10"/>
      <c r="AF943"/>
    </row>
    <row r="944" spans="1:32" x14ac:dyDescent="0.25">
      <c r="A944" s="7"/>
      <c r="C944" s="70"/>
      <c r="D944" s="70"/>
      <c r="E944" s="73"/>
      <c r="F944" s="9"/>
      <c r="H944" s="9"/>
      <c r="I944" s="10"/>
      <c r="J944" s="10"/>
      <c r="K944" s="7"/>
      <c r="L944" s="10"/>
      <c r="M944" s="10"/>
      <c r="N944" s="10"/>
      <c r="O944" s="10"/>
      <c r="P944" s="10"/>
      <c r="Q944" s="10"/>
      <c r="R944" s="10"/>
      <c r="S944" s="10"/>
      <c r="T944" s="14"/>
      <c r="U944" s="10"/>
      <c r="V944" s="10"/>
      <c r="W944" s="10"/>
      <c r="X944" s="7"/>
      <c r="Y944" s="7"/>
      <c r="Z944" s="34"/>
      <c r="AA944" s="34"/>
      <c r="AB944" s="7"/>
      <c r="AC944" s="34"/>
      <c r="AD944" s="10"/>
      <c r="AF944"/>
    </row>
    <row r="945" spans="1:32" x14ac:dyDescent="0.25">
      <c r="A945" s="7"/>
      <c r="C945" s="70"/>
      <c r="D945" s="70"/>
      <c r="E945" s="73"/>
      <c r="F945" s="45"/>
      <c r="H945" s="9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4"/>
      <c r="U945" s="10"/>
      <c r="V945" s="10"/>
      <c r="W945" s="10"/>
      <c r="X945" s="7"/>
      <c r="Y945" s="7"/>
      <c r="Z945" s="34"/>
      <c r="AA945" s="34"/>
      <c r="AB945" s="7"/>
      <c r="AC945" s="34"/>
      <c r="AD945" s="10"/>
      <c r="AF945"/>
    </row>
    <row r="946" spans="1:32" x14ac:dyDescent="0.25">
      <c r="A946" s="7"/>
      <c r="C946" s="70"/>
      <c r="D946" s="70"/>
      <c r="E946" s="73"/>
      <c r="F946" s="9"/>
      <c r="H946" s="9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4"/>
      <c r="U946" s="10"/>
      <c r="V946" s="10"/>
      <c r="W946" s="10"/>
      <c r="X946" s="7"/>
      <c r="Y946" s="7"/>
      <c r="Z946" s="7"/>
      <c r="AA946" s="34"/>
      <c r="AB946" s="7"/>
      <c r="AC946" s="34"/>
      <c r="AD946" s="10"/>
      <c r="AF946"/>
    </row>
    <row r="947" spans="1:32" x14ac:dyDescent="0.25">
      <c r="A947" s="7"/>
      <c r="C947" s="70"/>
      <c r="D947" s="70"/>
      <c r="E947" s="73"/>
      <c r="F947" s="9"/>
      <c r="H947" s="9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4"/>
      <c r="U947" s="10"/>
      <c r="V947" s="10"/>
      <c r="W947" s="10"/>
      <c r="X947" s="7"/>
      <c r="Y947" s="7"/>
      <c r="Z947" s="7"/>
      <c r="AA947" s="34"/>
      <c r="AB947" s="7"/>
      <c r="AC947" s="34"/>
      <c r="AD947" s="10"/>
      <c r="AF947"/>
    </row>
    <row r="948" spans="1:32" x14ac:dyDescent="0.25">
      <c r="A948" s="7"/>
      <c r="C948" s="70"/>
      <c r="D948" s="70"/>
      <c r="E948" s="73"/>
      <c r="F948" s="9"/>
      <c r="H948" s="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4"/>
      <c r="U948" s="10"/>
      <c r="V948" s="10"/>
      <c r="W948" s="10"/>
      <c r="X948" s="7"/>
      <c r="Y948" s="7"/>
      <c r="Z948" s="7"/>
      <c r="AA948" s="34"/>
      <c r="AB948" s="7"/>
      <c r="AC948" s="34"/>
      <c r="AD948" s="10"/>
      <c r="AF948"/>
    </row>
    <row r="949" spans="1:32" x14ac:dyDescent="0.25">
      <c r="A949" s="7"/>
      <c r="C949" s="70"/>
      <c r="D949" s="70"/>
      <c r="E949" s="73"/>
      <c r="F949" s="9"/>
      <c r="H949" s="9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4"/>
      <c r="U949" s="10"/>
      <c r="V949" s="10"/>
      <c r="W949" s="10"/>
      <c r="X949" s="7"/>
      <c r="Y949" s="7"/>
      <c r="Z949" s="7"/>
      <c r="AA949" s="34"/>
      <c r="AB949" s="7"/>
      <c r="AC949" s="34"/>
      <c r="AD949" s="10"/>
      <c r="AF949"/>
    </row>
    <row r="950" spans="1:32" x14ac:dyDescent="0.25">
      <c r="A950" s="7"/>
      <c r="C950" s="70"/>
      <c r="D950" s="70"/>
      <c r="E950" s="73"/>
      <c r="F950" s="9"/>
      <c r="H950" s="9"/>
      <c r="I950" s="10"/>
      <c r="J950" s="10"/>
      <c r="K950" s="7"/>
      <c r="L950" s="10"/>
      <c r="M950" s="10"/>
      <c r="N950" s="10"/>
      <c r="O950" s="10"/>
      <c r="P950" s="10"/>
      <c r="Q950" s="10"/>
      <c r="R950" s="10"/>
      <c r="S950" s="10"/>
      <c r="T950" s="14"/>
      <c r="U950" s="10"/>
      <c r="V950" s="10"/>
      <c r="W950" s="10"/>
      <c r="X950" s="7"/>
      <c r="Y950" s="7"/>
      <c r="Z950" s="7"/>
      <c r="AA950" s="34"/>
      <c r="AB950" s="7"/>
      <c r="AC950" s="34"/>
      <c r="AD950" s="10"/>
      <c r="AF950"/>
    </row>
    <row r="951" spans="1:32" x14ac:dyDescent="0.25">
      <c r="A951" s="7"/>
      <c r="C951" s="70"/>
      <c r="D951" s="70"/>
      <c r="E951" s="73"/>
      <c r="F951" s="9"/>
      <c r="H951" s="9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4"/>
      <c r="U951" s="10"/>
      <c r="V951" s="10"/>
      <c r="W951" s="10"/>
      <c r="X951" s="7"/>
      <c r="Y951" s="7"/>
      <c r="Z951" s="7"/>
      <c r="AA951" s="34"/>
      <c r="AB951" s="7"/>
      <c r="AC951" s="34"/>
      <c r="AD951" s="10"/>
      <c r="AF951"/>
    </row>
    <row r="952" spans="1:32" x14ac:dyDescent="0.25">
      <c r="A952" s="7"/>
      <c r="C952" s="70"/>
      <c r="D952" s="70"/>
      <c r="E952" s="73"/>
      <c r="F952" s="9"/>
      <c r="H952" s="9"/>
      <c r="I952" s="10"/>
      <c r="J952" s="10"/>
      <c r="K952" s="7"/>
      <c r="L952" s="10"/>
      <c r="M952" s="10"/>
      <c r="N952" s="10"/>
      <c r="O952" s="10"/>
      <c r="P952" s="10"/>
      <c r="Q952" s="10"/>
      <c r="R952" s="10"/>
      <c r="S952" s="10"/>
      <c r="T952" s="14"/>
      <c r="U952" s="10"/>
      <c r="V952" s="10"/>
      <c r="W952" s="10"/>
      <c r="X952" s="7"/>
      <c r="Y952" s="7"/>
      <c r="Z952" s="34"/>
      <c r="AA952" s="34"/>
      <c r="AB952" s="7"/>
      <c r="AC952" s="34"/>
      <c r="AD952" s="10"/>
      <c r="AF952"/>
    </row>
    <row r="953" spans="1:32" x14ac:dyDescent="0.25">
      <c r="A953" s="7"/>
      <c r="C953" s="70"/>
      <c r="D953" s="70"/>
      <c r="E953" s="73"/>
      <c r="F953" s="9"/>
      <c r="H953" s="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4"/>
      <c r="U953" s="10"/>
      <c r="V953" s="10"/>
      <c r="W953" s="10"/>
      <c r="X953" s="7"/>
      <c r="Y953" s="7"/>
      <c r="Z953" s="34"/>
      <c r="AA953" s="34"/>
      <c r="AB953" s="7"/>
      <c r="AC953" s="34"/>
      <c r="AD953" s="10"/>
      <c r="AF953"/>
    </row>
    <row r="954" spans="1:32" x14ac:dyDescent="0.25">
      <c r="A954" s="7"/>
      <c r="C954" s="70"/>
      <c r="D954" s="70"/>
      <c r="E954" s="73"/>
      <c r="F954" s="9"/>
      <c r="H954" s="9"/>
      <c r="I954" s="10"/>
      <c r="J954" s="7"/>
      <c r="K954" s="24"/>
      <c r="L954" s="10"/>
      <c r="M954" s="10"/>
      <c r="N954" s="10"/>
      <c r="O954" s="10"/>
      <c r="P954" s="10"/>
      <c r="Q954" s="10"/>
      <c r="R954" s="10"/>
      <c r="S954" s="10"/>
      <c r="T954" s="14"/>
      <c r="U954" s="10"/>
      <c r="V954" s="10"/>
      <c r="W954" s="10"/>
      <c r="X954" s="7"/>
      <c r="Y954" s="7"/>
      <c r="Z954" s="7"/>
      <c r="AA954" s="34"/>
      <c r="AB954" s="7"/>
      <c r="AC954" s="34"/>
      <c r="AD954" s="10"/>
      <c r="AF954"/>
    </row>
    <row r="955" spans="1:32" x14ac:dyDescent="0.25">
      <c r="A955" s="7"/>
      <c r="C955" s="70"/>
      <c r="D955" s="70"/>
      <c r="E955" s="73"/>
      <c r="F955" s="9"/>
      <c r="H955" s="9"/>
      <c r="I955" s="10"/>
      <c r="J955" s="7"/>
      <c r="K955" s="7"/>
      <c r="L955" s="10"/>
      <c r="M955" s="10"/>
      <c r="N955" s="10"/>
      <c r="O955" s="10"/>
      <c r="P955" s="10"/>
      <c r="Q955" s="10"/>
      <c r="R955" s="10"/>
      <c r="S955" s="10"/>
      <c r="T955" s="14"/>
      <c r="U955" s="10"/>
      <c r="V955" s="10"/>
      <c r="W955" s="10"/>
      <c r="X955" s="7"/>
      <c r="Y955" s="7"/>
      <c r="Z955" s="7"/>
      <c r="AA955" s="34"/>
      <c r="AB955" s="7"/>
      <c r="AC955" s="34"/>
      <c r="AD955" s="10"/>
      <c r="AF955"/>
    </row>
    <row r="956" spans="1:32" x14ac:dyDescent="0.25">
      <c r="A956" s="7"/>
      <c r="C956" s="70"/>
      <c r="D956" s="70"/>
      <c r="E956" s="73"/>
      <c r="F956" s="9"/>
      <c r="H956" s="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4"/>
      <c r="U956" s="10"/>
      <c r="V956" s="10"/>
      <c r="W956" s="10"/>
      <c r="X956" s="7"/>
      <c r="Y956" s="7"/>
      <c r="Z956" s="7"/>
      <c r="AA956" s="34"/>
      <c r="AB956" s="7"/>
      <c r="AC956" s="34"/>
      <c r="AD956" s="10"/>
      <c r="AF956"/>
    </row>
    <row r="957" spans="1:32" x14ac:dyDescent="0.25">
      <c r="A957" s="7"/>
      <c r="C957" s="70"/>
      <c r="D957" s="70"/>
      <c r="E957" s="73"/>
      <c r="F957" s="9"/>
      <c r="H957" s="9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4"/>
      <c r="U957" s="10"/>
      <c r="V957" s="10"/>
      <c r="W957" s="10"/>
      <c r="X957" s="7"/>
      <c r="Y957" s="7"/>
      <c r="Z957" s="7"/>
      <c r="AA957" s="34"/>
      <c r="AB957" s="7"/>
      <c r="AC957" s="34"/>
      <c r="AD957" s="10"/>
      <c r="AF957"/>
    </row>
    <row r="958" spans="1:32" x14ac:dyDescent="0.25">
      <c r="A958" s="7"/>
      <c r="C958" s="70"/>
      <c r="D958" s="70"/>
      <c r="E958" s="73"/>
      <c r="F958" s="9"/>
      <c r="H958" s="9"/>
      <c r="I958" s="10"/>
      <c r="J958" s="7"/>
      <c r="K958" s="24"/>
      <c r="L958" s="10"/>
      <c r="M958" s="10"/>
      <c r="N958" s="10"/>
      <c r="O958" s="10"/>
      <c r="P958" s="10"/>
      <c r="Q958" s="10"/>
      <c r="R958" s="10"/>
      <c r="S958" s="10"/>
      <c r="T958" s="14"/>
      <c r="U958" s="10"/>
      <c r="V958" s="10"/>
      <c r="W958" s="10"/>
      <c r="X958" s="7"/>
      <c r="Y958" s="7"/>
      <c r="Z958" s="7"/>
      <c r="AA958" s="34"/>
      <c r="AB958" s="7"/>
      <c r="AC958" s="34"/>
      <c r="AD958" s="10"/>
      <c r="AF958"/>
    </row>
    <row r="959" spans="1:32" x14ac:dyDescent="0.25">
      <c r="A959" s="7"/>
      <c r="C959" s="70"/>
      <c r="D959" s="70"/>
      <c r="E959" s="73"/>
      <c r="F959" s="9"/>
      <c r="H959" s="9"/>
      <c r="I959" s="10"/>
      <c r="J959" s="7"/>
      <c r="K959" s="24"/>
      <c r="L959" s="10"/>
      <c r="M959" s="10"/>
      <c r="N959" s="10"/>
      <c r="O959" s="10"/>
      <c r="P959" s="10"/>
      <c r="Q959" s="10"/>
      <c r="R959" s="10"/>
      <c r="S959" s="10"/>
      <c r="T959" s="14"/>
      <c r="U959" s="10"/>
      <c r="V959" s="10"/>
      <c r="W959" s="10"/>
      <c r="X959" s="7"/>
      <c r="Y959" s="7"/>
      <c r="Z959" s="7"/>
      <c r="AA959" s="34"/>
      <c r="AB959" s="7"/>
      <c r="AC959" s="34"/>
      <c r="AD959" s="10"/>
      <c r="AF959"/>
    </row>
    <row r="960" spans="1:32" x14ac:dyDescent="0.25">
      <c r="A960" s="7"/>
      <c r="C960" s="70"/>
      <c r="D960" s="70"/>
      <c r="E960" s="73"/>
      <c r="F960" s="9"/>
      <c r="H960" s="9"/>
      <c r="I960" s="10"/>
      <c r="J960" s="10"/>
      <c r="K960" s="7"/>
      <c r="L960" s="10"/>
      <c r="M960" s="10"/>
      <c r="N960" s="10"/>
      <c r="O960" s="10"/>
      <c r="P960" s="10"/>
      <c r="Q960" s="10"/>
      <c r="R960" s="10"/>
      <c r="S960" s="10"/>
      <c r="T960" s="14"/>
      <c r="U960" s="10"/>
      <c r="V960" s="10"/>
      <c r="W960" s="10"/>
      <c r="X960" s="7"/>
      <c r="Y960" s="7"/>
      <c r="Z960" s="34"/>
      <c r="AA960" s="34"/>
      <c r="AB960" s="7"/>
      <c r="AC960" s="34"/>
      <c r="AD960" s="10"/>
      <c r="AF960"/>
    </row>
    <row r="961" spans="1:32" x14ac:dyDescent="0.25">
      <c r="A961" s="7"/>
      <c r="C961" s="70"/>
      <c r="D961" s="70"/>
      <c r="E961" s="73"/>
      <c r="F961" s="9"/>
      <c r="H961" s="9"/>
      <c r="I961" s="10"/>
      <c r="J961" s="7"/>
      <c r="K961" s="7"/>
      <c r="L961" s="10"/>
      <c r="M961" s="10"/>
      <c r="N961" s="10"/>
      <c r="O961" s="10"/>
      <c r="P961" s="10"/>
      <c r="Q961" s="10"/>
      <c r="R961" s="10"/>
      <c r="S961" s="10"/>
      <c r="T961" s="14"/>
      <c r="U961" s="10"/>
      <c r="V961" s="10"/>
      <c r="W961" s="10"/>
      <c r="X961" s="7"/>
      <c r="Y961" s="7"/>
      <c r="Z961" s="34"/>
      <c r="AA961" s="34"/>
      <c r="AB961" s="7"/>
      <c r="AC961" s="34"/>
      <c r="AD961" s="10"/>
      <c r="AF961"/>
    </row>
    <row r="962" spans="1:32" x14ac:dyDescent="0.25">
      <c r="A962" s="7"/>
      <c r="C962" s="70"/>
      <c r="D962" s="70"/>
      <c r="E962" s="73"/>
      <c r="F962" s="9"/>
      <c r="H962" s="9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4"/>
      <c r="U962" s="10"/>
      <c r="V962" s="10"/>
      <c r="W962" s="10"/>
      <c r="X962" s="7"/>
      <c r="Y962" s="7"/>
      <c r="Z962" s="7"/>
      <c r="AA962" s="34"/>
      <c r="AB962" s="7"/>
      <c r="AC962" s="34"/>
      <c r="AD962" s="10"/>
      <c r="AF962"/>
    </row>
    <row r="963" spans="1:32" x14ac:dyDescent="0.25">
      <c r="A963" s="7"/>
      <c r="C963" s="70"/>
      <c r="D963" s="70"/>
      <c r="E963" s="73"/>
      <c r="F963" s="9"/>
      <c r="I963" s="10"/>
      <c r="J963" s="10"/>
      <c r="K963" s="10"/>
      <c r="L963" s="34"/>
      <c r="M963" s="34"/>
      <c r="N963" s="10"/>
      <c r="O963" s="10"/>
      <c r="P963" s="10"/>
      <c r="Q963" s="10"/>
      <c r="R963" s="10"/>
      <c r="S963" s="10"/>
      <c r="T963" s="14"/>
      <c r="U963" s="10"/>
      <c r="V963" s="10"/>
      <c r="W963" s="10"/>
      <c r="X963" s="7"/>
      <c r="Y963" s="7"/>
      <c r="Z963" s="7"/>
      <c r="AA963" s="34"/>
      <c r="AB963" s="7"/>
      <c r="AC963" s="34"/>
      <c r="AD963" s="10"/>
      <c r="AF963"/>
    </row>
    <row r="964" spans="1:32" x14ac:dyDescent="0.25">
      <c r="A964" s="7"/>
      <c r="C964" s="70"/>
      <c r="D964" s="70"/>
      <c r="E964" s="73"/>
      <c r="F964" s="9"/>
      <c r="H964" s="9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4"/>
      <c r="U964" s="10"/>
      <c r="V964" s="10"/>
      <c r="W964" s="10"/>
      <c r="X964" s="7"/>
      <c r="Y964" s="7"/>
      <c r="Z964" s="7"/>
      <c r="AA964" s="34"/>
      <c r="AB964" s="7"/>
      <c r="AC964" s="34"/>
      <c r="AD964" s="10"/>
      <c r="AF964"/>
    </row>
    <row r="965" spans="1:32" x14ac:dyDescent="0.25">
      <c r="A965" s="7"/>
      <c r="C965" s="70"/>
      <c r="D965" s="70"/>
      <c r="E965" s="73"/>
      <c r="F965" s="9"/>
      <c r="H965" s="9"/>
      <c r="I965" s="10"/>
      <c r="J965" s="10"/>
      <c r="K965" s="7"/>
      <c r="L965" s="10"/>
      <c r="M965" s="10"/>
      <c r="N965" s="10"/>
      <c r="O965" s="10"/>
      <c r="P965" s="10"/>
      <c r="Q965" s="10"/>
      <c r="R965" s="10"/>
      <c r="S965" s="10"/>
      <c r="T965" s="14"/>
      <c r="U965" s="10"/>
      <c r="V965" s="10"/>
      <c r="W965" s="10"/>
      <c r="X965" s="7"/>
      <c r="Y965" s="7"/>
      <c r="Z965" s="7"/>
      <c r="AA965" s="34"/>
      <c r="AB965" s="7"/>
      <c r="AC965" s="34"/>
      <c r="AD965" s="10"/>
      <c r="AF965"/>
    </row>
    <row r="966" spans="1:32" x14ac:dyDescent="0.25">
      <c r="A966" s="7"/>
      <c r="C966" s="70"/>
      <c r="D966" s="70"/>
      <c r="E966" s="73"/>
      <c r="F966" s="9"/>
      <c r="H966" s="9"/>
      <c r="I966" s="10"/>
      <c r="J966" s="10"/>
      <c r="K966" s="7"/>
      <c r="L966" s="10"/>
      <c r="M966" s="10"/>
      <c r="N966" s="10"/>
      <c r="O966" s="10"/>
      <c r="P966" s="10"/>
      <c r="Q966" s="10"/>
      <c r="R966" s="10"/>
      <c r="S966" s="10"/>
      <c r="T966" s="14"/>
      <c r="U966" s="10"/>
      <c r="V966" s="10"/>
      <c r="W966" s="10"/>
      <c r="X966" s="7"/>
      <c r="Y966" s="34"/>
      <c r="Z966" s="7"/>
      <c r="AA966" s="34"/>
      <c r="AB966" s="7"/>
      <c r="AC966" s="34"/>
      <c r="AD966" s="10"/>
      <c r="AF966"/>
    </row>
    <row r="967" spans="1:32" x14ac:dyDescent="0.25">
      <c r="A967" s="7"/>
      <c r="C967" s="70"/>
      <c r="D967" s="70"/>
      <c r="E967" s="73"/>
      <c r="F967" s="9"/>
      <c r="H967" s="9"/>
      <c r="I967" s="10"/>
      <c r="J967" s="10"/>
      <c r="K967" s="7"/>
      <c r="L967" s="10"/>
      <c r="M967" s="10"/>
      <c r="N967" s="10"/>
      <c r="O967" s="10"/>
      <c r="P967" s="10"/>
      <c r="Q967" s="10"/>
      <c r="R967" s="10"/>
      <c r="S967" s="10"/>
      <c r="T967" s="14"/>
      <c r="U967" s="10"/>
      <c r="V967" s="10"/>
      <c r="W967" s="10"/>
      <c r="X967" s="7"/>
      <c r="Y967" s="34"/>
      <c r="Z967" s="7"/>
      <c r="AA967" s="34"/>
      <c r="AB967" s="7"/>
      <c r="AC967" s="34"/>
      <c r="AD967" s="10"/>
      <c r="AF967"/>
    </row>
    <row r="968" spans="1:32" x14ac:dyDescent="0.25">
      <c r="A968" s="43"/>
      <c r="C968" s="70"/>
      <c r="D968" s="70"/>
      <c r="E968" s="73"/>
      <c r="F968" s="9"/>
      <c r="H968" s="9"/>
      <c r="I968" s="10"/>
      <c r="J968" s="10"/>
      <c r="K968" s="7"/>
      <c r="L968" s="10"/>
      <c r="M968" s="10"/>
      <c r="N968" s="10"/>
      <c r="O968" s="10"/>
      <c r="P968" s="10"/>
      <c r="Q968" s="10"/>
      <c r="R968" s="10"/>
      <c r="S968" s="10"/>
      <c r="T968" s="14"/>
      <c r="U968" s="10"/>
      <c r="V968" s="10"/>
      <c r="W968" s="10"/>
      <c r="X968" s="7"/>
      <c r="Y968" s="34"/>
      <c r="Z968" s="7"/>
      <c r="AA968" s="34"/>
      <c r="AB968" s="7"/>
      <c r="AC968" s="34"/>
      <c r="AD968" s="10"/>
      <c r="AF968"/>
    </row>
    <row r="969" spans="1:32" x14ac:dyDescent="0.25">
      <c r="A969" s="7"/>
      <c r="B969" s="47"/>
      <c r="C969" s="70"/>
      <c r="D969" s="70"/>
      <c r="E969" s="73"/>
      <c r="F969" s="9"/>
      <c r="H969" s="9"/>
      <c r="I969" s="10"/>
      <c r="J969" s="10"/>
      <c r="K969" s="7"/>
      <c r="L969" s="10"/>
      <c r="M969" s="10"/>
      <c r="N969" s="10"/>
      <c r="O969" s="10"/>
      <c r="P969" s="10"/>
      <c r="Q969" s="10"/>
      <c r="R969" s="10"/>
      <c r="S969" s="10"/>
      <c r="T969" s="14"/>
      <c r="U969" s="10"/>
      <c r="V969" s="10"/>
      <c r="W969" s="10"/>
      <c r="X969" s="7"/>
      <c r="Y969" s="7"/>
      <c r="Z969" s="7"/>
      <c r="AA969" s="34"/>
      <c r="AB969" s="7"/>
      <c r="AC969" s="34"/>
      <c r="AD969" s="10"/>
      <c r="AF969"/>
    </row>
    <row r="970" spans="1:32" x14ac:dyDescent="0.25">
      <c r="A970" s="7"/>
      <c r="B970" s="47"/>
      <c r="C970" s="70"/>
      <c r="D970" s="70"/>
      <c r="E970" s="73"/>
      <c r="F970" s="9"/>
      <c r="H970" s="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4"/>
      <c r="U970" s="10"/>
      <c r="V970" s="10"/>
      <c r="W970" s="10"/>
      <c r="X970" s="7"/>
      <c r="Y970" s="7"/>
      <c r="Z970" s="34"/>
      <c r="AA970" s="34"/>
      <c r="AB970" s="7"/>
      <c r="AC970" s="34"/>
      <c r="AD970" s="10"/>
      <c r="AF970"/>
    </row>
    <row r="971" spans="1:32" x14ac:dyDescent="0.25">
      <c r="A971" s="7"/>
      <c r="C971" s="70"/>
      <c r="D971" s="70"/>
      <c r="E971" s="73"/>
      <c r="F971" s="9"/>
      <c r="H971" s="9"/>
      <c r="I971" s="10"/>
      <c r="J971" s="10"/>
      <c r="K971" s="7"/>
      <c r="L971" s="10"/>
      <c r="M971" s="10"/>
      <c r="N971" s="10"/>
      <c r="O971" s="10"/>
      <c r="P971" s="10"/>
      <c r="Q971" s="10"/>
      <c r="R971" s="10"/>
      <c r="S971" s="10"/>
      <c r="T971" s="14"/>
      <c r="U971" s="10"/>
      <c r="V971" s="10"/>
      <c r="W971" s="10"/>
      <c r="X971" s="7"/>
      <c r="Y971" s="7"/>
      <c r="Z971" s="7"/>
      <c r="AA971" s="34"/>
      <c r="AB971" s="7"/>
      <c r="AC971" s="34"/>
      <c r="AD971" s="10"/>
      <c r="AF971"/>
    </row>
    <row r="972" spans="1:32" x14ac:dyDescent="0.25">
      <c r="A972" s="7"/>
      <c r="C972" s="70"/>
      <c r="D972" s="70"/>
      <c r="E972" s="73"/>
      <c r="F972" s="9"/>
      <c r="H972" s="9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4"/>
      <c r="U972" s="10"/>
      <c r="V972" s="10"/>
      <c r="W972" s="10"/>
      <c r="X972" s="7"/>
      <c r="Y972" s="7"/>
      <c r="Z972" s="34"/>
      <c r="AA972" s="34"/>
      <c r="AB972" s="7"/>
      <c r="AC972" s="34"/>
      <c r="AD972" s="10"/>
      <c r="AF972"/>
    </row>
    <row r="973" spans="1:32" x14ac:dyDescent="0.25">
      <c r="A973" s="7"/>
      <c r="C973" s="70"/>
      <c r="D973" s="70"/>
      <c r="E973" s="73"/>
      <c r="F973" s="9"/>
      <c r="H973" s="9"/>
      <c r="I973" s="10"/>
      <c r="J973" s="7"/>
      <c r="K973" s="7"/>
      <c r="L973" s="10"/>
      <c r="M973" s="10"/>
      <c r="N973" s="10"/>
      <c r="O973" s="10"/>
      <c r="P973" s="10"/>
      <c r="Q973" s="10"/>
      <c r="R973" s="10"/>
      <c r="S973" s="10"/>
      <c r="T973" s="14"/>
      <c r="U973" s="10"/>
      <c r="V973" s="10"/>
      <c r="W973" s="10"/>
      <c r="X973" s="7"/>
      <c r="Y973" s="7"/>
      <c r="Z973" s="7"/>
      <c r="AA973" s="34"/>
      <c r="AB973" s="7"/>
      <c r="AC973" s="34"/>
      <c r="AD973" s="10"/>
      <c r="AF973"/>
    </row>
    <row r="974" spans="1:32" x14ac:dyDescent="0.25">
      <c r="A974" s="7"/>
      <c r="C974" s="70"/>
      <c r="D974" s="70"/>
      <c r="E974" s="73"/>
      <c r="F974" s="9"/>
      <c r="H974" s="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4"/>
      <c r="U974" s="10"/>
      <c r="V974" s="10"/>
      <c r="W974" s="10"/>
      <c r="X974" s="7"/>
      <c r="Y974" s="7"/>
      <c r="Z974" s="7"/>
      <c r="AA974" s="34"/>
      <c r="AB974" s="7"/>
      <c r="AC974" s="34"/>
      <c r="AD974" s="10"/>
      <c r="AF974"/>
    </row>
    <row r="975" spans="1:32" x14ac:dyDescent="0.25">
      <c r="A975" s="7"/>
      <c r="C975" s="70"/>
      <c r="D975" s="70"/>
      <c r="E975" s="73"/>
      <c r="F975" s="9"/>
      <c r="H975" s="9"/>
      <c r="I975" s="10"/>
      <c r="J975" s="7"/>
      <c r="K975" s="24"/>
      <c r="L975" s="10"/>
      <c r="M975" s="10"/>
      <c r="N975" s="10"/>
      <c r="O975" s="10"/>
      <c r="P975" s="10"/>
      <c r="Q975" s="10"/>
      <c r="R975" s="10"/>
      <c r="S975" s="10"/>
      <c r="T975" s="14"/>
      <c r="U975" s="10"/>
      <c r="V975" s="10"/>
      <c r="W975" s="10"/>
      <c r="X975" s="7"/>
      <c r="Y975" s="7"/>
      <c r="Z975" s="7"/>
      <c r="AA975" s="34"/>
      <c r="AB975" s="7"/>
      <c r="AC975" s="34"/>
      <c r="AD975" s="10"/>
      <c r="AF975"/>
    </row>
    <row r="976" spans="1:32" x14ac:dyDescent="0.25">
      <c r="A976" s="7"/>
      <c r="C976" s="70"/>
      <c r="D976" s="70"/>
      <c r="E976" s="73"/>
      <c r="F976" s="9"/>
      <c r="H976" s="9"/>
      <c r="I976" s="10"/>
      <c r="J976" s="7"/>
      <c r="K976" s="24"/>
      <c r="L976" s="10"/>
      <c r="M976" s="10"/>
      <c r="N976" s="10"/>
      <c r="O976" s="10"/>
      <c r="P976" s="10"/>
      <c r="Q976" s="10"/>
      <c r="R976" s="10"/>
      <c r="S976" s="10"/>
      <c r="T976" s="14"/>
      <c r="U976" s="10"/>
      <c r="V976" s="10"/>
      <c r="W976" s="10"/>
      <c r="X976" s="7"/>
      <c r="Y976" s="7"/>
      <c r="Z976" s="7"/>
      <c r="AA976" s="34"/>
      <c r="AB976" s="7"/>
      <c r="AC976" s="34"/>
      <c r="AD976" s="10"/>
      <c r="AF976"/>
    </row>
    <row r="977" spans="1:32" x14ac:dyDescent="0.25">
      <c r="A977" s="7"/>
      <c r="C977" s="70"/>
      <c r="D977" s="70"/>
      <c r="E977" s="73"/>
      <c r="F977" s="9"/>
      <c r="H977" s="9"/>
      <c r="I977" s="10"/>
      <c r="J977" s="7"/>
      <c r="K977" s="7"/>
      <c r="L977" s="10"/>
      <c r="M977" s="10"/>
      <c r="N977" s="10"/>
      <c r="O977" s="10"/>
      <c r="P977" s="10"/>
      <c r="Q977" s="10"/>
      <c r="R977" s="10"/>
      <c r="S977" s="10"/>
      <c r="T977" s="14"/>
      <c r="U977" s="10"/>
      <c r="V977" s="10"/>
      <c r="W977" s="10"/>
      <c r="X977" s="7"/>
      <c r="Y977" s="7"/>
      <c r="Z977" s="7"/>
      <c r="AA977" s="34"/>
      <c r="AB977" s="7"/>
      <c r="AC977" s="34"/>
      <c r="AD977" s="10"/>
      <c r="AF977"/>
    </row>
    <row r="978" spans="1:32" x14ac:dyDescent="0.25">
      <c r="A978" s="7"/>
      <c r="C978" s="70"/>
      <c r="D978" s="70"/>
      <c r="E978" s="73"/>
      <c r="F978" s="9"/>
      <c r="H978" s="9"/>
      <c r="I978" s="10"/>
      <c r="J978" s="10"/>
      <c r="K978" s="24"/>
      <c r="L978" s="10"/>
      <c r="M978" s="10"/>
      <c r="N978" s="10"/>
      <c r="O978" s="10"/>
      <c r="P978" s="10"/>
      <c r="Q978" s="10"/>
      <c r="R978" s="10"/>
      <c r="S978" s="10"/>
      <c r="T978" s="14"/>
      <c r="U978" s="10"/>
      <c r="V978" s="10"/>
      <c r="W978" s="10"/>
      <c r="X978" s="7"/>
      <c r="Y978" s="7"/>
      <c r="Z978" s="34"/>
      <c r="AA978" s="34"/>
      <c r="AB978" s="7"/>
      <c r="AC978" s="34"/>
      <c r="AD978" s="10"/>
      <c r="AF978"/>
    </row>
    <row r="979" spans="1:32" x14ac:dyDescent="0.25">
      <c r="A979" s="7"/>
      <c r="C979" s="70"/>
      <c r="D979" s="70"/>
      <c r="E979" s="73"/>
      <c r="F979" s="7"/>
      <c r="G979" s="7"/>
      <c r="H979" s="9"/>
      <c r="I979" s="10"/>
      <c r="J979" s="7"/>
      <c r="K979" s="7"/>
      <c r="L979" s="7"/>
      <c r="M979" s="7"/>
      <c r="N979" s="10"/>
      <c r="O979" s="10"/>
      <c r="P979" s="10"/>
      <c r="Q979" s="10"/>
      <c r="R979" s="10"/>
      <c r="S979" s="10"/>
      <c r="T979" s="14"/>
      <c r="U979" s="10"/>
      <c r="V979" s="10"/>
      <c r="W979" s="10"/>
      <c r="X979" s="7"/>
      <c r="Y979" s="7"/>
      <c r="Z979" s="34"/>
      <c r="AA979" s="34"/>
      <c r="AB979" s="7"/>
      <c r="AC979" s="34"/>
      <c r="AD979" s="10"/>
      <c r="AF979"/>
    </row>
    <row r="980" spans="1:32" x14ac:dyDescent="0.25">
      <c r="A980" s="7"/>
      <c r="C980" s="70"/>
      <c r="D980" s="70"/>
      <c r="E980" s="73"/>
      <c r="F980" s="9"/>
      <c r="H980" s="9"/>
      <c r="I980" s="10"/>
      <c r="J980" s="7"/>
      <c r="K980" s="7"/>
      <c r="L980" s="10"/>
      <c r="M980" s="10"/>
      <c r="N980" s="10"/>
      <c r="O980" s="10"/>
      <c r="P980" s="10"/>
      <c r="Q980" s="10"/>
      <c r="R980" s="10"/>
      <c r="S980" s="10"/>
      <c r="T980" s="14"/>
      <c r="U980" s="10"/>
      <c r="V980" s="10"/>
      <c r="W980" s="10"/>
      <c r="X980" s="7"/>
      <c r="Y980" s="7"/>
      <c r="Z980" s="7"/>
      <c r="AA980" s="34"/>
      <c r="AB980" s="7"/>
      <c r="AC980" s="34"/>
      <c r="AD980" s="10"/>
      <c r="AF980"/>
    </row>
    <row r="981" spans="1:32" x14ac:dyDescent="0.25">
      <c r="A981" s="7"/>
      <c r="C981" s="70"/>
      <c r="D981" s="70"/>
      <c r="E981" s="73"/>
      <c r="F981" s="9"/>
      <c r="H981" s="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4"/>
      <c r="U981" s="10"/>
      <c r="V981" s="10"/>
      <c r="W981" s="10"/>
      <c r="X981" s="7"/>
      <c r="Y981" s="7"/>
      <c r="Z981" s="7"/>
      <c r="AA981" s="34"/>
      <c r="AB981" s="7"/>
      <c r="AC981" s="34"/>
      <c r="AD981" s="10"/>
      <c r="AF981"/>
    </row>
    <row r="982" spans="1:32" x14ac:dyDescent="0.25">
      <c r="A982" s="7"/>
      <c r="C982" s="70"/>
      <c r="D982" s="70"/>
      <c r="E982" s="73"/>
      <c r="F982" s="9"/>
      <c r="H982" s="9"/>
      <c r="I982" s="10"/>
      <c r="J982" s="7"/>
      <c r="K982" s="7"/>
      <c r="L982" s="10"/>
      <c r="M982" s="10"/>
      <c r="N982" s="10"/>
      <c r="O982" s="10"/>
      <c r="P982" s="10"/>
      <c r="Q982" s="10"/>
      <c r="R982" s="10"/>
      <c r="S982" s="10"/>
      <c r="T982" s="14"/>
      <c r="U982" s="10"/>
      <c r="V982" s="10"/>
      <c r="W982" s="10"/>
      <c r="X982" s="7"/>
      <c r="Y982" s="7"/>
      <c r="Z982" s="7"/>
      <c r="AA982" s="34"/>
      <c r="AB982" s="7"/>
      <c r="AC982" s="34"/>
      <c r="AD982" s="10"/>
      <c r="AF982"/>
    </row>
    <row r="983" spans="1:32" x14ac:dyDescent="0.25">
      <c r="A983" s="7"/>
      <c r="C983" s="70"/>
      <c r="D983" s="70"/>
      <c r="E983" s="73"/>
      <c r="F983" s="9"/>
      <c r="H983" s="9"/>
      <c r="I983" s="10"/>
      <c r="J983" s="7"/>
      <c r="K983" s="7"/>
      <c r="L983" s="10"/>
      <c r="M983" s="10"/>
      <c r="N983" s="10"/>
      <c r="O983" s="10"/>
      <c r="P983" s="10"/>
      <c r="Q983" s="10"/>
      <c r="R983" s="10"/>
      <c r="S983" s="10"/>
      <c r="T983" s="14"/>
      <c r="U983" s="10"/>
      <c r="V983" s="10"/>
      <c r="W983" s="10"/>
      <c r="X983" s="7"/>
      <c r="Y983" s="7"/>
      <c r="Z983" s="7"/>
      <c r="AA983" s="34"/>
      <c r="AB983" s="7"/>
      <c r="AC983" s="34"/>
      <c r="AD983" s="10"/>
      <c r="AF983"/>
    </row>
    <row r="984" spans="1:32" x14ac:dyDescent="0.25">
      <c r="A984" s="7"/>
      <c r="C984" s="70"/>
      <c r="D984" s="70"/>
      <c r="E984" s="73"/>
      <c r="F984" s="9"/>
      <c r="H984" s="9"/>
      <c r="I984" s="10"/>
      <c r="J984" s="7"/>
      <c r="K984" s="7"/>
      <c r="L984" s="10"/>
      <c r="M984" s="10"/>
      <c r="N984" s="10"/>
      <c r="O984" s="10"/>
      <c r="P984" s="10"/>
      <c r="Q984" s="10"/>
      <c r="R984" s="10"/>
      <c r="S984" s="10"/>
      <c r="T984" s="14"/>
      <c r="U984" s="10"/>
      <c r="V984" s="10"/>
      <c r="W984" s="10"/>
      <c r="X984" s="7"/>
      <c r="Y984" s="7"/>
      <c r="Z984" s="7"/>
      <c r="AA984" s="34"/>
      <c r="AB984" s="7"/>
      <c r="AC984" s="34"/>
      <c r="AD984" s="10"/>
      <c r="AF984"/>
    </row>
    <row r="985" spans="1:32" x14ac:dyDescent="0.25">
      <c r="A985" s="7"/>
      <c r="C985" s="70"/>
      <c r="D985" s="70"/>
      <c r="E985" s="73"/>
      <c r="F985" s="9"/>
      <c r="H985" s="9"/>
      <c r="I985" s="10"/>
      <c r="J985" s="10"/>
      <c r="K985" s="7"/>
      <c r="L985" s="10"/>
      <c r="M985" s="10"/>
      <c r="N985" s="10"/>
      <c r="O985" s="10"/>
      <c r="P985" s="10"/>
      <c r="Q985" s="10"/>
      <c r="R985" s="10"/>
      <c r="S985" s="10"/>
      <c r="T985" s="14"/>
      <c r="U985" s="10"/>
      <c r="V985" s="10"/>
      <c r="W985" s="10"/>
      <c r="X985" s="7"/>
      <c r="Y985" s="7"/>
      <c r="Z985" s="7"/>
      <c r="AA985" s="34"/>
      <c r="AB985" s="7"/>
      <c r="AC985" s="34"/>
      <c r="AD985" s="10"/>
      <c r="AF985"/>
    </row>
    <row r="986" spans="1:32" x14ac:dyDescent="0.25">
      <c r="A986" s="7"/>
      <c r="C986" s="70"/>
      <c r="D986" s="70"/>
      <c r="E986" s="73"/>
      <c r="F986" s="9"/>
      <c r="H986" s="9"/>
      <c r="I986" s="10"/>
      <c r="J986" s="10"/>
      <c r="K986" s="7"/>
      <c r="L986" s="10"/>
      <c r="M986" s="10"/>
      <c r="N986" s="10"/>
      <c r="O986" s="10"/>
      <c r="P986" s="10"/>
      <c r="Q986" s="10"/>
      <c r="R986" s="10"/>
      <c r="S986" s="10"/>
      <c r="T986" s="14"/>
      <c r="U986" s="10"/>
      <c r="V986" s="10"/>
      <c r="W986" s="10"/>
      <c r="X986" s="7"/>
      <c r="Y986" s="7"/>
      <c r="Z986" s="7"/>
      <c r="AA986" s="34"/>
      <c r="AB986" s="7"/>
      <c r="AC986" s="34"/>
      <c r="AD986" s="10"/>
      <c r="AF986"/>
    </row>
    <row r="987" spans="1:32" x14ac:dyDescent="0.25">
      <c r="A987" s="7"/>
      <c r="C987" s="70"/>
      <c r="D987" s="70"/>
      <c r="E987" s="73"/>
      <c r="F987" s="9"/>
      <c r="H987" s="9"/>
      <c r="I987" s="10"/>
      <c r="J987" s="10"/>
      <c r="K987" s="7"/>
      <c r="L987" s="10"/>
      <c r="M987" s="10"/>
      <c r="N987" s="10"/>
      <c r="O987" s="10"/>
      <c r="P987" s="10"/>
      <c r="Q987" s="10"/>
      <c r="R987" s="10"/>
      <c r="S987" s="10"/>
      <c r="T987" s="14"/>
      <c r="U987" s="10"/>
      <c r="V987" s="10"/>
      <c r="W987" s="10"/>
      <c r="X987" s="7"/>
      <c r="Y987" s="7"/>
      <c r="Z987" s="7"/>
      <c r="AA987" s="34"/>
      <c r="AB987" s="7"/>
      <c r="AC987" s="34"/>
      <c r="AD987" s="10"/>
      <c r="AF987"/>
    </row>
    <row r="988" spans="1:32" x14ac:dyDescent="0.25">
      <c r="A988" s="7"/>
      <c r="C988" s="70"/>
      <c r="D988" s="70"/>
      <c r="E988" s="73"/>
      <c r="F988" s="9"/>
      <c r="H988" s="9"/>
      <c r="I988" s="10"/>
      <c r="J988" s="10"/>
      <c r="K988" s="7"/>
      <c r="L988" s="10"/>
      <c r="M988" s="10"/>
      <c r="N988" s="10"/>
      <c r="O988" s="10"/>
      <c r="P988" s="10"/>
      <c r="Q988" s="10"/>
      <c r="R988" s="10"/>
      <c r="S988" s="10"/>
      <c r="T988" s="14"/>
      <c r="U988" s="10"/>
      <c r="V988" s="10"/>
      <c r="W988" s="10"/>
      <c r="X988" s="7"/>
      <c r="Y988" s="7"/>
      <c r="Z988" s="7"/>
      <c r="AA988" s="34"/>
      <c r="AB988" s="7"/>
      <c r="AC988" s="34"/>
      <c r="AD988" s="10"/>
      <c r="AF988"/>
    </row>
    <row r="989" spans="1:32" x14ac:dyDescent="0.25">
      <c r="A989" s="7"/>
      <c r="C989" s="70"/>
      <c r="D989" s="70"/>
      <c r="E989" s="73"/>
      <c r="F989" s="9"/>
      <c r="H989" s="9"/>
      <c r="I989" s="10"/>
      <c r="J989" s="7"/>
      <c r="K989" s="7"/>
      <c r="L989" s="10"/>
      <c r="M989" s="10"/>
      <c r="N989" s="10"/>
      <c r="O989" s="10"/>
      <c r="P989" s="10"/>
      <c r="Q989" s="10"/>
      <c r="R989" s="10"/>
      <c r="S989" s="10"/>
      <c r="T989" s="14"/>
      <c r="U989" s="10"/>
      <c r="V989" s="10"/>
      <c r="W989" s="10"/>
      <c r="X989" s="7"/>
      <c r="Y989" s="7"/>
      <c r="Z989" s="7"/>
      <c r="AA989" s="34"/>
      <c r="AB989" s="7"/>
      <c r="AC989" s="34"/>
      <c r="AD989" s="10"/>
      <c r="AF989"/>
    </row>
    <row r="990" spans="1:32" x14ac:dyDescent="0.25">
      <c r="A990" s="7"/>
      <c r="C990" s="70"/>
      <c r="D990" s="70"/>
      <c r="E990" s="73"/>
      <c r="F990" s="9"/>
      <c r="H990" s="9"/>
      <c r="I990" s="10"/>
      <c r="J990" s="7"/>
      <c r="K990" s="10"/>
      <c r="L990" s="10"/>
      <c r="M990" s="10"/>
      <c r="N990" s="10"/>
      <c r="O990" s="10"/>
      <c r="P990" s="10"/>
      <c r="Q990" s="10"/>
      <c r="R990" s="10"/>
      <c r="S990" s="10"/>
      <c r="T990" s="14"/>
      <c r="U990" s="10"/>
      <c r="V990" s="10"/>
      <c r="W990" s="10"/>
      <c r="X990" s="7"/>
      <c r="Y990" s="7"/>
      <c r="Z990" s="34"/>
      <c r="AA990" s="34"/>
      <c r="AB990" s="7"/>
      <c r="AC990" s="34"/>
      <c r="AD990" s="10"/>
      <c r="AF990"/>
    </row>
    <row r="991" spans="1:32" x14ac:dyDescent="0.25">
      <c r="A991" s="7"/>
      <c r="C991" s="70"/>
      <c r="D991" s="70"/>
      <c r="E991" s="73"/>
      <c r="F991" s="9"/>
      <c r="H991" s="9"/>
      <c r="I991" s="10"/>
      <c r="J991" s="7"/>
      <c r="K991" s="10"/>
      <c r="L991" s="10"/>
      <c r="M991" s="10"/>
      <c r="N991" s="10"/>
      <c r="O991" s="10"/>
      <c r="P991" s="10"/>
      <c r="Q991" s="10"/>
      <c r="R991" s="10"/>
      <c r="S991" s="10"/>
      <c r="T991" s="14"/>
      <c r="U991" s="10"/>
      <c r="V991" s="10"/>
      <c r="W991" s="10"/>
      <c r="X991" s="7"/>
      <c r="Y991" s="7"/>
      <c r="Z991" s="34"/>
      <c r="AA991" s="34"/>
      <c r="AB991" s="7"/>
      <c r="AC991" s="34"/>
      <c r="AD991" s="10"/>
      <c r="AF991"/>
    </row>
    <row r="992" spans="1:32" x14ac:dyDescent="0.25">
      <c r="A992" s="7"/>
      <c r="C992" s="70"/>
      <c r="D992" s="70"/>
      <c r="E992" s="73"/>
      <c r="F992" s="9"/>
      <c r="H992" s="9"/>
      <c r="I992" s="10"/>
      <c r="J992" s="7"/>
      <c r="K992" s="7"/>
      <c r="L992" s="10"/>
      <c r="M992" s="10"/>
      <c r="N992" s="10"/>
      <c r="O992" s="10"/>
      <c r="P992" s="10"/>
      <c r="Q992" s="10"/>
      <c r="R992" s="10"/>
      <c r="S992" s="10"/>
      <c r="T992" s="14"/>
      <c r="U992" s="10"/>
      <c r="V992" s="10"/>
      <c r="W992" s="10"/>
      <c r="X992" s="7"/>
      <c r="Y992" s="7"/>
      <c r="Z992" s="7"/>
      <c r="AA992" s="34"/>
      <c r="AB992" s="7"/>
      <c r="AC992" s="34"/>
      <c r="AD992" s="10"/>
      <c r="AF992"/>
    </row>
    <row r="993" spans="1:32" x14ac:dyDescent="0.25">
      <c r="A993" s="7"/>
      <c r="C993" s="70"/>
      <c r="D993" s="70"/>
      <c r="E993" s="73"/>
      <c r="F993" s="9"/>
      <c r="H993" s="9"/>
      <c r="I993" s="10"/>
      <c r="J993" s="61"/>
      <c r="K993" s="10"/>
      <c r="L993" s="10"/>
      <c r="M993" s="10"/>
      <c r="N993" s="10"/>
      <c r="O993" s="10"/>
      <c r="P993" s="10"/>
      <c r="Q993" s="10"/>
      <c r="R993" s="10"/>
      <c r="S993" s="10"/>
      <c r="T993" s="14"/>
      <c r="U993" s="10"/>
      <c r="V993" s="10"/>
      <c r="W993" s="10"/>
      <c r="X993" s="7"/>
      <c r="Y993" s="7"/>
      <c r="Z993" s="7"/>
      <c r="AA993" s="34"/>
      <c r="AB993" s="7"/>
      <c r="AC993" s="34"/>
      <c r="AD993" s="10"/>
      <c r="AF993"/>
    </row>
    <row r="994" spans="1:32" x14ac:dyDescent="0.25">
      <c r="A994" s="7"/>
      <c r="C994" s="70"/>
      <c r="D994" s="70"/>
      <c r="E994" s="73"/>
      <c r="F994" s="9"/>
      <c r="H994" s="9"/>
      <c r="I994" s="10"/>
      <c r="J994" s="7"/>
      <c r="K994" s="7"/>
      <c r="L994" s="10"/>
      <c r="M994" s="10"/>
      <c r="N994" s="10"/>
      <c r="O994" s="10"/>
      <c r="P994" s="10"/>
      <c r="Q994" s="10"/>
      <c r="R994" s="10"/>
      <c r="S994" s="10"/>
      <c r="T994" s="14"/>
      <c r="U994" s="10"/>
      <c r="V994" s="10"/>
      <c r="W994" s="10"/>
      <c r="X994" s="34"/>
      <c r="Y994" s="7"/>
      <c r="Z994" s="7"/>
      <c r="AA994" s="34"/>
      <c r="AB994" s="7"/>
      <c r="AC994" s="34"/>
      <c r="AD994" s="10"/>
      <c r="AF994"/>
    </row>
    <row r="995" spans="1:32" x14ac:dyDescent="0.25">
      <c r="A995" s="7"/>
      <c r="C995" s="70"/>
      <c r="D995" s="70"/>
      <c r="E995" s="73"/>
      <c r="F995" s="45"/>
      <c r="H995" s="9"/>
      <c r="I995" s="10"/>
      <c r="J995" s="7"/>
      <c r="K995" s="7"/>
      <c r="L995" s="10"/>
      <c r="M995" s="10"/>
      <c r="N995" s="10"/>
      <c r="O995" s="10"/>
      <c r="P995" s="10"/>
      <c r="Q995" s="10"/>
      <c r="R995" s="10"/>
      <c r="S995" s="10"/>
      <c r="T995" s="14"/>
      <c r="U995" s="10"/>
      <c r="V995" s="10"/>
      <c r="W995" s="10"/>
      <c r="X995" s="7"/>
      <c r="Y995" s="7"/>
      <c r="Z995" s="7"/>
      <c r="AA995" s="34"/>
      <c r="AB995" s="7"/>
      <c r="AC995" s="34"/>
      <c r="AD995" s="10"/>
      <c r="AF995"/>
    </row>
    <row r="996" spans="1:32" x14ac:dyDescent="0.25">
      <c r="A996" s="7"/>
      <c r="C996" s="70"/>
      <c r="D996" s="70"/>
      <c r="E996" s="73"/>
      <c r="F996" s="9"/>
      <c r="H996" s="9"/>
      <c r="I996" s="10"/>
      <c r="J996" s="7"/>
      <c r="K996" s="7"/>
      <c r="L996" s="10"/>
      <c r="M996" s="10"/>
      <c r="N996" s="10"/>
      <c r="O996" s="10"/>
      <c r="P996" s="10"/>
      <c r="Q996" s="10"/>
      <c r="R996" s="10"/>
      <c r="S996" s="10"/>
      <c r="T996" s="14"/>
      <c r="U996" s="10"/>
      <c r="V996" s="10"/>
      <c r="W996" s="10"/>
      <c r="X996" s="7"/>
      <c r="Y996" s="7"/>
      <c r="Z996" s="34"/>
      <c r="AA996" s="34"/>
      <c r="AB996" s="7"/>
      <c r="AC996" s="34"/>
      <c r="AD996" s="10"/>
      <c r="AF996"/>
    </row>
    <row r="997" spans="1:32" x14ac:dyDescent="0.25">
      <c r="A997" s="7"/>
      <c r="C997" s="70"/>
      <c r="D997" s="70"/>
      <c r="E997" s="73"/>
      <c r="F997" s="9"/>
      <c r="H997" s="9"/>
      <c r="I997" s="10"/>
      <c r="J997" s="7"/>
      <c r="K997" s="7"/>
      <c r="L997" s="10"/>
      <c r="M997" s="10"/>
      <c r="N997" s="10"/>
      <c r="O997" s="10"/>
      <c r="P997" s="10"/>
      <c r="Q997" s="10"/>
      <c r="R997" s="10"/>
      <c r="S997" s="10"/>
      <c r="T997" s="14"/>
      <c r="U997" s="10"/>
      <c r="V997" s="10"/>
      <c r="W997" s="10"/>
      <c r="X997" s="7"/>
      <c r="Y997" s="7"/>
      <c r="Z997" s="7"/>
      <c r="AA997" s="34"/>
      <c r="AB997" s="7"/>
      <c r="AC997" s="34"/>
      <c r="AD997" s="10"/>
      <c r="AF997"/>
    </row>
    <row r="998" spans="1:32" x14ac:dyDescent="0.25">
      <c r="A998" s="7"/>
      <c r="C998" s="70"/>
      <c r="D998" s="70"/>
      <c r="E998" s="73"/>
      <c r="F998" s="48"/>
      <c r="H998" s="9"/>
      <c r="I998" s="10"/>
      <c r="J998" s="7"/>
      <c r="K998" s="7"/>
      <c r="L998" s="10"/>
      <c r="M998" s="10"/>
      <c r="N998" s="10"/>
      <c r="O998" s="10"/>
      <c r="P998" s="10"/>
      <c r="Q998" s="10"/>
      <c r="R998" s="10"/>
      <c r="S998" s="10"/>
      <c r="T998" s="14"/>
      <c r="U998" s="10"/>
      <c r="V998" s="10"/>
      <c r="W998" s="10"/>
      <c r="X998" s="7"/>
      <c r="Y998" s="34"/>
      <c r="Z998" s="7"/>
      <c r="AA998" s="34"/>
      <c r="AB998" s="7"/>
      <c r="AC998" s="34"/>
      <c r="AD998" s="10"/>
      <c r="AF998"/>
    </row>
    <row r="999" spans="1:32" x14ac:dyDescent="0.25">
      <c r="A999" s="7"/>
      <c r="C999" s="70"/>
      <c r="D999" s="70"/>
      <c r="E999" s="73"/>
      <c r="F999" s="9"/>
      <c r="H999" s="9"/>
      <c r="I999" s="10"/>
      <c r="J999" s="7"/>
      <c r="K999" s="7"/>
      <c r="L999" s="10"/>
      <c r="M999" s="10"/>
      <c r="N999" s="10"/>
      <c r="O999" s="10"/>
      <c r="P999" s="10"/>
      <c r="Q999" s="10"/>
      <c r="R999" s="10"/>
      <c r="S999" s="10"/>
      <c r="T999" s="14"/>
      <c r="U999" s="10"/>
      <c r="V999" s="10"/>
      <c r="W999" s="10"/>
      <c r="X999" s="7"/>
      <c r="Y999" s="7"/>
      <c r="Z999" s="7"/>
      <c r="AA999" s="34"/>
      <c r="AB999" s="7"/>
      <c r="AC999" s="34"/>
      <c r="AD999" s="10"/>
      <c r="AF999"/>
    </row>
    <row r="1000" spans="1:32" x14ac:dyDescent="0.25">
      <c r="A1000" s="7"/>
      <c r="C1000" s="70"/>
      <c r="D1000" s="70"/>
      <c r="E1000" s="73"/>
      <c r="F1000" s="9"/>
      <c r="H1000" s="9"/>
      <c r="I1000" s="10"/>
      <c r="J1000" s="10"/>
      <c r="K1000" s="7"/>
      <c r="L1000" s="10"/>
      <c r="M1000" s="10"/>
      <c r="N1000" s="10"/>
      <c r="O1000" s="10"/>
      <c r="P1000" s="10"/>
      <c r="Q1000" s="10"/>
      <c r="R1000" s="10"/>
      <c r="S1000" s="10"/>
      <c r="T1000" s="14"/>
      <c r="U1000" s="10"/>
      <c r="V1000" s="10"/>
      <c r="W1000" s="10"/>
      <c r="X1000" s="7"/>
      <c r="Y1000" s="7"/>
      <c r="Z1000" s="7"/>
      <c r="AA1000" s="34"/>
      <c r="AB1000" s="7"/>
      <c r="AC1000" s="34"/>
      <c r="AD1000" s="10"/>
      <c r="AF1000"/>
    </row>
    <row r="1001" spans="1:32" x14ac:dyDescent="0.25">
      <c r="A1001" s="7"/>
      <c r="C1001" s="70"/>
      <c r="D1001" s="70"/>
      <c r="E1001" s="73"/>
      <c r="F1001" s="9"/>
      <c r="H1001" s="9"/>
      <c r="I1001" s="10"/>
      <c r="J1001" s="10"/>
      <c r="K1001" s="7"/>
      <c r="L1001" s="10"/>
      <c r="M1001" s="10"/>
      <c r="N1001" s="10"/>
      <c r="O1001" s="10"/>
      <c r="P1001" s="10"/>
      <c r="Q1001" s="10"/>
      <c r="R1001" s="10"/>
      <c r="S1001" s="10"/>
      <c r="T1001" s="14"/>
      <c r="U1001" s="10"/>
      <c r="V1001" s="10"/>
      <c r="W1001" s="10"/>
      <c r="X1001" s="7"/>
      <c r="Y1001" s="7"/>
      <c r="Z1001" s="7"/>
      <c r="AA1001" s="34"/>
      <c r="AB1001" s="7"/>
      <c r="AC1001" s="34"/>
      <c r="AD1001" s="10"/>
      <c r="AF1001"/>
    </row>
    <row r="1002" spans="1:32" x14ac:dyDescent="0.25">
      <c r="A1002" s="7"/>
      <c r="C1002" s="70"/>
      <c r="D1002" s="70"/>
      <c r="E1002" s="73"/>
      <c r="F1002" s="9"/>
      <c r="H1002" s="9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4"/>
      <c r="U1002" s="10"/>
      <c r="V1002" s="10"/>
      <c r="W1002" s="10"/>
      <c r="X1002" s="7"/>
      <c r="Y1002" s="7"/>
      <c r="Z1002" s="7"/>
      <c r="AA1002" s="34"/>
      <c r="AB1002" s="7"/>
      <c r="AC1002" s="34"/>
      <c r="AD1002" s="10"/>
      <c r="AF1002"/>
    </row>
    <row r="1003" spans="1:32" x14ac:dyDescent="0.25">
      <c r="A1003" s="7"/>
      <c r="C1003" s="70"/>
      <c r="D1003" s="70"/>
      <c r="E1003" s="73"/>
      <c r="F1003" s="9"/>
      <c r="H1003" s="9"/>
      <c r="I1003" s="10"/>
      <c r="J1003" s="7"/>
      <c r="K1003" s="7"/>
      <c r="L1003" s="10"/>
      <c r="M1003" s="10"/>
      <c r="N1003" s="10"/>
      <c r="O1003" s="10"/>
      <c r="P1003" s="10"/>
      <c r="Q1003" s="10"/>
      <c r="R1003" s="10"/>
      <c r="S1003" s="10"/>
      <c r="T1003" s="14"/>
      <c r="U1003" s="10"/>
      <c r="V1003" s="10"/>
      <c r="W1003" s="10"/>
      <c r="X1003" s="34"/>
      <c r="Y1003" s="7"/>
      <c r="Z1003" s="7"/>
      <c r="AA1003" s="34"/>
      <c r="AB1003" s="7"/>
      <c r="AC1003" s="34"/>
      <c r="AD1003" s="10"/>
      <c r="AF1003"/>
    </row>
    <row r="1004" spans="1:32" x14ac:dyDescent="0.25">
      <c r="A1004" s="7"/>
      <c r="C1004" s="70"/>
      <c r="D1004" s="70"/>
      <c r="E1004" s="73"/>
      <c r="F1004" s="9"/>
      <c r="H1004" s="9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4"/>
      <c r="U1004" s="10"/>
      <c r="V1004" s="10"/>
      <c r="W1004" s="10"/>
      <c r="X1004" s="7"/>
      <c r="Y1004" s="7"/>
      <c r="Z1004" s="7"/>
      <c r="AA1004" s="34"/>
      <c r="AB1004" s="7"/>
      <c r="AC1004" s="34"/>
      <c r="AD1004" s="10"/>
      <c r="AF1004"/>
    </row>
    <row r="1005" spans="1:32" x14ac:dyDescent="0.25">
      <c r="A1005" s="7"/>
      <c r="C1005" s="70"/>
      <c r="D1005" s="70"/>
      <c r="E1005" s="73"/>
      <c r="F1005" s="9"/>
      <c r="H1005" s="9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4"/>
      <c r="U1005" s="10"/>
      <c r="V1005" s="10"/>
      <c r="W1005" s="10"/>
      <c r="X1005" s="34"/>
      <c r="Y1005" s="7"/>
      <c r="Z1005" s="7"/>
      <c r="AA1005" s="34"/>
      <c r="AB1005" s="7"/>
      <c r="AC1005" s="34"/>
      <c r="AD1005" s="10"/>
      <c r="AF1005"/>
    </row>
    <row r="1006" spans="1:32" x14ac:dyDescent="0.25">
      <c r="A1006" s="7"/>
      <c r="C1006" s="70"/>
      <c r="D1006" s="70"/>
      <c r="E1006" s="73"/>
      <c r="F1006" s="9"/>
      <c r="H1006" s="9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4"/>
      <c r="U1006" s="10"/>
      <c r="V1006" s="10"/>
      <c r="W1006" s="10"/>
      <c r="X1006" s="7"/>
      <c r="Y1006" s="7"/>
      <c r="Z1006" s="7"/>
      <c r="AA1006" s="34"/>
      <c r="AB1006" s="7"/>
      <c r="AC1006" s="34"/>
      <c r="AD1006" s="10"/>
      <c r="AF1006"/>
    </row>
    <row r="1007" spans="1:32" x14ac:dyDescent="0.25">
      <c r="A1007" s="7"/>
      <c r="C1007" s="70"/>
      <c r="D1007" s="70"/>
      <c r="E1007" s="73"/>
      <c r="F1007" s="9"/>
      <c r="H1007" s="9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4"/>
      <c r="U1007" s="10"/>
      <c r="V1007" s="10"/>
      <c r="W1007" s="10"/>
      <c r="X1007" s="7"/>
      <c r="Y1007" s="7"/>
      <c r="Z1007" s="7"/>
      <c r="AA1007" s="34"/>
      <c r="AB1007" s="7"/>
      <c r="AC1007" s="34"/>
      <c r="AD1007" s="10"/>
      <c r="AF1007"/>
    </row>
    <row r="1008" spans="1:32" x14ac:dyDescent="0.25">
      <c r="A1008" s="7"/>
      <c r="C1008" s="70"/>
      <c r="D1008" s="70"/>
      <c r="E1008" s="73"/>
      <c r="F1008" s="48"/>
      <c r="H1008" s="9"/>
      <c r="I1008" s="10"/>
      <c r="J1008" s="7"/>
      <c r="K1008" s="24"/>
      <c r="L1008" s="10"/>
      <c r="M1008" s="10"/>
      <c r="N1008" s="10"/>
      <c r="O1008" s="10"/>
      <c r="P1008" s="10"/>
      <c r="Q1008" s="10"/>
      <c r="R1008" s="10"/>
      <c r="S1008" s="10"/>
      <c r="T1008" s="14"/>
      <c r="U1008" s="10"/>
      <c r="V1008" s="10"/>
      <c r="W1008" s="10"/>
      <c r="X1008" s="7"/>
      <c r="Y1008" s="7"/>
      <c r="Z1008" s="7"/>
      <c r="AA1008" s="34"/>
      <c r="AB1008" s="7"/>
      <c r="AC1008" s="34"/>
      <c r="AD1008" s="10"/>
      <c r="AF1008"/>
    </row>
    <row r="1009" spans="1:32" x14ac:dyDescent="0.25">
      <c r="A1009" s="7"/>
      <c r="C1009" s="70"/>
      <c r="D1009" s="70"/>
      <c r="E1009" s="73"/>
      <c r="F1009" s="9"/>
      <c r="H1009" s="9"/>
      <c r="I1009" s="10"/>
      <c r="J1009" s="7"/>
      <c r="K1009" s="7"/>
      <c r="L1009" s="10"/>
      <c r="M1009" s="10"/>
      <c r="N1009" s="10"/>
      <c r="O1009" s="10"/>
      <c r="P1009" s="10"/>
      <c r="Q1009" s="10"/>
      <c r="R1009" s="10"/>
      <c r="S1009" s="10"/>
      <c r="T1009" s="14"/>
      <c r="U1009" s="10"/>
      <c r="V1009" s="10"/>
      <c r="W1009" s="10"/>
      <c r="X1009" s="7"/>
      <c r="Y1009" s="7"/>
      <c r="Z1009" s="7"/>
      <c r="AA1009" s="34"/>
      <c r="AB1009" s="7"/>
      <c r="AC1009" s="34"/>
      <c r="AD1009" s="10"/>
      <c r="AF1009"/>
    </row>
    <row r="1010" spans="1:32" x14ac:dyDescent="0.25">
      <c r="A1010" s="7"/>
      <c r="C1010" s="70"/>
      <c r="D1010" s="70"/>
      <c r="E1010" s="73"/>
      <c r="F1010" s="9"/>
      <c r="H1010" s="9"/>
      <c r="I1010" s="10"/>
      <c r="J1010" s="10"/>
      <c r="K1010" s="7"/>
      <c r="L1010" s="10"/>
      <c r="M1010" s="10"/>
      <c r="N1010" s="10"/>
      <c r="O1010" s="10"/>
      <c r="P1010" s="10"/>
      <c r="Q1010" s="10"/>
      <c r="R1010" s="10"/>
      <c r="S1010" s="10"/>
      <c r="T1010" s="14"/>
      <c r="U1010" s="10"/>
      <c r="V1010" s="10"/>
      <c r="W1010" s="10"/>
      <c r="X1010" s="7"/>
      <c r="Y1010" s="7"/>
      <c r="Z1010" s="7"/>
      <c r="AA1010" s="34"/>
      <c r="AB1010" s="7"/>
      <c r="AC1010" s="34"/>
      <c r="AD1010" s="10"/>
      <c r="AF1010"/>
    </row>
    <row r="1011" spans="1:32" x14ac:dyDescent="0.25">
      <c r="A1011" s="7"/>
      <c r="C1011" s="70"/>
      <c r="D1011" s="70"/>
      <c r="E1011" s="73"/>
      <c r="F1011" s="9"/>
      <c r="H1011" s="9"/>
      <c r="I1011" s="10"/>
      <c r="J1011" s="10"/>
      <c r="K1011" s="7"/>
      <c r="L1011" s="10"/>
      <c r="M1011" s="10"/>
      <c r="N1011" s="10"/>
      <c r="O1011" s="10"/>
      <c r="P1011" s="10"/>
      <c r="Q1011" s="10"/>
      <c r="R1011" s="10"/>
      <c r="S1011" s="10"/>
      <c r="T1011" s="14"/>
      <c r="U1011" s="10"/>
      <c r="V1011" s="10"/>
      <c r="W1011" s="10"/>
      <c r="X1011" s="7"/>
      <c r="Y1011" s="7"/>
      <c r="Z1011" s="7"/>
      <c r="AA1011" s="34"/>
      <c r="AB1011" s="7"/>
      <c r="AC1011" s="34"/>
      <c r="AD1011" s="10"/>
      <c r="AF1011"/>
    </row>
    <row r="1012" spans="1:32" x14ac:dyDescent="0.25">
      <c r="A1012" s="7"/>
      <c r="C1012" s="70"/>
      <c r="D1012" s="70"/>
      <c r="E1012" s="73"/>
      <c r="F1012" s="9"/>
      <c r="H1012" s="9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4"/>
      <c r="U1012" s="10"/>
      <c r="V1012" s="10"/>
      <c r="W1012" s="10"/>
      <c r="X1012" s="7"/>
      <c r="Y1012" s="7"/>
      <c r="Z1012" s="34"/>
      <c r="AA1012" s="34"/>
      <c r="AB1012" s="7"/>
      <c r="AC1012" s="34"/>
      <c r="AD1012" s="10"/>
      <c r="AF1012"/>
    </row>
    <row r="1013" spans="1:32" x14ac:dyDescent="0.25">
      <c r="A1013" s="7"/>
      <c r="C1013" s="70"/>
      <c r="D1013" s="70"/>
      <c r="E1013" s="73"/>
      <c r="F1013" s="9"/>
      <c r="H1013" s="9"/>
      <c r="I1013" s="10"/>
      <c r="J1013" s="7"/>
      <c r="K1013" s="24"/>
      <c r="L1013" s="10"/>
      <c r="M1013" s="10"/>
      <c r="N1013" s="10"/>
      <c r="O1013" s="10"/>
      <c r="P1013" s="10"/>
      <c r="Q1013" s="10"/>
      <c r="R1013" s="10"/>
      <c r="S1013" s="10"/>
      <c r="T1013" s="14"/>
      <c r="U1013" s="10"/>
      <c r="V1013" s="10"/>
      <c r="W1013" s="10"/>
      <c r="X1013" s="7"/>
      <c r="Y1013" s="7"/>
      <c r="Z1013" s="7"/>
      <c r="AA1013" s="34"/>
      <c r="AB1013" s="7"/>
      <c r="AC1013" s="34"/>
      <c r="AD1013" s="10"/>
      <c r="AF1013"/>
    </row>
    <row r="1014" spans="1:32" x14ac:dyDescent="0.25">
      <c r="A1014" s="7"/>
      <c r="C1014" s="70"/>
      <c r="D1014" s="70"/>
      <c r="E1014" s="73"/>
      <c r="F1014" s="9"/>
      <c r="H1014" s="9"/>
      <c r="I1014" s="52"/>
      <c r="J1014" s="10"/>
      <c r="K1014" s="7"/>
      <c r="L1014" s="10"/>
      <c r="M1014" s="10"/>
      <c r="N1014" s="10"/>
      <c r="O1014" s="10"/>
      <c r="P1014" s="10"/>
      <c r="Q1014" s="10"/>
      <c r="R1014" s="10"/>
      <c r="S1014" s="10"/>
      <c r="T1014" s="14"/>
      <c r="U1014" s="10"/>
      <c r="V1014" s="10"/>
      <c r="W1014" s="10"/>
      <c r="X1014" s="7"/>
      <c r="Y1014" s="7"/>
      <c r="Z1014" s="7"/>
      <c r="AA1014" s="34"/>
      <c r="AB1014" s="7"/>
      <c r="AC1014" s="34"/>
      <c r="AD1014" s="10"/>
      <c r="AF1014"/>
    </row>
    <row r="1015" spans="1:32" x14ac:dyDescent="0.25">
      <c r="A1015" s="7"/>
      <c r="C1015" s="70"/>
      <c r="D1015" s="70"/>
      <c r="E1015" s="73"/>
      <c r="F1015" s="9"/>
      <c r="H1015" s="9"/>
      <c r="I1015" s="52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4"/>
      <c r="U1015" s="10"/>
      <c r="V1015" s="10"/>
      <c r="W1015" s="10"/>
      <c r="X1015" s="7"/>
      <c r="Y1015" s="7"/>
      <c r="Z1015" s="7"/>
      <c r="AA1015" s="34"/>
      <c r="AB1015" s="7"/>
      <c r="AC1015" s="34"/>
      <c r="AD1015" s="10"/>
      <c r="AF1015"/>
    </row>
    <row r="1016" spans="1:32" x14ac:dyDescent="0.25">
      <c r="A1016" s="7"/>
      <c r="C1016" s="70"/>
      <c r="D1016" s="70"/>
      <c r="E1016" s="73"/>
      <c r="F1016" s="48"/>
      <c r="H1016" s="9"/>
      <c r="I1016" s="52"/>
      <c r="J1016" s="10"/>
      <c r="K1016" s="7"/>
      <c r="L1016" s="10"/>
      <c r="M1016" s="10"/>
      <c r="N1016" s="10"/>
      <c r="O1016" s="10"/>
      <c r="P1016" s="10"/>
      <c r="Q1016" s="10"/>
      <c r="R1016" s="10"/>
      <c r="S1016" s="10"/>
      <c r="T1016" s="14"/>
      <c r="U1016" s="10"/>
      <c r="V1016" s="10"/>
      <c r="W1016" s="10"/>
      <c r="X1016" s="7"/>
      <c r="Y1016" s="7"/>
      <c r="Z1016" s="7"/>
      <c r="AA1016" s="34"/>
      <c r="AB1016" s="7"/>
      <c r="AC1016" s="34"/>
      <c r="AD1016" s="10"/>
      <c r="AF1016"/>
    </row>
    <row r="1017" spans="1:32" x14ac:dyDescent="0.25">
      <c r="A1017" s="7"/>
      <c r="C1017" s="70"/>
      <c r="D1017" s="70"/>
      <c r="E1017" s="73"/>
      <c r="F1017" s="9"/>
      <c r="H1017" s="9"/>
      <c r="I1017" s="10"/>
      <c r="J1017" s="10"/>
      <c r="K1017" s="7"/>
      <c r="L1017" s="10"/>
      <c r="M1017" s="10"/>
      <c r="N1017" s="10"/>
      <c r="O1017" s="10"/>
      <c r="P1017" s="10"/>
      <c r="Q1017" s="10"/>
      <c r="R1017" s="10"/>
      <c r="S1017" s="10"/>
      <c r="T1017" s="14"/>
      <c r="U1017" s="10"/>
      <c r="V1017" s="10"/>
      <c r="W1017" s="10"/>
      <c r="X1017" s="7"/>
      <c r="Y1017" s="7"/>
      <c r="Z1017" s="7"/>
      <c r="AA1017" s="34"/>
      <c r="AB1017" s="7"/>
      <c r="AC1017" s="34"/>
      <c r="AD1017" s="10"/>
      <c r="AF1017"/>
    </row>
    <row r="1018" spans="1:32" x14ac:dyDescent="0.25">
      <c r="A1018" s="7"/>
      <c r="C1018" s="70"/>
      <c r="D1018" s="70"/>
      <c r="E1018" s="73"/>
      <c r="F1018" s="9"/>
      <c r="H1018" s="9"/>
      <c r="I1018" s="10"/>
      <c r="J1018" s="7"/>
      <c r="K1018" s="7"/>
      <c r="L1018" s="10"/>
      <c r="M1018" s="10"/>
      <c r="N1018" s="10"/>
      <c r="O1018" s="10"/>
      <c r="P1018" s="10"/>
      <c r="Q1018" s="10"/>
      <c r="R1018" s="10"/>
      <c r="S1018" s="10"/>
      <c r="T1018" s="14"/>
      <c r="U1018" s="10"/>
      <c r="V1018" s="10"/>
      <c r="W1018" s="10"/>
      <c r="X1018" s="7"/>
      <c r="Y1018" s="7"/>
      <c r="Z1018" s="7"/>
      <c r="AA1018" s="34"/>
      <c r="AB1018" s="7"/>
      <c r="AC1018" s="34"/>
      <c r="AD1018" s="10"/>
      <c r="AF1018"/>
    </row>
    <row r="1019" spans="1:32" x14ac:dyDescent="0.25">
      <c r="A1019" s="7"/>
      <c r="C1019" s="70"/>
      <c r="D1019" s="70"/>
      <c r="E1019" s="73"/>
      <c r="F1019" s="9"/>
      <c r="H1019" s="9"/>
      <c r="I1019" s="10"/>
      <c r="J1019" s="10"/>
      <c r="K1019" s="7"/>
      <c r="L1019" s="10"/>
      <c r="M1019" s="10"/>
      <c r="N1019" s="10"/>
      <c r="O1019" s="10"/>
      <c r="P1019" s="10"/>
      <c r="Q1019" s="10"/>
      <c r="R1019" s="10"/>
      <c r="S1019" s="10"/>
      <c r="T1019" s="14"/>
      <c r="U1019" s="10"/>
      <c r="V1019" s="10"/>
      <c r="W1019" s="10"/>
      <c r="X1019" s="7"/>
      <c r="Y1019" s="7"/>
      <c r="Z1019" s="34"/>
      <c r="AA1019" s="34"/>
      <c r="AB1019" s="7"/>
      <c r="AC1019" s="34"/>
      <c r="AD1019" s="10"/>
      <c r="AF1019"/>
    </row>
    <row r="1020" spans="1:32" x14ac:dyDescent="0.25">
      <c r="A1020" s="7"/>
      <c r="C1020" s="70"/>
      <c r="D1020" s="70"/>
      <c r="E1020" s="73"/>
      <c r="F1020" s="45"/>
      <c r="H1020" s="9"/>
      <c r="I1020" s="10"/>
      <c r="J1020" s="10"/>
      <c r="K1020" s="24"/>
      <c r="L1020" s="10"/>
      <c r="M1020" s="10"/>
      <c r="N1020" s="10"/>
      <c r="O1020" s="10"/>
      <c r="P1020" s="10"/>
      <c r="Q1020" s="10"/>
      <c r="R1020" s="10"/>
      <c r="S1020" s="10"/>
      <c r="T1020" s="14"/>
      <c r="U1020" s="10"/>
      <c r="V1020" s="10"/>
      <c r="W1020" s="10"/>
      <c r="X1020" s="7"/>
      <c r="Y1020" s="34"/>
      <c r="Z1020" s="7"/>
      <c r="AA1020" s="34"/>
      <c r="AB1020" s="7"/>
      <c r="AC1020" s="34"/>
      <c r="AD1020" s="10"/>
      <c r="AF1020"/>
    </row>
    <row r="1021" spans="1:32" x14ac:dyDescent="0.25">
      <c r="A1021" s="7"/>
      <c r="C1021" s="70"/>
      <c r="D1021" s="70"/>
      <c r="E1021" s="73"/>
      <c r="F1021" s="9"/>
      <c r="H1021" s="9"/>
      <c r="I1021" s="10"/>
      <c r="J1021" s="60"/>
      <c r="K1021" s="42"/>
      <c r="L1021" s="10"/>
      <c r="M1021" s="10"/>
      <c r="N1021" s="10"/>
      <c r="O1021" s="10"/>
      <c r="P1021" s="10"/>
      <c r="Q1021" s="10"/>
      <c r="R1021" s="10"/>
      <c r="S1021" s="10"/>
      <c r="T1021" s="14"/>
      <c r="U1021" s="10"/>
      <c r="V1021" s="10"/>
      <c r="W1021" s="10"/>
      <c r="X1021" s="7"/>
      <c r="Y1021" s="7"/>
      <c r="Z1021" s="7"/>
      <c r="AA1021" s="34"/>
      <c r="AB1021" s="7"/>
      <c r="AC1021" s="34"/>
      <c r="AD1021" s="10"/>
      <c r="AF1021"/>
    </row>
    <row r="1022" spans="1:32" x14ac:dyDescent="0.25">
      <c r="A1022" s="7"/>
      <c r="C1022" s="70"/>
      <c r="D1022" s="70"/>
      <c r="E1022" s="73"/>
      <c r="F1022" s="9"/>
      <c r="H1022" s="45"/>
      <c r="I1022" s="10"/>
      <c r="J1022" s="7"/>
      <c r="K1022" s="24"/>
      <c r="L1022" s="10"/>
      <c r="M1022" s="10"/>
      <c r="N1022" s="10"/>
      <c r="O1022" s="10"/>
      <c r="P1022" s="10"/>
      <c r="Q1022" s="10"/>
      <c r="R1022" s="10"/>
      <c r="S1022" s="10"/>
      <c r="T1022" s="14"/>
      <c r="U1022" s="10"/>
      <c r="V1022" s="10"/>
      <c r="W1022" s="10"/>
      <c r="X1022" s="7"/>
      <c r="Y1022" s="7"/>
      <c r="Z1022" s="7"/>
      <c r="AA1022" s="34"/>
      <c r="AB1022" s="7"/>
      <c r="AC1022" s="34"/>
      <c r="AD1022" s="10"/>
      <c r="AF1022"/>
    </row>
    <row r="1023" spans="1:32" x14ac:dyDescent="0.25">
      <c r="A1023" s="7"/>
      <c r="C1023" s="70"/>
      <c r="D1023" s="70"/>
      <c r="E1023" s="73"/>
      <c r="F1023" s="9"/>
      <c r="H1023" s="9"/>
      <c r="I1023" s="10"/>
      <c r="J1023" s="10"/>
      <c r="K1023" s="24"/>
      <c r="L1023" s="10"/>
      <c r="M1023" s="10"/>
      <c r="N1023" s="10"/>
      <c r="O1023" s="10"/>
      <c r="P1023" s="10"/>
      <c r="Q1023" s="10"/>
      <c r="R1023" s="10"/>
      <c r="S1023" s="10"/>
      <c r="T1023" s="14"/>
      <c r="U1023" s="10"/>
      <c r="V1023" s="10"/>
      <c r="W1023" s="10"/>
      <c r="X1023" s="7"/>
      <c r="Y1023" s="7"/>
      <c r="Z1023" s="7"/>
      <c r="AA1023" s="34"/>
      <c r="AB1023" s="7"/>
      <c r="AC1023" s="34"/>
      <c r="AD1023" s="10"/>
      <c r="AF1023"/>
    </row>
    <row r="1024" spans="1:32" x14ac:dyDescent="0.25">
      <c r="A1024" s="7"/>
      <c r="C1024" s="70"/>
      <c r="D1024" s="70"/>
      <c r="E1024" s="73"/>
      <c r="F1024" s="9"/>
      <c r="H1024" s="9"/>
      <c r="I1024" s="10"/>
      <c r="J1024" s="10"/>
      <c r="K1024" s="7"/>
      <c r="L1024" s="10"/>
      <c r="M1024" s="10"/>
      <c r="N1024" s="10"/>
      <c r="O1024" s="10"/>
      <c r="P1024" s="10"/>
      <c r="Q1024" s="10"/>
      <c r="R1024" s="10"/>
      <c r="S1024" s="10"/>
      <c r="T1024" s="14"/>
      <c r="U1024" s="10"/>
      <c r="V1024" s="10"/>
      <c r="W1024" s="10"/>
      <c r="X1024" s="7"/>
      <c r="Y1024" s="7"/>
      <c r="Z1024" s="7"/>
      <c r="AA1024" s="34"/>
      <c r="AB1024" s="7"/>
      <c r="AC1024" s="34"/>
      <c r="AD1024" s="10"/>
      <c r="AF1024"/>
    </row>
    <row r="1025" spans="1:32" x14ac:dyDescent="0.25">
      <c r="A1025" s="7"/>
      <c r="C1025" s="70"/>
      <c r="D1025" s="70"/>
      <c r="E1025" s="73"/>
      <c r="F1025" s="9"/>
      <c r="H1025" s="9"/>
      <c r="I1025" s="10"/>
      <c r="J1025" s="10"/>
      <c r="K1025" s="7"/>
      <c r="L1025" s="10"/>
      <c r="M1025" s="10"/>
      <c r="N1025" s="10"/>
      <c r="O1025" s="10"/>
      <c r="P1025" s="10"/>
      <c r="Q1025" s="10"/>
      <c r="R1025" s="10"/>
      <c r="S1025" s="10"/>
      <c r="T1025" s="14"/>
      <c r="U1025" s="10"/>
      <c r="V1025" s="10"/>
      <c r="W1025" s="10"/>
      <c r="X1025" s="7"/>
      <c r="Y1025" s="7"/>
      <c r="Z1025" s="7"/>
      <c r="AA1025" s="34"/>
      <c r="AB1025" s="7"/>
      <c r="AC1025" s="34"/>
      <c r="AD1025" s="10"/>
      <c r="AF1025"/>
    </row>
    <row r="1026" spans="1:32" x14ac:dyDescent="0.25">
      <c r="A1026" s="7"/>
      <c r="C1026" s="70"/>
      <c r="D1026" s="70"/>
      <c r="E1026" s="73"/>
      <c r="F1026" s="9"/>
      <c r="H1026" s="9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4"/>
      <c r="U1026" s="10"/>
      <c r="V1026" s="10"/>
      <c r="W1026" s="10"/>
      <c r="X1026" s="7"/>
      <c r="Y1026" s="7"/>
      <c r="Z1026" s="34"/>
      <c r="AA1026" s="34"/>
      <c r="AB1026" s="7"/>
      <c r="AC1026" s="34"/>
      <c r="AD1026" s="10"/>
      <c r="AF1026"/>
    </row>
    <row r="1027" spans="1:32" x14ac:dyDescent="0.25">
      <c r="A1027" s="7"/>
      <c r="C1027" s="70"/>
      <c r="D1027" s="70"/>
      <c r="E1027" s="73"/>
      <c r="F1027" s="9"/>
      <c r="H1027" s="9"/>
      <c r="I1027" s="10"/>
      <c r="J1027" s="7"/>
      <c r="K1027" s="7"/>
      <c r="L1027" s="10"/>
      <c r="M1027" s="10"/>
      <c r="N1027" s="10"/>
      <c r="O1027" s="10"/>
      <c r="P1027" s="10"/>
      <c r="Q1027" s="10"/>
      <c r="R1027" s="10"/>
      <c r="S1027" s="10"/>
      <c r="T1027" s="14"/>
      <c r="U1027" s="10"/>
      <c r="V1027" s="10"/>
      <c r="W1027" s="10"/>
      <c r="X1027" s="7"/>
      <c r="Y1027" s="7"/>
      <c r="Z1027" s="7"/>
      <c r="AA1027" s="34"/>
      <c r="AB1027" s="7"/>
      <c r="AC1027" s="34"/>
      <c r="AD1027" s="10"/>
      <c r="AF1027"/>
    </row>
    <row r="1028" spans="1:32" x14ac:dyDescent="0.25">
      <c r="A1028" s="7"/>
      <c r="C1028" s="70"/>
      <c r="D1028" s="70"/>
      <c r="E1028" s="73"/>
      <c r="F1028" s="9"/>
      <c r="H1028" s="9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4"/>
      <c r="U1028" s="10"/>
      <c r="V1028" s="10"/>
      <c r="W1028" s="10"/>
      <c r="X1028" s="7"/>
      <c r="Y1028" s="7"/>
      <c r="Z1028" s="7"/>
      <c r="AA1028" s="34"/>
      <c r="AB1028" s="7"/>
      <c r="AC1028" s="34"/>
      <c r="AD1028" s="10"/>
      <c r="AF1028"/>
    </row>
    <row r="1029" spans="1:32" x14ac:dyDescent="0.25">
      <c r="A1029" s="7"/>
      <c r="C1029" s="70"/>
      <c r="D1029" s="70"/>
      <c r="E1029" s="73"/>
      <c r="F1029" s="9"/>
      <c r="H1029" s="9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4"/>
      <c r="U1029" s="10"/>
      <c r="V1029" s="10"/>
      <c r="W1029" s="10"/>
      <c r="X1029" s="7"/>
      <c r="Y1029" s="7"/>
      <c r="Z1029" s="7"/>
      <c r="AA1029" s="34"/>
      <c r="AB1029" s="7"/>
      <c r="AC1029" s="34"/>
      <c r="AD1029" s="10"/>
      <c r="AF1029"/>
    </row>
    <row r="1030" spans="1:32" x14ac:dyDescent="0.25">
      <c r="A1030" s="7"/>
      <c r="C1030" s="70"/>
      <c r="D1030" s="70"/>
      <c r="E1030" s="73"/>
      <c r="F1030" s="9"/>
      <c r="H1030" s="9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4"/>
      <c r="U1030" s="10"/>
      <c r="V1030" s="10"/>
      <c r="W1030" s="10"/>
      <c r="X1030" s="7"/>
      <c r="Y1030" s="7"/>
      <c r="Z1030" s="7"/>
      <c r="AA1030" s="34"/>
      <c r="AB1030" s="7"/>
      <c r="AC1030" s="34"/>
      <c r="AD1030" s="10"/>
      <c r="AF1030"/>
    </row>
    <row r="1031" spans="1:32" x14ac:dyDescent="0.25">
      <c r="A1031" s="7"/>
      <c r="C1031" s="70"/>
      <c r="D1031" s="70"/>
      <c r="E1031" s="73"/>
      <c r="F1031" s="9"/>
      <c r="H1031" s="9"/>
      <c r="I1031" s="10"/>
      <c r="J1031" s="7"/>
      <c r="K1031" s="7"/>
      <c r="L1031" s="10"/>
      <c r="M1031" s="10"/>
      <c r="N1031" s="10"/>
      <c r="O1031" s="10"/>
      <c r="P1031" s="10"/>
      <c r="Q1031" s="10"/>
      <c r="R1031" s="10"/>
      <c r="S1031" s="10"/>
      <c r="T1031" s="14"/>
      <c r="U1031" s="10"/>
      <c r="V1031" s="10"/>
      <c r="W1031" s="10"/>
      <c r="X1031" s="7"/>
      <c r="Y1031" s="7"/>
      <c r="Z1031" s="34"/>
      <c r="AA1031" s="34"/>
      <c r="AB1031" s="7"/>
      <c r="AC1031" s="34"/>
      <c r="AD1031" s="10"/>
      <c r="AF1031"/>
    </row>
    <row r="1032" spans="1:32" x14ac:dyDescent="0.25">
      <c r="A1032" s="7"/>
      <c r="C1032" s="70"/>
      <c r="D1032" s="70"/>
      <c r="E1032" s="73"/>
      <c r="F1032" s="9"/>
      <c r="H1032" s="9"/>
      <c r="I1032" s="10"/>
      <c r="J1032" s="7"/>
      <c r="K1032" s="7"/>
      <c r="L1032" s="10"/>
      <c r="M1032" s="10"/>
      <c r="N1032" s="10"/>
      <c r="O1032" s="10"/>
      <c r="P1032" s="10"/>
      <c r="Q1032" s="10"/>
      <c r="R1032" s="10"/>
      <c r="S1032" s="10"/>
      <c r="T1032" s="14"/>
      <c r="U1032" s="10"/>
      <c r="V1032" s="10"/>
      <c r="W1032" s="10"/>
      <c r="X1032" s="7"/>
      <c r="Y1032" s="7"/>
      <c r="Z1032" s="34"/>
      <c r="AA1032" s="34"/>
      <c r="AB1032" s="7"/>
      <c r="AC1032" s="34"/>
      <c r="AD1032" s="10"/>
      <c r="AF1032"/>
    </row>
    <row r="1033" spans="1:32" x14ac:dyDescent="0.25">
      <c r="A1033" s="7"/>
      <c r="C1033" s="70"/>
      <c r="D1033" s="70"/>
      <c r="E1033" s="73"/>
      <c r="F1033" s="9"/>
      <c r="H1033" s="9"/>
      <c r="I1033" s="10"/>
      <c r="J1033" s="7"/>
      <c r="K1033" s="7"/>
      <c r="L1033" s="10"/>
      <c r="M1033" s="10"/>
      <c r="N1033" s="10"/>
      <c r="O1033" s="10"/>
      <c r="P1033" s="10"/>
      <c r="Q1033" s="10"/>
      <c r="R1033" s="10"/>
      <c r="S1033" s="10"/>
      <c r="T1033" s="14"/>
      <c r="U1033" s="10"/>
      <c r="V1033" s="10"/>
      <c r="W1033" s="10"/>
      <c r="X1033" s="7"/>
      <c r="Y1033" s="7"/>
      <c r="Z1033" s="34"/>
      <c r="AA1033" s="34"/>
      <c r="AB1033" s="7"/>
      <c r="AC1033" s="34"/>
      <c r="AD1033" s="10"/>
      <c r="AF1033"/>
    </row>
    <row r="1034" spans="1:32" x14ac:dyDescent="0.25">
      <c r="A1034" s="7"/>
      <c r="C1034" s="70"/>
      <c r="D1034" s="70"/>
      <c r="E1034" s="73"/>
      <c r="F1034" s="9"/>
      <c r="H1034" s="9"/>
      <c r="I1034" s="10"/>
      <c r="J1034" s="7"/>
      <c r="K1034" s="7"/>
      <c r="L1034" s="10"/>
      <c r="M1034" s="10"/>
      <c r="N1034" s="10"/>
      <c r="O1034" s="10"/>
      <c r="P1034" s="10"/>
      <c r="Q1034" s="10"/>
      <c r="R1034" s="10"/>
      <c r="S1034" s="10"/>
      <c r="T1034" s="14"/>
      <c r="U1034" s="10"/>
      <c r="V1034" s="10"/>
      <c r="W1034" s="10"/>
      <c r="X1034" s="7"/>
      <c r="Y1034" s="7"/>
      <c r="Z1034" s="7"/>
      <c r="AA1034" s="34"/>
      <c r="AB1034" s="7"/>
      <c r="AC1034" s="34"/>
      <c r="AD1034" s="10"/>
      <c r="AF1034"/>
    </row>
    <row r="1035" spans="1:32" x14ac:dyDescent="0.25">
      <c r="A1035" s="7"/>
      <c r="C1035" s="70"/>
      <c r="D1035" s="70"/>
      <c r="E1035" s="73"/>
      <c r="F1035" s="9"/>
      <c r="H1035" s="9"/>
      <c r="I1035" s="10"/>
      <c r="J1035" s="60"/>
      <c r="K1035" s="42"/>
      <c r="L1035" s="10"/>
      <c r="M1035" s="10"/>
      <c r="N1035" s="10"/>
      <c r="O1035" s="10"/>
      <c r="P1035" s="10"/>
      <c r="Q1035" s="10"/>
      <c r="R1035" s="10"/>
      <c r="S1035" s="10"/>
      <c r="T1035" s="14"/>
      <c r="U1035" s="10"/>
      <c r="V1035" s="10"/>
      <c r="W1035" s="10"/>
      <c r="X1035" s="7"/>
      <c r="Y1035" s="7"/>
      <c r="Z1035" s="7"/>
      <c r="AA1035" s="34"/>
      <c r="AB1035" s="7"/>
      <c r="AC1035" s="34"/>
      <c r="AD1035" s="10"/>
      <c r="AF1035"/>
    </row>
    <row r="1036" spans="1:32" x14ac:dyDescent="0.25">
      <c r="A1036" s="7"/>
      <c r="C1036" s="70"/>
      <c r="D1036" s="70"/>
      <c r="E1036" s="73"/>
      <c r="F1036" s="48"/>
      <c r="H1036" s="9"/>
      <c r="I1036" s="10"/>
      <c r="J1036" s="10"/>
      <c r="K1036" s="7"/>
      <c r="L1036" s="10"/>
      <c r="M1036" s="10"/>
      <c r="N1036" s="10"/>
      <c r="O1036" s="10"/>
      <c r="P1036" s="10"/>
      <c r="Q1036" s="10"/>
      <c r="R1036" s="10"/>
      <c r="S1036" s="10"/>
      <c r="T1036" s="14"/>
      <c r="U1036" s="10"/>
      <c r="V1036" s="10"/>
      <c r="W1036" s="10"/>
      <c r="X1036" s="7"/>
      <c r="Y1036" s="34"/>
      <c r="Z1036" s="7"/>
      <c r="AA1036" s="34"/>
      <c r="AB1036" s="7"/>
      <c r="AC1036" s="34"/>
      <c r="AD1036" s="10"/>
      <c r="AF1036"/>
    </row>
    <row r="1037" spans="1:32" x14ac:dyDescent="0.25">
      <c r="A1037" s="7"/>
      <c r="C1037" s="70"/>
      <c r="D1037" s="70"/>
      <c r="E1037" s="73"/>
      <c r="F1037" s="9"/>
      <c r="H1037" s="9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4"/>
      <c r="U1037" s="10"/>
      <c r="V1037" s="10"/>
      <c r="W1037" s="10"/>
      <c r="X1037" s="7"/>
      <c r="Y1037" s="7"/>
      <c r="Z1037" s="7"/>
      <c r="AA1037" s="34"/>
      <c r="AB1037" s="7"/>
      <c r="AC1037" s="34"/>
      <c r="AD1037" s="10"/>
      <c r="AF1037"/>
    </row>
    <row r="1038" spans="1:32" x14ac:dyDescent="0.25">
      <c r="A1038" s="7"/>
      <c r="C1038" s="70"/>
      <c r="D1038" s="70"/>
      <c r="E1038" s="73"/>
      <c r="F1038" s="9"/>
      <c r="H1038" s="9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4"/>
      <c r="U1038" s="10"/>
      <c r="V1038" s="10"/>
      <c r="W1038" s="10"/>
      <c r="X1038" s="7"/>
      <c r="Y1038" s="7"/>
      <c r="Z1038" s="7"/>
      <c r="AA1038" s="34"/>
      <c r="AB1038" s="7"/>
      <c r="AC1038" s="34"/>
      <c r="AD1038" s="10"/>
      <c r="AF1038"/>
    </row>
    <row r="1039" spans="1:32" x14ac:dyDescent="0.25">
      <c r="A1039" s="7"/>
      <c r="C1039" s="70"/>
      <c r="D1039" s="70"/>
      <c r="E1039" s="73"/>
      <c r="F1039" s="9"/>
      <c r="H1039" s="9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4"/>
      <c r="U1039" s="10"/>
      <c r="V1039" s="10"/>
      <c r="W1039" s="10"/>
      <c r="X1039" s="7"/>
      <c r="Y1039" s="7"/>
      <c r="Z1039" s="7"/>
      <c r="AA1039" s="34"/>
      <c r="AB1039" s="7"/>
      <c r="AC1039" s="34"/>
      <c r="AD1039" s="10"/>
      <c r="AF1039"/>
    </row>
    <row r="1040" spans="1:32" x14ac:dyDescent="0.25">
      <c r="A1040" s="7"/>
      <c r="C1040" s="70"/>
      <c r="D1040" s="70"/>
      <c r="E1040" s="73"/>
      <c r="F1040" s="9"/>
      <c r="H1040" s="9"/>
      <c r="I1040" s="10"/>
      <c r="J1040" s="7"/>
      <c r="K1040" s="7"/>
      <c r="L1040" s="10"/>
      <c r="M1040" s="10"/>
      <c r="N1040" s="10"/>
      <c r="O1040" s="10"/>
      <c r="P1040" s="10"/>
      <c r="Q1040" s="10"/>
      <c r="R1040" s="10"/>
      <c r="S1040" s="10"/>
      <c r="T1040" s="14"/>
      <c r="U1040" s="10"/>
      <c r="V1040" s="10"/>
      <c r="W1040" s="10"/>
      <c r="X1040" s="7"/>
      <c r="Y1040" s="7"/>
      <c r="Z1040" s="34"/>
      <c r="AA1040" s="34"/>
      <c r="AB1040" s="7"/>
      <c r="AC1040" s="34"/>
      <c r="AD1040" s="10"/>
      <c r="AF1040"/>
    </row>
    <row r="1041" spans="1:32" x14ac:dyDescent="0.25">
      <c r="A1041" s="7"/>
      <c r="C1041" s="70"/>
      <c r="D1041" s="70"/>
      <c r="E1041" s="73"/>
      <c r="F1041" s="9"/>
      <c r="H1041" s="9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4"/>
      <c r="U1041" s="10"/>
      <c r="V1041" s="10"/>
      <c r="W1041" s="10"/>
      <c r="X1041" s="7"/>
      <c r="Y1041" s="7"/>
      <c r="Z1041" s="34"/>
      <c r="AA1041" s="34"/>
      <c r="AB1041" s="7"/>
      <c r="AC1041" s="34"/>
      <c r="AD1041" s="10"/>
      <c r="AF1041"/>
    </row>
    <row r="1042" spans="1:32" x14ac:dyDescent="0.25">
      <c r="A1042" s="7"/>
      <c r="C1042" s="70"/>
      <c r="D1042" s="70"/>
      <c r="E1042" s="79"/>
      <c r="F1042" s="55"/>
      <c r="G1042" s="55"/>
      <c r="H1042" s="55"/>
      <c r="I1042" s="10"/>
      <c r="J1042" s="10"/>
      <c r="K1042" s="24"/>
      <c r="L1042" s="10"/>
      <c r="M1042" s="10"/>
      <c r="N1042" s="10"/>
      <c r="O1042" s="10"/>
      <c r="P1042" s="10"/>
      <c r="Q1042" s="10"/>
      <c r="R1042" s="10"/>
      <c r="S1042" s="10"/>
      <c r="T1042" s="14"/>
      <c r="U1042" s="10"/>
      <c r="V1042" s="10"/>
      <c r="W1042" s="10"/>
      <c r="X1042" s="7"/>
      <c r="Y1042" s="7"/>
      <c r="Z1042" s="7"/>
      <c r="AA1042" s="34"/>
      <c r="AB1042" s="7"/>
      <c r="AC1042" s="34"/>
      <c r="AD1042" s="10"/>
      <c r="AF1042"/>
    </row>
    <row r="1043" spans="1:32" x14ac:dyDescent="0.25">
      <c r="A1043" s="7"/>
      <c r="C1043" s="70"/>
      <c r="D1043" s="70"/>
      <c r="E1043" s="73"/>
      <c r="F1043" s="9"/>
      <c r="H1043" s="9"/>
      <c r="I1043" s="10"/>
      <c r="J1043" s="7"/>
      <c r="K1043" s="7"/>
      <c r="L1043" s="10"/>
      <c r="M1043" s="10"/>
      <c r="N1043" s="10"/>
      <c r="O1043" s="10"/>
      <c r="P1043" s="10"/>
      <c r="Q1043" s="10"/>
      <c r="R1043" s="10"/>
      <c r="S1043" s="10"/>
      <c r="T1043" s="14"/>
      <c r="U1043" s="10"/>
      <c r="V1043" s="10"/>
      <c r="W1043" s="10"/>
      <c r="X1043" s="7"/>
      <c r="Y1043" s="7"/>
      <c r="Z1043" s="7"/>
      <c r="AA1043" s="34"/>
      <c r="AB1043" s="7"/>
      <c r="AC1043" s="34"/>
      <c r="AD1043" s="10"/>
      <c r="AF1043"/>
    </row>
    <row r="1044" spans="1:32" x14ac:dyDescent="0.25">
      <c r="A1044" s="7"/>
      <c r="C1044" s="70"/>
      <c r="D1044" s="70"/>
      <c r="E1044" s="73"/>
      <c r="F1044" s="9"/>
      <c r="H1044" s="9"/>
      <c r="I1044" s="10"/>
      <c r="J1044" s="7"/>
      <c r="K1044" s="7"/>
      <c r="L1044" s="10"/>
      <c r="M1044" s="10"/>
      <c r="N1044" s="10"/>
      <c r="O1044" s="10"/>
      <c r="P1044" s="10"/>
      <c r="Q1044" s="10"/>
      <c r="R1044" s="10"/>
      <c r="S1044" s="10"/>
      <c r="T1044" s="14"/>
      <c r="U1044" s="10"/>
      <c r="V1044" s="10"/>
      <c r="W1044" s="10"/>
      <c r="X1044" s="7"/>
      <c r="Y1044" s="7"/>
      <c r="Z1044" s="7"/>
      <c r="AA1044" s="34"/>
      <c r="AB1044" s="7"/>
      <c r="AC1044" s="34"/>
      <c r="AD1044" s="10"/>
      <c r="AF1044"/>
    </row>
    <row r="1045" spans="1:32" x14ac:dyDescent="0.25">
      <c r="A1045" s="7"/>
      <c r="C1045" s="70"/>
      <c r="D1045" s="70"/>
      <c r="E1045" s="73"/>
      <c r="F1045" s="9"/>
      <c r="H1045" s="9"/>
      <c r="I1045" s="10"/>
      <c r="J1045" s="7"/>
      <c r="K1045" s="7"/>
      <c r="L1045" s="10"/>
      <c r="M1045" s="34"/>
      <c r="N1045" s="10"/>
      <c r="O1045" s="10"/>
      <c r="P1045" s="10"/>
      <c r="Q1045" s="10"/>
      <c r="R1045" s="10"/>
      <c r="S1045" s="10"/>
      <c r="T1045" s="14"/>
      <c r="U1045" s="10"/>
      <c r="V1045" s="10"/>
      <c r="W1045" s="10"/>
      <c r="X1045" s="7"/>
      <c r="Y1045" s="7"/>
      <c r="Z1045" s="7"/>
      <c r="AA1045" s="34"/>
      <c r="AB1045" s="7"/>
      <c r="AC1045" s="34"/>
      <c r="AD1045" s="10"/>
      <c r="AF1045"/>
    </row>
    <row r="1046" spans="1:32" x14ac:dyDescent="0.25">
      <c r="A1046" s="7"/>
      <c r="C1046" s="70"/>
      <c r="D1046" s="70"/>
      <c r="E1046" s="73"/>
      <c r="F1046" s="9"/>
      <c r="H1046" s="9"/>
      <c r="I1046" s="10"/>
      <c r="J1046" s="10"/>
      <c r="K1046" s="7"/>
      <c r="L1046" s="10"/>
      <c r="M1046" s="10"/>
      <c r="N1046" s="10"/>
      <c r="O1046" s="10"/>
      <c r="P1046" s="10"/>
      <c r="Q1046" s="10"/>
      <c r="R1046" s="10"/>
      <c r="S1046" s="10"/>
      <c r="T1046" s="14"/>
      <c r="U1046" s="10"/>
      <c r="V1046" s="10"/>
      <c r="W1046" s="10"/>
      <c r="X1046" s="7"/>
      <c r="Y1046" s="7"/>
      <c r="Z1046" s="7"/>
      <c r="AA1046" s="34"/>
      <c r="AB1046" s="7"/>
      <c r="AC1046" s="34"/>
      <c r="AD1046" s="10"/>
      <c r="AF1046"/>
    </row>
    <row r="1047" spans="1:32" x14ac:dyDescent="0.25">
      <c r="A1047" s="7"/>
      <c r="C1047" s="70"/>
      <c r="D1047" s="70"/>
      <c r="E1047" s="73"/>
      <c r="F1047" s="9"/>
      <c r="H1047" s="9"/>
      <c r="I1047" s="10"/>
      <c r="J1047" s="10"/>
      <c r="K1047" s="7"/>
      <c r="L1047" s="10"/>
      <c r="M1047" s="10"/>
      <c r="N1047" s="10"/>
      <c r="O1047" s="10"/>
      <c r="P1047" s="10"/>
      <c r="Q1047" s="10"/>
      <c r="R1047" s="10"/>
      <c r="S1047" s="10"/>
      <c r="T1047" s="14"/>
      <c r="U1047" s="10"/>
      <c r="V1047" s="10"/>
      <c r="W1047" s="10"/>
      <c r="X1047" s="7"/>
      <c r="Y1047" s="7"/>
      <c r="Z1047" s="7"/>
      <c r="AA1047" s="34"/>
      <c r="AB1047" s="7"/>
      <c r="AC1047" s="34"/>
      <c r="AD1047" s="10"/>
      <c r="AF1047"/>
    </row>
    <row r="1048" spans="1:32" x14ac:dyDescent="0.25">
      <c r="A1048" s="7"/>
      <c r="C1048" s="70"/>
      <c r="D1048" s="70"/>
      <c r="E1048" s="73"/>
      <c r="F1048" s="9"/>
      <c r="H1048" s="9"/>
      <c r="I1048" s="10"/>
      <c r="J1048" s="10"/>
      <c r="K1048" s="7"/>
      <c r="L1048" s="10"/>
      <c r="M1048" s="10"/>
      <c r="N1048" s="10"/>
      <c r="O1048" s="10"/>
      <c r="P1048" s="10"/>
      <c r="Q1048" s="10"/>
      <c r="R1048" s="10"/>
      <c r="S1048" s="10"/>
      <c r="T1048" s="14"/>
      <c r="U1048" s="10"/>
      <c r="V1048" s="10"/>
      <c r="W1048" s="10"/>
      <c r="X1048" s="7"/>
      <c r="Y1048" s="7"/>
      <c r="Z1048" s="7"/>
      <c r="AA1048" s="34"/>
      <c r="AB1048" s="7"/>
      <c r="AC1048" s="34"/>
      <c r="AD1048" s="10"/>
      <c r="AF1048"/>
    </row>
    <row r="1049" spans="1:32" x14ac:dyDescent="0.25">
      <c r="A1049" s="7"/>
      <c r="C1049" s="70"/>
      <c r="D1049" s="70"/>
      <c r="E1049" s="73"/>
      <c r="F1049" s="9"/>
      <c r="H1049" s="9"/>
      <c r="I1049" s="10"/>
      <c r="J1049" s="7"/>
      <c r="K1049" s="7"/>
      <c r="L1049" s="10"/>
      <c r="M1049" s="10"/>
      <c r="N1049" s="10"/>
      <c r="O1049" s="10"/>
      <c r="P1049" s="10"/>
      <c r="Q1049" s="10"/>
      <c r="R1049" s="10"/>
      <c r="S1049" s="10"/>
      <c r="T1049" s="14"/>
      <c r="U1049" s="10"/>
      <c r="V1049" s="10"/>
      <c r="W1049" s="10"/>
      <c r="X1049" s="7"/>
      <c r="Y1049" s="7"/>
      <c r="Z1049" s="7"/>
      <c r="AA1049" s="34"/>
      <c r="AB1049" s="7"/>
      <c r="AC1049" s="34"/>
      <c r="AD1049" s="10"/>
      <c r="AF1049"/>
    </row>
    <row r="1050" spans="1:32" x14ac:dyDescent="0.25">
      <c r="A1050" s="7"/>
      <c r="C1050" s="70"/>
      <c r="D1050" s="70"/>
      <c r="E1050" s="73"/>
      <c r="F1050" s="9"/>
      <c r="H1050" s="9"/>
      <c r="I1050" s="10"/>
      <c r="J1050" s="7"/>
      <c r="K1050" s="24"/>
      <c r="L1050" s="10"/>
      <c r="M1050" s="10"/>
      <c r="N1050" s="10"/>
      <c r="O1050" s="10"/>
      <c r="P1050" s="10"/>
      <c r="Q1050" s="10"/>
      <c r="R1050" s="10"/>
      <c r="S1050" s="10"/>
      <c r="T1050" s="14"/>
      <c r="U1050" s="10"/>
      <c r="V1050" s="10"/>
      <c r="W1050" s="10"/>
      <c r="X1050" s="7"/>
      <c r="Y1050" s="7"/>
      <c r="Z1050" s="7"/>
      <c r="AA1050" s="34"/>
      <c r="AB1050" s="7"/>
      <c r="AC1050" s="34"/>
      <c r="AD1050" s="10"/>
      <c r="AF1050"/>
    </row>
    <row r="1051" spans="1:32" x14ac:dyDescent="0.25">
      <c r="A1051" s="7"/>
      <c r="C1051" s="70"/>
      <c r="D1051" s="70"/>
      <c r="E1051" s="73"/>
      <c r="F1051" s="9"/>
      <c r="H1051" s="9"/>
      <c r="I1051" s="10"/>
      <c r="J1051" s="7"/>
      <c r="K1051" s="7"/>
      <c r="L1051" s="10"/>
      <c r="M1051" s="10"/>
      <c r="N1051" s="10"/>
      <c r="O1051" s="10"/>
      <c r="P1051" s="10"/>
      <c r="Q1051" s="10"/>
      <c r="R1051" s="10"/>
      <c r="S1051" s="10"/>
      <c r="T1051" s="14"/>
      <c r="U1051" s="10"/>
      <c r="V1051" s="10"/>
      <c r="W1051" s="10"/>
      <c r="X1051" s="7"/>
      <c r="Y1051" s="7"/>
      <c r="Z1051" s="7"/>
      <c r="AA1051" s="34"/>
      <c r="AB1051" s="7"/>
      <c r="AC1051" s="34"/>
      <c r="AD1051" s="10"/>
      <c r="AF1051"/>
    </row>
    <row r="1052" spans="1:32" x14ac:dyDescent="0.25">
      <c r="A1052" s="7"/>
      <c r="C1052" s="70"/>
      <c r="D1052" s="70"/>
      <c r="E1052" s="73"/>
      <c r="F1052" s="9"/>
      <c r="H1052" s="9"/>
      <c r="I1052" s="10"/>
      <c r="J1052" s="7"/>
      <c r="K1052" s="7"/>
      <c r="L1052" s="10"/>
      <c r="M1052" s="10"/>
      <c r="N1052" s="10"/>
      <c r="O1052" s="10"/>
      <c r="P1052" s="10"/>
      <c r="Q1052" s="10"/>
      <c r="R1052" s="10"/>
      <c r="S1052" s="10"/>
      <c r="T1052" s="14"/>
      <c r="U1052" s="10"/>
      <c r="V1052" s="10"/>
      <c r="W1052" s="10"/>
      <c r="X1052" s="7"/>
      <c r="Y1052" s="34"/>
      <c r="Z1052" s="34"/>
      <c r="AA1052" s="34"/>
      <c r="AB1052" s="7"/>
      <c r="AC1052" s="34"/>
      <c r="AD1052" s="10"/>
      <c r="AF1052"/>
    </row>
    <row r="1053" spans="1:32" x14ac:dyDescent="0.25">
      <c r="A1053" s="7"/>
      <c r="C1053" s="70"/>
      <c r="D1053" s="70"/>
      <c r="E1053" s="73"/>
      <c r="F1053" s="9"/>
      <c r="H1053" s="9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4"/>
      <c r="U1053" s="10"/>
      <c r="V1053" s="10"/>
      <c r="W1053" s="10"/>
      <c r="X1053" s="7"/>
      <c r="Y1053" s="34"/>
      <c r="Z1053" s="7"/>
      <c r="AA1053" s="34"/>
      <c r="AB1053" s="7"/>
      <c r="AC1053" s="34"/>
      <c r="AD1053" s="10"/>
      <c r="AF1053"/>
    </row>
    <row r="1054" spans="1:32" x14ac:dyDescent="0.25">
      <c r="A1054" s="7"/>
      <c r="C1054" s="70"/>
      <c r="D1054" s="70"/>
      <c r="E1054" s="73"/>
      <c r="F1054" s="9"/>
      <c r="H1054" s="9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4"/>
      <c r="U1054" s="10"/>
      <c r="V1054" s="10"/>
      <c r="W1054" s="10"/>
      <c r="X1054" s="7"/>
      <c r="Y1054" s="7"/>
      <c r="Z1054" s="7"/>
      <c r="AA1054" s="34"/>
      <c r="AB1054" s="7"/>
      <c r="AC1054" s="34"/>
      <c r="AD1054" s="10"/>
      <c r="AF1054"/>
    </row>
    <row r="1055" spans="1:32" x14ac:dyDescent="0.25">
      <c r="A1055" s="43"/>
      <c r="C1055" s="70"/>
      <c r="D1055" s="70"/>
      <c r="E1055" s="73"/>
      <c r="F1055" s="9"/>
      <c r="H1055" s="9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4"/>
      <c r="U1055" s="10"/>
      <c r="V1055" s="10"/>
      <c r="W1055" s="10"/>
      <c r="X1055" s="7"/>
      <c r="Y1055" s="7"/>
      <c r="Z1055" s="7"/>
      <c r="AA1055" s="34"/>
      <c r="AB1055" s="7"/>
      <c r="AC1055" s="34"/>
      <c r="AD1055" s="10"/>
      <c r="AF1055"/>
    </row>
    <row r="1056" spans="1:32" x14ac:dyDescent="0.25">
      <c r="A1056" s="7"/>
      <c r="C1056" s="70"/>
      <c r="D1056" s="70"/>
      <c r="E1056" s="73"/>
      <c r="F1056" s="9"/>
      <c r="H1056" s="9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4"/>
      <c r="U1056" s="10"/>
      <c r="V1056" s="10"/>
      <c r="W1056" s="10"/>
      <c r="X1056" s="7"/>
      <c r="Y1056" s="7"/>
      <c r="Z1056" s="34"/>
      <c r="AA1056" s="34"/>
      <c r="AB1056" s="7"/>
      <c r="AC1056" s="34"/>
      <c r="AD1056" s="10"/>
      <c r="AF1056"/>
    </row>
    <row r="1057" spans="1:32" x14ac:dyDescent="0.25">
      <c r="A1057" s="7"/>
      <c r="C1057" s="70"/>
      <c r="D1057" s="70"/>
      <c r="E1057" s="73"/>
      <c r="F1057" s="45"/>
      <c r="H1057" s="9"/>
      <c r="I1057" s="10"/>
      <c r="J1057" s="7"/>
      <c r="K1057" s="7"/>
      <c r="L1057" s="10"/>
      <c r="M1057" s="10"/>
      <c r="N1057" s="10"/>
      <c r="O1057" s="10"/>
      <c r="P1057" s="10"/>
      <c r="Q1057" s="10"/>
      <c r="R1057" s="10"/>
      <c r="S1057" s="10"/>
      <c r="T1057" s="14"/>
      <c r="U1057" s="10"/>
      <c r="V1057" s="10"/>
      <c r="W1057" s="10"/>
      <c r="X1057" s="7"/>
      <c r="Y1057" s="34"/>
      <c r="Z1057" s="7"/>
      <c r="AA1057" s="34"/>
      <c r="AB1057" s="7"/>
      <c r="AC1057" s="34"/>
      <c r="AD1057" s="10"/>
      <c r="AF1057"/>
    </row>
    <row r="1058" spans="1:32" x14ac:dyDescent="0.25">
      <c r="A1058" s="7"/>
      <c r="C1058" s="70"/>
      <c r="D1058" s="70"/>
      <c r="E1058" s="73"/>
      <c r="F1058" s="9"/>
      <c r="H1058" s="9"/>
      <c r="I1058" s="10"/>
      <c r="J1058" s="7"/>
      <c r="K1058" s="7"/>
      <c r="L1058" s="10"/>
      <c r="M1058" s="10"/>
      <c r="N1058" s="10"/>
      <c r="O1058" s="10"/>
      <c r="P1058" s="10"/>
      <c r="Q1058" s="10"/>
      <c r="R1058" s="10"/>
      <c r="S1058" s="10"/>
      <c r="T1058" s="14"/>
      <c r="U1058" s="10"/>
      <c r="V1058" s="10"/>
      <c r="W1058" s="10"/>
      <c r="X1058" s="7"/>
      <c r="Y1058" s="7"/>
      <c r="Z1058" s="7"/>
      <c r="AA1058" s="34"/>
      <c r="AB1058" s="7"/>
      <c r="AC1058" s="34"/>
      <c r="AD1058" s="10"/>
      <c r="AF1058"/>
    </row>
    <row r="1059" spans="1:32" x14ac:dyDescent="0.25">
      <c r="A1059" s="7"/>
      <c r="C1059" s="70"/>
      <c r="D1059" s="70"/>
      <c r="E1059" s="73"/>
      <c r="F1059" s="9"/>
      <c r="H1059" s="9"/>
      <c r="I1059" s="10"/>
      <c r="J1059" s="10"/>
      <c r="K1059" s="7"/>
      <c r="L1059" s="10"/>
      <c r="M1059" s="10"/>
      <c r="N1059" s="10"/>
      <c r="O1059" s="10"/>
      <c r="P1059" s="10"/>
      <c r="Q1059" s="10"/>
      <c r="R1059" s="10"/>
      <c r="S1059" s="10"/>
      <c r="T1059" s="14"/>
      <c r="U1059" s="10"/>
      <c r="V1059" s="10"/>
      <c r="W1059" s="10"/>
      <c r="X1059" s="7"/>
      <c r="Y1059" s="7"/>
      <c r="Z1059" s="7"/>
      <c r="AA1059" s="34"/>
      <c r="AB1059" s="7"/>
      <c r="AC1059" s="34"/>
      <c r="AD1059" s="10"/>
      <c r="AF1059"/>
    </row>
    <row r="1060" spans="1:32" x14ac:dyDescent="0.25">
      <c r="A1060" s="7"/>
      <c r="C1060" s="70"/>
      <c r="D1060" s="70"/>
      <c r="E1060" s="73"/>
      <c r="F1060" s="9"/>
      <c r="H1060" s="9"/>
      <c r="I1060" s="10"/>
      <c r="J1060" s="10"/>
      <c r="K1060" s="7"/>
      <c r="L1060" s="10"/>
      <c r="M1060" s="10"/>
      <c r="N1060" s="10"/>
      <c r="O1060" s="10"/>
      <c r="P1060" s="10"/>
      <c r="Q1060" s="10"/>
      <c r="R1060" s="10"/>
      <c r="S1060" s="10"/>
      <c r="T1060" s="14"/>
      <c r="U1060" s="10"/>
      <c r="V1060" s="10"/>
      <c r="W1060" s="10"/>
      <c r="X1060" s="7"/>
      <c r="Y1060" s="7"/>
      <c r="Z1060" s="7"/>
      <c r="AA1060" s="34"/>
      <c r="AB1060" s="7"/>
      <c r="AC1060" s="34"/>
      <c r="AD1060" s="10"/>
      <c r="AF1060"/>
    </row>
    <row r="1061" spans="1:32" x14ac:dyDescent="0.25">
      <c r="A1061" s="7"/>
      <c r="C1061" s="70"/>
      <c r="D1061" s="70"/>
      <c r="E1061" s="73"/>
      <c r="F1061" s="9"/>
      <c r="H1061" s="9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4"/>
      <c r="U1061" s="10"/>
      <c r="V1061" s="10"/>
      <c r="W1061" s="10"/>
      <c r="X1061" s="7"/>
      <c r="Y1061" s="7"/>
      <c r="Z1061" s="7"/>
      <c r="AA1061" s="34"/>
      <c r="AB1061" s="7"/>
      <c r="AC1061" s="34"/>
      <c r="AD1061" s="10"/>
      <c r="AF1061"/>
    </row>
    <row r="1062" spans="1:32" x14ac:dyDescent="0.25">
      <c r="A1062" s="7"/>
      <c r="C1062" s="70"/>
      <c r="D1062" s="70"/>
      <c r="E1062" s="73"/>
      <c r="F1062" s="9"/>
      <c r="H1062" s="9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4"/>
      <c r="U1062" s="10"/>
      <c r="V1062" s="10"/>
      <c r="W1062" s="10"/>
      <c r="X1062" s="7"/>
      <c r="Y1062" s="7"/>
      <c r="Z1062" s="7"/>
      <c r="AA1062" s="34"/>
      <c r="AB1062" s="7"/>
      <c r="AC1062" s="34"/>
      <c r="AD1062" s="10"/>
      <c r="AF1062"/>
    </row>
    <row r="1063" spans="1:32" x14ac:dyDescent="0.25">
      <c r="A1063" s="7"/>
      <c r="C1063" s="70"/>
      <c r="D1063" s="70"/>
      <c r="E1063" s="73"/>
      <c r="F1063" s="9"/>
      <c r="H1063" s="9"/>
      <c r="I1063" s="10"/>
      <c r="J1063" s="7"/>
      <c r="K1063" s="7"/>
      <c r="L1063" s="10"/>
      <c r="M1063" s="10"/>
      <c r="N1063" s="10"/>
      <c r="O1063" s="10"/>
      <c r="P1063" s="10"/>
      <c r="Q1063" s="10"/>
      <c r="R1063" s="10"/>
      <c r="S1063" s="10"/>
      <c r="T1063" s="14"/>
      <c r="U1063" s="10"/>
      <c r="V1063" s="10"/>
      <c r="W1063" s="10"/>
      <c r="X1063" s="7"/>
      <c r="Y1063" s="7"/>
      <c r="Z1063" s="7"/>
      <c r="AA1063" s="34"/>
      <c r="AB1063" s="7"/>
      <c r="AC1063" s="34"/>
      <c r="AD1063" s="10"/>
      <c r="AF1063"/>
    </row>
    <row r="1064" spans="1:32" x14ac:dyDescent="0.25">
      <c r="A1064" s="7"/>
      <c r="C1064" s="70"/>
      <c r="D1064" s="70"/>
      <c r="E1064" s="73"/>
      <c r="F1064" s="9"/>
      <c r="H1064" s="9"/>
      <c r="I1064" s="10"/>
      <c r="J1064" s="7"/>
      <c r="K1064" s="24"/>
      <c r="L1064" s="10"/>
      <c r="M1064" s="10"/>
      <c r="N1064" s="10"/>
      <c r="O1064" s="10"/>
      <c r="P1064" s="10"/>
      <c r="Q1064" s="10"/>
      <c r="R1064" s="10"/>
      <c r="S1064" s="10"/>
      <c r="T1064" s="14"/>
      <c r="U1064" s="10"/>
      <c r="V1064" s="10"/>
      <c r="W1064" s="10"/>
      <c r="X1064" s="7"/>
      <c r="Y1064" s="7"/>
      <c r="Z1064" s="7"/>
      <c r="AA1064" s="34"/>
      <c r="AB1064" s="7"/>
      <c r="AC1064" s="34"/>
      <c r="AD1064" s="10"/>
      <c r="AF1064"/>
    </row>
    <row r="1065" spans="1:32" x14ac:dyDescent="0.25">
      <c r="A1065" s="7"/>
      <c r="C1065" s="70"/>
      <c r="D1065" s="70"/>
      <c r="E1065" s="73"/>
      <c r="F1065" s="9"/>
      <c r="H1065" s="9"/>
      <c r="I1065" s="10"/>
      <c r="J1065" s="7"/>
      <c r="K1065" s="24"/>
      <c r="L1065" s="10"/>
      <c r="M1065" s="10"/>
      <c r="N1065" s="10"/>
      <c r="O1065" s="10"/>
      <c r="P1065" s="10"/>
      <c r="Q1065" s="10"/>
      <c r="R1065" s="10"/>
      <c r="S1065" s="10"/>
      <c r="T1065" s="14"/>
      <c r="U1065" s="10"/>
      <c r="V1065" s="10"/>
      <c r="W1065" s="10"/>
      <c r="X1065" s="7"/>
      <c r="Y1065" s="7"/>
      <c r="Z1065" s="7"/>
      <c r="AA1065" s="34"/>
      <c r="AB1065" s="7"/>
      <c r="AC1065" s="34"/>
      <c r="AD1065" s="10"/>
      <c r="AF1065"/>
    </row>
    <row r="1066" spans="1:32" x14ac:dyDescent="0.25">
      <c r="A1066" s="7"/>
      <c r="C1066" s="70"/>
      <c r="D1066" s="70"/>
      <c r="E1066" s="73"/>
      <c r="F1066" s="9"/>
      <c r="H1066" s="9"/>
      <c r="I1066" s="10"/>
      <c r="J1066" s="7"/>
      <c r="K1066" s="7"/>
      <c r="L1066" s="10"/>
      <c r="M1066" s="10"/>
      <c r="N1066" s="10"/>
      <c r="O1066" s="10"/>
      <c r="P1066" s="10"/>
      <c r="Q1066" s="10"/>
      <c r="R1066" s="10"/>
      <c r="S1066" s="10"/>
      <c r="T1066" s="14"/>
      <c r="U1066" s="10"/>
      <c r="V1066" s="10"/>
      <c r="W1066" s="10"/>
      <c r="X1066" s="7"/>
      <c r="Y1066" s="7"/>
      <c r="Z1066" s="7"/>
      <c r="AA1066" s="34"/>
      <c r="AB1066" s="7"/>
      <c r="AC1066" s="34"/>
      <c r="AD1066" s="10"/>
      <c r="AF1066"/>
    </row>
    <row r="1067" spans="1:32" x14ac:dyDescent="0.25">
      <c r="A1067" s="7"/>
      <c r="C1067" s="70"/>
      <c r="D1067" s="70"/>
      <c r="E1067" s="73"/>
      <c r="F1067" s="48"/>
      <c r="H1067" s="9"/>
      <c r="I1067" s="10"/>
      <c r="J1067" s="7"/>
      <c r="K1067" s="7"/>
      <c r="L1067" s="10"/>
      <c r="M1067" s="10"/>
      <c r="N1067" s="10"/>
      <c r="O1067" s="10"/>
      <c r="P1067" s="10"/>
      <c r="Q1067" s="10"/>
      <c r="R1067" s="10"/>
      <c r="S1067" s="10"/>
      <c r="T1067" s="14"/>
      <c r="U1067" s="10"/>
      <c r="V1067" s="10"/>
      <c r="W1067" s="10"/>
      <c r="X1067" s="7"/>
      <c r="Y1067" s="34"/>
      <c r="Z1067" s="7"/>
      <c r="AA1067" s="34"/>
      <c r="AB1067" s="7"/>
      <c r="AC1067" s="34"/>
      <c r="AD1067" s="10"/>
      <c r="AF1067"/>
    </row>
    <row r="1068" spans="1:32" x14ac:dyDescent="0.25">
      <c r="A1068" s="7"/>
      <c r="C1068" s="70"/>
      <c r="D1068" s="70"/>
      <c r="E1068" s="73"/>
      <c r="F1068" s="9"/>
      <c r="H1068" s="9"/>
      <c r="I1068" s="10"/>
      <c r="J1068" s="7"/>
      <c r="K1068" s="7"/>
      <c r="L1068" s="10"/>
      <c r="M1068" s="10"/>
      <c r="N1068" s="10"/>
      <c r="O1068" s="10"/>
      <c r="P1068" s="10"/>
      <c r="Q1068" s="10"/>
      <c r="R1068" s="10"/>
      <c r="S1068" s="10"/>
      <c r="T1068" s="14"/>
      <c r="U1068" s="10"/>
      <c r="V1068" s="10"/>
      <c r="W1068" s="10"/>
      <c r="X1068" s="7"/>
      <c r="Y1068" s="7"/>
      <c r="Z1068" s="7"/>
      <c r="AA1068" s="34"/>
      <c r="AB1068" s="7"/>
      <c r="AC1068" s="34"/>
      <c r="AD1068" s="10"/>
      <c r="AF1068"/>
    </row>
    <row r="1069" spans="1:32" x14ac:dyDescent="0.25">
      <c r="A1069" s="7"/>
      <c r="C1069" s="70"/>
      <c r="D1069" s="70"/>
      <c r="E1069" s="73"/>
      <c r="F1069" s="9"/>
      <c r="H1069" s="9"/>
      <c r="I1069" s="10"/>
      <c r="J1069" s="7"/>
      <c r="K1069" s="7"/>
      <c r="L1069" s="10"/>
      <c r="M1069" s="10"/>
      <c r="N1069" s="10"/>
      <c r="O1069" s="10"/>
      <c r="P1069" s="10"/>
      <c r="Q1069" s="10"/>
      <c r="R1069" s="10"/>
      <c r="S1069" s="10"/>
      <c r="T1069" s="14"/>
      <c r="U1069" s="10"/>
      <c r="V1069" s="10"/>
      <c r="W1069" s="10"/>
      <c r="X1069" s="7"/>
      <c r="Y1069" s="7"/>
      <c r="Z1069" s="7"/>
      <c r="AA1069" s="34"/>
      <c r="AB1069" s="7"/>
      <c r="AC1069" s="34"/>
      <c r="AD1069" s="10"/>
      <c r="AF1069"/>
    </row>
    <row r="1070" spans="1:32" x14ac:dyDescent="0.25">
      <c r="A1070" s="7"/>
      <c r="C1070" s="70"/>
      <c r="D1070" s="70"/>
      <c r="E1070" s="73"/>
      <c r="F1070" s="9"/>
      <c r="H1070" s="9"/>
      <c r="I1070" s="10"/>
      <c r="J1070" s="10"/>
      <c r="K1070" s="7"/>
      <c r="L1070" s="10"/>
      <c r="M1070" s="10"/>
      <c r="N1070" s="10"/>
      <c r="O1070" s="10"/>
      <c r="P1070" s="10"/>
      <c r="Q1070" s="10"/>
      <c r="R1070" s="10"/>
      <c r="S1070" s="10"/>
      <c r="T1070" s="14"/>
      <c r="U1070" s="10"/>
      <c r="V1070" s="10"/>
      <c r="W1070" s="10"/>
      <c r="X1070" s="7"/>
      <c r="Y1070" s="7"/>
      <c r="Z1070" s="7"/>
      <c r="AA1070" s="34"/>
      <c r="AB1070" s="7"/>
      <c r="AC1070" s="34"/>
      <c r="AD1070" s="10"/>
      <c r="AF1070"/>
    </row>
    <row r="1071" spans="1:32" x14ac:dyDescent="0.25">
      <c r="A1071" s="7"/>
      <c r="C1071" s="70"/>
      <c r="D1071" s="70"/>
      <c r="E1071" s="73"/>
      <c r="F1071" s="9"/>
      <c r="H1071" s="9"/>
      <c r="I1071" s="10"/>
      <c r="J1071" s="7"/>
      <c r="K1071" s="7"/>
      <c r="L1071" s="10"/>
      <c r="M1071" s="10"/>
      <c r="N1071" s="10"/>
      <c r="O1071" s="10"/>
      <c r="P1071" s="10"/>
      <c r="Q1071" s="10"/>
      <c r="R1071" s="10"/>
      <c r="S1071" s="10"/>
      <c r="T1071" s="14"/>
      <c r="U1071" s="10"/>
      <c r="V1071" s="10"/>
      <c r="W1071" s="10"/>
      <c r="X1071" s="7"/>
      <c r="Y1071" s="7"/>
      <c r="Z1071" s="7"/>
      <c r="AA1071" s="34"/>
      <c r="AB1071" s="7"/>
      <c r="AC1071" s="34"/>
      <c r="AD1071" s="10"/>
      <c r="AF1071"/>
    </row>
    <row r="1072" spans="1:32" x14ac:dyDescent="0.25">
      <c r="A1072" s="7"/>
      <c r="C1072" s="70"/>
      <c r="D1072" s="70"/>
      <c r="E1072" s="73"/>
      <c r="F1072" s="9"/>
      <c r="H1072" s="9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4"/>
      <c r="U1072" s="10"/>
      <c r="V1072" s="10"/>
      <c r="W1072" s="10"/>
      <c r="X1072" s="7"/>
      <c r="Y1072" s="7"/>
      <c r="Z1072" s="7"/>
      <c r="AA1072" s="34"/>
      <c r="AB1072" s="7"/>
      <c r="AC1072" s="34"/>
      <c r="AD1072" s="10"/>
      <c r="AF1072"/>
    </row>
    <row r="1073" spans="1:32" x14ac:dyDescent="0.25">
      <c r="A1073" s="7"/>
      <c r="C1073" s="70"/>
      <c r="D1073" s="70"/>
      <c r="E1073" s="73"/>
      <c r="F1073" s="9"/>
      <c r="H1073" s="9"/>
      <c r="I1073" s="10"/>
      <c r="J1073" s="7"/>
      <c r="K1073" s="7"/>
      <c r="L1073" s="10"/>
      <c r="M1073" s="10"/>
      <c r="N1073" s="10"/>
      <c r="O1073" s="10"/>
      <c r="P1073" s="10"/>
      <c r="Q1073" s="10"/>
      <c r="R1073" s="10"/>
      <c r="S1073" s="10"/>
      <c r="T1073" s="14"/>
      <c r="U1073" s="10"/>
      <c r="V1073" s="10"/>
      <c r="W1073" s="10"/>
      <c r="X1073" s="7"/>
      <c r="Y1073" s="7"/>
      <c r="Z1073" s="7"/>
      <c r="AA1073" s="34"/>
      <c r="AB1073" s="7"/>
      <c r="AC1073" s="34"/>
      <c r="AD1073" s="10"/>
      <c r="AF1073"/>
    </row>
    <row r="1074" spans="1:32" x14ac:dyDescent="0.25">
      <c r="A1074" s="7"/>
      <c r="C1074" s="70"/>
      <c r="D1074" s="70"/>
      <c r="E1074" s="73"/>
      <c r="F1074" s="9"/>
      <c r="H1074" s="9"/>
      <c r="I1074" s="10"/>
      <c r="J1074" s="7"/>
      <c r="K1074" s="10"/>
      <c r="L1074" s="10"/>
      <c r="M1074" s="10"/>
      <c r="N1074" s="10"/>
      <c r="O1074" s="10"/>
      <c r="P1074" s="10"/>
      <c r="Q1074" s="10"/>
      <c r="R1074" s="10"/>
      <c r="S1074" s="10"/>
      <c r="T1074" s="14"/>
      <c r="U1074" s="10"/>
      <c r="V1074" s="10"/>
      <c r="W1074" s="10"/>
      <c r="X1074" s="7"/>
      <c r="Y1074" s="7"/>
      <c r="Z1074" s="34"/>
      <c r="AA1074" s="34"/>
      <c r="AB1074" s="7"/>
      <c r="AC1074" s="34"/>
      <c r="AD1074" s="10"/>
      <c r="AF1074"/>
    </row>
    <row r="1075" spans="1:32" x14ac:dyDescent="0.25">
      <c r="A1075" s="7"/>
      <c r="C1075" s="70"/>
      <c r="D1075" s="70"/>
      <c r="E1075" s="73"/>
      <c r="F1075" s="9"/>
      <c r="H1075" s="9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4"/>
      <c r="U1075" s="10"/>
      <c r="V1075" s="10"/>
      <c r="W1075" s="10"/>
      <c r="X1075" s="7"/>
      <c r="Y1075" s="7"/>
      <c r="Z1075" s="34"/>
      <c r="AA1075" s="34"/>
      <c r="AB1075" s="7"/>
      <c r="AC1075" s="34"/>
      <c r="AD1075" s="10"/>
      <c r="AF1075"/>
    </row>
    <row r="1076" spans="1:32" x14ac:dyDescent="0.25">
      <c r="A1076" s="7"/>
      <c r="C1076" s="70"/>
      <c r="D1076" s="70"/>
      <c r="E1076" s="73"/>
      <c r="F1076" s="45"/>
      <c r="H1076" s="9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4"/>
      <c r="U1076" s="10"/>
      <c r="V1076" s="10"/>
      <c r="W1076" s="10"/>
      <c r="X1076" s="7"/>
      <c r="Y1076" s="34"/>
      <c r="Z1076" s="7"/>
      <c r="AA1076" s="34"/>
      <c r="AB1076" s="7"/>
      <c r="AC1076" s="34"/>
      <c r="AD1076" s="10"/>
      <c r="AF1076"/>
    </row>
    <row r="1077" spans="1:32" x14ac:dyDescent="0.25">
      <c r="A1077" s="7"/>
      <c r="C1077" s="70"/>
      <c r="D1077" s="70"/>
      <c r="E1077" s="73"/>
      <c r="F1077" s="45"/>
      <c r="H1077" s="9"/>
      <c r="I1077" s="10"/>
      <c r="J1077" s="7"/>
      <c r="K1077" s="7"/>
      <c r="L1077" s="10"/>
      <c r="M1077" s="10"/>
      <c r="N1077" s="10"/>
      <c r="O1077" s="10"/>
      <c r="P1077" s="10"/>
      <c r="Q1077" s="10"/>
      <c r="R1077" s="10"/>
      <c r="S1077" s="10"/>
      <c r="T1077" s="14"/>
      <c r="U1077" s="10"/>
      <c r="V1077" s="10"/>
      <c r="W1077" s="10"/>
      <c r="X1077" s="7"/>
      <c r="Y1077" s="34"/>
      <c r="Z1077" s="34"/>
      <c r="AA1077" s="34"/>
      <c r="AB1077" s="7"/>
      <c r="AC1077" s="34"/>
      <c r="AD1077" s="10"/>
      <c r="AF1077"/>
    </row>
    <row r="1078" spans="1:32" x14ac:dyDescent="0.25">
      <c r="A1078" s="7"/>
      <c r="C1078" s="70"/>
      <c r="D1078" s="70"/>
      <c r="E1078" s="73"/>
      <c r="F1078" s="9"/>
      <c r="H1078" s="9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4"/>
      <c r="U1078" s="10"/>
      <c r="V1078" s="10"/>
      <c r="W1078" s="10"/>
      <c r="X1078" s="7"/>
      <c r="Y1078" s="7"/>
      <c r="Z1078" s="34"/>
      <c r="AA1078" s="34"/>
      <c r="AB1078" s="7"/>
      <c r="AC1078" s="34"/>
      <c r="AD1078" s="10"/>
      <c r="AF1078"/>
    </row>
    <row r="1079" spans="1:32" x14ac:dyDescent="0.25">
      <c r="A1079" s="7"/>
      <c r="C1079" s="70"/>
      <c r="D1079" s="70"/>
      <c r="E1079" s="73"/>
      <c r="F1079" s="45"/>
      <c r="H1079" s="9"/>
      <c r="I1079" s="10"/>
      <c r="J1079" s="10"/>
      <c r="K1079" s="7"/>
      <c r="L1079" s="10"/>
      <c r="M1079" s="10"/>
      <c r="N1079" s="10"/>
      <c r="O1079" s="10"/>
      <c r="P1079" s="10"/>
      <c r="Q1079" s="10"/>
      <c r="R1079" s="10"/>
      <c r="S1079" s="10"/>
      <c r="T1079" s="14"/>
      <c r="U1079" s="10"/>
      <c r="V1079" s="10"/>
      <c r="W1079" s="10"/>
      <c r="X1079" s="7"/>
      <c r="Y1079" s="34"/>
      <c r="Z1079" s="7"/>
      <c r="AA1079" s="34"/>
      <c r="AB1079" s="7"/>
      <c r="AC1079" s="34"/>
      <c r="AD1079" s="10"/>
      <c r="AF1079"/>
    </row>
    <row r="1080" spans="1:32" x14ac:dyDescent="0.25">
      <c r="A1080" s="7"/>
      <c r="C1080" s="70"/>
      <c r="D1080" s="70"/>
      <c r="E1080" s="73"/>
      <c r="F1080" s="9"/>
      <c r="H1080" s="9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4"/>
      <c r="U1080" s="10"/>
      <c r="V1080" s="10"/>
      <c r="W1080" s="10"/>
      <c r="X1080" s="7"/>
      <c r="Y1080" s="34"/>
      <c r="Z1080" s="34"/>
      <c r="AA1080" s="34"/>
      <c r="AB1080" s="7"/>
      <c r="AC1080" s="34"/>
      <c r="AD1080" s="10"/>
      <c r="AF1080"/>
    </row>
    <row r="1081" spans="1:32" x14ac:dyDescent="0.25">
      <c r="A1081" s="7"/>
      <c r="C1081" s="70"/>
      <c r="D1081" s="70"/>
      <c r="E1081" s="73"/>
      <c r="F1081" s="9"/>
      <c r="H1081" s="9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4"/>
      <c r="U1081" s="10"/>
      <c r="V1081" s="10"/>
      <c r="W1081" s="10"/>
      <c r="X1081" s="7"/>
      <c r="Y1081" s="7"/>
      <c r="Z1081" s="34"/>
      <c r="AA1081" s="34"/>
      <c r="AB1081" s="7"/>
      <c r="AC1081" s="34"/>
      <c r="AD1081" s="10"/>
      <c r="AF1081"/>
    </row>
    <row r="1082" spans="1:32" x14ac:dyDescent="0.25">
      <c r="A1082" s="7"/>
      <c r="C1082" s="70"/>
      <c r="D1082" s="70"/>
      <c r="E1082" s="73"/>
      <c r="F1082" s="9"/>
      <c r="H1082" s="9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4"/>
      <c r="U1082" s="10"/>
      <c r="V1082" s="10"/>
      <c r="W1082" s="10"/>
      <c r="X1082" s="7"/>
      <c r="Y1082" s="7"/>
      <c r="Z1082" s="7"/>
      <c r="AA1082" s="34"/>
      <c r="AB1082" s="7"/>
      <c r="AC1082" s="34"/>
      <c r="AD1082" s="10"/>
      <c r="AF1082"/>
    </row>
    <row r="1083" spans="1:32" x14ac:dyDescent="0.25">
      <c r="A1083" s="7"/>
      <c r="C1083" s="70"/>
      <c r="D1083" s="70"/>
      <c r="E1083" s="73"/>
      <c r="F1083" s="9"/>
      <c r="H1083" s="9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4"/>
      <c r="U1083" s="10"/>
      <c r="V1083" s="10"/>
      <c r="W1083" s="10"/>
      <c r="X1083" s="7"/>
      <c r="Y1083" s="7"/>
      <c r="Z1083" s="34"/>
      <c r="AA1083" s="34"/>
      <c r="AB1083" s="7"/>
      <c r="AC1083" s="34"/>
      <c r="AD1083" s="10"/>
      <c r="AF1083"/>
    </row>
    <row r="1084" spans="1:32" x14ac:dyDescent="0.25">
      <c r="A1084" s="7"/>
      <c r="C1084" s="70"/>
      <c r="D1084" s="70"/>
      <c r="E1084" s="73"/>
      <c r="F1084" s="9"/>
      <c r="H1084" s="9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4"/>
      <c r="U1084" s="10"/>
      <c r="V1084" s="10"/>
      <c r="W1084" s="10"/>
      <c r="X1084" s="7"/>
      <c r="Y1084" s="7"/>
      <c r="Z1084" s="34"/>
      <c r="AA1084" s="34"/>
      <c r="AB1084" s="7"/>
      <c r="AC1084" s="34"/>
      <c r="AD1084" s="10"/>
      <c r="AF1084"/>
    </row>
    <row r="1085" spans="1:32" x14ac:dyDescent="0.25">
      <c r="A1085" s="7"/>
      <c r="C1085" s="70"/>
      <c r="D1085" s="70"/>
      <c r="E1085" s="73"/>
      <c r="F1085" s="9"/>
      <c r="H1085" s="9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4"/>
      <c r="U1085" s="10"/>
      <c r="V1085" s="10"/>
      <c r="W1085" s="10"/>
      <c r="X1085" s="7"/>
      <c r="Y1085" s="7"/>
      <c r="Z1085" s="7"/>
      <c r="AA1085" s="34"/>
      <c r="AB1085" s="7"/>
      <c r="AC1085" s="34"/>
      <c r="AD1085" s="10"/>
      <c r="AF1085"/>
    </row>
    <row r="1086" spans="1:32" x14ac:dyDescent="0.25">
      <c r="A1086" s="7"/>
      <c r="C1086" s="70"/>
      <c r="D1086" s="70"/>
      <c r="E1086" s="73"/>
      <c r="F1086" s="9"/>
      <c r="H1086" s="9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4"/>
      <c r="U1086" s="10"/>
      <c r="V1086" s="10"/>
      <c r="W1086" s="10"/>
      <c r="X1086" s="7"/>
      <c r="Y1086" s="7"/>
      <c r="Z1086" s="34"/>
      <c r="AA1086" s="34"/>
      <c r="AB1086" s="7"/>
      <c r="AC1086" s="34"/>
      <c r="AD1086" s="10"/>
      <c r="AF1086"/>
    </row>
    <row r="1087" spans="1:32" x14ac:dyDescent="0.25">
      <c r="A1087" s="7"/>
      <c r="C1087" s="70"/>
      <c r="D1087" s="70"/>
      <c r="E1087" s="73"/>
      <c r="F1087" s="45"/>
      <c r="H1087" s="9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4"/>
      <c r="U1087" s="10"/>
      <c r="V1087" s="10"/>
      <c r="W1087" s="10"/>
      <c r="X1087" s="7"/>
      <c r="Y1087" s="7"/>
      <c r="Z1087" s="7"/>
      <c r="AA1087" s="34"/>
      <c r="AB1087" s="7"/>
      <c r="AC1087" s="34"/>
      <c r="AD1087" s="10"/>
      <c r="AF1087"/>
    </row>
    <row r="1088" spans="1:32" x14ac:dyDescent="0.25">
      <c r="A1088" s="7"/>
      <c r="C1088" s="70"/>
      <c r="D1088" s="70"/>
      <c r="E1088" s="73"/>
      <c r="F1088" s="9"/>
      <c r="H1088" s="9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4"/>
      <c r="U1088" s="10"/>
      <c r="V1088" s="10"/>
      <c r="W1088" s="10"/>
      <c r="X1088" s="7"/>
      <c r="Y1088" s="7"/>
      <c r="Z1088" s="7"/>
      <c r="AA1088" s="34"/>
      <c r="AB1088" s="7"/>
      <c r="AC1088" s="34"/>
      <c r="AD1088" s="10"/>
      <c r="AF1088"/>
    </row>
    <row r="1089" spans="1:32" x14ac:dyDescent="0.25">
      <c r="A1089" s="7"/>
      <c r="C1089" s="70"/>
      <c r="D1089" s="70"/>
      <c r="E1089" s="73"/>
      <c r="F1089" s="9"/>
      <c r="H1089" s="9"/>
      <c r="I1089" s="10"/>
      <c r="J1089" s="7"/>
      <c r="K1089" s="24"/>
      <c r="L1089" s="10"/>
      <c r="M1089" s="10"/>
      <c r="N1089" s="10"/>
      <c r="O1089" s="10"/>
      <c r="P1089" s="10"/>
      <c r="Q1089" s="10"/>
      <c r="R1089" s="10"/>
      <c r="S1089" s="10"/>
      <c r="T1089" s="14"/>
      <c r="U1089" s="10"/>
      <c r="V1089" s="10"/>
      <c r="W1089" s="10"/>
      <c r="X1089" s="7"/>
      <c r="Y1089" s="7"/>
      <c r="Z1089" s="7"/>
      <c r="AA1089" s="34"/>
      <c r="AB1089" s="7"/>
      <c r="AC1089" s="34"/>
      <c r="AD1089" s="10"/>
      <c r="AF1089"/>
    </row>
    <row r="1090" spans="1:32" x14ac:dyDescent="0.25">
      <c r="A1090" s="7"/>
      <c r="C1090" s="70"/>
      <c r="D1090" s="70"/>
      <c r="E1090" s="73"/>
      <c r="F1090" s="9"/>
      <c r="H1090" s="9"/>
      <c r="I1090" s="10"/>
      <c r="J1090" s="7"/>
      <c r="K1090" s="24"/>
      <c r="L1090" s="10"/>
      <c r="M1090" s="10"/>
      <c r="N1090" s="10"/>
      <c r="O1090" s="10"/>
      <c r="P1090" s="10"/>
      <c r="Q1090" s="10"/>
      <c r="R1090" s="10"/>
      <c r="S1090" s="10"/>
      <c r="T1090" s="14"/>
      <c r="U1090" s="10"/>
      <c r="V1090" s="10"/>
      <c r="W1090" s="10"/>
      <c r="X1090" s="7"/>
      <c r="Y1090" s="7"/>
      <c r="Z1090" s="34"/>
      <c r="AA1090" s="34"/>
      <c r="AB1090" s="7"/>
      <c r="AC1090" s="34"/>
      <c r="AD1090" s="10"/>
      <c r="AF1090"/>
    </row>
    <row r="1091" spans="1:32" x14ac:dyDescent="0.25">
      <c r="A1091" s="7"/>
      <c r="C1091" s="70"/>
      <c r="D1091" s="70"/>
      <c r="E1091" s="73"/>
      <c r="F1091" s="9"/>
      <c r="H1091" s="9"/>
      <c r="I1091" s="10"/>
      <c r="J1091" s="7"/>
      <c r="K1091" s="7"/>
      <c r="L1091" s="10"/>
      <c r="M1091" s="10"/>
      <c r="N1091" s="10"/>
      <c r="O1091" s="10"/>
      <c r="P1091" s="10"/>
      <c r="Q1091" s="10"/>
      <c r="R1091" s="10"/>
      <c r="S1091" s="10"/>
      <c r="T1091" s="14"/>
      <c r="U1091" s="10"/>
      <c r="V1091" s="10"/>
      <c r="W1091" s="10"/>
      <c r="X1091" s="7"/>
      <c r="Y1091" s="7"/>
      <c r="Z1091" s="7"/>
      <c r="AA1091" s="34"/>
      <c r="AB1091" s="7"/>
      <c r="AC1091" s="34"/>
      <c r="AD1091" s="10"/>
      <c r="AF1091"/>
    </row>
    <row r="1092" spans="1:32" x14ac:dyDescent="0.25">
      <c r="A1092" s="7"/>
      <c r="C1092" s="70"/>
      <c r="D1092" s="70"/>
      <c r="E1092" s="73"/>
      <c r="F1092" s="9"/>
      <c r="H1092" s="9"/>
      <c r="I1092" s="10"/>
      <c r="J1092" s="7"/>
      <c r="K1092" s="7"/>
      <c r="L1092" s="10"/>
      <c r="M1092" s="10"/>
      <c r="N1092" s="10"/>
      <c r="O1092" s="10"/>
      <c r="P1092" s="10"/>
      <c r="Q1092" s="10"/>
      <c r="R1092" s="10"/>
      <c r="S1092" s="10"/>
      <c r="T1092" s="14"/>
      <c r="U1092" s="10"/>
      <c r="V1092" s="10"/>
      <c r="W1092" s="10"/>
      <c r="X1092" s="7"/>
      <c r="Y1092" s="7"/>
      <c r="Z1092" s="7"/>
      <c r="AA1092" s="34"/>
      <c r="AB1092" s="7"/>
      <c r="AC1092" s="34"/>
      <c r="AD1092" s="10"/>
      <c r="AF1092"/>
    </row>
    <row r="1093" spans="1:32" x14ac:dyDescent="0.25">
      <c r="A1093" s="7"/>
      <c r="C1093" s="70"/>
      <c r="D1093" s="70"/>
      <c r="E1093" s="73"/>
      <c r="F1093" s="9"/>
      <c r="H1093" s="9"/>
      <c r="I1093" s="10"/>
      <c r="J1093" s="7"/>
      <c r="K1093" s="7"/>
      <c r="L1093" s="10"/>
      <c r="M1093" s="10"/>
      <c r="N1093" s="10"/>
      <c r="O1093" s="10"/>
      <c r="P1093" s="10"/>
      <c r="Q1093" s="10"/>
      <c r="R1093" s="10"/>
      <c r="S1093" s="10"/>
      <c r="T1093" s="14"/>
      <c r="U1093" s="10"/>
      <c r="V1093" s="10"/>
      <c r="W1093" s="10"/>
      <c r="X1093" s="7"/>
      <c r="Y1093" s="7"/>
      <c r="Z1093" s="34"/>
      <c r="AA1093" s="34"/>
      <c r="AB1093" s="7"/>
      <c r="AC1093" s="34"/>
      <c r="AD1093" s="10"/>
      <c r="AF1093"/>
    </row>
    <row r="1094" spans="1:32" x14ac:dyDescent="0.25">
      <c r="A1094" s="7"/>
      <c r="C1094" s="70"/>
      <c r="D1094" s="70"/>
      <c r="E1094" s="79"/>
      <c r="F1094" s="45"/>
      <c r="G1094" s="45"/>
      <c r="H1094" s="9"/>
      <c r="I1094" s="10"/>
      <c r="J1094" s="7"/>
      <c r="K1094" s="7"/>
      <c r="L1094" s="14"/>
      <c r="M1094" s="10"/>
      <c r="N1094" s="10"/>
      <c r="O1094" s="10"/>
      <c r="P1094" s="10"/>
      <c r="Q1094" s="10"/>
      <c r="R1094" s="10"/>
      <c r="S1094" s="10"/>
      <c r="T1094" s="14"/>
      <c r="U1094" s="10"/>
      <c r="V1094" s="10"/>
      <c r="W1094" s="10"/>
      <c r="X1094" s="7"/>
      <c r="Y1094" s="7"/>
      <c r="Z1094" s="34"/>
      <c r="AA1094" s="34"/>
      <c r="AB1094" s="7"/>
      <c r="AC1094" s="34"/>
      <c r="AD1094" s="10"/>
      <c r="AF1094"/>
    </row>
    <row r="1095" spans="1:32" x14ac:dyDescent="0.25">
      <c r="A1095" s="7"/>
      <c r="C1095" s="70"/>
      <c r="D1095" s="70"/>
      <c r="E1095" s="73"/>
      <c r="F1095" s="9"/>
      <c r="H1095" s="9"/>
      <c r="I1095" s="10"/>
      <c r="J1095" s="7"/>
      <c r="K1095" s="7"/>
      <c r="L1095" s="10"/>
      <c r="M1095" s="10"/>
      <c r="N1095" s="10"/>
      <c r="O1095" s="10"/>
      <c r="P1095" s="10"/>
      <c r="Q1095" s="10"/>
      <c r="R1095" s="10"/>
      <c r="S1095" s="10"/>
      <c r="T1095" s="14"/>
      <c r="U1095" s="10"/>
      <c r="V1095" s="10"/>
      <c r="W1095" s="10"/>
      <c r="X1095" s="7"/>
      <c r="Y1095" s="7"/>
      <c r="Z1095" s="34"/>
      <c r="AA1095" s="34"/>
      <c r="AB1095" s="7"/>
      <c r="AC1095" s="34"/>
      <c r="AD1095" s="10"/>
      <c r="AF1095"/>
    </row>
    <row r="1096" spans="1:32" x14ac:dyDescent="0.25">
      <c r="A1096" s="7"/>
      <c r="C1096" s="70"/>
      <c r="D1096" s="70"/>
      <c r="E1096" s="73"/>
      <c r="F1096" s="9"/>
      <c r="H1096" s="9"/>
      <c r="I1096" s="10"/>
      <c r="J1096" s="7"/>
      <c r="K1096" s="7"/>
      <c r="L1096" s="10"/>
      <c r="M1096" s="10"/>
      <c r="N1096" s="10"/>
      <c r="O1096" s="10"/>
      <c r="P1096" s="10"/>
      <c r="Q1096" s="10"/>
      <c r="R1096" s="10"/>
      <c r="S1096" s="10"/>
      <c r="T1096" s="14"/>
      <c r="U1096" s="10"/>
      <c r="V1096" s="10"/>
      <c r="W1096" s="10"/>
      <c r="X1096" s="7"/>
      <c r="Y1096" s="7"/>
      <c r="Z1096" s="34"/>
      <c r="AA1096" s="34"/>
      <c r="AB1096" s="7"/>
      <c r="AC1096" s="34"/>
      <c r="AD1096" s="10"/>
      <c r="AF1096"/>
    </row>
    <row r="1097" spans="1:32" x14ac:dyDescent="0.25">
      <c r="A1097" s="7"/>
      <c r="C1097" s="70"/>
      <c r="D1097" s="70"/>
      <c r="E1097" s="73"/>
      <c r="F1097" s="9"/>
      <c r="H1097" s="9"/>
      <c r="I1097" s="10"/>
      <c r="J1097" s="7"/>
      <c r="K1097" s="7"/>
      <c r="L1097" s="10"/>
      <c r="M1097" s="10"/>
      <c r="N1097" s="10"/>
      <c r="O1097" s="10"/>
      <c r="P1097" s="10"/>
      <c r="Q1097" s="10"/>
      <c r="R1097" s="10"/>
      <c r="S1097" s="10"/>
      <c r="T1097" s="14"/>
      <c r="U1097" s="10"/>
      <c r="V1097" s="10"/>
      <c r="W1097" s="10"/>
      <c r="X1097" s="7"/>
      <c r="Y1097" s="7"/>
      <c r="Z1097" s="34"/>
      <c r="AA1097" s="34"/>
      <c r="AB1097" s="7"/>
      <c r="AC1097" s="34"/>
      <c r="AD1097" s="10"/>
      <c r="AF1097"/>
    </row>
    <row r="1098" spans="1:32" x14ac:dyDescent="0.25">
      <c r="A1098" s="7"/>
      <c r="C1098" s="70"/>
      <c r="D1098" s="70"/>
      <c r="E1098" s="73"/>
      <c r="F1098" s="9"/>
      <c r="H1098" s="9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4"/>
      <c r="U1098" s="10"/>
      <c r="V1098" s="10"/>
      <c r="W1098" s="10"/>
      <c r="X1098" s="7"/>
      <c r="Y1098" s="7"/>
      <c r="Z1098" s="7"/>
      <c r="AA1098" s="34"/>
      <c r="AB1098" s="7"/>
      <c r="AC1098" s="34"/>
      <c r="AD1098" s="10"/>
      <c r="AF1098"/>
    </row>
    <row r="1099" spans="1:32" x14ac:dyDescent="0.25">
      <c r="A1099" s="7"/>
      <c r="C1099" s="70"/>
      <c r="D1099" s="70"/>
      <c r="E1099" s="73"/>
      <c r="F1099" s="9"/>
      <c r="H1099" s="9"/>
      <c r="I1099" s="10"/>
      <c r="J1099" s="7"/>
      <c r="K1099" s="24"/>
      <c r="L1099" s="10"/>
      <c r="M1099" s="10"/>
      <c r="N1099" s="10"/>
      <c r="O1099" s="10"/>
      <c r="P1099" s="10"/>
      <c r="Q1099" s="10"/>
      <c r="R1099" s="10"/>
      <c r="S1099" s="10"/>
      <c r="T1099" s="14"/>
      <c r="U1099" s="10"/>
      <c r="V1099" s="10"/>
      <c r="W1099" s="10"/>
      <c r="X1099" s="7"/>
      <c r="Y1099" s="7"/>
      <c r="Z1099" s="7"/>
      <c r="AA1099" s="34"/>
      <c r="AB1099" s="7"/>
      <c r="AC1099" s="34"/>
      <c r="AD1099" s="10"/>
      <c r="AF1099"/>
    </row>
    <row r="1100" spans="1:32" x14ac:dyDescent="0.25">
      <c r="A1100" s="7"/>
      <c r="C1100" s="70"/>
      <c r="D1100" s="70"/>
      <c r="E1100" s="73"/>
      <c r="F1100" s="9"/>
      <c r="H1100" s="9"/>
      <c r="I1100" s="10"/>
      <c r="J1100" s="7"/>
      <c r="K1100" s="7"/>
      <c r="L1100" s="10"/>
      <c r="M1100" s="10"/>
      <c r="N1100" s="10"/>
      <c r="O1100" s="10"/>
      <c r="P1100" s="10"/>
      <c r="Q1100" s="10"/>
      <c r="R1100" s="10"/>
      <c r="S1100" s="10"/>
      <c r="T1100" s="14"/>
      <c r="U1100" s="10"/>
      <c r="V1100" s="10"/>
      <c r="W1100" s="10"/>
      <c r="X1100" s="7"/>
      <c r="Y1100" s="7"/>
      <c r="Z1100" s="34"/>
      <c r="AA1100" s="34"/>
      <c r="AB1100" s="7"/>
      <c r="AC1100" s="34"/>
      <c r="AD1100" s="10"/>
      <c r="AF1100"/>
    </row>
    <row r="1101" spans="1:32" x14ac:dyDescent="0.25">
      <c r="A1101" s="7"/>
      <c r="C1101" s="70"/>
      <c r="D1101" s="70"/>
      <c r="E1101" s="73"/>
      <c r="F1101" s="9"/>
      <c r="H1101" s="9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4"/>
      <c r="U1101" s="10"/>
      <c r="V1101" s="10"/>
      <c r="W1101" s="10"/>
      <c r="X1101" s="7"/>
      <c r="Y1101" s="7"/>
      <c r="Z1101" s="7"/>
      <c r="AA1101" s="34"/>
      <c r="AB1101" s="7"/>
      <c r="AC1101" s="34"/>
      <c r="AD1101" s="10"/>
      <c r="AF1101"/>
    </row>
    <row r="1102" spans="1:32" x14ac:dyDescent="0.25">
      <c r="A1102" s="7"/>
      <c r="C1102" s="70"/>
      <c r="D1102" s="70"/>
      <c r="E1102" s="73"/>
      <c r="F1102" s="45"/>
      <c r="H1102" s="9"/>
      <c r="I1102" s="10"/>
      <c r="J1102" s="7"/>
      <c r="K1102" s="7"/>
      <c r="L1102" s="10"/>
      <c r="M1102" s="10"/>
      <c r="N1102" s="10"/>
      <c r="O1102" s="10"/>
      <c r="P1102" s="10"/>
      <c r="Q1102" s="10"/>
      <c r="R1102" s="10"/>
      <c r="S1102" s="10"/>
      <c r="T1102" s="14"/>
      <c r="U1102" s="10"/>
      <c r="V1102" s="10"/>
      <c r="W1102" s="10"/>
      <c r="X1102" s="7"/>
      <c r="Y1102" s="34"/>
      <c r="Z1102" s="7"/>
      <c r="AA1102" s="34"/>
      <c r="AB1102" s="7"/>
      <c r="AC1102" s="34"/>
      <c r="AD1102" s="10"/>
      <c r="AF1102"/>
    </row>
    <row r="1103" spans="1:32" x14ac:dyDescent="0.25">
      <c r="A1103" s="7"/>
      <c r="C1103" s="70"/>
      <c r="D1103" s="70"/>
      <c r="E1103" s="73"/>
      <c r="F1103" s="9"/>
      <c r="H1103" s="9"/>
      <c r="I1103" s="10"/>
      <c r="J1103" s="7"/>
      <c r="K1103" s="10"/>
      <c r="L1103" s="10"/>
      <c r="M1103" s="10"/>
      <c r="N1103" s="10"/>
      <c r="O1103" s="10"/>
      <c r="P1103" s="10"/>
      <c r="Q1103" s="10"/>
      <c r="R1103" s="10"/>
      <c r="S1103" s="10"/>
      <c r="T1103" s="14"/>
      <c r="U1103" s="10"/>
      <c r="V1103" s="10"/>
      <c r="W1103" s="10"/>
      <c r="X1103" s="7"/>
      <c r="Y1103" s="7"/>
      <c r="Z1103" s="7"/>
      <c r="AA1103" s="34"/>
      <c r="AB1103" s="7"/>
      <c r="AC1103" s="34"/>
      <c r="AD1103" s="10"/>
      <c r="AF1103"/>
    </row>
    <row r="1104" spans="1:32" x14ac:dyDescent="0.25">
      <c r="A1104" s="7"/>
      <c r="C1104" s="70"/>
      <c r="D1104" s="70"/>
      <c r="E1104" s="73"/>
      <c r="F1104" s="9"/>
      <c r="H1104" s="9"/>
      <c r="I1104" s="10"/>
      <c r="J1104" s="7"/>
      <c r="K1104" s="7"/>
      <c r="L1104" s="10"/>
      <c r="M1104" s="10"/>
      <c r="N1104" s="10"/>
      <c r="O1104" s="10"/>
      <c r="P1104" s="10"/>
      <c r="Q1104" s="10"/>
      <c r="R1104" s="10"/>
      <c r="S1104" s="10"/>
      <c r="T1104" s="14"/>
      <c r="U1104" s="10"/>
      <c r="V1104" s="10"/>
      <c r="W1104" s="10"/>
      <c r="X1104" s="7"/>
      <c r="Y1104" s="7"/>
      <c r="Z1104" s="7"/>
      <c r="AA1104" s="34"/>
      <c r="AB1104" s="7"/>
      <c r="AC1104" s="34"/>
      <c r="AD1104" s="10"/>
      <c r="AF1104"/>
    </row>
    <row r="1105" spans="1:32" x14ac:dyDescent="0.25">
      <c r="A1105" s="7"/>
      <c r="C1105" s="70"/>
      <c r="D1105" s="70"/>
      <c r="E1105" s="73"/>
      <c r="F1105" s="9"/>
      <c r="H1105" s="9"/>
      <c r="I1105" s="10"/>
      <c r="J1105" s="10"/>
      <c r="K1105" s="7"/>
      <c r="L1105" s="10"/>
      <c r="M1105" s="10"/>
      <c r="N1105" s="10"/>
      <c r="O1105" s="10"/>
      <c r="P1105" s="10"/>
      <c r="Q1105" s="10"/>
      <c r="R1105" s="10"/>
      <c r="S1105" s="10"/>
      <c r="T1105" s="14"/>
      <c r="U1105" s="10"/>
      <c r="V1105" s="10"/>
      <c r="W1105" s="10"/>
      <c r="X1105" s="7"/>
      <c r="Y1105" s="7"/>
      <c r="Z1105" s="34"/>
      <c r="AA1105" s="34"/>
      <c r="AB1105" s="7"/>
      <c r="AC1105" s="34"/>
      <c r="AD1105" s="10"/>
      <c r="AF1105"/>
    </row>
    <row r="1106" spans="1:32" x14ac:dyDescent="0.25">
      <c r="A1106" s="7"/>
      <c r="C1106" s="70"/>
      <c r="D1106" s="70"/>
      <c r="E1106" s="73"/>
      <c r="F1106" s="47"/>
      <c r="H1106" s="9"/>
      <c r="I1106" s="10"/>
      <c r="J1106" s="10"/>
      <c r="K1106" s="7"/>
      <c r="L1106" s="10"/>
      <c r="M1106" s="10"/>
      <c r="N1106" s="10"/>
      <c r="O1106" s="10"/>
      <c r="P1106" s="10"/>
      <c r="Q1106" s="10"/>
      <c r="R1106" s="10"/>
      <c r="S1106" s="10"/>
      <c r="T1106" s="14"/>
      <c r="U1106" s="10"/>
      <c r="V1106" s="10"/>
      <c r="W1106" s="10"/>
      <c r="X1106" s="7"/>
      <c r="Y1106" s="7"/>
      <c r="Z1106" s="7"/>
      <c r="AA1106" s="34"/>
      <c r="AB1106" s="7"/>
      <c r="AC1106" s="34"/>
      <c r="AD1106" s="10"/>
      <c r="AF1106"/>
    </row>
    <row r="1107" spans="1:32" x14ac:dyDescent="0.25">
      <c r="A1107" s="7"/>
      <c r="C1107" s="70"/>
      <c r="D1107" s="70"/>
      <c r="E1107" s="73"/>
      <c r="F1107" s="9"/>
      <c r="G1107" s="42"/>
      <c r="H1107" s="9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4"/>
      <c r="U1107" s="10"/>
      <c r="V1107" s="10"/>
      <c r="W1107" s="10"/>
      <c r="X1107" s="7"/>
      <c r="Y1107" s="7"/>
      <c r="Z1107" s="7"/>
      <c r="AA1107" s="34"/>
      <c r="AB1107" s="7"/>
      <c r="AC1107" s="34"/>
      <c r="AD1107" s="10"/>
      <c r="AF1107"/>
    </row>
    <row r="1108" spans="1:32" x14ac:dyDescent="0.25">
      <c r="A1108" s="7"/>
      <c r="C1108" s="70"/>
      <c r="D1108" s="70"/>
      <c r="E1108" s="73"/>
      <c r="F1108" s="9"/>
      <c r="H1108" s="9"/>
      <c r="I1108" s="10"/>
      <c r="J1108" s="7"/>
      <c r="K1108" s="7"/>
      <c r="L1108" s="10"/>
      <c r="M1108" s="10"/>
      <c r="N1108" s="10"/>
      <c r="O1108" s="10"/>
      <c r="P1108" s="10"/>
      <c r="Q1108" s="10"/>
      <c r="R1108" s="10"/>
      <c r="S1108" s="10"/>
      <c r="T1108" s="14"/>
      <c r="U1108" s="10"/>
      <c r="V1108" s="10"/>
      <c r="W1108" s="10"/>
      <c r="X1108" s="7"/>
      <c r="Y1108" s="7"/>
      <c r="Z1108" s="7"/>
      <c r="AA1108" s="34"/>
      <c r="AB1108" s="7"/>
      <c r="AC1108" s="34"/>
      <c r="AD1108" s="10"/>
      <c r="AF1108"/>
    </row>
    <row r="1109" spans="1:32" x14ac:dyDescent="0.25">
      <c r="A1109" s="7"/>
      <c r="C1109" s="70"/>
      <c r="D1109" s="70"/>
      <c r="E1109" s="73"/>
      <c r="F1109" s="9"/>
      <c r="H1109" s="9"/>
      <c r="I1109" s="10"/>
      <c r="J1109" s="10"/>
      <c r="K1109" s="24"/>
      <c r="L1109" s="10"/>
      <c r="M1109" s="10"/>
      <c r="N1109" s="10"/>
      <c r="O1109" s="10"/>
      <c r="P1109" s="10"/>
      <c r="Q1109" s="10"/>
      <c r="R1109" s="10"/>
      <c r="S1109" s="10"/>
      <c r="T1109" s="14"/>
      <c r="U1109" s="10"/>
      <c r="V1109" s="10"/>
      <c r="W1109" s="10"/>
      <c r="X1109" s="7"/>
      <c r="Y1109" s="7"/>
      <c r="Z1109" s="7"/>
      <c r="AA1109" s="34"/>
      <c r="AB1109" s="7"/>
      <c r="AC1109" s="34"/>
      <c r="AD1109" s="10"/>
      <c r="AF1109"/>
    </row>
    <row r="1110" spans="1:32" x14ac:dyDescent="0.25">
      <c r="A1110" s="7"/>
      <c r="C1110" s="70"/>
      <c r="D1110" s="70"/>
      <c r="E1110" s="73"/>
      <c r="F1110" s="9"/>
      <c r="H1110" s="9"/>
      <c r="I1110" s="10"/>
      <c r="J1110" s="10"/>
      <c r="K1110" s="24"/>
      <c r="L1110" s="10"/>
      <c r="M1110" s="10"/>
      <c r="N1110" s="10"/>
      <c r="O1110" s="10"/>
      <c r="P1110" s="10"/>
      <c r="Q1110" s="10"/>
      <c r="R1110" s="10"/>
      <c r="S1110" s="10"/>
      <c r="T1110" s="14"/>
      <c r="U1110" s="10"/>
      <c r="V1110" s="10"/>
      <c r="W1110" s="10"/>
      <c r="X1110" s="7"/>
      <c r="Y1110" s="7"/>
      <c r="Z1110" s="7"/>
      <c r="AA1110" s="34"/>
      <c r="AB1110" s="7"/>
      <c r="AC1110" s="34"/>
      <c r="AD1110" s="10"/>
      <c r="AF1110"/>
    </row>
    <row r="1111" spans="1:32" x14ac:dyDescent="0.25">
      <c r="A1111" s="7"/>
      <c r="C1111" s="70"/>
      <c r="D1111" s="70"/>
      <c r="E1111" s="73"/>
      <c r="F1111" s="9"/>
      <c r="H1111" s="9"/>
      <c r="I1111" s="10"/>
      <c r="J1111" s="10"/>
      <c r="K1111" s="7"/>
      <c r="L1111" s="10"/>
      <c r="M1111" s="10"/>
      <c r="N1111" s="10"/>
      <c r="O1111" s="10"/>
      <c r="P1111" s="10"/>
      <c r="Q1111" s="10"/>
      <c r="R1111" s="10"/>
      <c r="S1111" s="10"/>
      <c r="T1111" s="14"/>
      <c r="U1111" s="10"/>
      <c r="V1111" s="10"/>
      <c r="W1111" s="10"/>
      <c r="X1111" s="7"/>
      <c r="Y1111" s="7"/>
      <c r="Z1111" s="34"/>
      <c r="AA1111" s="34"/>
      <c r="AB1111" s="7"/>
      <c r="AC1111" s="34"/>
      <c r="AD1111" s="10"/>
      <c r="AF1111"/>
    </row>
    <row r="1112" spans="1:32" x14ac:dyDescent="0.25">
      <c r="A1112" s="7"/>
      <c r="C1112" s="70"/>
      <c r="D1112" s="70"/>
      <c r="E1112" s="73"/>
      <c r="F1112" s="9"/>
      <c r="H1112" s="9"/>
      <c r="I1112" s="10"/>
      <c r="J1112" s="7"/>
      <c r="K1112" s="7"/>
      <c r="L1112" s="10"/>
      <c r="M1112" s="10"/>
      <c r="N1112" s="10"/>
      <c r="O1112" s="10"/>
      <c r="P1112" s="10"/>
      <c r="Q1112" s="10"/>
      <c r="R1112" s="10"/>
      <c r="S1112" s="10"/>
      <c r="T1112" s="14"/>
      <c r="U1112" s="10"/>
      <c r="V1112" s="10"/>
      <c r="W1112" s="10"/>
      <c r="X1112" s="7"/>
      <c r="Y1112" s="7"/>
      <c r="Z1112" s="7"/>
      <c r="AA1112" s="34"/>
      <c r="AB1112" s="7"/>
      <c r="AC1112" s="34"/>
      <c r="AD1112" s="10"/>
      <c r="AF1112"/>
    </row>
    <row r="1113" spans="1:32" x14ac:dyDescent="0.25">
      <c r="A1113" s="7"/>
      <c r="C1113" s="70"/>
      <c r="D1113" s="70"/>
      <c r="E1113" s="73"/>
      <c r="F1113" s="9"/>
      <c r="H1113" s="9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4"/>
      <c r="U1113" s="10"/>
      <c r="V1113" s="10"/>
      <c r="W1113" s="10"/>
      <c r="X1113" s="7"/>
      <c r="Y1113" s="7"/>
      <c r="Z1113" s="7"/>
      <c r="AA1113" s="34"/>
      <c r="AB1113" s="7"/>
      <c r="AC1113" s="34"/>
      <c r="AD1113" s="10"/>
      <c r="AF1113"/>
    </row>
    <row r="1114" spans="1:32" x14ac:dyDescent="0.25">
      <c r="A1114" s="7"/>
      <c r="C1114" s="70"/>
      <c r="D1114" s="70"/>
      <c r="E1114" s="73"/>
      <c r="F1114" s="9"/>
      <c r="H1114" s="9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4"/>
      <c r="U1114" s="10"/>
      <c r="V1114" s="10"/>
      <c r="W1114" s="10"/>
      <c r="X1114" s="7"/>
      <c r="Y1114" s="7"/>
      <c r="Z1114" s="34"/>
      <c r="AA1114" s="34"/>
      <c r="AB1114" s="7"/>
      <c r="AC1114" s="34"/>
      <c r="AD1114" s="10"/>
      <c r="AF1114"/>
    </row>
    <row r="1115" spans="1:32" x14ac:dyDescent="0.25">
      <c r="A1115" s="7"/>
      <c r="C1115" s="70"/>
      <c r="D1115" s="70"/>
      <c r="E1115" s="73"/>
      <c r="F1115" s="9"/>
      <c r="H1115" s="9"/>
      <c r="I1115" s="10"/>
      <c r="J1115" s="7"/>
      <c r="K1115" s="7"/>
      <c r="L1115" s="10"/>
      <c r="M1115" s="10"/>
      <c r="N1115" s="10"/>
      <c r="O1115" s="10"/>
      <c r="P1115" s="10"/>
      <c r="Q1115" s="10"/>
      <c r="R1115" s="10"/>
      <c r="S1115" s="10"/>
      <c r="T1115" s="14"/>
      <c r="U1115" s="10"/>
      <c r="V1115" s="10"/>
      <c r="W1115" s="10"/>
      <c r="X1115" s="7"/>
      <c r="Y1115" s="7"/>
      <c r="Z1115" s="34"/>
      <c r="AA1115" s="34"/>
      <c r="AB1115" s="7"/>
      <c r="AC1115" s="34"/>
      <c r="AD1115" s="10"/>
      <c r="AF1115"/>
    </row>
    <row r="1116" spans="1:32" x14ac:dyDescent="0.25">
      <c r="A1116" s="7"/>
      <c r="C1116" s="70"/>
      <c r="D1116" s="70"/>
      <c r="E1116" s="73"/>
      <c r="F1116" s="9"/>
      <c r="H1116" s="9"/>
      <c r="I1116" s="10"/>
      <c r="J1116" s="7"/>
      <c r="K1116" s="7"/>
      <c r="L1116" s="10"/>
      <c r="M1116" s="10"/>
      <c r="N1116" s="10"/>
      <c r="O1116" s="10"/>
      <c r="P1116" s="10"/>
      <c r="Q1116" s="10"/>
      <c r="R1116" s="10"/>
      <c r="S1116" s="10"/>
      <c r="T1116" s="14"/>
      <c r="U1116" s="10"/>
      <c r="V1116" s="10"/>
      <c r="W1116" s="10"/>
      <c r="X1116" s="7"/>
      <c r="Y1116" s="7"/>
      <c r="Z1116" s="7"/>
      <c r="AA1116" s="34"/>
      <c r="AB1116" s="7"/>
      <c r="AC1116" s="10"/>
      <c r="AD1116" s="10"/>
      <c r="AF1116"/>
    </row>
    <row r="1117" spans="1:32" x14ac:dyDescent="0.25">
      <c r="A1117" s="7"/>
      <c r="C1117" s="70"/>
      <c r="D1117" s="70"/>
      <c r="E1117" s="73"/>
      <c r="F1117" s="9"/>
      <c r="H1117" s="9"/>
      <c r="I1117" s="10"/>
      <c r="J1117" s="10"/>
      <c r="K1117" s="24"/>
      <c r="L1117" s="10"/>
      <c r="M1117" s="10"/>
      <c r="N1117" s="10"/>
      <c r="O1117" s="10"/>
      <c r="P1117" s="10"/>
      <c r="Q1117" s="10"/>
      <c r="R1117" s="10"/>
      <c r="S1117" s="10"/>
      <c r="T1117" s="14"/>
      <c r="U1117" s="10"/>
      <c r="V1117" s="10"/>
      <c r="W1117" s="10"/>
      <c r="X1117" s="7"/>
      <c r="Y1117" s="7"/>
      <c r="Z1117" s="7"/>
      <c r="AA1117" s="34"/>
      <c r="AB1117" s="7"/>
      <c r="AC1117" s="34"/>
      <c r="AD1117" s="10"/>
      <c r="AF1117"/>
    </row>
    <row r="1118" spans="1:32" x14ac:dyDescent="0.25">
      <c r="A1118" s="7"/>
      <c r="C1118" s="70"/>
      <c r="D1118" s="70"/>
      <c r="E1118" s="78"/>
      <c r="F1118" s="48"/>
      <c r="G1118" s="45"/>
      <c r="H1118" s="9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4"/>
      <c r="U1118" s="10"/>
      <c r="V1118" s="10"/>
      <c r="W1118" s="10"/>
      <c r="X1118" s="7"/>
      <c r="Y1118" s="7"/>
      <c r="Z1118" s="34"/>
      <c r="AA1118" s="34"/>
      <c r="AB1118" s="7"/>
      <c r="AC1118" s="34"/>
      <c r="AD1118" s="10"/>
      <c r="AF1118"/>
    </row>
    <row r="1119" spans="1:32" x14ac:dyDescent="0.25">
      <c r="A1119" s="7"/>
      <c r="C1119" s="70"/>
      <c r="D1119" s="70"/>
      <c r="E1119" s="73"/>
      <c r="F1119" s="9"/>
      <c r="H1119" s="9"/>
      <c r="I1119" s="10"/>
      <c r="J1119" s="7"/>
      <c r="K1119" s="7"/>
      <c r="L1119" s="10"/>
      <c r="M1119" s="10"/>
      <c r="N1119" s="10"/>
      <c r="O1119" s="10"/>
      <c r="P1119" s="10"/>
      <c r="Q1119" s="10"/>
      <c r="R1119" s="10"/>
      <c r="S1119" s="10"/>
      <c r="T1119" s="14"/>
      <c r="U1119" s="10"/>
      <c r="V1119" s="10"/>
      <c r="W1119" s="10"/>
      <c r="X1119" s="7"/>
      <c r="Y1119" s="7"/>
      <c r="Z1119" s="7"/>
      <c r="AA1119" s="34"/>
      <c r="AB1119" s="7"/>
      <c r="AC1119" s="34"/>
      <c r="AD1119" s="10"/>
      <c r="AF1119"/>
    </row>
    <row r="1120" spans="1:32" x14ac:dyDescent="0.25">
      <c r="A1120" s="7"/>
      <c r="C1120" s="70"/>
      <c r="D1120" s="70"/>
      <c r="E1120" s="79"/>
      <c r="F1120" s="45"/>
      <c r="H1120" s="9"/>
      <c r="I1120" s="10"/>
      <c r="J1120" s="7"/>
      <c r="K1120" s="7"/>
      <c r="L1120" s="10"/>
      <c r="M1120" s="10"/>
      <c r="N1120" s="10"/>
      <c r="O1120" s="10"/>
      <c r="P1120" s="10"/>
      <c r="Q1120" s="10"/>
      <c r="R1120" s="10"/>
      <c r="S1120" s="10"/>
      <c r="T1120" s="14"/>
      <c r="U1120" s="10"/>
      <c r="V1120" s="10"/>
      <c r="W1120" s="10"/>
      <c r="X1120" s="7"/>
      <c r="Y1120" s="7"/>
      <c r="Z1120" s="34"/>
      <c r="AA1120" s="34"/>
      <c r="AB1120" s="7"/>
      <c r="AC1120" s="34"/>
      <c r="AD1120" s="10"/>
      <c r="AF1120"/>
    </row>
    <row r="1121" spans="1:32" x14ac:dyDescent="0.25">
      <c r="A1121" s="7"/>
      <c r="C1121" s="70"/>
      <c r="D1121" s="70"/>
      <c r="E1121" s="73"/>
      <c r="F1121" s="9"/>
      <c r="H1121" s="9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4"/>
      <c r="U1121" s="10"/>
      <c r="V1121" s="10"/>
      <c r="W1121" s="10"/>
      <c r="X1121" s="7"/>
      <c r="Y1121" s="7"/>
      <c r="Z1121" s="7"/>
      <c r="AA1121" s="34"/>
      <c r="AB1121" s="7"/>
      <c r="AC1121" s="34"/>
      <c r="AD1121" s="10"/>
      <c r="AF1121"/>
    </row>
    <row r="1122" spans="1:32" x14ac:dyDescent="0.25">
      <c r="A1122" s="7"/>
      <c r="C1122" s="70"/>
      <c r="D1122" s="70"/>
      <c r="E1122" s="73"/>
      <c r="F1122" s="9"/>
      <c r="H1122" s="9"/>
      <c r="I1122" s="10"/>
      <c r="J1122" s="10"/>
      <c r="K1122" s="7"/>
      <c r="L1122" s="10"/>
      <c r="M1122" s="10"/>
      <c r="N1122" s="10"/>
      <c r="O1122" s="10"/>
      <c r="P1122" s="10"/>
      <c r="Q1122" s="10"/>
      <c r="R1122" s="10"/>
      <c r="S1122" s="10"/>
      <c r="T1122" s="14"/>
      <c r="U1122" s="10"/>
      <c r="V1122" s="10"/>
      <c r="W1122" s="10"/>
      <c r="X1122" s="7"/>
      <c r="Y1122" s="7"/>
      <c r="Z1122" s="7"/>
      <c r="AA1122" s="34"/>
      <c r="AB1122" s="7"/>
      <c r="AC1122" s="34"/>
      <c r="AD1122" s="10"/>
      <c r="AF1122"/>
    </row>
    <row r="1123" spans="1:32" x14ac:dyDescent="0.25">
      <c r="A1123" s="7"/>
      <c r="C1123" s="70"/>
      <c r="D1123" s="70"/>
      <c r="E1123" s="73"/>
      <c r="F1123" s="9"/>
      <c r="H1123" s="9"/>
      <c r="I1123" s="10"/>
      <c r="J1123" s="7"/>
      <c r="K1123" s="7"/>
      <c r="L1123" s="10"/>
      <c r="M1123" s="10"/>
      <c r="N1123" s="10"/>
      <c r="O1123" s="10"/>
      <c r="P1123" s="10"/>
      <c r="Q1123" s="10"/>
      <c r="R1123" s="10"/>
      <c r="S1123" s="10"/>
      <c r="T1123" s="14"/>
      <c r="U1123" s="10"/>
      <c r="V1123" s="10"/>
      <c r="W1123" s="10"/>
      <c r="X1123" s="7"/>
      <c r="Y1123" s="7"/>
      <c r="Z1123" s="7"/>
      <c r="AA1123" s="34"/>
      <c r="AB1123" s="7"/>
      <c r="AC1123" s="34"/>
      <c r="AD1123" s="10"/>
      <c r="AF1123"/>
    </row>
    <row r="1124" spans="1:32" x14ac:dyDescent="0.25">
      <c r="A1124" s="7"/>
      <c r="C1124" s="70"/>
      <c r="D1124" s="70"/>
      <c r="E1124" s="73"/>
      <c r="F1124" s="45"/>
      <c r="H1124" s="9"/>
      <c r="I1124" s="10"/>
      <c r="J1124" s="10"/>
      <c r="K1124" s="7"/>
      <c r="L1124" s="10"/>
      <c r="M1124" s="10"/>
      <c r="N1124" s="10"/>
      <c r="O1124" s="10"/>
      <c r="P1124" s="10"/>
      <c r="Q1124" s="10"/>
      <c r="R1124" s="10"/>
      <c r="S1124" s="10"/>
      <c r="T1124" s="14"/>
      <c r="U1124" s="10"/>
      <c r="V1124" s="10"/>
      <c r="W1124" s="10"/>
      <c r="X1124" s="7"/>
      <c r="Y1124" s="34"/>
      <c r="Z1124" s="7"/>
      <c r="AA1124" s="34"/>
      <c r="AB1124" s="7"/>
      <c r="AC1124" s="34"/>
      <c r="AD1124" s="10"/>
      <c r="AF1124"/>
    </row>
    <row r="1125" spans="1:32" x14ac:dyDescent="0.25">
      <c r="A1125" s="7"/>
      <c r="C1125" s="70"/>
      <c r="D1125" s="70"/>
      <c r="E1125" s="73"/>
      <c r="F1125" s="48"/>
      <c r="G1125" s="49"/>
      <c r="H1125" s="9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4"/>
      <c r="U1125" s="10"/>
      <c r="V1125" s="10"/>
      <c r="W1125" s="10"/>
      <c r="X1125" s="7"/>
      <c r="Y1125" s="7"/>
      <c r="Z1125" s="34"/>
      <c r="AA1125" s="34"/>
      <c r="AB1125" s="7"/>
      <c r="AC1125" s="34"/>
      <c r="AD1125" s="10"/>
      <c r="AF1125"/>
    </row>
    <row r="1126" spans="1:32" x14ac:dyDescent="0.25">
      <c r="A1126" s="7"/>
      <c r="C1126" s="70"/>
      <c r="D1126" s="70"/>
      <c r="E1126" s="73"/>
      <c r="F1126" s="9"/>
      <c r="H1126" s="9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4"/>
      <c r="U1126" s="10"/>
      <c r="V1126" s="10"/>
      <c r="W1126" s="10"/>
      <c r="X1126" s="7"/>
      <c r="Y1126" s="34"/>
      <c r="Z1126" s="7"/>
      <c r="AA1126" s="34"/>
      <c r="AB1126" s="7"/>
      <c r="AC1126" s="34"/>
      <c r="AD1126" s="10"/>
      <c r="AF1126"/>
    </row>
    <row r="1127" spans="1:32" x14ac:dyDescent="0.25">
      <c r="A1127" s="7"/>
      <c r="C1127" s="70"/>
      <c r="D1127" s="70"/>
      <c r="E1127" s="73"/>
      <c r="F1127" s="9"/>
      <c r="H1127" s="9"/>
      <c r="I1127" s="10"/>
      <c r="J1127" s="10"/>
      <c r="K1127" s="7"/>
      <c r="L1127" s="10"/>
      <c r="M1127" s="10"/>
      <c r="N1127" s="10"/>
      <c r="O1127" s="10"/>
      <c r="P1127" s="10"/>
      <c r="Q1127" s="10"/>
      <c r="R1127" s="10"/>
      <c r="S1127" s="10"/>
      <c r="T1127" s="14"/>
      <c r="U1127" s="10"/>
      <c r="V1127" s="10"/>
      <c r="W1127" s="10"/>
      <c r="X1127" s="7"/>
      <c r="Y1127" s="7"/>
      <c r="Z1127" s="7"/>
      <c r="AA1127" s="34"/>
      <c r="AB1127" s="7"/>
      <c r="AC1127" s="34"/>
      <c r="AD1127" s="10"/>
      <c r="AF1127"/>
    </row>
    <row r="1128" spans="1:32" x14ac:dyDescent="0.25">
      <c r="A1128" s="7"/>
      <c r="C1128" s="70"/>
      <c r="D1128" s="70"/>
      <c r="E1128" s="73"/>
      <c r="F1128" s="9"/>
      <c r="H1128" s="9"/>
      <c r="I1128" s="10"/>
      <c r="J1128" s="10"/>
      <c r="K1128" s="10"/>
      <c r="L1128" s="34"/>
      <c r="M1128" s="10"/>
      <c r="N1128" s="10"/>
      <c r="O1128" s="10"/>
      <c r="P1128" s="10"/>
      <c r="Q1128" s="10"/>
      <c r="R1128" s="10"/>
      <c r="S1128" s="10"/>
      <c r="T1128" s="14"/>
      <c r="U1128" s="10"/>
      <c r="V1128" s="10"/>
      <c r="W1128" s="10"/>
      <c r="X1128" s="34"/>
      <c r="Y1128" s="7"/>
      <c r="Z1128" s="7"/>
      <c r="AA1128" s="34"/>
      <c r="AB1128" s="7"/>
      <c r="AC1128" s="34"/>
      <c r="AD1128" s="10"/>
      <c r="AF1128"/>
    </row>
    <row r="1129" spans="1:32" x14ac:dyDescent="0.25">
      <c r="A1129" s="7"/>
      <c r="C1129" s="70"/>
      <c r="D1129" s="70"/>
      <c r="E1129" s="73"/>
      <c r="F1129" s="9"/>
      <c r="H1129" s="9"/>
      <c r="I1129" s="10"/>
      <c r="J1129" s="7"/>
      <c r="K1129" s="7"/>
      <c r="L1129" s="10"/>
      <c r="M1129" s="10"/>
      <c r="N1129" s="10"/>
      <c r="O1129" s="10"/>
      <c r="P1129" s="10"/>
      <c r="Q1129" s="10"/>
      <c r="R1129" s="10"/>
      <c r="S1129" s="10"/>
      <c r="T1129" s="14"/>
      <c r="U1129" s="10"/>
      <c r="V1129" s="10"/>
      <c r="W1129" s="10"/>
      <c r="X1129" s="7"/>
      <c r="Y1129" s="7"/>
      <c r="Z1129" s="34"/>
      <c r="AA1129" s="34"/>
      <c r="AB1129" s="7"/>
      <c r="AC1129" s="34"/>
      <c r="AD1129" s="10"/>
      <c r="AF1129"/>
    </row>
    <row r="1130" spans="1:32" ht="19.5" thickBot="1" x14ac:dyDescent="0.35">
      <c r="A1130" s="64" t="s">
        <v>8</v>
      </c>
      <c r="B1130" s="67"/>
      <c r="C1130" s="74"/>
      <c r="D1130" s="74"/>
      <c r="E1130" s="80"/>
      <c r="F1130" s="66"/>
      <c r="G1130" s="66"/>
      <c r="H1130" s="66"/>
      <c r="I1130" s="63"/>
      <c r="J1130" s="63"/>
      <c r="K1130" s="63"/>
      <c r="L1130" s="63" t="e">
        <f t="shared" ref="L1130:AA1130" si="10">SUM(L626:L1129)</f>
        <v>#REF!</v>
      </c>
      <c r="M1130" s="63" t="e">
        <f t="shared" si="10"/>
        <v>#REF!</v>
      </c>
      <c r="N1130" s="63" t="e">
        <f t="shared" si="10"/>
        <v>#REF!</v>
      </c>
      <c r="O1130" s="63" t="e">
        <f t="shared" si="10"/>
        <v>#REF!</v>
      </c>
      <c r="P1130" s="63" t="e">
        <f t="shared" si="10"/>
        <v>#REF!</v>
      </c>
      <c r="Q1130" s="63" t="e">
        <f t="shared" si="10"/>
        <v>#REF!</v>
      </c>
      <c r="R1130" s="63" t="e">
        <f t="shared" si="10"/>
        <v>#REF!</v>
      </c>
      <c r="S1130" s="63" t="e">
        <f t="shared" si="10"/>
        <v>#REF!</v>
      </c>
      <c r="T1130" s="63" t="e">
        <f t="shared" si="10"/>
        <v>#REF!</v>
      </c>
      <c r="U1130" s="63" t="e">
        <f t="shared" si="10"/>
        <v>#REF!</v>
      </c>
      <c r="V1130" s="63" t="e">
        <f t="shared" si="10"/>
        <v>#REF!</v>
      </c>
      <c r="W1130" s="63" t="e">
        <f t="shared" si="10"/>
        <v>#REF!</v>
      </c>
      <c r="X1130" s="63" t="e">
        <f t="shared" si="10"/>
        <v>#REF!</v>
      </c>
      <c r="Y1130" s="63" t="e">
        <f t="shared" si="10"/>
        <v>#REF!</v>
      </c>
      <c r="Z1130" s="63" t="e">
        <f t="shared" si="10"/>
        <v>#REF!</v>
      </c>
      <c r="AA1130" s="63" t="e">
        <f t="shared" si="10"/>
        <v>#REF!</v>
      </c>
      <c r="AB1130" s="63"/>
      <c r="AC1130" s="63" t="e">
        <f>SUM(AC626:AC1129)</f>
        <v>#REF!</v>
      </c>
      <c r="AD1130" s="10" t="e">
        <f>SUM(AB1130:AC1130)-SUM(L1130:AA1130)</f>
        <v>#REF!</v>
      </c>
      <c r="AF1130"/>
    </row>
    <row r="1131" spans="1:32" ht="15.75" thickTop="1" x14ac:dyDescent="0.25">
      <c r="A1131" s="7"/>
      <c r="C1131" s="70"/>
      <c r="D1131" s="70"/>
      <c r="E1131" s="73"/>
      <c r="F1131" s="9"/>
      <c r="H1131" s="9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4"/>
      <c r="U1131" s="10"/>
      <c r="V1131" s="10"/>
      <c r="W1131" s="10"/>
      <c r="X1131" s="7"/>
      <c r="Y1131" s="7"/>
      <c r="Z1131" s="7"/>
      <c r="AA1131" s="34"/>
      <c r="AB1131" s="7"/>
      <c r="AC1131" s="34"/>
      <c r="AD1131" s="10"/>
      <c r="AF1131"/>
    </row>
    <row r="1132" spans="1:32" x14ac:dyDescent="0.25">
      <c r="A1132" s="7"/>
      <c r="C1132" s="70"/>
      <c r="D1132" s="70"/>
      <c r="E1132" s="73"/>
      <c r="F1132" s="9"/>
      <c r="H1132" s="9"/>
      <c r="I1132" s="10"/>
      <c r="J1132" s="7"/>
      <c r="K1132" s="7"/>
      <c r="L1132" s="10"/>
      <c r="M1132" s="10"/>
      <c r="N1132" s="10"/>
      <c r="O1132" s="10"/>
      <c r="P1132" s="10"/>
      <c r="Q1132" s="10"/>
      <c r="R1132" s="10"/>
      <c r="S1132" s="10"/>
      <c r="T1132" s="14"/>
      <c r="U1132" s="10"/>
      <c r="V1132" s="10"/>
      <c r="W1132" s="10"/>
      <c r="X1132" s="7"/>
      <c r="Y1132" s="7"/>
      <c r="Z1132" s="7"/>
      <c r="AA1132" s="34"/>
      <c r="AB1132" s="7"/>
      <c r="AC1132" s="34"/>
      <c r="AD1132" s="10"/>
      <c r="AF1132"/>
    </row>
    <row r="1133" spans="1:32" x14ac:dyDescent="0.25">
      <c r="A1133" s="16"/>
      <c r="C1133" s="70"/>
      <c r="D1133" s="70"/>
      <c r="E1133" s="73"/>
      <c r="F1133" s="9"/>
      <c r="H1133" s="9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4"/>
      <c r="U1133" s="10"/>
      <c r="V1133" s="10"/>
      <c r="W1133" s="10"/>
      <c r="X1133" s="7"/>
      <c r="Y1133" s="7"/>
      <c r="Z1133" s="7"/>
      <c r="AA1133" s="34"/>
      <c r="AB1133" s="7"/>
      <c r="AC1133" s="34"/>
      <c r="AD1133" s="10"/>
      <c r="AE1133"/>
      <c r="AF1133"/>
    </row>
    <row r="1134" spans="1:32" x14ac:dyDescent="0.25">
      <c r="A1134" s="16"/>
      <c r="C1134" s="70"/>
      <c r="D1134" s="70"/>
      <c r="E1134" s="73"/>
      <c r="F1134" s="9"/>
      <c r="H1134" s="9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4"/>
      <c r="U1134" s="10"/>
      <c r="V1134" s="10"/>
      <c r="W1134" s="10"/>
      <c r="X1134" s="7"/>
      <c r="Y1134" s="7"/>
      <c r="Z1134" s="7"/>
      <c r="AA1134" s="34"/>
      <c r="AB1134" s="7"/>
      <c r="AC1134" s="34"/>
      <c r="AD1134" s="10"/>
      <c r="AE1134"/>
      <c r="AF1134"/>
    </row>
    <row r="1135" spans="1:32" x14ac:dyDescent="0.25">
      <c r="A1135" s="16"/>
      <c r="C1135" s="70"/>
      <c r="D1135" s="70"/>
      <c r="E1135" s="73"/>
      <c r="F1135" s="9"/>
      <c r="H1135" s="9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4"/>
      <c r="U1135" s="10"/>
      <c r="V1135" s="10"/>
      <c r="W1135" s="10"/>
      <c r="X1135" s="7"/>
      <c r="Y1135" s="7"/>
      <c r="Z1135" s="7"/>
      <c r="AA1135" s="34"/>
      <c r="AB1135" s="7"/>
      <c r="AC1135" s="34"/>
      <c r="AD1135" s="10"/>
      <c r="AE1135"/>
      <c r="AF1135"/>
    </row>
    <row r="1136" spans="1:32" x14ac:dyDescent="0.25">
      <c r="A1136" s="16"/>
      <c r="C1136" s="70"/>
      <c r="D1136" s="70"/>
      <c r="E1136" s="73"/>
      <c r="F1136" s="9"/>
      <c r="H1136" s="9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4"/>
      <c r="U1136" s="10"/>
      <c r="V1136" s="10"/>
      <c r="W1136" s="10"/>
      <c r="X1136" s="7"/>
      <c r="Y1136" s="7"/>
      <c r="Z1136" s="7"/>
      <c r="AA1136" s="34"/>
      <c r="AB1136" s="7"/>
      <c r="AC1136" s="34"/>
      <c r="AD1136" s="10"/>
      <c r="AE1136"/>
      <c r="AF1136"/>
    </row>
    <row r="1137" spans="1:32" x14ac:dyDescent="0.25">
      <c r="A1137" s="16"/>
      <c r="C1137" s="70"/>
      <c r="D1137" s="70"/>
      <c r="E1137" s="73"/>
      <c r="F1137" s="9"/>
      <c r="H1137" s="45"/>
      <c r="I1137" s="10"/>
      <c r="J1137" s="7"/>
      <c r="K1137" s="7"/>
      <c r="L1137" s="10"/>
      <c r="M1137" s="10"/>
      <c r="N1137" s="10"/>
      <c r="O1137" s="10"/>
      <c r="P1137" s="10"/>
      <c r="Q1137" s="10"/>
      <c r="R1137" s="10"/>
      <c r="S1137" s="10"/>
      <c r="T1137" s="14"/>
      <c r="U1137" s="10"/>
      <c r="V1137" s="10"/>
      <c r="W1137" s="10"/>
      <c r="X1137" s="7"/>
      <c r="Y1137" s="7"/>
      <c r="Z1137" s="7"/>
      <c r="AA1137" s="34"/>
      <c r="AB1137" s="7"/>
      <c r="AC1137" s="34"/>
      <c r="AD1137" s="10"/>
      <c r="AE1137"/>
      <c r="AF1137"/>
    </row>
    <row r="1138" spans="1:32" x14ac:dyDescent="0.25">
      <c r="A1138" s="16"/>
      <c r="C1138" s="70"/>
      <c r="D1138" s="70"/>
      <c r="E1138" s="73"/>
      <c r="F1138" s="9"/>
      <c r="H1138" s="45"/>
      <c r="I1138" s="10"/>
      <c r="J1138" s="7"/>
      <c r="K1138" s="7"/>
      <c r="L1138" s="10"/>
      <c r="M1138" s="10"/>
      <c r="N1138" s="10"/>
      <c r="O1138" s="10"/>
      <c r="P1138" s="10"/>
      <c r="Q1138" s="10"/>
      <c r="R1138" s="10"/>
      <c r="S1138" s="10"/>
      <c r="T1138" s="14"/>
      <c r="U1138" s="10"/>
      <c r="V1138" s="10"/>
      <c r="W1138" s="10"/>
      <c r="X1138" s="7"/>
      <c r="Y1138" s="7"/>
      <c r="Z1138" s="7"/>
      <c r="AA1138" s="34"/>
      <c r="AB1138" s="7"/>
      <c r="AC1138" s="34"/>
      <c r="AD1138" s="10"/>
      <c r="AE1138"/>
      <c r="AF1138"/>
    </row>
    <row r="1139" spans="1:32" x14ac:dyDescent="0.25">
      <c r="A1139" s="16"/>
      <c r="C1139" s="70"/>
      <c r="D1139" s="70"/>
      <c r="E1139" s="73"/>
      <c r="F1139" s="9"/>
      <c r="H1139" s="9"/>
      <c r="I1139" s="10"/>
      <c r="J1139" s="7"/>
      <c r="K1139" s="7"/>
      <c r="L1139" s="10"/>
      <c r="M1139" s="10"/>
      <c r="N1139" s="10"/>
      <c r="O1139" s="10"/>
      <c r="P1139" s="10"/>
      <c r="Q1139" s="10"/>
      <c r="R1139" s="10"/>
      <c r="S1139" s="10"/>
      <c r="T1139" s="14"/>
      <c r="U1139" s="10"/>
      <c r="V1139" s="10"/>
      <c r="W1139" s="10"/>
      <c r="X1139" s="7"/>
      <c r="Y1139" s="7"/>
      <c r="Z1139" s="7"/>
      <c r="AA1139" s="34"/>
      <c r="AB1139" s="7"/>
      <c r="AC1139" s="34"/>
      <c r="AD1139" s="10"/>
      <c r="AE1139"/>
      <c r="AF1139"/>
    </row>
    <row r="1140" spans="1:32" x14ac:dyDescent="0.25">
      <c r="A1140" s="16"/>
      <c r="C1140" s="70"/>
      <c r="D1140" s="70"/>
      <c r="E1140" s="73"/>
      <c r="F1140" s="9"/>
      <c r="H1140" s="9"/>
      <c r="I1140" s="10"/>
      <c r="J1140" s="7"/>
      <c r="K1140" s="7"/>
      <c r="L1140" s="10"/>
      <c r="M1140" s="10"/>
      <c r="N1140" s="10"/>
      <c r="O1140" s="10"/>
      <c r="P1140" s="10"/>
      <c r="Q1140" s="10"/>
      <c r="R1140" s="10"/>
      <c r="S1140" s="10"/>
      <c r="T1140" s="14"/>
      <c r="U1140" s="10"/>
      <c r="V1140" s="10"/>
      <c r="W1140" s="10"/>
      <c r="X1140" s="7"/>
      <c r="Y1140" s="7"/>
      <c r="Z1140" s="7"/>
      <c r="AA1140" s="34"/>
      <c r="AB1140" s="7"/>
      <c r="AC1140" s="34"/>
      <c r="AD1140" s="10"/>
      <c r="AE1140"/>
      <c r="AF1140"/>
    </row>
    <row r="1141" spans="1:32" x14ac:dyDescent="0.25">
      <c r="A1141" s="16"/>
      <c r="C1141" s="70"/>
      <c r="D1141" s="70"/>
      <c r="E1141" s="73"/>
      <c r="F1141" s="9"/>
      <c r="H1141" s="9"/>
      <c r="I1141" s="10"/>
      <c r="J1141" s="7"/>
      <c r="K1141" s="7"/>
      <c r="L1141" s="10"/>
      <c r="M1141" s="10"/>
      <c r="N1141" s="10"/>
      <c r="O1141" s="10"/>
      <c r="P1141" s="10"/>
      <c r="Q1141" s="10"/>
      <c r="R1141" s="10"/>
      <c r="S1141" s="10"/>
      <c r="T1141" s="14"/>
      <c r="U1141" s="10"/>
      <c r="V1141" s="10"/>
      <c r="W1141" s="10"/>
      <c r="X1141" s="7"/>
      <c r="Y1141" s="7"/>
      <c r="Z1141" s="7"/>
      <c r="AA1141" s="34"/>
      <c r="AB1141" s="7"/>
      <c r="AC1141" s="34"/>
      <c r="AD1141" s="10"/>
      <c r="AE1141"/>
      <c r="AF1141"/>
    </row>
    <row r="1142" spans="1:32" x14ac:dyDescent="0.25">
      <c r="A1142" s="16"/>
      <c r="C1142" s="70"/>
      <c r="D1142" s="70"/>
      <c r="E1142" s="73"/>
      <c r="F1142" s="9"/>
      <c r="H1142" s="9"/>
      <c r="I1142" s="10"/>
      <c r="J1142" s="7"/>
      <c r="K1142" s="7"/>
      <c r="L1142" s="10"/>
      <c r="M1142" s="10"/>
      <c r="N1142" s="10"/>
      <c r="O1142" s="10"/>
      <c r="P1142" s="10"/>
      <c r="Q1142" s="10"/>
      <c r="R1142" s="10"/>
      <c r="S1142" s="10"/>
      <c r="T1142" s="14"/>
      <c r="U1142" s="10"/>
      <c r="V1142" s="10"/>
      <c r="W1142" s="10"/>
      <c r="X1142" s="7"/>
      <c r="Y1142" s="7"/>
      <c r="Z1142" s="7"/>
      <c r="AA1142" s="34"/>
      <c r="AB1142" s="7"/>
      <c r="AC1142" s="34"/>
      <c r="AD1142" s="10"/>
      <c r="AE1142"/>
      <c r="AF1142"/>
    </row>
    <row r="1143" spans="1:32" x14ac:dyDescent="0.25">
      <c r="A1143" s="16"/>
      <c r="C1143" s="70"/>
      <c r="D1143" s="70"/>
      <c r="E1143" s="73"/>
      <c r="F1143" s="9"/>
      <c r="H1143" s="9"/>
      <c r="I1143" s="10"/>
      <c r="J1143" s="7"/>
      <c r="K1143" s="7"/>
      <c r="L1143" s="10"/>
      <c r="M1143" s="10"/>
      <c r="N1143" s="10"/>
      <c r="O1143" s="10"/>
      <c r="P1143" s="10"/>
      <c r="Q1143" s="10"/>
      <c r="R1143" s="10"/>
      <c r="S1143" s="10"/>
      <c r="T1143" s="14"/>
      <c r="U1143" s="10"/>
      <c r="V1143" s="10"/>
      <c r="W1143" s="10"/>
      <c r="X1143" s="7"/>
      <c r="Y1143" s="7"/>
      <c r="Z1143" s="7"/>
      <c r="AA1143" s="34"/>
      <c r="AB1143" s="7"/>
      <c r="AC1143" s="34"/>
      <c r="AD1143" s="10"/>
      <c r="AE1143"/>
      <c r="AF1143"/>
    </row>
    <row r="1144" spans="1:32" x14ac:dyDescent="0.25">
      <c r="A1144" s="16"/>
      <c r="C1144" s="70"/>
      <c r="D1144" s="70"/>
      <c r="E1144" s="73"/>
      <c r="F1144" s="9"/>
      <c r="H1144" s="9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4"/>
      <c r="U1144" s="10"/>
      <c r="V1144" s="10"/>
      <c r="W1144" s="10"/>
      <c r="X1144" s="7"/>
      <c r="Y1144" s="7"/>
      <c r="Z1144" s="7"/>
      <c r="AA1144" s="34"/>
      <c r="AB1144" s="7"/>
      <c r="AC1144" s="34"/>
      <c r="AD1144" s="10"/>
      <c r="AE1144"/>
      <c r="AF1144"/>
    </row>
    <row r="1145" spans="1:32" x14ac:dyDescent="0.25">
      <c r="A1145" s="16"/>
      <c r="C1145" s="70"/>
      <c r="D1145" s="70"/>
      <c r="E1145" s="73"/>
      <c r="F1145" s="9"/>
      <c r="H1145" s="9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4"/>
      <c r="U1145" s="10"/>
      <c r="V1145" s="10"/>
      <c r="W1145" s="10"/>
      <c r="X1145" s="7"/>
      <c r="Y1145" s="7"/>
      <c r="Z1145" s="7"/>
      <c r="AA1145" s="34"/>
      <c r="AB1145" s="7"/>
      <c r="AC1145" s="34"/>
      <c r="AD1145" s="10"/>
      <c r="AE1145"/>
      <c r="AF1145"/>
    </row>
    <row r="1146" spans="1:32" x14ac:dyDescent="0.25">
      <c r="A1146" s="16"/>
      <c r="C1146" s="70"/>
      <c r="D1146" s="70"/>
      <c r="E1146" s="73"/>
      <c r="F1146" s="9"/>
      <c r="H1146" s="9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4"/>
      <c r="U1146" s="10"/>
      <c r="V1146" s="10"/>
      <c r="W1146" s="10"/>
      <c r="X1146" s="7"/>
      <c r="Y1146" s="7"/>
      <c r="Z1146" s="7"/>
      <c r="AA1146" s="34"/>
      <c r="AB1146" s="7"/>
      <c r="AC1146" s="34"/>
      <c r="AD1146" s="10"/>
      <c r="AE1146"/>
      <c r="AF1146"/>
    </row>
    <row r="1147" spans="1:32" x14ac:dyDescent="0.25">
      <c r="A1147" s="16"/>
      <c r="C1147" s="70"/>
      <c r="D1147" s="70"/>
      <c r="E1147" s="73"/>
      <c r="F1147" s="9"/>
      <c r="H1147" s="9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4"/>
      <c r="U1147" s="10"/>
      <c r="V1147" s="10"/>
      <c r="W1147" s="10"/>
      <c r="X1147" s="7"/>
      <c r="Y1147" s="7"/>
      <c r="Z1147" s="7"/>
      <c r="AA1147" s="34"/>
      <c r="AB1147" s="7"/>
      <c r="AC1147" s="34"/>
      <c r="AD1147" s="10"/>
      <c r="AE1147"/>
      <c r="AF1147"/>
    </row>
    <row r="1148" spans="1:32" x14ac:dyDescent="0.25">
      <c r="A1148" s="16"/>
      <c r="C1148" s="70"/>
      <c r="D1148" s="70"/>
      <c r="E1148" s="73"/>
      <c r="F1148" s="9"/>
      <c r="H1148" s="9"/>
      <c r="I1148" s="10"/>
      <c r="J1148" s="7"/>
      <c r="K1148" s="7"/>
      <c r="L1148" s="10"/>
      <c r="M1148" s="10"/>
      <c r="N1148" s="10"/>
      <c r="O1148" s="10"/>
      <c r="P1148" s="10"/>
      <c r="Q1148" s="10"/>
      <c r="R1148" s="10"/>
      <c r="S1148" s="10"/>
      <c r="T1148" s="14"/>
      <c r="U1148" s="10"/>
      <c r="V1148" s="10"/>
      <c r="W1148" s="10"/>
      <c r="X1148" s="7"/>
      <c r="Y1148" s="7"/>
      <c r="Z1148" s="7"/>
      <c r="AA1148" s="34"/>
      <c r="AB1148" s="7"/>
      <c r="AC1148" s="34"/>
      <c r="AD1148" s="10"/>
      <c r="AE1148"/>
      <c r="AF1148"/>
    </row>
    <row r="1149" spans="1:32" x14ac:dyDescent="0.25">
      <c r="A1149" s="16"/>
      <c r="C1149" s="70"/>
      <c r="D1149" s="70"/>
      <c r="E1149" s="73"/>
      <c r="F1149" s="9"/>
      <c r="H1149" s="9"/>
      <c r="I1149" s="10"/>
      <c r="J1149" s="7"/>
      <c r="K1149" s="7"/>
      <c r="L1149" s="10"/>
      <c r="M1149" s="10"/>
      <c r="N1149" s="10"/>
      <c r="O1149" s="10"/>
      <c r="P1149" s="10"/>
      <c r="Q1149" s="10"/>
      <c r="R1149" s="10"/>
      <c r="S1149" s="10"/>
      <c r="T1149" s="14"/>
      <c r="U1149" s="10"/>
      <c r="V1149" s="10"/>
      <c r="W1149" s="10"/>
      <c r="X1149" s="7"/>
      <c r="Y1149" s="7"/>
      <c r="Z1149" s="7"/>
      <c r="AA1149" s="34"/>
      <c r="AB1149" s="7"/>
      <c r="AC1149" s="34"/>
      <c r="AD1149" s="10"/>
      <c r="AE1149"/>
      <c r="AF1149"/>
    </row>
    <row r="1150" spans="1:32" x14ac:dyDescent="0.25">
      <c r="A1150" s="16"/>
      <c r="C1150" s="70"/>
      <c r="D1150" s="70"/>
      <c r="E1150" s="73"/>
      <c r="F1150" s="9"/>
      <c r="H1150" s="9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4"/>
      <c r="U1150" s="10"/>
      <c r="V1150" s="10"/>
      <c r="W1150" s="10"/>
      <c r="X1150" s="7"/>
      <c r="Y1150" s="7"/>
      <c r="Z1150" s="7"/>
      <c r="AA1150" s="34"/>
      <c r="AB1150" s="7"/>
      <c r="AC1150" s="34"/>
      <c r="AD1150" s="10"/>
      <c r="AE1150"/>
      <c r="AF1150"/>
    </row>
    <row r="1151" spans="1:32" x14ac:dyDescent="0.25">
      <c r="A1151" s="16"/>
      <c r="C1151" s="70"/>
      <c r="D1151" s="70"/>
      <c r="E1151" s="73"/>
      <c r="F1151" s="9"/>
      <c r="H1151" s="9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4"/>
      <c r="U1151" s="10"/>
      <c r="V1151" s="10"/>
      <c r="W1151" s="10"/>
      <c r="X1151" s="7"/>
      <c r="Y1151" s="7"/>
      <c r="Z1151" s="7"/>
      <c r="AA1151" s="34"/>
      <c r="AB1151" s="7"/>
      <c r="AC1151" s="34"/>
      <c r="AD1151" s="10"/>
      <c r="AE1151"/>
      <c r="AF1151"/>
    </row>
    <row r="1152" spans="1:32" x14ac:dyDescent="0.25">
      <c r="A1152" s="16"/>
      <c r="C1152" s="70"/>
      <c r="D1152" s="70"/>
      <c r="E1152" s="73"/>
      <c r="F1152" s="9"/>
      <c r="H1152" s="9"/>
      <c r="I1152" s="10"/>
      <c r="J1152" s="7"/>
      <c r="K1152" s="7"/>
      <c r="L1152" s="10"/>
      <c r="M1152" s="10"/>
      <c r="N1152" s="10"/>
      <c r="O1152" s="10"/>
      <c r="P1152" s="10"/>
      <c r="Q1152" s="10"/>
      <c r="R1152" s="10"/>
      <c r="S1152" s="10"/>
      <c r="T1152" s="14"/>
      <c r="U1152" s="10"/>
      <c r="V1152" s="10"/>
      <c r="W1152" s="10"/>
      <c r="X1152" s="7"/>
      <c r="Y1152" s="7"/>
      <c r="Z1152" s="7"/>
      <c r="AA1152" s="34"/>
      <c r="AB1152" s="7"/>
      <c r="AC1152" s="34"/>
      <c r="AD1152" s="10"/>
      <c r="AE1152"/>
      <c r="AF1152"/>
    </row>
    <row r="1153" spans="1:32" x14ac:dyDescent="0.25">
      <c r="A1153" s="16"/>
      <c r="C1153" s="70"/>
      <c r="D1153" s="70"/>
      <c r="E1153" s="73"/>
      <c r="F1153" s="9"/>
      <c r="H1153" s="9"/>
      <c r="I1153" s="10"/>
      <c r="J1153" s="7"/>
      <c r="K1153" s="7"/>
      <c r="L1153" s="10"/>
      <c r="M1153" s="10"/>
      <c r="N1153" s="10"/>
      <c r="O1153" s="10"/>
      <c r="P1153" s="10"/>
      <c r="Q1153" s="10"/>
      <c r="R1153" s="10"/>
      <c r="S1153" s="10"/>
      <c r="T1153" s="14"/>
      <c r="U1153" s="10"/>
      <c r="V1153" s="10"/>
      <c r="W1153" s="10"/>
      <c r="X1153" s="7"/>
      <c r="Y1153" s="7"/>
      <c r="Z1153" s="7"/>
      <c r="AA1153" s="34"/>
      <c r="AB1153" s="7"/>
      <c r="AC1153" s="34"/>
      <c r="AD1153" s="10"/>
      <c r="AE1153"/>
      <c r="AF1153"/>
    </row>
    <row r="1154" spans="1:32" x14ac:dyDescent="0.25">
      <c r="A1154" s="16"/>
      <c r="C1154" s="70"/>
      <c r="D1154" s="70"/>
      <c r="E1154" s="73"/>
      <c r="F1154" s="9"/>
      <c r="H1154" s="9"/>
      <c r="I1154" s="10"/>
      <c r="J1154" s="10"/>
      <c r="K1154" s="10"/>
      <c r="L1154" s="10"/>
      <c r="M1154" s="34"/>
      <c r="N1154" s="10"/>
      <c r="O1154" s="10"/>
      <c r="P1154" s="10"/>
      <c r="Q1154" s="10"/>
      <c r="R1154" s="10"/>
      <c r="S1154" s="10"/>
      <c r="T1154" s="14"/>
      <c r="U1154" s="10"/>
      <c r="V1154" s="10"/>
      <c r="W1154" s="10"/>
      <c r="X1154" s="7"/>
      <c r="Y1154" s="7"/>
      <c r="Z1154" s="7"/>
      <c r="AA1154" s="34"/>
      <c r="AB1154" s="7"/>
      <c r="AC1154" s="34"/>
      <c r="AD1154" s="10"/>
      <c r="AE1154"/>
      <c r="AF1154"/>
    </row>
    <row r="1155" spans="1:32" x14ac:dyDescent="0.25">
      <c r="A1155" s="16"/>
      <c r="C1155" s="70"/>
      <c r="D1155" s="70"/>
      <c r="E1155" s="73"/>
      <c r="F1155" s="9"/>
      <c r="H1155" s="9"/>
      <c r="I1155" s="10"/>
      <c r="J1155" s="7"/>
      <c r="K1155" s="7"/>
      <c r="L1155" s="10"/>
      <c r="M1155" s="10"/>
      <c r="N1155" s="10"/>
      <c r="O1155" s="10"/>
      <c r="P1155" s="10"/>
      <c r="Q1155" s="10"/>
      <c r="R1155" s="10"/>
      <c r="S1155" s="10"/>
      <c r="T1155" s="14"/>
      <c r="U1155" s="10"/>
      <c r="V1155" s="10"/>
      <c r="W1155" s="10"/>
      <c r="X1155" s="7"/>
      <c r="Y1155" s="7"/>
      <c r="Z1155" s="7"/>
      <c r="AA1155" s="34"/>
      <c r="AB1155" s="7"/>
      <c r="AC1155" s="34"/>
      <c r="AD1155" s="10"/>
      <c r="AE1155"/>
      <c r="AF1155"/>
    </row>
    <row r="1156" spans="1:32" x14ac:dyDescent="0.25">
      <c r="A1156" s="16"/>
      <c r="C1156" s="70"/>
      <c r="D1156" s="70"/>
      <c r="E1156" s="73"/>
      <c r="F1156" s="9"/>
      <c r="H1156" s="9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4"/>
      <c r="U1156" s="10"/>
      <c r="V1156" s="10"/>
      <c r="W1156" s="10"/>
      <c r="X1156" s="7"/>
      <c r="Y1156" s="7"/>
      <c r="Z1156" s="34"/>
      <c r="AA1156" s="34"/>
      <c r="AB1156" s="7"/>
      <c r="AC1156" s="34"/>
      <c r="AD1156" s="10"/>
      <c r="AE1156"/>
      <c r="AF1156"/>
    </row>
    <row r="1157" spans="1:32" x14ac:dyDescent="0.25">
      <c r="A1157" s="16"/>
      <c r="C1157" s="70"/>
      <c r="D1157" s="70"/>
      <c r="E1157" s="73"/>
      <c r="F1157" s="9"/>
      <c r="H1157" s="9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34"/>
      <c r="T1157" s="14"/>
      <c r="U1157" s="10"/>
      <c r="V1157" s="10"/>
      <c r="W1157" s="10"/>
      <c r="X1157" s="7"/>
      <c r="Y1157" s="7"/>
      <c r="Z1157" s="7"/>
      <c r="AA1157" s="34"/>
      <c r="AB1157" s="7"/>
      <c r="AC1157" s="34"/>
      <c r="AD1157" s="10"/>
      <c r="AE1157"/>
      <c r="AF1157"/>
    </row>
    <row r="1158" spans="1:32" x14ac:dyDescent="0.25">
      <c r="A1158" s="16"/>
      <c r="C1158" s="70"/>
      <c r="D1158" s="70"/>
      <c r="E1158" s="73"/>
      <c r="F1158" s="9"/>
      <c r="H1158" s="9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4"/>
      <c r="U1158" s="10"/>
      <c r="V1158" s="10"/>
      <c r="W1158" s="10"/>
      <c r="X1158" s="7"/>
      <c r="Y1158" s="7"/>
      <c r="Z1158" s="7"/>
      <c r="AA1158" s="34"/>
      <c r="AB1158" s="7"/>
      <c r="AC1158" s="34"/>
      <c r="AD1158" s="10"/>
      <c r="AE1158"/>
      <c r="AF1158"/>
    </row>
    <row r="1159" spans="1:32" x14ac:dyDescent="0.25">
      <c r="A1159" s="16"/>
      <c r="C1159" s="70"/>
      <c r="D1159" s="70"/>
      <c r="E1159" s="73"/>
      <c r="F1159" s="9"/>
      <c r="H1159" s="9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4"/>
      <c r="U1159" s="10"/>
      <c r="V1159" s="10"/>
      <c r="W1159" s="10"/>
      <c r="X1159" s="7"/>
      <c r="Y1159" s="7"/>
      <c r="Z1159" s="7"/>
      <c r="AA1159" s="34"/>
      <c r="AB1159" s="7"/>
      <c r="AC1159" s="34"/>
      <c r="AD1159" s="10"/>
      <c r="AE1159"/>
      <c r="AF1159"/>
    </row>
    <row r="1160" spans="1:32" x14ac:dyDescent="0.25">
      <c r="A1160" s="16"/>
      <c r="C1160" s="70"/>
      <c r="D1160" s="70"/>
      <c r="E1160" s="73"/>
      <c r="F1160" s="9"/>
      <c r="H1160" s="9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4"/>
      <c r="U1160" s="10"/>
      <c r="V1160" s="10"/>
      <c r="W1160" s="10"/>
      <c r="X1160" s="7"/>
      <c r="Y1160" s="7"/>
      <c r="Z1160" s="7"/>
      <c r="AA1160" s="34"/>
      <c r="AB1160" s="7"/>
      <c r="AC1160" s="34"/>
      <c r="AD1160" s="10"/>
      <c r="AE1160"/>
      <c r="AF1160"/>
    </row>
    <row r="1161" spans="1:32" x14ac:dyDescent="0.25">
      <c r="A1161" s="16"/>
      <c r="C1161" s="70"/>
      <c r="D1161" s="70"/>
      <c r="E1161" s="73"/>
      <c r="F1161" s="9"/>
      <c r="H1161" s="9"/>
      <c r="I1161" s="10"/>
      <c r="J1161" s="7"/>
      <c r="K1161" s="7"/>
      <c r="L1161" s="10"/>
      <c r="M1161" s="10"/>
      <c r="N1161" s="10"/>
      <c r="O1161" s="10"/>
      <c r="P1161" s="10"/>
      <c r="Q1161" s="10"/>
      <c r="R1161" s="10"/>
      <c r="S1161" s="10"/>
      <c r="T1161" s="14"/>
      <c r="U1161" s="10"/>
      <c r="V1161" s="10"/>
      <c r="W1161" s="10"/>
      <c r="X1161" s="7"/>
      <c r="Y1161" s="7"/>
      <c r="Z1161" s="7"/>
      <c r="AA1161" s="34"/>
      <c r="AB1161" s="7"/>
      <c r="AC1161" s="34"/>
      <c r="AD1161" s="10"/>
      <c r="AE1161"/>
      <c r="AF1161"/>
    </row>
    <row r="1162" spans="1:32" x14ac:dyDescent="0.25">
      <c r="A1162" s="16"/>
      <c r="C1162" s="70"/>
      <c r="D1162" s="70"/>
      <c r="E1162" s="73"/>
      <c r="F1162" s="9"/>
      <c r="H1162" s="9"/>
      <c r="I1162" s="10"/>
      <c r="J1162" s="7"/>
      <c r="K1162" s="7"/>
      <c r="L1162" s="10"/>
      <c r="M1162" s="10"/>
      <c r="N1162" s="10"/>
      <c r="O1162" s="10"/>
      <c r="P1162" s="10"/>
      <c r="Q1162" s="10"/>
      <c r="R1162" s="10"/>
      <c r="S1162" s="10"/>
      <c r="T1162" s="14"/>
      <c r="U1162" s="10"/>
      <c r="V1162" s="10"/>
      <c r="W1162" s="10"/>
      <c r="X1162" s="7"/>
      <c r="Y1162" s="7"/>
      <c r="Z1162" s="7"/>
      <c r="AA1162" s="34"/>
      <c r="AB1162" s="7"/>
      <c r="AC1162" s="34"/>
      <c r="AD1162" s="10"/>
      <c r="AE1162"/>
      <c r="AF1162"/>
    </row>
    <row r="1163" spans="1:32" x14ac:dyDescent="0.25">
      <c r="A1163" s="16"/>
      <c r="C1163" s="70"/>
      <c r="D1163" s="70"/>
      <c r="E1163" s="73"/>
      <c r="F1163" s="9"/>
      <c r="H1163" s="9"/>
      <c r="I1163" s="10"/>
      <c r="J1163" s="7"/>
      <c r="K1163" s="7"/>
      <c r="L1163" s="10"/>
      <c r="M1163" s="10"/>
      <c r="N1163" s="10"/>
      <c r="O1163" s="10"/>
      <c r="P1163" s="10"/>
      <c r="Q1163" s="10"/>
      <c r="R1163" s="10"/>
      <c r="S1163" s="10"/>
      <c r="T1163" s="14"/>
      <c r="U1163" s="10"/>
      <c r="V1163" s="10"/>
      <c r="W1163" s="10"/>
      <c r="X1163" s="7"/>
      <c r="Y1163" s="7"/>
      <c r="Z1163" s="7"/>
      <c r="AA1163" s="34"/>
      <c r="AB1163" s="7"/>
      <c r="AC1163" s="34"/>
      <c r="AD1163" s="10"/>
      <c r="AE1163"/>
      <c r="AF1163"/>
    </row>
    <row r="1164" spans="1:32" x14ac:dyDescent="0.25">
      <c r="A1164" s="16"/>
      <c r="C1164" s="70"/>
      <c r="D1164" s="70"/>
      <c r="E1164" s="73"/>
      <c r="F1164" s="9"/>
      <c r="H1164" s="9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4"/>
      <c r="U1164" s="10"/>
      <c r="V1164" s="10"/>
      <c r="W1164" s="10"/>
      <c r="X1164" s="7"/>
      <c r="Y1164" s="7"/>
      <c r="Z1164" s="7"/>
      <c r="AA1164" s="34"/>
      <c r="AB1164" s="7"/>
      <c r="AC1164" s="34"/>
      <c r="AD1164" s="10"/>
      <c r="AE1164"/>
      <c r="AF1164"/>
    </row>
    <row r="1165" spans="1:32" x14ac:dyDescent="0.25">
      <c r="A1165" s="16"/>
      <c r="C1165" s="70"/>
      <c r="D1165" s="70"/>
      <c r="E1165" s="79"/>
      <c r="F1165" s="45"/>
      <c r="H1165" s="45"/>
      <c r="I1165" s="10"/>
      <c r="J1165" s="7"/>
      <c r="K1165" s="7"/>
      <c r="L1165" s="10"/>
      <c r="M1165" s="10"/>
      <c r="N1165" s="10"/>
      <c r="O1165" s="10"/>
      <c r="P1165" s="10"/>
      <c r="Q1165" s="10"/>
      <c r="R1165" s="10"/>
      <c r="S1165" s="10"/>
      <c r="T1165" s="14"/>
      <c r="U1165" s="10"/>
      <c r="V1165" s="10"/>
      <c r="W1165" s="10"/>
      <c r="X1165" s="7"/>
      <c r="Y1165" s="7"/>
      <c r="Z1165" s="7"/>
      <c r="AA1165" s="34"/>
      <c r="AB1165" s="7"/>
      <c r="AC1165" s="34"/>
      <c r="AD1165" s="10"/>
      <c r="AE1165"/>
      <c r="AF1165"/>
    </row>
    <row r="1166" spans="1:32" x14ac:dyDescent="0.25">
      <c r="A1166" s="16"/>
      <c r="C1166" s="70"/>
      <c r="D1166" s="70"/>
      <c r="E1166" s="73"/>
      <c r="F1166" s="9"/>
      <c r="H1166" s="9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4"/>
      <c r="U1166" s="10"/>
      <c r="V1166" s="10"/>
      <c r="W1166" s="10"/>
      <c r="X1166" s="7"/>
      <c r="Y1166" s="7"/>
      <c r="Z1166" s="7"/>
      <c r="AA1166" s="34"/>
      <c r="AB1166" s="7"/>
      <c r="AC1166" s="34"/>
      <c r="AD1166" s="10"/>
      <c r="AE1166"/>
      <c r="AF1166"/>
    </row>
    <row r="1167" spans="1:32" x14ac:dyDescent="0.25">
      <c r="A1167" s="16"/>
      <c r="C1167" s="70"/>
      <c r="D1167" s="70"/>
      <c r="E1167" s="73"/>
      <c r="F1167" s="9"/>
      <c r="H1167" s="9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4"/>
      <c r="U1167" s="10"/>
      <c r="V1167" s="10"/>
      <c r="W1167" s="10"/>
      <c r="X1167" s="7"/>
      <c r="Y1167" s="7"/>
      <c r="Z1167" s="7"/>
      <c r="AA1167" s="34"/>
      <c r="AB1167" s="7"/>
      <c r="AC1167" s="34"/>
      <c r="AD1167" s="10"/>
      <c r="AE1167"/>
      <c r="AF1167"/>
    </row>
    <row r="1168" spans="1:32" x14ac:dyDescent="0.25">
      <c r="A1168" s="16"/>
      <c r="C1168" s="70"/>
      <c r="D1168" s="70"/>
      <c r="E1168" s="73"/>
      <c r="F1168" s="9"/>
      <c r="H1168" s="9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4"/>
      <c r="U1168" s="10"/>
      <c r="V1168" s="10"/>
      <c r="W1168" s="10"/>
      <c r="X1168" s="7"/>
      <c r="Y1168" s="7"/>
      <c r="Z1168" s="7"/>
      <c r="AA1168" s="34"/>
      <c r="AB1168" s="7"/>
      <c r="AC1168" s="34"/>
      <c r="AD1168" s="10"/>
      <c r="AE1168"/>
      <c r="AF1168"/>
    </row>
    <row r="1169" spans="1:32" x14ac:dyDescent="0.25">
      <c r="A1169" s="43"/>
      <c r="C1169" s="70"/>
      <c r="D1169" s="70"/>
      <c r="E1169" s="73"/>
      <c r="F1169" s="9"/>
      <c r="H1169" s="9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4"/>
      <c r="U1169" s="10"/>
      <c r="V1169" s="10"/>
      <c r="W1169" s="10"/>
      <c r="X1169" s="7"/>
      <c r="Y1169" s="7"/>
      <c r="Z1169" s="7"/>
      <c r="AA1169" s="34"/>
      <c r="AB1169" s="7"/>
      <c r="AC1169" s="34"/>
      <c r="AD1169" s="10"/>
      <c r="AE1169"/>
      <c r="AF1169"/>
    </row>
    <row r="1170" spans="1:32" x14ac:dyDescent="0.25">
      <c r="A1170" s="16"/>
      <c r="C1170" s="70"/>
      <c r="D1170" s="70"/>
      <c r="E1170" s="73"/>
      <c r="F1170" s="45"/>
      <c r="G1170" s="49"/>
      <c r="H1170" s="9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4"/>
      <c r="U1170" s="10"/>
      <c r="V1170" s="10"/>
      <c r="W1170" s="10"/>
      <c r="X1170" s="7"/>
      <c r="Y1170" s="7"/>
      <c r="Z1170" s="7"/>
      <c r="AA1170" s="34"/>
      <c r="AB1170" s="7"/>
      <c r="AC1170" s="34"/>
      <c r="AD1170" s="10"/>
      <c r="AE1170"/>
      <c r="AF1170"/>
    </row>
    <row r="1171" spans="1:32" x14ac:dyDescent="0.25">
      <c r="A1171" s="16"/>
      <c r="C1171" s="70"/>
      <c r="D1171" s="70"/>
      <c r="E1171" s="73"/>
      <c r="F1171" s="9"/>
      <c r="H1171" s="9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4"/>
      <c r="U1171" s="10"/>
      <c r="V1171" s="10"/>
      <c r="W1171" s="10"/>
      <c r="X1171" s="7"/>
      <c r="Y1171" s="7"/>
      <c r="Z1171" s="7"/>
      <c r="AA1171" s="34"/>
      <c r="AB1171" s="7"/>
      <c r="AC1171" s="34"/>
      <c r="AD1171" s="10"/>
      <c r="AE1171"/>
      <c r="AF1171"/>
    </row>
    <row r="1172" spans="1:32" x14ac:dyDescent="0.25">
      <c r="A1172" s="16"/>
      <c r="C1172" s="70"/>
      <c r="D1172" s="70"/>
      <c r="E1172" s="73"/>
      <c r="F1172" s="9"/>
      <c r="H1172" s="9"/>
      <c r="I1172" s="10"/>
      <c r="J1172" s="7"/>
      <c r="K1172" s="7"/>
      <c r="L1172" s="34"/>
      <c r="M1172" s="34"/>
      <c r="N1172" s="10"/>
      <c r="O1172" s="10"/>
      <c r="P1172" s="10"/>
      <c r="Q1172" s="10"/>
      <c r="R1172" s="10"/>
      <c r="S1172" s="10"/>
      <c r="T1172" s="14"/>
      <c r="U1172" s="10"/>
      <c r="V1172" s="10"/>
      <c r="W1172" s="10"/>
      <c r="X1172" s="7"/>
      <c r="Y1172" s="7"/>
      <c r="Z1172" s="7"/>
      <c r="AA1172" s="34"/>
      <c r="AB1172" s="7"/>
      <c r="AC1172" s="34"/>
      <c r="AD1172" s="10"/>
      <c r="AE1172"/>
      <c r="AF1172"/>
    </row>
    <row r="1173" spans="1:32" x14ac:dyDescent="0.25">
      <c r="A1173" s="16"/>
      <c r="C1173" s="70"/>
      <c r="D1173" s="70"/>
      <c r="E1173" s="73"/>
      <c r="F1173" s="45"/>
      <c r="H1173" s="9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4"/>
      <c r="U1173" s="10"/>
      <c r="V1173" s="10"/>
      <c r="W1173" s="10"/>
      <c r="X1173" s="7"/>
      <c r="Y1173" s="34"/>
      <c r="Z1173" s="7"/>
      <c r="AA1173" s="34"/>
      <c r="AB1173" s="7"/>
      <c r="AC1173" s="34"/>
      <c r="AD1173" s="10"/>
      <c r="AE1173"/>
      <c r="AF1173"/>
    </row>
    <row r="1174" spans="1:32" x14ac:dyDescent="0.25">
      <c r="A1174" s="16"/>
      <c r="C1174" s="70"/>
      <c r="D1174" s="70"/>
      <c r="E1174" s="73"/>
      <c r="F1174" s="9"/>
      <c r="H1174" s="9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4"/>
      <c r="U1174" s="10"/>
      <c r="V1174" s="10"/>
      <c r="W1174" s="10"/>
      <c r="X1174" s="7"/>
      <c r="Y1174" s="7"/>
      <c r="Z1174" s="7"/>
      <c r="AA1174" s="34"/>
      <c r="AB1174" s="7"/>
      <c r="AC1174" s="34"/>
      <c r="AD1174" s="10"/>
      <c r="AE1174"/>
      <c r="AF1174"/>
    </row>
    <row r="1175" spans="1:32" x14ac:dyDescent="0.25">
      <c r="A1175" s="16"/>
      <c r="C1175" s="70"/>
      <c r="D1175" s="70"/>
      <c r="E1175" s="73"/>
      <c r="F1175" s="9"/>
      <c r="H1175" s="9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4"/>
      <c r="U1175" s="10"/>
      <c r="V1175" s="10"/>
      <c r="W1175" s="10"/>
      <c r="X1175" s="7"/>
      <c r="Y1175" s="7"/>
      <c r="Z1175" s="7"/>
      <c r="AA1175" s="34"/>
      <c r="AB1175" s="7"/>
      <c r="AC1175" s="34"/>
      <c r="AD1175" s="10"/>
      <c r="AE1175"/>
      <c r="AF1175"/>
    </row>
    <row r="1176" spans="1:32" x14ac:dyDescent="0.25">
      <c r="A1176" s="16"/>
      <c r="C1176" s="70"/>
      <c r="D1176" s="70"/>
      <c r="E1176" s="73"/>
      <c r="F1176" s="9"/>
      <c r="H1176" s="9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4"/>
      <c r="U1176" s="10"/>
      <c r="V1176" s="10"/>
      <c r="W1176" s="10"/>
      <c r="X1176" s="7"/>
      <c r="Y1176" s="7"/>
      <c r="Z1176" s="7"/>
      <c r="AA1176" s="34"/>
      <c r="AB1176" s="7"/>
      <c r="AC1176" s="34"/>
      <c r="AD1176" s="10"/>
      <c r="AE1176"/>
      <c r="AF1176"/>
    </row>
    <row r="1177" spans="1:32" x14ac:dyDescent="0.25">
      <c r="A1177" s="16"/>
      <c r="C1177" s="70"/>
      <c r="D1177" s="70"/>
      <c r="E1177" s="73"/>
      <c r="F1177" s="9"/>
      <c r="H1177" s="9"/>
      <c r="I1177" s="10"/>
      <c r="J1177" s="7"/>
      <c r="K1177" s="7"/>
      <c r="L1177" s="10"/>
      <c r="M1177" s="10"/>
      <c r="N1177" s="10"/>
      <c r="O1177" s="10"/>
      <c r="P1177" s="10"/>
      <c r="Q1177" s="10"/>
      <c r="R1177" s="10"/>
      <c r="S1177" s="10"/>
      <c r="T1177" s="14"/>
      <c r="U1177" s="10"/>
      <c r="V1177" s="10"/>
      <c r="W1177" s="10"/>
      <c r="X1177" s="7"/>
      <c r="Y1177" s="7"/>
      <c r="Z1177" s="7"/>
      <c r="AA1177" s="34"/>
      <c r="AB1177" s="7"/>
      <c r="AC1177" s="34"/>
      <c r="AD1177" s="10"/>
      <c r="AE1177"/>
      <c r="AF1177"/>
    </row>
    <row r="1178" spans="1:32" x14ac:dyDescent="0.25">
      <c r="A1178" s="16"/>
      <c r="C1178" s="70"/>
      <c r="D1178" s="70"/>
      <c r="E1178" s="73"/>
      <c r="F1178" s="9"/>
      <c r="H1178" s="9"/>
      <c r="I1178" s="10"/>
      <c r="J1178" s="7"/>
      <c r="K1178" s="7"/>
      <c r="L1178" s="10"/>
      <c r="M1178" s="10"/>
      <c r="N1178" s="10"/>
      <c r="O1178" s="10"/>
      <c r="P1178" s="10"/>
      <c r="Q1178" s="10"/>
      <c r="R1178" s="10"/>
      <c r="S1178" s="10"/>
      <c r="T1178" s="14"/>
      <c r="U1178" s="10"/>
      <c r="V1178" s="10"/>
      <c r="W1178" s="10"/>
      <c r="X1178" s="7"/>
      <c r="Y1178" s="7"/>
      <c r="Z1178" s="7"/>
      <c r="AA1178" s="34"/>
      <c r="AB1178" s="7"/>
      <c r="AC1178" s="34"/>
      <c r="AD1178" s="10"/>
      <c r="AE1178"/>
      <c r="AF1178"/>
    </row>
    <row r="1179" spans="1:32" x14ac:dyDescent="0.25">
      <c r="A1179" s="16"/>
      <c r="C1179" s="70"/>
      <c r="D1179" s="70"/>
      <c r="E1179" s="73"/>
      <c r="F1179" s="9"/>
      <c r="H1179" s="9"/>
      <c r="I1179" s="10"/>
      <c r="J1179" s="7"/>
      <c r="K1179" s="7"/>
      <c r="L1179" s="10"/>
      <c r="M1179" s="10"/>
      <c r="N1179" s="10"/>
      <c r="O1179" s="10"/>
      <c r="P1179" s="10"/>
      <c r="Q1179" s="10"/>
      <c r="R1179" s="10"/>
      <c r="S1179" s="10"/>
      <c r="T1179" s="14"/>
      <c r="U1179" s="10"/>
      <c r="V1179" s="10"/>
      <c r="W1179" s="10"/>
      <c r="X1179" s="7"/>
      <c r="Y1179" s="7"/>
      <c r="Z1179" s="7"/>
      <c r="AA1179" s="34"/>
      <c r="AB1179" s="7"/>
      <c r="AC1179" s="34"/>
      <c r="AD1179" s="10"/>
      <c r="AE1179"/>
      <c r="AF1179"/>
    </row>
    <row r="1180" spans="1:32" x14ac:dyDescent="0.25">
      <c r="A1180" s="16"/>
      <c r="C1180" s="70"/>
      <c r="D1180" s="70"/>
      <c r="E1180" s="73"/>
      <c r="F1180" s="9"/>
      <c r="H1180" s="9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4"/>
      <c r="U1180" s="10"/>
      <c r="V1180" s="10"/>
      <c r="W1180" s="10"/>
      <c r="X1180" s="7"/>
      <c r="Y1180" s="7"/>
      <c r="Z1180" s="34"/>
      <c r="AA1180" s="34"/>
      <c r="AB1180" s="7"/>
      <c r="AC1180" s="34"/>
      <c r="AD1180" s="10"/>
      <c r="AE1180"/>
      <c r="AF1180"/>
    </row>
    <row r="1181" spans="1:32" x14ac:dyDescent="0.25">
      <c r="A1181" s="16"/>
      <c r="C1181" s="70"/>
      <c r="D1181" s="70"/>
      <c r="E1181" s="73"/>
      <c r="F1181" s="9"/>
      <c r="H1181" s="9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4"/>
      <c r="U1181" s="10"/>
      <c r="V1181" s="10"/>
      <c r="W1181" s="10"/>
      <c r="X1181" s="7"/>
      <c r="Y1181" s="7"/>
      <c r="Z1181" s="7"/>
      <c r="AA1181" s="34"/>
      <c r="AB1181" s="7"/>
      <c r="AC1181" s="34"/>
      <c r="AD1181" s="10"/>
      <c r="AE1181"/>
      <c r="AF1181"/>
    </row>
    <row r="1182" spans="1:32" x14ac:dyDescent="0.25">
      <c r="A1182" s="16"/>
      <c r="C1182" s="70"/>
      <c r="D1182" s="70"/>
      <c r="E1182" s="73"/>
      <c r="F1182" s="9"/>
      <c r="H1182" s="9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4"/>
      <c r="U1182" s="10"/>
      <c r="V1182" s="10"/>
      <c r="W1182" s="10"/>
      <c r="X1182" s="7"/>
      <c r="Y1182" s="7"/>
      <c r="Z1182" s="7"/>
      <c r="AA1182" s="34"/>
      <c r="AB1182" s="7"/>
      <c r="AC1182" s="34"/>
      <c r="AD1182" s="10"/>
      <c r="AE1182"/>
      <c r="AF1182"/>
    </row>
    <row r="1183" spans="1:32" x14ac:dyDescent="0.25">
      <c r="A1183" s="16"/>
      <c r="C1183" s="70"/>
      <c r="D1183" s="70"/>
      <c r="E1183" s="73"/>
      <c r="F1183" s="9"/>
      <c r="H1183" s="9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4"/>
      <c r="U1183" s="10"/>
      <c r="V1183" s="10"/>
      <c r="W1183" s="10"/>
      <c r="X1183" s="7"/>
      <c r="Y1183" s="7"/>
      <c r="Z1183" s="7"/>
      <c r="AA1183" s="34"/>
      <c r="AB1183" s="7"/>
      <c r="AC1183" s="34"/>
      <c r="AD1183" s="10"/>
      <c r="AE1183"/>
      <c r="AF1183"/>
    </row>
    <row r="1184" spans="1:32" x14ac:dyDescent="0.25">
      <c r="A1184" s="16"/>
      <c r="C1184" s="70"/>
      <c r="D1184" s="70"/>
      <c r="E1184" s="73"/>
      <c r="F1184" s="9"/>
      <c r="H1184" s="9"/>
      <c r="I1184" s="10"/>
      <c r="J1184" s="7"/>
      <c r="K1184" s="7"/>
      <c r="L1184" s="10"/>
      <c r="M1184" s="10"/>
      <c r="N1184" s="10"/>
      <c r="O1184" s="10"/>
      <c r="P1184" s="10"/>
      <c r="Q1184" s="10"/>
      <c r="R1184" s="10"/>
      <c r="S1184" s="10"/>
      <c r="T1184" s="14"/>
      <c r="U1184" s="10"/>
      <c r="V1184" s="10"/>
      <c r="W1184" s="10"/>
      <c r="X1184" s="7"/>
      <c r="Y1184" s="7"/>
      <c r="Z1184" s="7"/>
      <c r="AA1184" s="34"/>
      <c r="AB1184" s="7"/>
      <c r="AC1184" s="34"/>
      <c r="AD1184" s="10"/>
      <c r="AE1184"/>
      <c r="AF1184"/>
    </row>
    <row r="1185" spans="1:32" x14ac:dyDescent="0.25">
      <c r="A1185" s="16"/>
      <c r="C1185" s="70"/>
      <c r="D1185" s="70"/>
      <c r="E1185" s="73"/>
      <c r="F1185" s="9"/>
      <c r="H1185" s="9"/>
      <c r="I1185" s="10"/>
      <c r="J1185" s="7"/>
      <c r="K1185" s="7"/>
      <c r="L1185" s="10"/>
      <c r="M1185" s="10"/>
      <c r="N1185" s="10"/>
      <c r="O1185" s="10"/>
      <c r="P1185" s="10"/>
      <c r="Q1185" s="10"/>
      <c r="R1185" s="10"/>
      <c r="S1185" s="10"/>
      <c r="T1185" s="14"/>
      <c r="U1185" s="10"/>
      <c r="V1185" s="10"/>
      <c r="W1185" s="10"/>
      <c r="X1185" s="7"/>
      <c r="Y1185" s="7"/>
      <c r="Z1185" s="7"/>
      <c r="AA1185" s="34"/>
      <c r="AB1185" s="7"/>
      <c r="AC1185" s="34"/>
      <c r="AD1185" s="10"/>
      <c r="AE1185"/>
      <c r="AF1185"/>
    </row>
    <row r="1186" spans="1:32" x14ac:dyDescent="0.25">
      <c r="A1186" s="16"/>
      <c r="C1186" s="70"/>
      <c r="D1186" s="70"/>
      <c r="E1186" s="73"/>
      <c r="F1186" s="9"/>
      <c r="H1186" s="9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4"/>
      <c r="U1186" s="10"/>
      <c r="V1186" s="10"/>
      <c r="W1186" s="10"/>
      <c r="X1186" s="7"/>
      <c r="Y1186" s="7"/>
      <c r="Z1186" s="7"/>
      <c r="AA1186" s="34"/>
      <c r="AB1186" s="7"/>
      <c r="AC1186" s="34"/>
      <c r="AD1186" s="10"/>
      <c r="AE1186"/>
      <c r="AF1186"/>
    </row>
    <row r="1187" spans="1:32" x14ac:dyDescent="0.25">
      <c r="A1187" s="16"/>
      <c r="C1187" s="70"/>
      <c r="D1187" s="70"/>
      <c r="E1187" s="73"/>
      <c r="F1187" s="9"/>
      <c r="H1187" s="9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4"/>
      <c r="U1187" s="10"/>
      <c r="V1187" s="10"/>
      <c r="W1187" s="10"/>
      <c r="X1187" s="7"/>
      <c r="Y1187" s="7"/>
      <c r="Z1187" s="7"/>
      <c r="AA1187" s="34"/>
      <c r="AB1187" s="7"/>
      <c r="AC1187" s="34"/>
      <c r="AD1187" s="10"/>
      <c r="AE1187"/>
      <c r="AF1187"/>
    </row>
    <row r="1188" spans="1:32" x14ac:dyDescent="0.25">
      <c r="A1188" s="16"/>
      <c r="C1188" s="70"/>
      <c r="D1188" s="70"/>
      <c r="E1188" s="73"/>
      <c r="F1188" s="9"/>
      <c r="H1188" s="9"/>
      <c r="I1188" s="10"/>
      <c r="J1188" s="7"/>
      <c r="K1188" s="7"/>
      <c r="L1188" s="10"/>
      <c r="M1188" s="10"/>
      <c r="N1188" s="10"/>
      <c r="O1188" s="10"/>
      <c r="P1188" s="10"/>
      <c r="Q1188" s="10"/>
      <c r="R1188" s="10"/>
      <c r="S1188" s="10"/>
      <c r="T1188" s="14"/>
      <c r="U1188" s="10"/>
      <c r="V1188" s="10"/>
      <c r="W1188" s="10"/>
      <c r="X1188" s="7"/>
      <c r="Y1188" s="7"/>
      <c r="Z1188" s="7"/>
      <c r="AA1188" s="34"/>
      <c r="AB1188" s="7"/>
      <c r="AC1188" s="34"/>
      <c r="AD1188" s="10"/>
      <c r="AE1188"/>
      <c r="AF1188"/>
    </row>
    <row r="1189" spans="1:32" x14ac:dyDescent="0.25">
      <c r="A1189" s="16"/>
      <c r="C1189" s="70"/>
      <c r="D1189" s="70"/>
      <c r="E1189" s="73"/>
      <c r="F1189" s="9"/>
      <c r="H1189" s="9"/>
      <c r="I1189" s="10"/>
      <c r="J1189" s="7"/>
      <c r="K1189" s="7"/>
      <c r="L1189" s="10"/>
      <c r="M1189" s="10"/>
      <c r="N1189" s="10"/>
      <c r="O1189" s="10"/>
      <c r="P1189" s="10"/>
      <c r="Q1189" s="10"/>
      <c r="R1189" s="10"/>
      <c r="S1189" s="10"/>
      <c r="T1189" s="14"/>
      <c r="U1189" s="10"/>
      <c r="V1189" s="10"/>
      <c r="W1189" s="10"/>
      <c r="X1189" s="7"/>
      <c r="Y1189" s="7"/>
      <c r="Z1189" s="7"/>
      <c r="AA1189" s="34"/>
      <c r="AB1189" s="7"/>
      <c r="AC1189" s="34"/>
      <c r="AD1189" s="10"/>
      <c r="AE1189"/>
      <c r="AF1189"/>
    </row>
    <row r="1190" spans="1:32" x14ac:dyDescent="0.25">
      <c r="A1190" s="16"/>
      <c r="C1190" s="70"/>
      <c r="D1190" s="70"/>
      <c r="E1190" s="73"/>
      <c r="F1190" s="9"/>
      <c r="H1190" s="9"/>
      <c r="I1190" s="10"/>
      <c r="J1190" s="7"/>
      <c r="K1190" s="7"/>
      <c r="L1190" s="10"/>
      <c r="M1190" s="10"/>
      <c r="N1190" s="10"/>
      <c r="O1190" s="10"/>
      <c r="P1190" s="10"/>
      <c r="Q1190" s="10"/>
      <c r="R1190" s="10"/>
      <c r="S1190" s="10"/>
      <c r="T1190" s="14"/>
      <c r="U1190" s="10"/>
      <c r="V1190" s="10"/>
      <c r="W1190" s="10"/>
      <c r="X1190" s="7"/>
      <c r="Y1190" s="7"/>
      <c r="Z1190" s="7"/>
      <c r="AA1190" s="34"/>
      <c r="AB1190" s="7"/>
      <c r="AC1190" s="34"/>
      <c r="AD1190" s="10"/>
      <c r="AE1190"/>
      <c r="AF1190"/>
    </row>
    <row r="1191" spans="1:32" x14ac:dyDescent="0.25">
      <c r="A1191" s="16"/>
      <c r="C1191" s="70"/>
      <c r="D1191" s="70"/>
      <c r="E1191" s="73"/>
      <c r="F1191" s="9"/>
      <c r="H1191" s="9"/>
      <c r="I1191" s="10"/>
      <c r="J1191" s="7"/>
      <c r="K1191" s="7"/>
      <c r="L1191" s="10"/>
      <c r="M1191" s="10"/>
      <c r="N1191" s="10"/>
      <c r="O1191" s="10"/>
      <c r="P1191" s="10"/>
      <c r="Q1191" s="10"/>
      <c r="R1191" s="10"/>
      <c r="S1191" s="10"/>
      <c r="T1191" s="14"/>
      <c r="U1191" s="10"/>
      <c r="V1191" s="10"/>
      <c r="W1191" s="10"/>
      <c r="X1191" s="7"/>
      <c r="Y1191" s="7"/>
      <c r="Z1191" s="7"/>
      <c r="AA1191" s="34"/>
      <c r="AB1191" s="7"/>
      <c r="AC1191" s="34"/>
      <c r="AD1191" s="10"/>
      <c r="AE1191"/>
      <c r="AF1191"/>
    </row>
    <row r="1192" spans="1:32" x14ac:dyDescent="0.25">
      <c r="A1192" s="16"/>
      <c r="C1192" s="70"/>
      <c r="D1192" s="70"/>
      <c r="E1192" s="73"/>
      <c r="F1192" s="9"/>
      <c r="H1192" s="9"/>
      <c r="I1192" s="10"/>
      <c r="J1192" s="7"/>
      <c r="K1192" s="7"/>
      <c r="L1192" s="10"/>
      <c r="M1192" s="10"/>
      <c r="N1192" s="10"/>
      <c r="O1192" s="10"/>
      <c r="P1192" s="10"/>
      <c r="Q1192" s="10"/>
      <c r="R1192" s="10"/>
      <c r="S1192" s="10"/>
      <c r="T1192" s="14"/>
      <c r="U1192" s="10"/>
      <c r="V1192" s="10"/>
      <c r="W1192" s="10"/>
      <c r="X1192" s="7"/>
      <c r="Y1192" s="7"/>
      <c r="Z1192" s="7"/>
      <c r="AA1192" s="34"/>
      <c r="AB1192" s="7"/>
      <c r="AC1192" s="34"/>
      <c r="AD1192" s="10"/>
      <c r="AE1192"/>
      <c r="AF1192"/>
    </row>
    <row r="1193" spans="1:32" x14ac:dyDescent="0.25">
      <c r="A1193" s="16"/>
      <c r="C1193" s="70"/>
      <c r="D1193" s="70"/>
      <c r="E1193" s="73"/>
      <c r="F1193" s="9"/>
      <c r="H1193" s="9"/>
      <c r="I1193" s="10"/>
      <c r="J1193" s="60"/>
      <c r="K1193" s="42"/>
      <c r="L1193" s="10"/>
      <c r="M1193" s="10"/>
      <c r="N1193" s="10"/>
      <c r="O1193" s="10"/>
      <c r="P1193" s="10"/>
      <c r="Q1193" s="10"/>
      <c r="R1193" s="10"/>
      <c r="S1193" s="10"/>
      <c r="T1193" s="14"/>
      <c r="U1193" s="10"/>
      <c r="V1193" s="10"/>
      <c r="W1193" s="10"/>
      <c r="X1193" s="7"/>
      <c r="Y1193" s="7"/>
      <c r="Z1193" s="7"/>
      <c r="AA1193" s="34"/>
      <c r="AB1193" s="7"/>
      <c r="AC1193" s="34"/>
      <c r="AD1193" s="10"/>
      <c r="AE1193"/>
      <c r="AF1193"/>
    </row>
    <row r="1194" spans="1:32" x14ac:dyDescent="0.25">
      <c r="A1194" s="16"/>
      <c r="C1194" s="70"/>
      <c r="D1194" s="70"/>
      <c r="E1194" s="73"/>
      <c r="F1194" s="9"/>
      <c r="H1194" s="9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4"/>
      <c r="U1194" s="10"/>
      <c r="V1194" s="10"/>
      <c r="W1194" s="10"/>
      <c r="X1194" s="7"/>
      <c r="Y1194" s="7"/>
      <c r="Z1194" s="7"/>
      <c r="AA1194" s="34"/>
      <c r="AB1194" s="7"/>
      <c r="AC1194" s="34"/>
      <c r="AD1194" s="10"/>
      <c r="AE1194"/>
      <c r="AF1194"/>
    </row>
    <row r="1195" spans="1:32" x14ac:dyDescent="0.25">
      <c r="A1195" s="16"/>
      <c r="C1195" s="70"/>
      <c r="D1195" s="70"/>
      <c r="E1195" s="73"/>
      <c r="F1195" s="9"/>
      <c r="H1195" s="9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4"/>
      <c r="U1195" s="10"/>
      <c r="V1195" s="10"/>
      <c r="W1195" s="10"/>
      <c r="X1195" s="7"/>
      <c r="Y1195" s="7"/>
      <c r="Z1195" s="7"/>
      <c r="AA1195" s="34"/>
      <c r="AB1195" s="7"/>
      <c r="AC1195" s="34"/>
      <c r="AD1195" s="10"/>
      <c r="AE1195"/>
      <c r="AF1195"/>
    </row>
    <row r="1196" spans="1:32" x14ac:dyDescent="0.25">
      <c r="A1196" s="16"/>
      <c r="C1196" s="70"/>
      <c r="D1196" s="70"/>
      <c r="E1196" s="73"/>
      <c r="F1196" s="9"/>
      <c r="H1196" s="9"/>
      <c r="I1196" s="10"/>
      <c r="J1196" s="7"/>
      <c r="K1196" s="7"/>
      <c r="L1196" s="10"/>
      <c r="M1196" s="10"/>
      <c r="N1196" s="10"/>
      <c r="O1196" s="10"/>
      <c r="P1196" s="10"/>
      <c r="Q1196" s="10"/>
      <c r="R1196" s="10"/>
      <c r="S1196" s="10"/>
      <c r="T1196" s="14"/>
      <c r="U1196" s="10"/>
      <c r="V1196" s="10"/>
      <c r="W1196" s="10"/>
      <c r="X1196" s="7"/>
      <c r="Y1196" s="7"/>
      <c r="Z1196" s="7"/>
      <c r="AA1196" s="34"/>
      <c r="AB1196" s="7"/>
      <c r="AC1196" s="34"/>
      <c r="AD1196" s="10"/>
      <c r="AE1196"/>
      <c r="AF1196"/>
    </row>
    <row r="1197" spans="1:32" x14ac:dyDescent="0.25">
      <c r="A1197" s="16"/>
      <c r="C1197" s="70"/>
      <c r="D1197" s="70"/>
      <c r="E1197" s="73"/>
      <c r="F1197" s="9"/>
      <c r="H1197" s="9"/>
      <c r="I1197" s="10"/>
      <c r="J1197" s="7"/>
      <c r="K1197" s="7"/>
      <c r="L1197" s="10"/>
      <c r="M1197" s="10"/>
      <c r="N1197" s="10"/>
      <c r="O1197" s="10"/>
      <c r="P1197" s="10"/>
      <c r="Q1197" s="10"/>
      <c r="R1197" s="10"/>
      <c r="S1197" s="10"/>
      <c r="T1197" s="14"/>
      <c r="U1197" s="10"/>
      <c r="V1197" s="10"/>
      <c r="W1197" s="10"/>
      <c r="X1197" s="7"/>
      <c r="Y1197" s="7"/>
      <c r="Z1197" s="7"/>
      <c r="AA1197" s="34"/>
      <c r="AB1197" s="7"/>
      <c r="AC1197" s="34"/>
      <c r="AD1197" s="10"/>
      <c r="AE1197"/>
      <c r="AF1197"/>
    </row>
    <row r="1198" spans="1:32" x14ac:dyDescent="0.25">
      <c r="A1198" s="16"/>
      <c r="C1198" s="70"/>
      <c r="D1198" s="70"/>
      <c r="E1198" s="73"/>
      <c r="F1198" s="9"/>
      <c r="H1198" s="9"/>
      <c r="I1198" s="10"/>
      <c r="J1198" s="7"/>
      <c r="K1198" s="7"/>
      <c r="L1198" s="10"/>
      <c r="M1198" s="10"/>
      <c r="N1198" s="10"/>
      <c r="O1198" s="10"/>
      <c r="P1198" s="10"/>
      <c r="Q1198" s="10"/>
      <c r="R1198" s="10"/>
      <c r="S1198" s="10"/>
      <c r="T1198" s="14"/>
      <c r="U1198" s="10"/>
      <c r="V1198" s="10"/>
      <c r="W1198" s="10"/>
      <c r="X1198" s="7"/>
      <c r="Y1198" s="7"/>
      <c r="Z1198" s="7"/>
      <c r="AA1198" s="34"/>
      <c r="AB1198" s="7"/>
      <c r="AC1198" s="34"/>
      <c r="AD1198" s="10"/>
      <c r="AE1198"/>
      <c r="AF1198"/>
    </row>
    <row r="1199" spans="1:32" x14ac:dyDescent="0.25">
      <c r="A1199" s="16"/>
      <c r="C1199" s="70"/>
      <c r="D1199" s="70"/>
      <c r="E1199" s="73"/>
      <c r="F1199" s="9"/>
      <c r="H1199" s="9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4"/>
      <c r="U1199" s="10"/>
      <c r="V1199" s="10"/>
      <c r="W1199" s="10"/>
      <c r="X1199" s="7"/>
      <c r="Y1199" s="7"/>
      <c r="Z1199" s="7"/>
      <c r="AA1199" s="34"/>
      <c r="AB1199" s="7"/>
      <c r="AC1199" s="34"/>
      <c r="AD1199" s="10"/>
      <c r="AE1199"/>
      <c r="AF1199"/>
    </row>
    <row r="1200" spans="1:32" x14ac:dyDescent="0.25">
      <c r="A1200" s="16"/>
      <c r="C1200" s="70"/>
      <c r="D1200" s="70"/>
      <c r="E1200" s="73"/>
      <c r="F1200" s="9"/>
      <c r="H1200" s="9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4"/>
      <c r="U1200" s="10"/>
      <c r="V1200" s="10"/>
      <c r="W1200" s="10"/>
      <c r="X1200" s="7"/>
      <c r="Y1200" s="7"/>
      <c r="Z1200" s="7"/>
      <c r="AA1200" s="34"/>
      <c r="AB1200" s="7"/>
      <c r="AC1200" s="34"/>
      <c r="AD1200" s="10"/>
      <c r="AE1200"/>
      <c r="AF1200"/>
    </row>
    <row r="1201" spans="1:32" x14ac:dyDescent="0.25">
      <c r="A1201" s="16"/>
      <c r="C1201" s="70"/>
      <c r="D1201" s="70"/>
      <c r="E1201" s="73"/>
      <c r="F1201" s="9"/>
      <c r="H1201" s="9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4"/>
      <c r="U1201" s="10"/>
      <c r="V1201" s="10"/>
      <c r="W1201" s="10"/>
      <c r="X1201" s="7"/>
      <c r="Y1201" s="7"/>
      <c r="Z1201" s="7"/>
      <c r="AA1201" s="34"/>
      <c r="AB1201" s="7"/>
      <c r="AC1201" s="34"/>
      <c r="AD1201" s="10"/>
      <c r="AE1201"/>
      <c r="AF1201"/>
    </row>
    <row r="1202" spans="1:32" x14ac:dyDescent="0.25">
      <c r="A1202" s="16"/>
      <c r="C1202" s="70"/>
      <c r="D1202" s="70"/>
      <c r="E1202" s="73"/>
      <c r="F1202" s="9"/>
      <c r="H1202" s="9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4"/>
      <c r="U1202" s="10"/>
      <c r="V1202" s="10"/>
      <c r="W1202" s="10"/>
      <c r="X1202" s="7"/>
      <c r="Y1202" s="7"/>
      <c r="Z1202" s="7"/>
      <c r="AA1202" s="34"/>
      <c r="AB1202" s="7"/>
      <c r="AC1202" s="34"/>
      <c r="AD1202" s="10"/>
      <c r="AE1202"/>
      <c r="AF1202"/>
    </row>
    <row r="1203" spans="1:32" x14ac:dyDescent="0.25">
      <c r="A1203" s="16"/>
      <c r="C1203" s="70"/>
      <c r="D1203" s="70"/>
      <c r="E1203" s="73"/>
      <c r="F1203" s="9"/>
      <c r="H1203" s="9"/>
      <c r="I1203" s="10"/>
      <c r="J1203" s="7"/>
      <c r="K1203" s="7"/>
      <c r="L1203" s="10"/>
      <c r="M1203" s="10"/>
      <c r="N1203" s="10"/>
      <c r="O1203" s="10"/>
      <c r="P1203" s="10"/>
      <c r="Q1203" s="10"/>
      <c r="R1203" s="10"/>
      <c r="S1203" s="10"/>
      <c r="T1203" s="14"/>
      <c r="U1203" s="10"/>
      <c r="V1203" s="10"/>
      <c r="W1203" s="10"/>
      <c r="X1203" s="7"/>
      <c r="Y1203" s="7"/>
      <c r="Z1203" s="7"/>
      <c r="AA1203" s="34"/>
      <c r="AB1203" s="7"/>
      <c r="AC1203" s="34"/>
      <c r="AD1203" s="10"/>
      <c r="AE1203"/>
      <c r="AF1203"/>
    </row>
    <row r="1204" spans="1:32" x14ac:dyDescent="0.25">
      <c r="A1204" s="16"/>
      <c r="C1204" s="70"/>
      <c r="D1204" s="70"/>
      <c r="E1204" s="73"/>
      <c r="F1204" s="9"/>
      <c r="H1204" s="9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4"/>
      <c r="U1204" s="10"/>
      <c r="V1204" s="10"/>
      <c r="W1204" s="10"/>
      <c r="X1204" s="7"/>
      <c r="Y1204" s="7"/>
      <c r="Z1204" s="7"/>
      <c r="AA1204" s="34"/>
      <c r="AB1204" s="7"/>
      <c r="AC1204" s="34"/>
      <c r="AD1204" s="10"/>
      <c r="AE1204"/>
      <c r="AF1204"/>
    </row>
    <row r="1205" spans="1:32" x14ac:dyDescent="0.25">
      <c r="A1205" s="16"/>
      <c r="C1205" s="70"/>
      <c r="D1205" s="70"/>
      <c r="E1205" s="73"/>
      <c r="F1205" s="9"/>
      <c r="H1205" s="9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4"/>
      <c r="U1205" s="10"/>
      <c r="V1205" s="10"/>
      <c r="W1205" s="10"/>
      <c r="X1205" s="7"/>
      <c r="Y1205" s="34"/>
      <c r="Z1205" s="7"/>
      <c r="AA1205" s="34"/>
      <c r="AB1205" s="7"/>
      <c r="AC1205" s="34"/>
      <c r="AD1205" s="10"/>
      <c r="AE1205"/>
      <c r="AF1205"/>
    </row>
    <row r="1206" spans="1:32" x14ac:dyDescent="0.25">
      <c r="A1206" s="16"/>
      <c r="C1206" s="70"/>
      <c r="D1206" s="70"/>
      <c r="E1206" s="73"/>
      <c r="F1206" s="9"/>
      <c r="H1206" s="9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4"/>
      <c r="U1206" s="10"/>
      <c r="V1206" s="10"/>
      <c r="W1206" s="10"/>
      <c r="X1206" s="7"/>
      <c r="Y1206" s="7"/>
      <c r="Z1206" s="7"/>
      <c r="AA1206" s="34"/>
      <c r="AB1206" s="7"/>
      <c r="AC1206" s="34"/>
      <c r="AD1206" s="10"/>
      <c r="AE1206"/>
      <c r="AF1206"/>
    </row>
    <row r="1207" spans="1:32" x14ac:dyDescent="0.25">
      <c r="A1207" s="16"/>
      <c r="C1207" s="70"/>
      <c r="D1207" s="70"/>
      <c r="E1207" s="73"/>
      <c r="F1207" s="9"/>
      <c r="H1207" s="9"/>
      <c r="I1207" s="10"/>
      <c r="J1207" s="7"/>
      <c r="K1207" s="7"/>
      <c r="L1207" s="10"/>
      <c r="M1207" s="10"/>
      <c r="N1207" s="10"/>
      <c r="O1207" s="10"/>
      <c r="P1207" s="10"/>
      <c r="Q1207" s="10"/>
      <c r="R1207" s="10"/>
      <c r="S1207" s="10"/>
      <c r="T1207" s="14"/>
      <c r="U1207" s="10"/>
      <c r="V1207" s="10"/>
      <c r="W1207" s="10"/>
      <c r="X1207" s="7"/>
      <c r="Y1207" s="7"/>
      <c r="Z1207" s="7"/>
      <c r="AA1207" s="34"/>
      <c r="AB1207" s="7"/>
      <c r="AC1207" s="34"/>
      <c r="AD1207" s="10"/>
      <c r="AE1207"/>
      <c r="AF1207"/>
    </row>
    <row r="1208" spans="1:32" x14ac:dyDescent="0.25">
      <c r="A1208" s="16"/>
      <c r="C1208" s="70"/>
      <c r="D1208" s="70"/>
      <c r="E1208" s="73"/>
      <c r="F1208" s="9"/>
      <c r="H1208" s="9"/>
      <c r="I1208" s="10"/>
      <c r="J1208" s="7"/>
      <c r="K1208" s="7"/>
      <c r="L1208" s="10"/>
      <c r="M1208" s="10"/>
      <c r="N1208" s="10"/>
      <c r="O1208" s="10"/>
      <c r="P1208" s="10"/>
      <c r="Q1208" s="10"/>
      <c r="R1208" s="10"/>
      <c r="S1208" s="10"/>
      <c r="T1208" s="14"/>
      <c r="U1208" s="10"/>
      <c r="V1208" s="10"/>
      <c r="W1208" s="10"/>
      <c r="X1208" s="7"/>
      <c r="Y1208" s="7"/>
      <c r="Z1208" s="7"/>
      <c r="AA1208" s="34"/>
      <c r="AB1208" s="7"/>
      <c r="AC1208" s="34"/>
      <c r="AD1208" s="10"/>
      <c r="AE1208"/>
      <c r="AF1208"/>
    </row>
    <row r="1209" spans="1:32" x14ac:dyDescent="0.25">
      <c r="A1209" s="16"/>
      <c r="C1209" s="70"/>
      <c r="D1209" s="70"/>
      <c r="E1209" s="73"/>
      <c r="F1209" s="9"/>
      <c r="H1209" s="9"/>
      <c r="I1209" s="10"/>
      <c r="J1209" s="60"/>
      <c r="K1209" s="42"/>
      <c r="L1209" s="10"/>
      <c r="M1209" s="10"/>
      <c r="N1209" s="10"/>
      <c r="O1209" s="10"/>
      <c r="P1209" s="10"/>
      <c r="Q1209" s="10"/>
      <c r="R1209" s="10"/>
      <c r="S1209" s="10"/>
      <c r="T1209" s="14"/>
      <c r="U1209" s="10"/>
      <c r="V1209" s="10"/>
      <c r="W1209" s="10"/>
      <c r="X1209" s="7"/>
      <c r="Y1209" s="7"/>
      <c r="Z1209" s="7"/>
      <c r="AA1209" s="34"/>
      <c r="AB1209" s="7"/>
      <c r="AC1209" s="34"/>
      <c r="AD1209" s="10"/>
      <c r="AE1209"/>
      <c r="AF1209"/>
    </row>
    <row r="1210" spans="1:32" x14ac:dyDescent="0.25">
      <c r="A1210" s="16"/>
      <c r="C1210" s="70"/>
      <c r="D1210" s="70"/>
      <c r="E1210" s="73"/>
      <c r="F1210" s="9"/>
      <c r="H1210" s="9"/>
      <c r="I1210" s="10"/>
      <c r="J1210" s="7"/>
      <c r="K1210" s="7"/>
      <c r="L1210" s="10"/>
      <c r="M1210" s="10"/>
      <c r="N1210" s="10"/>
      <c r="O1210" s="10"/>
      <c r="P1210" s="10"/>
      <c r="Q1210" s="10"/>
      <c r="R1210" s="10"/>
      <c r="S1210" s="10"/>
      <c r="T1210" s="14"/>
      <c r="U1210" s="10"/>
      <c r="V1210" s="10"/>
      <c r="W1210" s="10"/>
      <c r="X1210" s="7"/>
      <c r="Y1210" s="7"/>
      <c r="Z1210" s="7"/>
      <c r="AA1210" s="34"/>
      <c r="AB1210" s="7"/>
      <c r="AC1210" s="34"/>
      <c r="AD1210" s="10"/>
      <c r="AE1210"/>
      <c r="AF1210"/>
    </row>
    <row r="1211" spans="1:32" x14ac:dyDescent="0.25">
      <c r="A1211" s="16"/>
      <c r="C1211" s="70"/>
      <c r="D1211" s="70"/>
      <c r="E1211" s="73"/>
      <c r="F1211" s="9"/>
      <c r="H1211" s="9"/>
      <c r="I1211" s="10"/>
      <c r="J1211" s="60"/>
      <c r="K1211" s="42"/>
      <c r="L1211" s="10"/>
      <c r="M1211" s="10"/>
      <c r="N1211" s="10"/>
      <c r="O1211" s="10"/>
      <c r="P1211" s="10"/>
      <c r="Q1211" s="10"/>
      <c r="R1211" s="10"/>
      <c r="S1211" s="10"/>
      <c r="T1211" s="14"/>
      <c r="U1211" s="10"/>
      <c r="V1211" s="10"/>
      <c r="W1211" s="10"/>
      <c r="X1211" s="7"/>
      <c r="Y1211" s="7"/>
      <c r="Z1211" s="7"/>
      <c r="AA1211" s="34"/>
      <c r="AB1211" s="7"/>
      <c r="AC1211" s="34"/>
      <c r="AD1211" s="10"/>
      <c r="AE1211"/>
      <c r="AF1211"/>
    </row>
    <row r="1212" spans="1:32" x14ac:dyDescent="0.25">
      <c r="A1212" s="16"/>
      <c r="C1212" s="70"/>
      <c r="D1212" s="70"/>
      <c r="E1212" s="73"/>
      <c r="F1212" s="9"/>
      <c r="H1212" s="9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4"/>
      <c r="U1212" s="10"/>
      <c r="V1212" s="10"/>
      <c r="W1212" s="10"/>
      <c r="X1212" s="7"/>
      <c r="Y1212" s="7"/>
      <c r="Z1212" s="7"/>
      <c r="AA1212" s="34"/>
      <c r="AB1212" s="7"/>
      <c r="AC1212" s="34"/>
      <c r="AD1212" s="10"/>
      <c r="AE1212"/>
      <c r="AF1212"/>
    </row>
    <row r="1213" spans="1:32" x14ac:dyDescent="0.25">
      <c r="A1213" s="16"/>
      <c r="C1213" s="70"/>
      <c r="D1213" s="70"/>
      <c r="E1213" s="73"/>
      <c r="F1213" s="9"/>
      <c r="H1213" s="9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4"/>
      <c r="U1213" s="10"/>
      <c r="V1213" s="10"/>
      <c r="W1213" s="10"/>
      <c r="X1213" s="7"/>
      <c r="Y1213" s="7"/>
      <c r="Z1213" s="7"/>
      <c r="AA1213" s="34"/>
      <c r="AB1213" s="7"/>
      <c r="AC1213" s="34"/>
      <c r="AD1213" s="10"/>
      <c r="AE1213"/>
      <c r="AF1213"/>
    </row>
    <row r="1214" spans="1:32" x14ac:dyDescent="0.25">
      <c r="A1214" s="16"/>
      <c r="C1214" s="70"/>
      <c r="D1214" s="70"/>
      <c r="E1214" s="73"/>
      <c r="F1214" s="9"/>
      <c r="H1214" s="9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4"/>
      <c r="U1214" s="10"/>
      <c r="V1214" s="10"/>
      <c r="W1214" s="10"/>
      <c r="X1214" s="7"/>
      <c r="Y1214" s="7"/>
      <c r="Z1214" s="7"/>
      <c r="AA1214" s="34"/>
      <c r="AB1214" s="7"/>
      <c r="AC1214" s="34"/>
      <c r="AD1214" s="10"/>
      <c r="AE1214"/>
      <c r="AF1214"/>
    </row>
    <row r="1215" spans="1:32" x14ac:dyDescent="0.25">
      <c r="A1215" s="16"/>
      <c r="C1215" s="70"/>
      <c r="D1215" s="70"/>
      <c r="E1215" s="73"/>
      <c r="F1215" s="9"/>
      <c r="H1215" s="9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4"/>
      <c r="U1215" s="10"/>
      <c r="V1215" s="10"/>
      <c r="W1215" s="10"/>
      <c r="X1215" s="7"/>
      <c r="Y1215" s="7"/>
      <c r="Z1215" s="7"/>
      <c r="AA1215" s="34"/>
      <c r="AB1215" s="7"/>
      <c r="AC1215" s="34"/>
      <c r="AD1215" s="10"/>
      <c r="AE1215"/>
      <c r="AF1215"/>
    </row>
    <row r="1216" spans="1:32" x14ac:dyDescent="0.25">
      <c r="A1216" s="16"/>
      <c r="C1216" s="70"/>
      <c r="D1216" s="70"/>
      <c r="E1216" s="73"/>
      <c r="F1216" s="9"/>
      <c r="H1216" s="9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4"/>
      <c r="U1216" s="10"/>
      <c r="V1216" s="10"/>
      <c r="W1216" s="10"/>
      <c r="X1216" s="7"/>
      <c r="Y1216" s="7"/>
      <c r="Z1216" s="7"/>
      <c r="AA1216" s="34"/>
      <c r="AB1216" s="7"/>
      <c r="AC1216" s="34"/>
      <c r="AD1216" s="10"/>
      <c r="AE1216"/>
      <c r="AF1216"/>
    </row>
    <row r="1217" spans="1:32" x14ac:dyDescent="0.25">
      <c r="A1217" s="16"/>
      <c r="C1217" s="70"/>
      <c r="D1217" s="70"/>
      <c r="E1217" s="73"/>
      <c r="F1217" s="9"/>
      <c r="H1217" s="9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4"/>
      <c r="U1217" s="10"/>
      <c r="V1217" s="10"/>
      <c r="W1217" s="10"/>
      <c r="X1217" s="7"/>
      <c r="Y1217" s="7"/>
      <c r="Z1217" s="7"/>
      <c r="AA1217" s="34"/>
      <c r="AB1217" s="7"/>
      <c r="AC1217" s="34"/>
      <c r="AD1217" s="10"/>
      <c r="AE1217"/>
      <c r="AF1217"/>
    </row>
    <row r="1218" spans="1:32" x14ac:dyDescent="0.25">
      <c r="A1218" s="16"/>
      <c r="C1218" s="70"/>
      <c r="D1218" s="70"/>
      <c r="E1218" s="73"/>
      <c r="F1218" s="9"/>
      <c r="H1218" s="9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4"/>
      <c r="U1218" s="10"/>
      <c r="V1218" s="10"/>
      <c r="W1218" s="10"/>
      <c r="X1218" s="7"/>
      <c r="Y1218" s="7"/>
      <c r="Z1218" s="34"/>
      <c r="AA1218" s="34"/>
      <c r="AB1218" s="7"/>
      <c r="AC1218" s="34"/>
      <c r="AD1218" s="10"/>
      <c r="AE1218"/>
      <c r="AF1218"/>
    </row>
    <row r="1219" spans="1:32" x14ac:dyDescent="0.25">
      <c r="A1219" s="16"/>
      <c r="C1219" s="70"/>
      <c r="D1219" s="70"/>
      <c r="E1219" s="73"/>
      <c r="F1219" s="9"/>
      <c r="H1219" s="9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4"/>
      <c r="U1219" s="10"/>
      <c r="V1219" s="10"/>
      <c r="W1219" s="10"/>
      <c r="X1219" s="7"/>
      <c r="Y1219" s="7"/>
      <c r="Z1219" s="7"/>
      <c r="AA1219" s="34"/>
      <c r="AB1219" s="7"/>
      <c r="AC1219" s="34"/>
      <c r="AD1219" s="10"/>
      <c r="AE1219"/>
      <c r="AF1219"/>
    </row>
    <row r="1220" spans="1:32" x14ac:dyDescent="0.25">
      <c r="A1220" s="16"/>
      <c r="C1220" s="70"/>
      <c r="D1220" s="70"/>
      <c r="E1220" s="73"/>
      <c r="F1220" s="9"/>
      <c r="H1220" s="9"/>
      <c r="I1220" s="10"/>
      <c r="J1220" s="7"/>
      <c r="K1220" s="7"/>
      <c r="L1220" s="10"/>
      <c r="M1220" s="10"/>
      <c r="N1220" s="10"/>
      <c r="O1220" s="10"/>
      <c r="P1220" s="10"/>
      <c r="Q1220" s="10"/>
      <c r="R1220" s="10"/>
      <c r="S1220" s="10"/>
      <c r="T1220" s="14"/>
      <c r="U1220" s="10"/>
      <c r="V1220" s="10"/>
      <c r="W1220" s="10"/>
      <c r="X1220" s="7"/>
      <c r="Y1220" s="7"/>
      <c r="Z1220" s="7"/>
      <c r="AA1220" s="34"/>
      <c r="AB1220" s="7"/>
      <c r="AC1220" s="34"/>
      <c r="AD1220" s="10"/>
      <c r="AE1220"/>
      <c r="AF1220"/>
    </row>
    <row r="1221" spans="1:32" x14ac:dyDescent="0.25">
      <c r="A1221" s="16"/>
      <c r="C1221" s="70"/>
      <c r="D1221" s="70"/>
      <c r="E1221" s="73"/>
      <c r="F1221" s="9"/>
      <c r="H1221" s="9"/>
      <c r="I1221" s="10"/>
      <c r="J1221" s="7"/>
      <c r="K1221" s="7"/>
      <c r="L1221" s="10"/>
      <c r="M1221" s="10"/>
      <c r="N1221" s="10"/>
      <c r="O1221" s="10"/>
      <c r="P1221" s="10"/>
      <c r="Q1221" s="10"/>
      <c r="R1221" s="10"/>
      <c r="S1221" s="10"/>
      <c r="T1221" s="14"/>
      <c r="U1221" s="10"/>
      <c r="V1221" s="10"/>
      <c r="W1221" s="10"/>
      <c r="X1221" s="7"/>
      <c r="Y1221" s="7"/>
      <c r="Z1221" s="7"/>
      <c r="AA1221" s="34"/>
      <c r="AB1221" s="7"/>
      <c r="AC1221" s="34"/>
      <c r="AD1221" s="10"/>
      <c r="AE1221"/>
      <c r="AF1221"/>
    </row>
    <row r="1222" spans="1:32" x14ac:dyDescent="0.25">
      <c r="A1222" s="16"/>
      <c r="C1222" s="70"/>
      <c r="D1222" s="70"/>
      <c r="E1222" s="73"/>
      <c r="F1222" s="9"/>
      <c r="H1222" s="9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4"/>
      <c r="U1222" s="10"/>
      <c r="V1222" s="10"/>
      <c r="W1222" s="10"/>
      <c r="X1222" s="7"/>
      <c r="Y1222" s="7"/>
      <c r="Z1222" s="7"/>
      <c r="AA1222" s="34"/>
      <c r="AB1222" s="7"/>
      <c r="AC1222" s="34"/>
      <c r="AD1222" s="10"/>
      <c r="AE1222"/>
      <c r="AF1222"/>
    </row>
    <row r="1223" spans="1:32" x14ac:dyDescent="0.25">
      <c r="A1223" s="16"/>
      <c r="C1223" s="70"/>
      <c r="D1223" s="70"/>
      <c r="E1223" s="73"/>
      <c r="F1223" s="9"/>
      <c r="H1223" s="9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4"/>
      <c r="U1223" s="10"/>
      <c r="V1223" s="10"/>
      <c r="W1223" s="10"/>
      <c r="X1223" s="7"/>
      <c r="Y1223" s="7"/>
      <c r="Z1223" s="7"/>
      <c r="AA1223" s="34"/>
      <c r="AB1223" s="7"/>
      <c r="AC1223" s="34"/>
      <c r="AD1223" s="10"/>
      <c r="AE1223"/>
      <c r="AF1223"/>
    </row>
    <row r="1224" spans="1:32" x14ac:dyDescent="0.25">
      <c r="A1224" s="16"/>
      <c r="C1224" s="70"/>
      <c r="D1224" s="70"/>
      <c r="E1224" s="73"/>
      <c r="F1224" s="9"/>
      <c r="H1224" s="9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4"/>
      <c r="U1224" s="10"/>
      <c r="V1224" s="10"/>
      <c r="W1224" s="10"/>
      <c r="X1224" s="7"/>
      <c r="Y1224" s="7"/>
      <c r="Z1224" s="7"/>
      <c r="AA1224" s="34"/>
      <c r="AB1224" s="7"/>
      <c r="AC1224" s="34"/>
      <c r="AD1224" s="10"/>
      <c r="AE1224"/>
      <c r="AF1224"/>
    </row>
    <row r="1225" spans="1:32" x14ac:dyDescent="0.25">
      <c r="A1225" s="16"/>
      <c r="C1225" s="70"/>
      <c r="D1225" s="70"/>
      <c r="E1225" s="73"/>
      <c r="F1225" s="9"/>
      <c r="H1225" s="9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4"/>
      <c r="U1225" s="10"/>
      <c r="V1225" s="10"/>
      <c r="W1225" s="10"/>
      <c r="X1225" s="7"/>
      <c r="Y1225" s="34"/>
      <c r="Z1225" s="7"/>
      <c r="AA1225" s="34"/>
      <c r="AB1225" s="7"/>
      <c r="AC1225" s="34"/>
      <c r="AD1225" s="10"/>
      <c r="AE1225"/>
      <c r="AF1225"/>
    </row>
    <row r="1226" spans="1:32" x14ac:dyDescent="0.25">
      <c r="A1226" s="16"/>
      <c r="C1226" s="70"/>
      <c r="D1226" s="70"/>
      <c r="E1226" s="73"/>
      <c r="F1226" s="9"/>
      <c r="H1226" s="9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4"/>
      <c r="U1226" s="10"/>
      <c r="V1226" s="10"/>
      <c r="W1226" s="10"/>
      <c r="X1226" s="7"/>
      <c r="Y1226" s="7"/>
      <c r="Z1226" s="7"/>
      <c r="AA1226" s="34"/>
      <c r="AB1226" s="7"/>
      <c r="AC1226" s="34"/>
      <c r="AD1226" s="10"/>
      <c r="AE1226"/>
      <c r="AF1226"/>
    </row>
    <row r="1227" spans="1:32" x14ac:dyDescent="0.25">
      <c r="A1227" s="16"/>
      <c r="C1227" s="70"/>
      <c r="D1227" s="70"/>
      <c r="E1227" s="73"/>
      <c r="F1227" s="9"/>
      <c r="H1227" s="9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4"/>
      <c r="U1227" s="10"/>
      <c r="V1227" s="10"/>
      <c r="W1227" s="10"/>
      <c r="X1227" s="7"/>
      <c r="Y1227" s="7"/>
      <c r="Z1227" s="7"/>
      <c r="AA1227" s="34"/>
      <c r="AB1227" s="7"/>
      <c r="AC1227" s="34"/>
      <c r="AD1227" s="10"/>
      <c r="AE1227"/>
      <c r="AF1227"/>
    </row>
    <row r="1228" spans="1:32" x14ac:dyDescent="0.25">
      <c r="A1228" s="16"/>
      <c r="C1228" s="70"/>
      <c r="D1228" s="70"/>
      <c r="E1228" s="73"/>
      <c r="F1228" s="9"/>
      <c r="H1228" s="9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4"/>
      <c r="U1228" s="10"/>
      <c r="V1228" s="10"/>
      <c r="W1228" s="10"/>
      <c r="X1228" s="7"/>
      <c r="Y1228" s="7"/>
      <c r="Z1228" s="7"/>
      <c r="AA1228" s="34"/>
      <c r="AB1228" s="7"/>
      <c r="AC1228" s="34"/>
      <c r="AD1228" s="10"/>
      <c r="AE1228"/>
      <c r="AF1228"/>
    </row>
    <row r="1229" spans="1:32" x14ac:dyDescent="0.25">
      <c r="A1229" s="16"/>
      <c r="C1229" s="70"/>
      <c r="D1229" s="70"/>
      <c r="E1229" s="73"/>
      <c r="F1229" s="9"/>
      <c r="H1229" s="9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4"/>
      <c r="U1229" s="10"/>
      <c r="V1229" s="10"/>
      <c r="W1229" s="10"/>
      <c r="X1229" s="7"/>
      <c r="Y1229" s="7"/>
      <c r="Z1229" s="7"/>
      <c r="AA1229" s="34"/>
      <c r="AB1229" s="7"/>
      <c r="AC1229" s="34"/>
      <c r="AD1229" s="10"/>
      <c r="AE1229"/>
      <c r="AF1229"/>
    </row>
    <row r="1230" spans="1:32" x14ac:dyDescent="0.25">
      <c r="A1230" s="16"/>
      <c r="C1230" s="70"/>
      <c r="D1230" s="70"/>
      <c r="E1230" s="73"/>
      <c r="F1230" s="9"/>
      <c r="H1230" s="9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4"/>
      <c r="U1230" s="10"/>
      <c r="V1230" s="10"/>
      <c r="W1230" s="10"/>
      <c r="X1230" s="7"/>
      <c r="Y1230" s="7"/>
      <c r="Z1230" s="7"/>
      <c r="AA1230" s="34"/>
      <c r="AB1230" s="7"/>
      <c r="AC1230" s="34"/>
      <c r="AD1230" s="10"/>
      <c r="AE1230"/>
      <c r="AF1230"/>
    </row>
    <row r="1231" spans="1:32" x14ac:dyDescent="0.25">
      <c r="A1231" s="16"/>
      <c r="C1231" s="70"/>
      <c r="D1231" s="70"/>
      <c r="E1231" s="73"/>
      <c r="F1231" s="9"/>
      <c r="H1231" s="9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4"/>
      <c r="U1231" s="10"/>
      <c r="V1231" s="10"/>
      <c r="W1231" s="10"/>
      <c r="X1231" s="7"/>
      <c r="Y1231" s="34"/>
      <c r="Z1231" s="7"/>
      <c r="AA1231" s="34"/>
      <c r="AB1231" s="7"/>
      <c r="AC1231" s="34"/>
      <c r="AD1231" s="10"/>
      <c r="AE1231"/>
      <c r="AF1231"/>
    </row>
    <row r="1232" spans="1:32" x14ac:dyDescent="0.25">
      <c r="A1232" s="16"/>
      <c r="C1232" s="70"/>
      <c r="D1232" s="70"/>
      <c r="E1232" s="73"/>
      <c r="F1232" s="9"/>
      <c r="H1232" s="9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4"/>
      <c r="U1232" s="10"/>
      <c r="V1232" s="10"/>
      <c r="W1232" s="10"/>
      <c r="X1232" s="7"/>
      <c r="Y1232" s="34"/>
      <c r="Z1232" s="7"/>
      <c r="AA1232" s="34"/>
      <c r="AB1232" s="7"/>
      <c r="AC1232" s="34"/>
      <c r="AD1232" s="10"/>
      <c r="AE1232"/>
      <c r="AF1232"/>
    </row>
    <row r="1233" spans="1:32" x14ac:dyDescent="0.25">
      <c r="A1233" s="16"/>
      <c r="C1233" s="70"/>
      <c r="D1233" s="70"/>
      <c r="E1233" s="73"/>
      <c r="F1233" s="9"/>
      <c r="H1233" s="9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4"/>
      <c r="U1233" s="10"/>
      <c r="V1233" s="10"/>
      <c r="W1233" s="10"/>
      <c r="X1233" s="7"/>
      <c r="Y1233" s="7"/>
      <c r="Z1233" s="7"/>
      <c r="AA1233" s="34"/>
      <c r="AB1233" s="7"/>
      <c r="AC1233" s="34"/>
      <c r="AD1233" s="10"/>
      <c r="AE1233"/>
      <c r="AF1233"/>
    </row>
    <row r="1234" spans="1:32" x14ac:dyDescent="0.25">
      <c r="A1234" s="16"/>
      <c r="C1234" s="70"/>
      <c r="D1234" s="70"/>
      <c r="E1234" s="73"/>
      <c r="F1234" s="9"/>
      <c r="H1234" s="9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4"/>
      <c r="U1234" s="10"/>
      <c r="V1234" s="10"/>
      <c r="W1234" s="10"/>
      <c r="X1234" s="7"/>
      <c r="Y1234" s="7"/>
      <c r="Z1234" s="7"/>
      <c r="AA1234" s="34"/>
      <c r="AB1234" s="7"/>
      <c r="AC1234" s="34"/>
      <c r="AD1234" s="10"/>
      <c r="AE1234"/>
      <c r="AF1234"/>
    </row>
    <row r="1235" spans="1:32" x14ac:dyDescent="0.25">
      <c r="A1235" s="16"/>
      <c r="C1235" s="70"/>
      <c r="D1235" s="70"/>
      <c r="E1235" s="73"/>
      <c r="F1235" s="9"/>
      <c r="H1235" s="9"/>
      <c r="I1235" s="10"/>
      <c r="J1235" s="10"/>
      <c r="K1235" s="7"/>
      <c r="L1235" s="10"/>
      <c r="M1235" s="10"/>
      <c r="N1235" s="10"/>
      <c r="O1235" s="10"/>
      <c r="P1235" s="10"/>
      <c r="Q1235" s="10"/>
      <c r="R1235" s="10"/>
      <c r="S1235" s="10"/>
      <c r="T1235" s="14"/>
      <c r="U1235" s="10"/>
      <c r="V1235" s="10"/>
      <c r="W1235" s="10"/>
      <c r="X1235" s="7"/>
      <c r="Y1235" s="7"/>
      <c r="Z1235" s="7"/>
      <c r="AA1235" s="34"/>
      <c r="AB1235" s="7"/>
      <c r="AC1235" s="34"/>
      <c r="AD1235" s="10"/>
      <c r="AE1235"/>
      <c r="AF1235"/>
    </row>
    <row r="1236" spans="1:32" x14ac:dyDescent="0.25">
      <c r="A1236" s="16"/>
      <c r="C1236" s="70"/>
      <c r="D1236" s="70"/>
      <c r="E1236" s="73"/>
      <c r="F1236" s="9"/>
      <c r="H1236" s="9"/>
      <c r="I1236" s="10"/>
      <c r="J1236" s="10"/>
      <c r="K1236" s="7"/>
      <c r="L1236" s="10"/>
      <c r="M1236" s="10"/>
      <c r="N1236" s="10"/>
      <c r="O1236" s="10"/>
      <c r="P1236" s="10"/>
      <c r="Q1236" s="10"/>
      <c r="R1236" s="10"/>
      <c r="S1236" s="10"/>
      <c r="T1236" s="14"/>
      <c r="U1236" s="10"/>
      <c r="V1236" s="10"/>
      <c r="W1236" s="10"/>
      <c r="X1236" s="7"/>
      <c r="Y1236" s="7"/>
      <c r="Z1236" s="7"/>
      <c r="AA1236" s="34"/>
      <c r="AB1236" s="7"/>
      <c r="AC1236" s="34"/>
      <c r="AD1236" s="10"/>
      <c r="AE1236"/>
      <c r="AF1236"/>
    </row>
    <row r="1237" spans="1:32" x14ac:dyDescent="0.25">
      <c r="A1237" s="16"/>
      <c r="C1237" s="70"/>
      <c r="D1237" s="70"/>
      <c r="E1237" s="73"/>
      <c r="F1237" s="9"/>
      <c r="H1237" s="9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4"/>
      <c r="U1237" s="10"/>
      <c r="V1237" s="10"/>
      <c r="W1237" s="10"/>
      <c r="X1237" s="7"/>
      <c r="Y1237" s="7"/>
      <c r="Z1237" s="7"/>
      <c r="AA1237" s="34"/>
      <c r="AB1237" s="7"/>
      <c r="AC1237" s="34"/>
      <c r="AD1237" s="10"/>
      <c r="AE1237"/>
      <c r="AF1237"/>
    </row>
    <row r="1238" spans="1:32" x14ac:dyDescent="0.25">
      <c r="A1238" s="16"/>
      <c r="C1238" s="70"/>
      <c r="D1238" s="70"/>
      <c r="E1238" s="73"/>
      <c r="F1238" s="9"/>
      <c r="H1238" s="9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4"/>
      <c r="U1238" s="10"/>
      <c r="V1238" s="10"/>
      <c r="W1238" s="10"/>
      <c r="X1238" s="7"/>
      <c r="Y1238" s="7"/>
      <c r="Z1238" s="7"/>
      <c r="AA1238" s="34"/>
      <c r="AB1238" s="7"/>
      <c r="AC1238" s="34"/>
      <c r="AD1238" s="10"/>
      <c r="AE1238"/>
      <c r="AF1238"/>
    </row>
    <row r="1239" spans="1:32" x14ac:dyDescent="0.25">
      <c r="A1239" s="16"/>
      <c r="C1239" s="70"/>
      <c r="D1239" s="70"/>
      <c r="E1239" s="73"/>
      <c r="F1239" s="9"/>
      <c r="H1239" s="9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4"/>
      <c r="U1239" s="10"/>
      <c r="V1239" s="10"/>
      <c r="W1239" s="10"/>
      <c r="X1239" s="7"/>
      <c r="Y1239" s="7"/>
      <c r="Z1239" s="7"/>
      <c r="AA1239" s="34"/>
      <c r="AB1239" s="7"/>
      <c r="AC1239" s="34"/>
      <c r="AD1239" s="10"/>
      <c r="AE1239"/>
      <c r="AF1239"/>
    </row>
    <row r="1240" spans="1:32" x14ac:dyDescent="0.25">
      <c r="A1240" s="16"/>
      <c r="C1240" s="70"/>
      <c r="D1240" s="70"/>
      <c r="E1240" s="73"/>
      <c r="F1240" s="9"/>
      <c r="H1240" s="9"/>
      <c r="I1240" s="10"/>
      <c r="J1240" s="7"/>
      <c r="K1240" s="7"/>
      <c r="L1240" s="10"/>
      <c r="M1240" s="10"/>
      <c r="N1240" s="10"/>
      <c r="O1240" s="10"/>
      <c r="P1240" s="10"/>
      <c r="Q1240" s="10"/>
      <c r="R1240" s="10"/>
      <c r="S1240" s="10"/>
      <c r="T1240" s="14"/>
      <c r="U1240" s="10"/>
      <c r="V1240" s="10"/>
      <c r="W1240" s="10"/>
      <c r="X1240" s="7"/>
      <c r="Y1240" s="7"/>
      <c r="Z1240" s="7"/>
      <c r="AA1240" s="34"/>
      <c r="AB1240" s="7"/>
      <c r="AC1240" s="34"/>
      <c r="AD1240" s="10"/>
      <c r="AE1240"/>
      <c r="AF1240"/>
    </row>
    <row r="1241" spans="1:32" x14ac:dyDescent="0.25">
      <c r="A1241" s="16"/>
      <c r="C1241" s="70"/>
      <c r="D1241" s="70"/>
      <c r="E1241" s="73"/>
      <c r="F1241" s="9"/>
      <c r="H1241" s="9"/>
      <c r="I1241" s="10"/>
      <c r="J1241" s="7"/>
      <c r="K1241" s="7"/>
      <c r="L1241" s="10"/>
      <c r="M1241" s="10"/>
      <c r="N1241" s="10"/>
      <c r="O1241" s="10"/>
      <c r="P1241" s="10"/>
      <c r="Q1241" s="10"/>
      <c r="R1241" s="10"/>
      <c r="S1241" s="10"/>
      <c r="T1241" s="14"/>
      <c r="U1241" s="10"/>
      <c r="V1241" s="10"/>
      <c r="W1241" s="10"/>
      <c r="X1241" s="7"/>
      <c r="Y1241" s="7"/>
      <c r="Z1241" s="7"/>
      <c r="AA1241" s="34"/>
      <c r="AB1241" s="7"/>
      <c r="AC1241" s="34"/>
      <c r="AD1241" s="10"/>
      <c r="AE1241"/>
      <c r="AF1241"/>
    </row>
    <row r="1242" spans="1:32" x14ac:dyDescent="0.25">
      <c r="A1242" s="16"/>
      <c r="C1242" s="70"/>
      <c r="D1242" s="70"/>
      <c r="E1242" s="73"/>
      <c r="F1242" s="9"/>
      <c r="H1242" s="9"/>
      <c r="I1242" s="10"/>
      <c r="J1242" s="7"/>
      <c r="K1242" s="7"/>
      <c r="L1242" s="10"/>
      <c r="M1242" s="10"/>
      <c r="N1242" s="10"/>
      <c r="O1242" s="10"/>
      <c r="P1242" s="10"/>
      <c r="Q1242" s="10"/>
      <c r="R1242" s="10"/>
      <c r="S1242" s="10"/>
      <c r="T1242" s="14"/>
      <c r="U1242" s="10"/>
      <c r="V1242" s="10"/>
      <c r="W1242" s="10"/>
      <c r="X1242" s="7"/>
      <c r="Y1242" s="7"/>
      <c r="Z1242" s="7"/>
      <c r="AA1242" s="34"/>
      <c r="AB1242" s="7"/>
      <c r="AC1242" s="34"/>
      <c r="AD1242" s="10"/>
      <c r="AE1242"/>
      <c r="AF1242"/>
    </row>
    <row r="1243" spans="1:32" x14ac:dyDescent="0.25">
      <c r="A1243" s="16"/>
      <c r="C1243" s="70"/>
      <c r="D1243" s="70"/>
      <c r="E1243" s="73"/>
      <c r="F1243" s="9"/>
      <c r="H1243" s="9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4"/>
      <c r="U1243" s="10"/>
      <c r="V1243" s="10"/>
      <c r="W1243" s="10"/>
      <c r="X1243" s="7"/>
      <c r="Y1243" s="7"/>
      <c r="Z1243" s="7"/>
      <c r="AA1243" s="34"/>
      <c r="AB1243" s="7"/>
      <c r="AC1243" s="34"/>
      <c r="AD1243" s="10"/>
      <c r="AE1243"/>
      <c r="AF1243"/>
    </row>
    <row r="1244" spans="1:32" x14ac:dyDescent="0.25">
      <c r="A1244" s="16"/>
      <c r="C1244" s="70"/>
      <c r="D1244" s="70"/>
      <c r="E1244" s="73"/>
      <c r="F1244" s="9"/>
      <c r="H1244" s="9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4"/>
      <c r="U1244" s="10"/>
      <c r="V1244" s="10"/>
      <c r="W1244" s="10"/>
      <c r="X1244" s="7"/>
      <c r="Y1244" s="7"/>
      <c r="Z1244" s="7"/>
      <c r="AA1244" s="34"/>
      <c r="AB1244" s="7"/>
      <c r="AC1244" s="34"/>
      <c r="AD1244" s="10"/>
      <c r="AE1244"/>
      <c r="AF1244"/>
    </row>
    <row r="1245" spans="1:32" x14ac:dyDescent="0.25">
      <c r="A1245" s="16"/>
      <c r="C1245" s="70"/>
      <c r="D1245" s="70"/>
      <c r="E1245" s="73"/>
      <c r="F1245" s="9"/>
      <c r="H1245" s="9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4"/>
      <c r="U1245" s="10"/>
      <c r="V1245" s="10"/>
      <c r="W1245" s="10"/>
      <c r="X1245" s="7"/>
      <c r="Y1245" s="7"/>
      <c r="Z1245" s="7"/>
      <c r="AA1245" s="34"/>
      <c r="AB1245" s="7"/>
      <c r="AC1245" s="34"/>
      <c r="AD1245" s="10"/>
      <c r="AE1245"/>
      <c r="AF1245"/>
    </row>
    <row r="1246" spans="1:32" x14ac:dyDescent="0.25">
      <c r="A1246" s="16"/>
      <c r="C1246" s="70"/>
      <c r="D1246" s="70"/>
      <c r="E1246" s="73"/>
      <c r="F1246" s="9"/>
      <c r="H1246" s="9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4"/>
      <c r="U1246" s="10"/>
      <c r="V1246" s="10"/>
      <c r="W1246" s="10"/>
      <c r="X1246" s="7"/>
      <c r="Y1246" s="7"/>
      <c r="Z1246" s="7"/>
      <c r="AA1246" s="34"/>
      <c r="AB1246" s="7"/>
      <c r="AC1246" s="34"/>
      <c r="AD1246" s="10"/>
      <c r="AE1246"/>
      <c r="AF1246"/>
    </row>
    <row r="1247" spans="1:32" x14ac:dyDescent="0.25">
      <c r="A1247" s="16"/>
      <c r="C1247" s="70"/>
      <c r="D1247" s="70"/>
      <c r="E1247" s="73"/>
      <c r="F1247" s="9"/>
      <c r="H1247" s="9"/>
      <c r="I1247" s="10"/>
      <c r="J1247" s="7"/>
      <c r="K1247" s="7"/>
      <c r="L1247" s="10"/>
      <c r="M1247" s="10"/>
      <c r="N1247" s="10"/>
      <c r="O1247" s="10"/>
      <c r="P1247" s="10"/>
      <c r="Q1247" s="10"/>
      <c r="R1247" s="10"/>
      <c r="S1247" s="10"/>
      <c r="T1247" s="14"/>
      <c r="U1247" s="10"/>
      <c r="V1247" s="10"/>
      <c r="W1247" s="10"/>
      <c r="X1247" s="7"/>
      <c r="Y1247" s="7"/>
      <c r="Z1247" s="7"/>
      <c r="AA1247" s="34"/>
      <c r="AB1247" s="7"/>
      <c r="AC1247" s="34"/>
      <c r="AD1247" s="10"/>
      <c r="AE1247"/>
      <c r="AF1247"/>
    </row>
    <row r="1248" spans="1:32" x14ac:dyDescent="0.25">
      <c r="A1248" s="16"/>
      <c r="C1248" s="70"/>
      <c r="D1248" s="70"/>
      <c r="E1248" s="73"/>
      <c r="F1248" s="9"/>
      <c r="H1248" s="9"/>
      <c r="I1248" s="10"/>
      <c r="J1248" s="10"/>
      <c r="K1248" s="7"/>
      <c r="L1248" s="10"/>
      <c r="M1248" s="10"/>
      <c r="N1248" s="10"/>
      <c r="O1248" s="10"/>
      <c r="P1248" s="10"/>
      <c r="Q1248" s="10"/>
      <c r="R1248" s="10"/>
      <c r="S1248" s="10"/>
      <c r="T1248" s="14"/>
      <c r="U1248" s="10"/>
      <c r="V1248" s="10"/>
      <c r="W1248" s="10"/>
      <c r="X1248" s="7"/>
      <c r="Y1248" s="7"/>
      <c r="Z1248" s="7"/>
      <c r="AA1248" s="34"/>
      <c r="AB1248" s="7"/>
      <c r="AC1248" s="34"/>
      <c r="AD1248" s="10"/>
      <c r="AE1248"/>
      <c r="AF1248"/>
    </row>
    <row r="1249" spans="1:32" x14ac:dyDescent="0.25">
      <c r="A1249" s="16"/>
      <c r="C1249" s="70"/>
      <c r="D1249" s="70"/>
      <c r="E1249" s="73"/>
      <c r="F1249" s="9"/>
      <c r="H1249" s="9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4"/>
      <c r="U1249" s="10"/>
      <c r="V1249" s="10"/>
      <c r="W1249" s="10"/>
      <c r="X1249" s="7"/>
      <c r="Y1249" s="7"/>
      <c r="Z1249" s="7"/>
      <c r="AA1249" s="34"/>
      <c r="AB1249" s="7"/>
      <c r="AC1249" s="34"/>
      <c r="AD1249" s="10"/>
      <c r="AE1249"/>
      <c r="AF1249"/>
    </row>
    <row r="1250" spans="1:32" x14ac:dyDescent="0.25">
      <c r="A1250" s="16"/>
      <c r="C1250" s="70"/>
      <c r="D1250" s="70"/>
      <c r="E1250" s="73"/>
      <c r="F1250" s="9"/>
      <c r="H1250" s="9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4"/>
      <c r="U1250" s="10"/>
      <c r="V1250" s="10"/>
      <c r="W1250" s="10"/>
      <c r="X1250" s="7"/>
      <c r="Y1250" s="7"/>
      <c r="Z1250" s="7"/>
      <c r="AA1250" s="34"/>
      <c r="AB1250" s="7"/>
      <c r="AC1250" s="34"/>
      <c r="AD1250" s="10"/>
      <c r="AE1250"/>
      <c r="AF1250"/>
    </row>
    <row r="1251" spans="1:32" x14ac:dyDescent="0.25">
      <c r="A1251" s="43"/>
      <c r="C1251" s="70"/>
      <c r="D1251" s="70"/>
      <c r="E1251" s="73"/>
      <c r="F1251" s="9"/>
      <c r="H1251" s="9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4"/>
      <c r="U1251" s="10"/>
      <c r="V1251" s="10"/>
      <c r="W1251" s="10"/>
      <c r="X1251" s="7"/>
      <c r="Y1251" s="7"/>
      <c r="Z1251" s="7"/>
      <c r="AA1251" s="34"/>
      <c r="AB1251" s="7"/>
      <c r="AC1251" s="34"/>
      <c r="AD1251" s="10"/>
      <c r="AE1251"/>
      <c r="AF1251"/>
    </row>
    <row r="1252" spans="1:32" x14ac:dyDescent="0.25">
      <c r="A1252" s="16"/>
      <c r="C1252" s="70"/>
      <c r="D1252" s="70"/>
      <c r="E1252" s="73"/>
      <c r="F1252" s="9"/>
      <c r="H1252" s="9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4"/>
      <c r="U1252" s="10"/>
      <c r="V1252" s="10"/>
      <c r="W1252" s="10"/>
      <c r="X1252" s="7"/>
      <c r="Y1252" s="7"/>
      <c r="Z1252" s="7"/>
      <c r="AA1252" s="34"/>
      <c r="AB1252" s="7"/>
      <c r="AC1252" s="34"/>
      <c r="AD1252" s="10"/>
      <c r="AE1252"/>
      <c r="AF1252"/>
    </row>
    <row r="1253" spans="1:32" x14ac:dyDescent="0.25">
      <c r="A1253" s="16"/>
      <c r="C1253" s="70"/>
      <c r="D1253" s="70"/>
      <c r="E1253" s="73"/>
      <c r="F1253" s="9"/>
      <c r="H1253" s="9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4"/>
      <c r="U1253" s="10"/>
      <c r="V1253" s="10"/>
      <c r="W1253" s="10"/>
      <c r="X1253" s="7"/>
      <c r="Y1253" s="7"/>
      <c r="Z1253" s="7"/>
      <c r="AA1253" s="34"/>
      <c r="AB1253" s="7"/>
      <c r="AC1253" s="34"/>
      <c r="AD1253" s="10"/>
      <c r="AE1253"/>
      <c r="AF1253"/>
    </row>
    <row r="1254" spans="1:32" x14ac:dyDescent="0.25">
      <c r="A1254" s="16"/>
      <c r="C1254" s="70"/>
      <c r="D1254" s="70"/>
      <c r="E1254" s="73"/>
      <c r="F1254" s="9"/>
      <c r="H1254" s="9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4"/>
      <c r="U1254" s="10"/>
      <c r="V1254" s="10"/>
      <c r="W1254" s="10"/>
      <c r="X1254" s="7"/>
      <c r="Y1254" s="7"/>
      <c r="Z1254" s="7"/>
      <c r="AA1254" s="34"/>
      <c r="AB1254" s="7"/>
      <c r="AC1254" s="34"/>
      <c r="AD1254" s="10"/>
      <c r="AE1254"/>
      <c r="AF1254"/>
    </row>
    <row r="1255" spans="1:32" x14ac:dyDescent="0.25">
      <c r="A1255" s="16"/>
      <c r="C1255" s="70"/>
      <c r="D1255" s="70"/>
      <c r="E1255" s="73"/>
      <c r="F1255" s="9"/>
      <c r="H1255" s="9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4"/>
      <c r="U1255" s="10"/>
      <c r="V1255" s="10"/>
      <c r="W1255" s="10"/>
      <c r="X1255" s="7"/>
      <c r="Y1255" s="7"/>
      <c r="Z1255" s="7"/>
      <c r="AA1255" s="34"/>
      <c r="AB1255" s="7"/>
      <c r="AC1255" s="34"/>
      <c r="AD1255" s="10"/>
      <c r="AE1255"/>
      <c r="AF1255"/>
    </row>
    <row r="1256" spans="1:32" x14ac:dyDescent="0.25">
      <c r="A1256" s="16"/>
      <c r="C1256" s="70"/>
      <c r="D1256" s="70"/>
      <c r="E1256" s="73"/>
      <c r="F1256" s="9"/>
      <c r="H1256" s="9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4"/>
      <c r="U1256" s="10"/>
      <c r="V1256" s="10"/>
      <c r="W1256" s="10"/>
      <c r="X1256" s="7"/>
      <c r="Y1256" s="7"/>
      <c r="Z1256" s="7"/>
      <c r="AA1256" s="34"/>
      <c r="AB1256" s="7"/>
      <c r="AC1256" s="34"/>
      <c r="AD1256" s="10"/>
      <c r="AE1256"/>
      <c r="AF1256"/>
    </row>
    <row r="1257" spans="1:32" x14ac:dyDescent="0.25">
      <c r="A1257" s="16"/>
      <c r="C1257" s="70"/>
      <c r="D1257" s="70"/>
      <c r="E1257" s="73"/>
      <c r="F1257" s="9"/>
      <c r="H1257" s="9"/>
      <c r="I1257" s="10"/>
      <c r="J1257" s="7"/>
      <c r="K1257" s="7"/>
      <c r="L1257" s="10"/>
      <c r="M1257" s="10"/>
      <c r="N1257" s="10"/>
      <c r="O1257" s="10"/>
      <c r="P1257" s="10"/>
      <c r="Q1257" s="10"/>
      <c r="R1257" s="10"/>
      <c r="S1257" s="10"/>
      <c r="T1257" s="14"/>
      <c r="U1257" s="10"/>
      <c r="V1257" s="10"/>
      <c r="W1257" s="10"/>
      <c r="X1257" s="7"/>
      <c r="Y1257" s="7"/>
      <c r="Z1257" s="7"/>
      <c r="AA1257" s="34"/>
      <c r="AB1257" s="7"/>
      <c r="AC1257" s="34"/>
      <c r="AD1257" s="10"/>
      <c r="AE1257"/>
      <c r="AF1257"/>
    </row>
    <row r="1258" spans="1:32" x14ac:dyDescent="0.25">
      <c r="A1258" s="16"/>
      <c r="C1258" s="70"/>
      <c r="D1258" s="70"/>
      <c r="E1258" s="73"/>
      <c r="F1258" s="9"/>
      <c r="H1258" s="9"/>
      <c r="I1258" s="10"/>
      <c r="J1258" s="7"/>
      <c r="K1258" s="7"/>
      <c r="L1258" s="10"/>
      <c r="M1258" s="10"/>
      <c r="N1258" s="10"/>
      <c r="O1258" s="10"/>
      <c r="P1258" s="10"/>
      <c r="Q1258" s="10"/>
      <c r="R1258" s="10"/>
      <c r="S1258" s="10"/>
      <c r="T1258" s="14"/>
      <c r="U1258" s="10"/>
      <c r="V1258" s="10"/>
      <c r="W1258" s="10"/>
      <c r="X1258" s="7"/>
      <c r="Y1258" s="7"/>
      <c r="Z1258" s="7"/>
      <c r="AA1258" s="34"/>
      <c r="AB1258" s="7"/>
      <c r="AC1258" s="34"/>
      <c r="AD1258" s="10"/>
      <c r="AE1258"/>
      <c r="AF1258"/>
    </row>
    <row r="1259" spans="1:32" x14ac:dyDescent="0.25">
      <c r="A1259" s="16"/>
      <c r="C1259" s="70"/>
      <c r="D1259" s="70"/>
      <c r="E1259" s="73"/>
      <c r="F1259" s="9"/>
      <c r="H1259" s="9"/>
      <c r="I1259" s="10"/>
      <c r="J1259" s="10"/>
      <c r="K1259" s="7"/>
      <c r="L1259" s="10"/>
      <c r="M1259" s="10"/>
      <c r="N1259" s="10"/>
      <c r="O1259" s="10"/>
      <c r="P1259" s="10"/>
      <c r="Q1259" s="10"/>
      <c r="R1259" s="10"/>
      <c r="S1259" s="10"/>
      <c r="T1259" s="14"/>
      <c r="U1259" s="10"/>
      <c r="V1259" s="10"/>
      <c r="W1259" s="10"/>
      <c r="X1259" s="7"/>
      <c r="Y1259" s="7"/>
      <c r="Z1259" s="7"/>
      <c r="AA1259" s="34"/>
      <c r="AB1259" s="7"/>
      <c r="AC1259" s="34"/>
      <c r="AD1259" s="10"/>
      <c r="AE1259"/>
      <c r="AF1259"/>
    </row>
    <row r="1260" spans="1:32" x14ac:dyDescent="0.25">
      <c r="A1260" s="16"/>
      <c r="C1260" s="70"/>
      <c r="D1260" s="70"/>
      <c r="E1260" s="73"/>
      <c r="F1260" s="9"/>
      <c r="H1260" s="9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4"/>
      <c r="U1260" s="10"/>
      <c r="V1260" s="10"/>
      <c r="W1260" s="10"/>
      <c r="X1260" s="7"/>
      <c r="Y1260" s="7"/>
      <c r="Z1260" s="7"/>
      <c r="AA1260" s="34"/>
      <c r="AB1260" s="7"/>
      <c r="AC1260" s="34"/>
      <c r="AD1260" s="10"/>
      <c r="AE1260"/>
      <c r="AF1260"/>
    </row>
    <row r="1261" spans="1:32" x14ac:dyDescent="0.25">
      <c r="A1261" s="16"/>
      <c r="C1261" s="70"/>
      <c r="D1261" s="70"/>
      <c r="E1261" s="73"/>
      <c r="F1261" s="9"/>
      <c r="H1261" s="9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4"/>
      <c r="U1261" s="10"/>
      <c r="V1261" s="10"/>
      <c r="W1261" s="10"/>
      <c r="X1261" s="7"/>
      <c r="Y1261" s="7"/>
      <c r="Z1261" s="7"/>
      <c r="AA1261" s="34"/>
      <c r="AB1261" s="7"/>
      <c r="AC1261" s="34"/>
      <c r="AD1261" s="10"/>
      <c r="AE1261"/>
      <c r="AF1261"/>
    </row>
    <row r="1262" spans="1:32" x14ac:dyDescent="0.25">
      <c r="A1262" s="16"/>
      <c r="C1262" s="70"/>
      <c r="D1262" s="70"/>
      <c r="E1262" s="73"/>
      <c r="F1262" s="9"/>
      <c r="H1262" s="9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4"/>
      <c r="U1262" s="10"/>
      <c r="V1262" s="10"/>
      <c r="W1262" s="10"/>
      <c r="X1262" s="7"/>
      <c r="Y1262" s="7"/>
      <c r="Z1262" s="7"/>
      <c r="AA1262" s="34"/>
      <c r="AB1262" s="7"/>
      <c r="AC1262" s="34"/>
      <c r="AD1262" s="10"/>
      <c r="AE1262"/>
      <c r="AF1262"/>
    </row>
    <row r="1263" spans="1:32" x14ac:dyDescent="0.25">
      <c r="A1263" s="16"/>
      <c r="C1263" s="70"/>
      <c r="D1263" s="70"/>
      <c r="E1263" s="73"/>
      <c r="F1263" s="9"/>
      <c r="H1263" s="9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4"/>
      <c r="U1263" s="10"/>
      <c r="V1263" s="10"/>
      <c r="W1263" s="10"/>
      <c r="X1263" s="7"/>
      <c r="Y1263" s="34"/>
      <c r="Z1263" s="7"/>
      <c r="AA1263" s="34"/>
      <c r="AB1263" s="7"/>
      <c r="AC1263" s="34"/>
      <c r="AD1263" s="10"/>
      <c r="AE1263"/>
      <c r="AF1263"/>
    </row>
    <row r="1264" spans="1:32" x14ac:dyDescent="0.25">
      <c r="A1264" s="16"/>
      <c r="C1264" s="70"/>
      <c r="D1264" s="70"/>
      <c r="E1264" s="73"/>
      <c r="F1264" s="9"/>
      <c r="H1264" s="9"/>
      <c r="I1264" s="10"/>
      <c r="J1264" s="7"/>
      <c r="K1264" s="7"/>
      <c r="L1264" s="10"/>
      <c r="M1264" s="10"/>
      <c r="N1264" s="10"/>
      <c r="O1264" s="10"/>
      <c r="P1264" s="10"/>
      <c r="Q1264" s="10"/>
      <c r="R1264" s="10"/>
      <c r="S1264" s="10"/>
      <c r="T1264" s="14"/>
      <c r="U1264" s="10"/>
      <c r="V1264" s="10"/>
      <c r="W1264" s="10"/>
      <c r="X1264" s="7"/>
      <c r="Y1264" s="7"/>
      <c r="Z1264" s="7"/>
      <c r="AA1264" s="34"/>
      <c r="AB1264" s="7"/>
      <c r="AC1264" s="34"/>
      <c r="AD1264" s="10"/>
      <c r="AE1264"/>
      <c r="AF1264"/>
    </row>
    <row r="1265" spans="1:32" x14ac:dyDescent="0.25">
      <c r="A1265" s="16"/>
      <c r="C1265" s="70"/>
      <c r="D1265" s="70"/>
      <c r="E1265" s="73"/>
      <c r="F1265" s="9"/>
      <c r="H1265" s="9"/>
      <c r="I1265" s="10"/>
      <c r="J1265" s="7"/>
      <c r="K1265" s="7"/>
      <c r="L1265" s="10"/>
      <c r="M1265" s="10"/>
      <c r="N1265" s="10"/>
      <c r="O1265" s="10"/>
      <c r="P1265" s="10"/>
      <c r="Q1265" s="10"/>
      <c r="R1265" s="10"/>
      <c r="S1265" s="10"/>
      <c r="T1265" s="14"/>
      <c r="U1265" s="10"/>
      <c r="V1265" s="10"/>
      <c r="W1265" s="10"/>
      <c r="X1265" s="7"/>
      <c r="Y1265" s="7"/>
      <c r="Z1265" s="7"/>
      <c r="AA1265" s="34"/>
      <c r="AB1265" s="7"/>
      <c r="AC1265" s="34"/>
      <c r="AD1265" s="10"/>
      <c r="AE1265"/>
      <c r="AF1265"/>
    </row>
    <row r="1266" spans="1:32" x14ac:dyDescent="0.25">
      <c r="A1266" s="16"/>
      <c r="C1266" s="70"/>
      <c r="D1266" s="70"/>
      <c r="E1266" s="73"/>
      <c r="F1266" s="9"/>
      <c r="H1266" s="9"/>
      <c r="I1266" s="10"/>
      <c r="J1266" s="7"/>
      <c r="K1266" s="7"/>
      <c r="L1266" s="10"/>
      <c r="M1266" s="10"/>
      <c r="N1266" s="10"/>
      <c r="O1266" s="10"/>
      <c r="P1266" s="10"/>
      <c r="Q1266" s="10"/>
      <c r="R1266" s="10"/>
      <c r="S1266" s="10"/>
      <c r="T1266" s="14"/>
      <c r="U1266" s="10"/>
      <c r="V1266" s="10"/>
      <c r="W1266" s="10"/>
      <c r="X1266" s="7"/>
      <c r="Y1266" s="7"/>
      <c r="Z1266" s="7"/>
      <c r="AA1266" s="34"/>
      <c r="AB1266" s="7"/>
      <c r="AC1266" s="34"/>
      <c r="AD1266" s="10"/>
      <c r="AE1266"/>
      <c r="AF1266"/>
    </row>
    <row r="1267" spans="1:32" x14ac:dyDescent="0.25">
      <c r="A1267" s="16"/>
      <c r="C1267" s="70"/>
      <c r="D1267" s="70"/>
      <c r="E1267" s="73"/>
      <c r="F1267" s="9"/>
      <c r="H1267" s="9"/>
      <c r="I1267" s="10"/>
      <c r="J1267" s="60"/>
      <c r="K1267" s="42"/>
      <c r="L1267" s="10"/>
      <c r="M1267" s="10"/>
      <c r="N1267" s="10"/>
      <c r="O1267" s="10"/>
      <c r="P1267" s="10"/>
      <c r="Q1267" s="10"/>
      <c r="R1267" s="10"/>
      <c r="S1267" s="10"/>
      <c r="T1267" s="14"/>
      <c r="U1267" s="10"/>
      <c r="V1267" s="10"/>
      <c r="W1267" s="10"/>
      <c r="X1267" s="7"/>
      <c r="Y1267" s="7"/>
      <c r="Z1267" s="7"/>
      <c r="AA1267" s="34"/>
      <c r="AB1267" s="7"/>
      <c r="AC1267" s="34"/>
      <c r="AD1267" s="10"/>
      <c r="AE1267"/>
      <c r="AF1267"/>
    </row>
    <row r="1268" spans="1:32" x14ac:dyDescent="0.25">
      <c r="A1268" s="16"/>
      <c r="C1268" s="70"/>
      <c r="D1268" s="70"/>
      <c r="E1268" s="73"/>
      <c r="F1268" s="9"/>
      <c r="H1268" s="9"/>
      <c r="I1268" s="10"/>
      <c r="J1268" s="10"/>
      <c r="K1268" s="7"/>
      <c r="L1268" s="10"/>
      <c r="M1268" s="10"/>
      <c r="N1268" s="10"/>
      <c r="O1268" s="10"/>
      <c r="P1268" s="10"/>
      <c r="Q1268" s="10"/>
      <c r="R1268" s="10"/>
      <c r="S1268" s="10"/>
      <c r="T1268" s="14"/>
      <c r="U1268" s="10"/>
      <c r="V1268" s="10"/>
      <c r="W1268" s="10"/>
      <c r="X1268" s="7"/>
      <c r="Y1268" s="7"/>
      <c r="Z1268" s="7"/>
      <c r="AA1268" s="34"/>
      <c r="AB1268" s="7"/>
      <c r="AC1268" s="34"/>
      <c r="AD1268" s="10"/>
      <c r="AE1268"/>
      <c r="AF1268"/>
    </row>
    <row r="1269" spans="1:32" x14ac:dyDescent="0.25">
      <c r="A1269" s="16"/>
      <c r="C1269" s="70"/>
      <c r="D1269" s="70"/>
      <c r="E1269" s="73"/>
      <c r="F1269" s="9"/>
      <c r="H1269" s="9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4"/>
      <c r="U1269" s="10"/>
      <c r="V1269" s="10"/>
      <c r="W1269" s="10"/>
      <c r="X1269" s="7"/>
      <c r="Y1269" s="7"/>
      <c r="Z1269" s="7"/>
      <c r="AA1269" s="34"/>
      <c r="AB1269" s="7"/>
      <c r="AC1269" s="34"/>
      <c r="AD1269" s="10"/>
      <c r="AE1269"/>
      <c r="AF1269"/>
    </row>
    <row r="1270" spans="1:32" x14ac:dyDescent="0.25">
      <c r="A1270" s="16"/>
      <c r="C1270" s="70"/>
      <c r="D1270" s="70"/>
      <c r="E1270" s="73"/>
      <c r="F1270" s="9"/>
      <c r="H1270" s="9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4"/>
      <c r="U1270" s="10"/>
      <c r="V1270" s="10"/>
      <c r="W1270" s="10"/>
      <c r="X1270" s="7"/>
      <c r="Y1270" s="7"/>
      <c r="Z1270" s="7"/>
      <c r="AA1270" s="34"/>
      <c r="AB1270" s="7"/>
      <c r="AC1270" s="34"/>
      <c r="AD1270" s="10"/>
      <c r="AE1270"/>
      <c r="AF1270"/>
    </row>
    <row r="1271" spans="1:32" x14ac:dyDescent="0.25">
      <c r="A1271" s="16"/>
      <c r="C1271" s="70"/>
      <c r="D1271" s="70"/>
      <c r="E1271" s="73"/>
      <c r="F1271" s="9"/>
      <c r="H1271" s="9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4"/>
      <c r="U1271" s="10"/>
      <c r="V1271" s="10"/>
      <c r="W1271" s="10"/>
      <c r="X1271" s="7"/>
      <c r="Y1271" s="7"/>
      <c r="Z1271" s="7"/>
      <c r="AA1271" s="34"/>
      <c r="AB1271" s="7"/>
      <c r="AC1271" s="34"/>
      <c r="AD1271" s="10"/>
      <c r="AE1271"/>
      <c r="AF1271"/>
    </row>
    <row r="1272" spans="1:32" x14ac:dyDescent="0.25">
      <c r="A1272" s="16"/>
      <c r="C1272" s="70"/>
      <c r="D1272" s="70"/>
      <c r="E1272" s="73"/>
      <c r="F1272" s="9"/>
      <c r="H1272" s="9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4"/>
      <c r="U1272" s="10"/>
      <c r="V1272" s="10"/>
      <c r="W1272" s="10"/>
      <c r="X1272" s="7"/>
      <c r="Y1272" s="7"/>
      <c r="Z1272" s="7"/>
      <c r="AA1272" s="34"/>
      <c r="AB1272" s="7"/>
      <c r="AC1272" s="34"/>
      <c r="AD1272" s="10"/>
      <c r="AE1272"/>
      <c r="AF1272"/>
    </row>
    <row r="1273" spans="1:32" x14ac:dyDescent="0.25">
      <c r="A1273" s="16"/>
      <c r="C1273" s="70"/>
      <c r="D1273" s="70"/>
      <c r="E1273" s="73"/>
      <c r="F1273" s="9"/>
      <c r="H1273" s="9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4"/>
      <c r="U1273" s="10"/>
      <c r="V1273" s="10"/>
      <c r="W1273" s="10"/>
      <c r="X1273" s="7"/>
      <c r="Y1273" s="7"/>
      <c r="Z1273" s="34"/>
      <c r="AA1273" s="34"/>
      <c r="AB1273" s="7"/>
      <c r="AC1273" s="34"/>
      <c r="AD1273" s="10"/>
      <c r="AE1273"/>
      <c r="AF1273"/>
    </row>
    <row r="1274" spans="1:32" x14ac:dyDescent="0.25">
      <c r="A1274" s="16"/>
      <c r="C1274" s="70"/>
      <c r="D1274" s="70"/>
      <c r="E1274" s="73"/>
      <c r="F1274" s="9"/>
      <c r="H1274" s="9"/>
      <c r="I1274" s="10"/>
      <c r="J1274" s="10"/>
      <c r="K1274" s="7"/>
      <c r="L1274" s="10"/>
      <c r="M1274" s="10"/>
      <c r="N1274" s="10"/>
      <c r="O1274" s="10"/>
      <c r="P1274" s="10"/>
      <c r="Q1274" s="10"/>
      <c r="R1274" s="10"/>
      <c r="S1274" s="10"/>
      <c r="T1274" s="14"/>
      <c r="U1274" s="10"/>
      <c r="V1274" s="10"/>
      <c r="W1274" s="10"/>
      <c r="X1274" s="7"/>
      <c r="Y1274" s="7"/>
      <c r="Z1274" s="7"/>
      <c r="AA1274" s="34"/>
      <c r="AB1274" s="7"/>
      <c r="AC1274" s="34"/>
      <c r="AD1274" s="10"/>
      <c r="AE1274"/>
      <c r="AF1274"/>
    </row>
    <row r="1275" spans="1:32" x14ac:dyDescent="0.25">
      <c r="A1275" s="16"/>
      <c r="C1275" s="70"/>
      <c r="D1275" s="70"/>
      <c r="E1275" s="73"/>
      <c r="F1275" s="9"/>
      <c r="H1275" s="9"/>
      <c r="I1275" s="10"/>
      <c r="J1275" s="7"/>
      <c r="K1275" s="7"/>
      <c r="L1275" s="10"/>
      <c r="M1275" s="10"/>
      <c r="N1275" s="10"/>
      <c r="O1275" s="10"/>
      <c r="P1275" s="10"/>
      <c r="Q1275" s="10"/>
      <c r="R1275" s="10"/>
      <c r="S1275" s="10"/>
      <c r="T1275" s="14"/>
      <c r="U1275" s="10"/>
      <c r="V1275" s="10"/>
      <c r="W1275" s="10"/>
      <c r="X1275" s="7"/>
      <c r="Y1275" s="7"/>
      <c r="Z1275" s="7"/>
      <c r="AA1275" s="34"/>
      <c r="AB1275" s="7"/>
      <c r="AC1275" s="34"/>
      <c r="AD1275" s="10"/>
      <c r="AE1275"/>
      <c r="AF1275"/>
    </row>
    <row r="1276" spans="1:32" x14ac:dyDescent="0.25">
      <c r="A1276" s="16"/>
      <c r="C1276" s="70"/>
      <c r="D1276" s="70"/>
      <c r="E1276" s="73"/>
      <c r="F1276" s="9"/>
      <c r="H1276" s="9"/>
      <c r="I1276" s="10"/>
      <c r="J1276" s="10"/>
      <c r="K1276" s="7"/>
      <c r="L1276" s="10"/>
      <c r="M1276" s="10"/>
      <c r="N1276" s="10"/>
      <c r="O1276" s="10"/>
      <c r="P1276" s="10"/>
      <c r="Q1276" s="10"/>
      <c r="R1276" s="10"/>
      <c r="S1276" s="10"/>
      <c r="T1276" s="14"/>
      <c r="U1276" s="10"/>
      <c r="V1276" s="10"/>
      <c r="W1276" s="10"/>
      <c r="X1276" s="7"/>
      <c r="Y1276" s="7"/>
      <c r="Z1276" s="7"/>
      <c r="AA1276" s="34"/>
      <c r="AB1276" s="7"/>
      <c r="AC1276" s="34"/>
      <c r="AD1276" s="10"/>
      <c r="AE1276"/>
      <c r="AF1276"/>
    </row>
    <row r="1277" spans="1:32" x14ac:dyDescent="0.25">
      <c r="A1277" s="16"/>
      <c r="C1277" s="70"/>
      <c r="D1277" s="70"/>
      <c r="E1277" s="73"/>
      <c r="F1277" s="9"/>
      <c r="H1277" s="9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4"/>
      <c r="U1277" s="10"/>
      <c r="V1277" s="10"/>
      <c r="W1277" s="10"/>
      <c r="X1277" s="7"/>
      <c r="Y1277" s="7"/>
      <c r="Z1277" s="7"/>
      <c r="AA1277" s="34"/>
      <c r="AB1277" s="7"/>
      <c r="AC1277" s="34"/>
      <c r="AD1277" s="10"/>
      <c r="AE1277"/>
      <c r="AF1277"/>
    </row>
    <row r="1278" spans="1:32" x14ac:dyDescent="0.25">
      <c r="A1278" s="16"/>
      <c r="C1278" s="70"/>
      <c r="D1278" s="70"/>
      <c r="E1278" s="73"/>
      <c r="F1278" s="9"/>
      <c r="H1278" s="9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4"/>
      <c r="U1278" s="10"/>
      <c r="V1278" s="10"/>
      <c r="W1278" s="10"/>
      <c r="X1278" s="7"/>
      <c r="Y1278" s="7"/>
      <c r="Z1278" s="7"/>
      <c r="AA1278" s="34"/>
      <c r="AB1278" s="7"/>
      <c r="AC1278" s="34"/>
      <c r="AD1278" s="10"/>
      <c r="AE1278"/>
      <c r="AF1278"/>
    </row>
    <row r="1279" spans="1:32" x14ac:dyDescent="0.25">
      <c r="A1279" s="16"/>
      <c r="C1279" s="70"/>
      <c r="D1279" s="70"/>
      <c r="E1279" s="73"/>
      <c r="F1279" s="9"/>
      <c r="H1279" s="9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4"/>
      <c r="U1279" s="10"/>
      <c r="V1279" s="10"/>
      <c r="W1279" s="10"/>
      <c r="X1279" s="7"/>
      <c r="Y1279" s="7"/>
      <c r="Z1279" s="7"/>
      <c r="AA1279" s="34"/>
      <c r="AB1279" s="7"/>
      <c r="AC1279" s="34"/>
      <c r="AD1279" s="10"/>
      <c r="AE1279"/>
      <c r="AF1279"/>
    </row>
    <row r="1280" spans="1:32" x14ac:dyDescent="0.25">
      <c r="A1280" s="16"/>
      <c r="C1280" s="70"/>
      <c r="D1280" s="70"/>
      <c r="E1280" s="73"/>
      <c r="F1280" s="9"/>
      <c r="H1280" s="9"/>
      <c r="I1280" s="10"/>
      <c r="J1280" s="10"/>
      <c r="K1280" s="7"/>
      <c r="L1280" s="10"/>
      <c r="M1280" s="10"/>
      <c r="N1280" s="10"/>
      <c r="O1280" s="10"/>
      <c r="P1280" s="10"/>
      <c r="Q1280" s="10"/>
      <c r="R1280" s="10"/>
      <c r="S1280" s="10"/>
      <c r="T1280" s="14"/>
      <c r="U1280" s="10"/>
      <c r="V1280" s="10"/>
      <c r="W1280" s="10"/>
      <c r="X1280" s="7"/>
      <c r="Y1280" s="7"/>
      <c r="Z1280" s="7"/>
      <c r="AA1280" s="34"/>
      <c r="AB1280" s="7"/>
      <c r="AC1280" s="34"/>
      <c r="AD1280" s="10"/>
      <c r="AE1280"/>
      <c r="AF1280"/>
    </row>
    <row r="1281" spans="1:32" x14ac:dyDescent="0.25">
      <c r="A1281" s="16"/>
      <c r="C1281" s="70"/>
      <c r="D1281" s="70"/>
      <c r="E1281" s="73"/>
      <c r="F1281" s="45"/>
      <c r="H1281" s="9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4"/>
      <c r="U1281" s="10"/>
      <c r="V1281" s="10"/>
      <c r="W1281" s="10"/>
      <c r="X1281" s="7"/>
      <c r="Y1281" s="7"/>
      <c r="Z1281" s="7"/>
      <c r="AA1281" s="34"/>
      <c r="AB1281" s="7"/>
      <c r="AC1281" s="34"/>
      <c r="AD1281" s="10"/>
      <c r="AE1281"/>
      <c r="AF1281"/>
    </row>
    <row r="1282" spans="1:32" x14ac:dyDescent="0.25">
      <c r="A1282" s="16"/>
      <c r="C1282" s="70"/>
      <c r="D1282" s="70"/>
      <c r="E1282" s="73"/>
      <c r="F1282" s="9"/>
      <c r="H1282" s="9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4"/>
      <c r="U1282" s="10"/>
      <c r="V1282" s="10"/>
      <c r="W1282" s="10"/>
      <c r="X1282" s="7"/>
      <c r="Y1282" s="7"/>
      <c r="Z1282" s="34"/>
      <c r="AA1282" s="34"/>
      <c r="AB1282" s="7"/>
      <c r="AC1282" s="34"/>
      <c r="AD1282" s="10"/>
      <c r="AE1282"/>
      <c r="AF1282"/>
    </row>
    <row r="1283" spans="1:32" x14ac:dyDescent="0.25">
      <c r="A1283" s="16"/>
      <c r="C1283" s="70"/>
      <c r="D1283" s="70"/>
      <c r="E1283" s="73"/>
      <c r="F1283" s="9"/>
      <c r="H1283" s="9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4"/>
      <c r="U1283" s="10"/>
      <c r="V1283" s="10"/>
      <c r="W1283" s="10"/>
      <c r="X1283" s="7"/>
      <c r="Y1283" s="7"/>
      <c r="Z1283" s="34"/>
      <c r="AA1283" s="34"/>
      <c r="AB1283" s="7"/>
      <c r="AC1283" s="34"/>
      <c r="AD1283" s="10"/>
      <c r="AE1283"/>
      <c r="AF1283"/>
    </row>
    <row r="1284" spans="1:32" x14ac:dyDescent="0.25">
      <c r="A1284" s="16"/>
      <c r="C1284" s="70"/>
      <c r="D1284" s="70"/>
      <c r="E1284" s="73"/>
      <c r="F1284" s="9"/>
      <c r="H1284" s="9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4"/>
      <c r="U1284" s="10"/>
      <c r="V1284" s="10"/>
      <c r="W1284" s="10"/>
      <c r="X1284" s="7"/>
      <c r="Y1284" s="7"/>
      <c r="Z1284" s="7"/>
      <c r="AA1284" s="34"/>
      <c r="AB1284" s="7"/>
      <c r="AC1284" s="34"/>
      <c r="AD1284" s="10"/>
      <c r="AE1284"/>
      <c r="AF1284"/>
    </row>
    <row r="1285" spans="1:32" x14ac:dyDescent="0.25">
      <c r="A1285" s="16"/>
      <c r="C1285" s="70"/>
      <c r="D1285" s="70"/>
      <c r="E1285" s="73"/>
      <c r="F1285" s="9"/>
      <c r="H1285" s="9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4"/>
      <c r="U1285" s="10"/>
      <c r="V1285" s="10"/>
      <c r="W1285" s="10"/>
      <c r="X1285" s="7"/>
      <c r="Y1285" s="7"/>
      <c r="Z1285" s="7"/>
      <c r="AA1285" s="34"/>
      <c r="AB1285" s="7"/>
      <c r="AC1285" s="34"/>
      <c r="AD1285" s="10"/>
      <c r="AE1285"/>
      <c r="AF1285"/>
    </row>
    <row r="1286" spans="1:32" x14ac:dyDescent="0.25">
      <c r="A1286" s="16"/>
      <c r="C1286" s="70"/>
      <c r="D1286" s="70"/>
      <c r="E1286" s="73"/>
      <c r="F1286" s="9"/>
      <c r="H1286" s="9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4"/>
      <c r="U1286" s="10"/>
      <c r="V1286" s="10"/>
      <c r="W1286" s="10"/>
      <c r="X1286" s="7"/>
      <c r="Y1286" s="7"/>
      <c r="Z1286" s="7"/>
      <c r="AA1286" s="34"/>
      <c r="AB1286" s="7"/>
      <c r="AC1286" s="34"/>
      <c r="AD1286" s="10"/>
      <c r="AE1286"/>
      <c r="AF1286"/>
    </row>
    <row r="1287" spans="1:32" x14ac:dyDescent="0.25">
      <c r="A1287" s="16"/>
      <c r="C1287" s="70"/>
      <c r="D1287" s="70"/>
      <c r="E1287" s="73"/>
      <c r="F1287" s="9"/>
      <c r="H1287" s="9"/>
      <c r="I1287" s="10"/>
      <c r="J1287" s="7"/>
      <c r="K1287" s="7"/>
      <c r="L1287" s="10"/>
      <c r="M1287" s="10"/>
      <c r="N1287" s="10"/>
      <c r="O1287" s="10"/>
      <c r="P1287" s="10"/>
      <c r="Q1287" s="10"/>
      <c r="R1287" s="10"/>
      <c r="S1287" s="10"/>
      <c r="T1287" s="14"/>
      <c r="U1287" s="10"/>
      <c r="V1287" s="10"/>
      <c r="W1287" s="10"/>
      <c r="X1287" s="7"/>
      <c r="Y1287" s="7"/>
      <c r="Z1287" s="7"/>
      <c r="AA1287" s="34"/>
      <c r="AB1287" s="7"/>
      <c r="AC1287" s="34"/>
      <c r="AD1287" s="10"/>
      <c r="AE1287"/>
      <c r="AF1287"/>
    </row>
    <row r="1288" spans="1:32" x14ac:dyDescent="0.25">
      <c r="A1288" s="16"/>
      <c r="C1288" s="70"/>
      <c r="D1288" s="70"/>
      <c r="E1288" s="73"/>
      <c r="F1288" s="9"/>
      <c r="H1288" s="9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4"/>
      <c r="U1288" s="10"/>
      <c r="V1288" s="10"/>
      <c r="W1288" s="10"/>
      <c r="X1288" s="7"/>
      <c r="Y1288" s="7"/>
      <c r="Z1288" s="7"/>
      <c r="AA1288" s="34"/>
      <c r="AB1288" s="7"/>
      <c r="AC1288" s="34"/>
      <c r="AD1288" s="10"/>
      <c r="AE1288"/>
      <c r="AF1288"/>
    </row>
    <row r="1289" spans="1:32" x14ac:dyDescent="0.25">
      <c r="A1289" s="16"/>
      <c r="C1289" s="70"/>
      <c r="D1289" s="70"/>
      <c r="E1289" s="73"/>
      <c r="F1289" s="9"/>
      <c r="H1289" s="9"/>
      <c r="I1289" s="10"/>
      <c r="J1289" s="7"/>
      <c r="K1289" s="7"/>
      <c r="L1289" s="10"/>
      <c r="M1289" s="10"/>
      <c r="N1289" s="10"/>
      <c r="O1289" s="10"/>
      <c r="P1289" s="10"/>
      <c r="Q1289" s="10"/>
      <c r="R1289" s="10"/>
      <c r="S1289" s="10"/>
      <c r="T1289" s="14"/>
      <c r="U1289" s="10"/>
      <c r="V1289" s="10"/>
      <c r="W1289" s="10"/>
      <c r="X1289" s="7"/>
      <c r="Y1289" s="7"/>
      <c r="Z1289" s="7"/>
      <c r="AA1289" s="34"/>
      <c r="AB1289" s="7"/>
      <c r="AC1289" s="34"/>
      <c r="AD1289" s="10"/>
      <c r="AE1289"/>
      <c r="AF1289"/>
    </row>
    <row r="1290" spans="1:32" x14ac:dyDescent="0.25">
      <c r="A1290" s="16"/>
      <c r="C1290" s="70"/>
      <c r="D1290" s="70"/>
      <c r="E1290" s="73"/>
      <c r="F1290" s="9"/>
      <c r="H1290" s="9"/>
      <c r="I1290" s="10"/>
      <c r="J1290" s="7"/>
      <c r="K1290" s="7"/>
      <c r="L1290" s="10"/>
      <c r="M1290" s="10"/>
      <c r="N1290" s="10"/>
      <c r="O1290" s="10"/>
      <c r="P1290" s="10"/>
      <c r="Q1290" s="10"/>
      <c r="R1290" s="10"/>
      <c r="S1290" s="10"/>
      <c r="T1290" s="14"/>
      <c r="U1290" s="10"/>
      <c r="V1290" s="10"/>
      <c r="W1290" s="10"/>
      <c r="X1290" s="7"/>
      <c r="Y1290" s="7"/>
      <c r="Z1290" s="7"/>
      <c r="AA1290" s="34"/>
      <c r="AB1290" s="7"/>
      <c r="AC1290" s="34"/>
      <c r="AD1290" s="10"/>
      <c r="AE1290"/>
      <c r="AF1290"/>
    </row>
    <row r="1291" spans="1:32" x14ac:dyDescent="0.25">
      <c r="A1291" s="16"/>
      <c r="C1291" s="70"/>
      <c r="D1291" s="70"/>
      <c r="E1291" s="73"/>
      <c r="F1291" s="9"/>
      <c r="H1291" s="9"/>
      <c r="I1291" s="10"/>
      <c r="J1291" s="10"/>
      <c r="K1291" s="7"/>
      <c r="L1291" s="10"/>
      <c r="M1291" s="10"/>
      <c r="N1291" s="10"/>
      <c r="O1291" s="10"/>
      <c r="P1291" s="10"/>
      <c r="Q1291" s="10"/>
      <c r="R1291" s="10"/>
      <c r="S1291" s="10"/>
      <c r="T1291" s="14"/>
      <c r="U1291" s="10"/>
      <c r="V1291" s="10"/>
      <c r="W1291" s="10"/>
      <c r="X1291" s="7"/>
      <c r="Y1291" s="7"/>
      <c r="Z1291" s="7"/>
      <c r="AA1291" s="34"/>
      <c r="AB1291" s="7"/>
      <c r="AC1291" s="34"/>
      <c r="AD1291" s="10"/>
      <c r="AE1291"/>
      <c r="AF1291"/>
    </row>
    <row r="1292" spans="1:32" x14ac:dyDescent="0.25">
      <c r="A1292" s="16"/>
      <c r="C1292" s="70"/>
      <c r="D1292" s="70"/>
      <c r="E1292" s="73"/>
      <c r="F1292" s="9"/>
      <c r="H1292" s="9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4"/>
      <c r="U1292" s="10"/>
      <c r="V1292" s="10"/>
      <c r="W1292" s="10"/>
      <c r="X1292" s="7"/>
      <c r="Y1292" s="7"/>
      <c r="Z1292" s="7"/>
      <c r="AA1292" s="34"/>
      <c r="AB1292" s="7"/>
      <c r="AC1292" s="34"/>
      <c r="AD1292" s="10"/>
      <c r="AE1292"/>
      <c r="AF1292"/>
    </row>
    <row r="1293" spans="1:32" x14ac:dyDescent="0.25">
      <c r="A1293" s="16"/>
      <c r="C1293" s="70"/>
      <c r="D1293" s="70"/>
      <c r="E1293" s="73"/>
      <c r="F1293" s="9"/>
      <c r="H1293" s="9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4"/>
      <c r="U1293" s="10"/>
      <c r="V1293" s="10"/>
      <c r="W1293" s="10"/>
      <c r="X1293" s="7"/>
      <c r="Y1293" s="7"/>
      <c r="Z1293" s="7"/>
      <c r="AA1293" s="34"/>
      <c r="AB1293" s="7"/>
      <c r="AC1293" s="34"/>
      <c r="AD1293" s="10"/>
      <c r="AE1293"/>
      <c r="AF1293"/>
    </row>
    <row r="1294" spans="1:32" x14ac:dyDescent="0.25">
      <c r="A1294" s="16"/>
      <c r="C1294" s="70"/>
      <c r="D1294" s="70"/>
      <c r="E1294" s="73"/>
      <c r="F1294" s="9"/>
      <c r="H1294" s="9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4"/>
      <c r="U1294" s="10"/>
      <c r="V1294" s="10"/>
      <c r="W1294" s="10"/>
      <c r="X1294" s="7"/>
      <c r="Y1294" s="7"/>
      <c r="Z1294" s="7"/>
      <c r="AA1294" s="34"/>
      <c r="AB1294" s="7"/>
      <c r="AC1294" s="34"/>
      <c r="AD1294" s="10"/>
      <c r="AE1294"/>
      <c r="AF1294"/>
    </row>
    <row r="1295" spans="1:32" x14ac:dyDescent="0.25">
      <c r="A1295" s="16"/>
      <c r="C1295" s="70"/>
      <c r="D1295" s="70"/>
      <c r="E1295" s="73"/>
      <c r="F1295" s="9"/>
      <c r="H1295" s="9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4"/>
      <c r="U1295" s="10"/>
      <c r="V1295" s="10"/>
      <c r="W1295" s="10"/>
      <c r="X1295" s="7"/>
      <c r="Y1295" s="7"/>
      <c r="Z1295" s="7"/>
      <c r="AA1295" s="34"/>
      <c r="AB1295" s="7"/>
      <c r="AC1295" s="34"/>
      <c r="AD1295" s="10"/>
      <c r="AE1295"/>
      <c r="AF1295"/>
    </row>
    <row r="1296" spans="1:32" x14ac:dyDescent="0.25">
      <c r="A1296" s="16"/>
      <c r="C1296" s="70"/>
      <c r="D1296" s="70"/>
      <c r="E1296" s="73"/>
      <c r="F1296" s="9"/>
      <c r="H1296" s="9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4"/>
      <c r="U1296" s="10"/>
      <c r="V1296" s="10"/>
      <c r="W1296" s="10"/>
      <c r="X1296" s="7"/>
      <c r="Y1296" s="7"/>
      <c r="Z1296" s="7"/>
      <c r="AA1296" s="34"/>
      <c r="AB1296" s="7"/>
      <c r="AC1296" s="34"/>
      <c r="AD1296" s="10"/>
      <c r="AE1296"/>
      <c r="AF1296"/>
    </row>
    <row r="1297" spans="1:32" x14ac:dyDescent="0.25">
      <c r="A1297" s="16"/>
      <c r="C1297" s="70"/>
      <c r="D1297" s="70"/>
      <c r="E1297" s="73"/>
      <c r="F1297" s="9"/>
      <c r="H1297" s="9"/>
      <c r="I1297" s="10"/>
      <c r="J1297" s="7"/>
      <c r="K1297" s="7"/>
      <c r="L1297" s="10"/>
      <c r="M1297" s="10"/>
      <c r="N1297" s="10"/>
      <c r="O1297" s="10"/>
      <c r="P1297" s="10"/>
      <c r="Q1297" s="10"/>
      <c r="R1297" s="10"/>
      <c r="S1297" s="10"/>
      <c r="T1297" s="14"/>
      <c r="U1297" s="10"/>
      <c r="V1297" s="10"/>
      <c r="W1297" s="10"/>
      <c r="X1297" s="7"/>
      <c r="Y1297" s="7"/>
      <c r="Z1297" s="7"/>
      <c r="AA1297" s="34"/>
      <c r="AB1297" s="7"/>
      <c r="AC1297" s="34"/>
      <c r="AD1297" s="10"/>
      <c r="AE1297"/>
      <c r="AF1297"/>
    </row>
    <row r="1298" spans="1:32" x14ac:dyDescent="0.25">
      <c r="A1298" s="16"/>
      <c r="C1298" s="70"/>
      <c r="D1298" s="70"/>
      <c r="E1298" s="73"/>
      <c r="F1298" s="9"/>
      <c r="H1298" s="9"/>
      <c r="I1298" s="10"/>
      <c r="J1298" s="10"/>
      <c r="K1298" s="7"/>
      <c r="L1298" s="10"/>
      <c r="M1298" s="10"/>
      <c r="N1298" s="10"/>
      <c r="O1298" s="10"/>
      <c r="P1298" s="10"/>
      <c r="Q1298" s="10"/>
      <c r="R1298" s="10"/>
      <c r="S1298" s="10"/>
      <c r="T1298" s="14"/>
      <c r="U1298" s="10"/>
      <c r="V1298" s="10"/>
      <c r="W1298" s="10"/>
      <c r="X1298" s="7"/>
      <c r="Y1298" s="7"/>
      <c r="Z1298" s="7"/>
      <c r="AA1298" s="34"/>
      <c r="AB1298" s="7"/>
      <c r="AC1298" s="34"/>
      <c r="AD1298" s="10"/>
      <c r="AE1298"/>
      <c r="AF1298"/>
    </row>
    <row r="1299" spans="1:32" x14ac:dyDescent="0.25">
      <c r="A1299" s="16"/>
      <c r="C1299" s="70"/>
      <c r="D1299" s="70"/>
      <c r="E1299" s="73"/>
      <c r="F1299" s="9"/>
      <c r="H1299" s="9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4"/>
      <c r="U1299" s="10"/>
      <c r="V1299" s="10"/>
      <c r="W1299" s="10"/>
      <c r="X1299" s="7"/>
      <c r="Y1299" s="7"/>
      <c r="Z1299" s="7"/>
      <c r="AA1299" s="34"/>
      <c r="AB1299" s="7"/>
      <c r="AC1299" s="34"/>
      <c r="AD1299" s="10"/>
      <c r="AE1299"/>
      <c r="AF1299"/>
    </row>
    <row r="1300" spans="1:32" x14ac:dyDescent="0.25">
      <c r="A1300" s="16"/>
      <c r="C1300" s="70"/>
      <c r="D1300" s="70"/>
      <c r="E1300" s="73"/>
      <c r="F1300" s="9"/>
      <c r="H1300" s="9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4"/>
      <c r="U1300" s="10"/>
      <c r="V1300" s="10"/>
      <c r="W1300" s="10"/>
      <c r="X1300" s="7"/>
      <c r="Y1300" s="34"/>
      <c r="Z1300" s="7"/>
      <c r="AA1300" s="34"/>
      <c r="AB1300" s="7"/>
      <c r="AC1300" s="34"/>
      <c r="AD1300" s="10"/>
      <c r="AE1300"/>
      <c r="AF1300"/>
    </row>
    <row r="1301" spans="1:32" x14ac:dyDescent="0.25">
      <c r="A1301" s="16"/>
      <c r="C1301" s="70"/>
      <c r="D1301" s="70"/>
      <c r="E1301" s="73"/>
      <c r="F1301" s="9"/>
      <c r="H1301" s="9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4"/>
      <c r="U1301" s="10"/>
      <c r="V1301" s="10"/>
      <c r="W1301" s="10"/>
      <c r="X1301" s="7"/>
      <c r="Y1301" s="34"/>
      <c r="Z1301" s="7"/>
      <c r="AA1301" s="34"/>
      <c r="AB1301" s="7"/>
      <c r="AC1301" s="34"/>
      <c r="AD1301" s="10"/>
      <c r="AE1301"/>
      <c r="AF1301"/>
    </row>
    <row r="1302" spans="1:32" x14ac:dyDescent="0.25">
      <c r="A1302" s="16"/>
      <c r="C1302" s="70"/>
      <c r="D1302" s="70"/>
      <c r="E1302" s="73"/>
      <c r="F1302" s="9"/>
      <c r="H1302" s="9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4"/>
      <c r="U1302" s="10"/>
      <c r="V1302" s="10"/>
      <c r="W1302" s="10"/>
      <c r="X1302" s="7"/>
      <c r="Y1302" s="7"/>
      <c r="Z1302" s="7"/>
      <c r="AA1302" s="34"/>
      <c r="AB1302" s="7"/>
      <c r="AC1302" s="34"/>
      <c r="AD1302" s="10"/>
      <c r="AE1302"/>
      <c r="AF1302"/>
    </row>
    <row r="1303" spans="1:32" x14ac:dyDescent="0.25">
      <c r="A1303" s="16"/>
      <c r="C1303" s="70"/>
      <c r="D1303" s="70"/>
      <c r="E1303" s="73"/>
      <c r="F1303" s="9"/>
      <c r="H1303" s="9"/>
      <c r="I1303" s="10"/>
      <c r="J1303" s="10"/>
      <c r="K1303" s="7"/>
      <c r="L1303" s="10"/>
      <c r="M1303" s="10"/>
      <c r="N1303" s="10"/>
      <c r="O1303" s="10"/>
      <c r="P1303" s="10"/>
      <c r="Q1303" s="10"/>
      <c r="R1303" s="10"/>
      <c r="S1303" s="10"/>
      <c r="T1303" s="14"/>
      <c r="U1303" s="10"/>
      <c r="V1303" s="10"/>
      <c r="W1303" s="10"/>
      <c r="X1303" s="7"/>
      <c r="Y1303" s="7"/>
      <c r="Z1303" s="7"/>
      <c r="AA1303" s="34"/>
      <c r="AB1303" s="7"/>
      <c r="AC1303" s="34"/>
      <c r="AD1303" s="10"/>
      <c r="AE1303"/>
      <c r="AF1303"/>
    </row>
    <row r="1304" spans="1:32" x14ac:dyDescent="0.25">
      <c r="A1304" s="16"/>
      <c r="C1304" s="70"/>
      <c r="D1304" s="70"/>
      <c r="E1304" s="73"/>
      <c r="F1304" s="9"/>
      <c r="H1304" s="9"/>
      <c r="I1304" s="10"/>
      <c r="J1304" s="7"/>
      <c r="K1304" s="7"/>
      <c r="L1304" s="10"/>
      <c r="M1304" s="10"/>
      <c r="N1304" s="10"/>
      <c r="O1304" s="10"/>
      <c r="P1304" s="10"/>
      <c r="Q1304" s="10"/>
      <c r="R1304" s="10"/>
      <c r="S1304" s="10"/>
      <c r="T1304" s="14"/>
      <c r="U1304" s="10"/>
      <c r="V1304" s="10"/>
      <c r="W1304" s="10"/>
      <c r="X1304" s="7"/>
      <c r="Y1304" s="7"/>
      <c r="Z1304" s="7"/>
      <c r="AA1304" s="34"/>
      <c r="AB1304" s="7"/>
      <c r="AC1304" s="34"/>
      <c r="AD1304" s="10"/>
      <c r="AE1304"/>
      <c r="AF1304"/>
    </row>
    <row r="1305" spans="1:32" x14ac:dyDescent="0.25">
      <c r="A1305" s="16"/>
      <c r="C1305" s="70"/>
      <c r="D1305" s="70"/>
      <c r="E1305" s="73"/>
      <c r="F1305" s="9"/>
      <c r="H1305" s="9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4"/>
      <c r="U1305" s="10"/>
      <c r="V1305" s="10"/>
      <c r="W1305" s="10"/>
      <c r="X1305" s="7"/>
      <c r="Y1305" s="7"/>
      <c r="Z1305" s="7"/>
      <c r="AA1305" s="34"/>
      <c r="AB1305" s="7"/>
      <c r="AC1305" s="34"/>
      <c r="AD1305" s="10"/>
      <c r="AE1305"/>
      <c r="AF1305"/>
    </row>
    <row r="1306" spans="1:32" x14ac:dyDescent="0.25">
      <c r="A1306" s="16"/>
      <c r="C1306" s="70"/>
      <c r="D1306" s="70"/>
      <c r="E1306" s="73"/>
      <c r="F1306" s="9"/>
      <c r="H1306" s="9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4"/>
      <c r="U1306" s="10"/>
      <c r="V1306" s="10"/>
      <c r="W1306" s="10"/>
      <c r="X1306" s="7"/>
      <c r="Y1306" s="7"/>
      <c r="Z1306" s="7"/>
      <c r="AA1306" s="34"/>
      <c r="AB1306" s="7"/>
      <c r="AC1306" s="34"/>
      <c r="AD1306" s="10"/>
      <c r="AE1306"/>
      <c r="AF1306"/>
    </row>
    <row r="1307" spans="1:32" x14ac:dyDescent="0.25">
      <c r="A1307" s="16"/>
      <c r="C1307" s="70"/>
      <c r="D1307" s="70"/>
      <c r="E1307" s="73"/>
      <c r="F1307" s="9"/>
      <c r="H1307" s="9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4"/>
      <c r="U1307" s="10"/>
      <c r="V1307" s="10"/>
      <c r="W1307" s="10"/>
      <c r="X1307" s="7"/>
      <c r="Y1307" s="7"/>
      <c r="Z1307" s="7"/>
      <c r="AA1307" s="34"/>
      <c r="AB1307" s="7"/>
      <c r="AC1307" s="34"/>
      <c r="AD1307" s="10"/>
      <c r="AE1307"/>
      <c r="AF1307"/>
    </row>
    <row r="1308" spans="1:32" x14ac:dyDescent="0.25">
      <c r="A1308" s="16"/>
      <c r="C1308" s="70"/>
      <c r="D1308" s="70"/>
      <c r="E1308" s="73"/>
      <c r="F1308" s="45"/>
      <c r="H1308" s="9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4"/>
      <c r="U1308" s="10"/>
      <c r="V1308" s="10"/>
      <c r="W1308" s="10"/>
      <c r="X1308" s="7"/>
      <c r="Y1308" s="7"/>
      <c r="Z1308" s="7"/>
      <c r="AA1308" s="34"/>
      <c r="AB1308" s="7"/>
      <c r="AC1308" s="34"/>
      <c r="AD1308" s="10"/>
      <c r="AE1308"/>
      <c r="AF1308"/>
    </row>
    <row r="1309" spans="1:32" x14ac:dyDescent="0.25">
      <c r="A1309" s="16"/>
      <c r="C1309" s="70"/>
      <c r="D1309" s="70"/>
      <c r="E1309" s="73"/>
      <c r="F1309" s="9"/>
      <c r="H1309" s="9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4"/>
      <c r="U1309" s="10"/>
      <c r="V1309" s="10"/>
      <c r="W1309" s="10"/>
      <c r="X1309" s="7"/>
      <c r="Y1309" s="7"/>
      <c r="Z1309" s="34"/>
      <c r="AA1309" s="34"/>
      <c r="AB1309" s="7"/>
      <c r="AC1309" s="34"/>
      <c r="AD1309" s="10"/>
      <c r="AE1309"/>
      <c r="AF1309"/>
    </row>
    <row r="1310" spans="1:32" x14ac:dyDescent="0.25">
      <c r="A1310" s="16"/>
      <c r="C1310" s="70"/>
      <c r="D1310" s="70"/>
      <c r="E1310" s="73"/>
      <c r="F1310" s="9"/>
      <c r="H1310" s="9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4"/>
      <c r="U1310" s="10"/>
      <c r="V1310" s="10"/>
      <c r="W1310" s="10"/>
      <c r="X1310" s="7"/>
      <c r="Y1310" s="7"/>
      <c r="Z1310" s="7"/>
      <c r="AA1310" s="34"/>
      <c r="AB1310" s="7"/>
      <c r="AC1310" s="34"/>
      <c r="AD1310" s="10"/>
      <c r="AE1310"/>
      <c r="AF1310"/>
    </row>
    <row r="1311" spans="1:32" x14ac:dyDescent="0.25">
      <c r="A1311" s="16"/>
      <c r="C1311" s="70"/>
      <c r="D1311" s="70"/>
      <c r="E1311" s="73"/>
      <c r="F1311" s="9"/>
      <c r="H1311" s="9"/>
      <c r="I1311" s="10"/>
      <c r="J1311" s="7"/>
      <c r="K1311" s="7"/>
      <c r="L1311" s="10"/>
      <c r="M1311" s="10"/>
      <c r="N1311" s="10"/>
      <c r="O1311" s="10"/>
      <c r="P1311" s="10"/>
      <c r="Q1311" s="10"/>
      <c r="R1311" s="10"/>
      <c r="S1311" s="10"/>
      <c r="T1311" s="14"/>
      <c r="U1311" s="10"/>
      <c r="V1311" s="10"/>
      <c r="W1311" s="10"/>
      <c r="X1311" s="7"/>
      <c r="Y1311" s="7"/>
      <c r="Z1311" s="7"/>
      <c r="AA1311" s="34"/>
      <c r="AB1311" s="7"/>
      <c r="AC1311" s="34"/>
      <c r="AD1311" s="10"/>
      <c r="AE1311"/>
      <c r="AF1311"/>
    </row>
    <row r="1312" spans="1:32" x14ac:dyDescent="0.25">
      <c r="A1312" s="16"/>
      <c r="C1312" s="70"/>
      <c r="D1312" s="70"/>
      <c r="E1312" s="73"/>
      <c r="F1312" s="9"/>
      <c r="H1312" s="9"/>
      <c r="I1312" s="10"/>
      <c r="J1312" s="7"/>
      <c r="K1312" s="7"/>
      <c r="L1312" s="10"/>
      <c r="M1312" s="10"/>
      <c r="N1312" s="10"/>
      <c r="O1312" s="10"/>
      <c r="P1312" s="10"/>
      <c r="Q1312" s="10"/>
      <c r="R1312" s="10"/>
      <c r="S1312" s="10"/>
      <c r="T1312" s="14"/>
      <c r="U1312" s="10"/>
      <c r="V1312" s="10"/>
      <c r="W1312" s="10"/>
      <c r="X1312" s="7"/>
      <c r="Y1312" s="7"/>
      <c r="Z1312" s="7"/>
      <c r="AA1312" s="34"/>
      <c r="AB1312" s="7"/>
      <c r="AC1312" s="34"/>
      <c r="AD1312" s="10"/>
      <c r="AE1312"/>
      <c r="AF1312"/>
    </row>
    <row r="1313" spans="1:32" x14ac:dyDescent="0.25">
      <c r="A1313" s="16"/>
      <c r="C1313" s="70"/>
      <c r="D1313" s="70"/>
      <c r="E1313" s="73"/>
      <c r="F1313" s="9"/>
      <c r="H1313" s="9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4"/>
      <c r="U1313" s="10"/>
      <c r="V1313" s="10"/>
      <c r="W1313" s="10"/>
      <c r="X1313" s="7"/>
      <c r="Y1313" s="7"/>
      <c r="Z1313" s="7"/>
      <c r="AA1313" s="34"/>
      <c r="AB1313" s="7"/>
      <c r="AC1313" s="34"/>
      <c r="AD1313" s="10"/>
      <c r="AE1313"/>
      <c r="AF1313"/>
    </row>
    <row r="1314" spans="1:32" x14ac:dyDescent="0.25">
      <c r="A1314" s="16"/>
      <c r="C1314" s="70"/>
      <c r="D1314" s="70"/>
      <c r="E1314" s="73"/>
      <c r="F1314" s="9"/>
      <c r="H1314" s="9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4"/>
      <c r="U1314" s="10"/>
      <c r="V1314" s="10"/>
      <c r="W1314" s="10"/>
      <c r="X1314" s="7"/>
      <c r="Y1314" s="7"/>
      <c r="Z1314" s="7"/>
      <c r="AA1314" s="34"/>
      <c r="AB1314" s="7"/>
      <c r="AC1314" s="34"/>
      <c r="AD1314" s="10"/>
      <c r="AE1314"/>
      <c r="AF1314"/>
    </row>
    <row r="1315" spans="1:32" x14ac:dyDescent="0.25">
      <c r="A1315" s="16"/>
      <c r="C1315" s="70"/>
      <c r="D1315" s="70"/>
      <c r="E1315" s="73"/>
      <c r="F1315" s="9"/>
      <c r="H1315" s="9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4"/>
      <c r="U1315" s="10"/>
      <c r="V1315" s="10"/>
      <c r="W1315" s="10"/>
      <c r="X1315" s="7"/>
      <c r="Y1315" s="7"/>
      <c r="Z1315" s="7"/>
      <c r="AA1315" s="34"/>
      <c r="AB1315" s="7"/>
      <c r="AC1315" s="34"/>
      <c r="AD1315" s="10"/>
      <c r="AE1315"/>
      <c r="AF1315"/>
    </row>
    <row r="1316" spans="1:32" x14ac:dyDescent="0.25">
      <c r="A1316" s="16"/>
      <c r="C1316" s="70"/>
      <c r="D1316" s="70"/>
      <c r="E1316" s="73"/>
      <c r="F1316" s="9"/>
      <c r="H1316" s="9"/>
      <c r="I1316" s="10"/>
      <c r="J1316" s="10"/>
      <c r="K1316" s="7"/>
      <c r="L1316" s="10"/>
      <c r="M1316" s="10"/>
      <c r="N1316" s="10"/>
      <c r="O1316" s="10"/>
      <c r="P1316" s="10"/>
      <c r="Q1316" s="10"/>
      <c r="R1316" s="10"/>
      <c r="S1316" s="10"/>
      <c r="T1316" s="14"/>
      <c r="U1316" s="10"/>
      <c r="V1316" s="10"/>
      <c r="W1316" s="10"/>
      <c r="X1316" s="7"/>
      <c r="Y1316" s="7"/>
      <c r="Z1316" s="7"/>
      <c r="AA1316" s="34"/>
      <c r="AB1316" s="7"/>
      <c r="AC1316" s="34"/>
      <c r="AD1316" s="10"/>
      <c r="AE1316"/>
      <c r="AF1316"/>
    </row>
    <row r="1317" spans="1:32" x14ac:dyDescent="0.25">
      <c r="A1317" s="16"/>
      <c r="C1317" s="70"/>
      <c r="D1317" s="70"/>
      <c r="E1317" s="73"/>
      <c r="F1317" s="9"/>
      <c r="H1317" s="9"/>
      <c r="I1317" s="10"/>
      <c r="J1317" s="7"/>
      <c r="K1317" s="7"/>
      <c r="L1317" s="10"/>
      <c r="M1317" s="10"/>
      <c r="N1317" s="10"/>
      <c r="O1317" s="10"/>
      <c r="P1317" s="10"/>
      <c r="Q1317" s="10"/>
      <c r="R1317" s="10"/>
      <c r="S1317" s="10"/>
      <c r="T1317" s="14"/>
      <c r="U1317" s="10"/>
      <c r="V1317" s="10"/>
      <c r="W1317" s="10"/>
      <c r="X1317" s="7"/>
      <c r="Y1317" s="7"/>
      <c r="Z1317" s="7"/>
      <c r="AA1317" s="34"/>
      <c r="AB1317" s="7"/>
      <c r="AC1317" s="34"/>
      <c r="AD1317" s="10"/>
      <c r="AE1317"/>
      <c r="AF1317"/>
    </row>
    <row r="1318" spans="1:32" x14ac:dyDescent="0.25">
      <c r="A1318" s="16"/>
      <c r="C1318" s="70"/>
      <c r="D1318" s="70"/>
      <c r="E1318" s="73"/>
      <c r="F1318" s="9"/>
      <c r="H1318" s="9"/>
      <c r="I1318" s="10"/>
      <c r="J1318" s="7"/>
      <c r="K1318" s="7"/>
      <c r="L1318" s="10"/>
      <c r="M1318" s="10"/>
      <c r="N1318" s="10"/>
      <c r="O1318" s="10"/>
      <c r="P1318" s="10"/>
      <c r="Q1318" s="10"/>
      <c r="R1318" s="10"/>
      <c r="S1318" s="10"/>
      <c r="T1318" s="14"/>
      <c r="U1318" s="10"/>
      <c r="V1318" s="10"/>
      <c r="W1318" s="10"/>
      <c r="X1318" s="7"/>
      <c r="Y1318" s="7"/>
      <c r="Z1318" s="7"/>
      <c r="AA1318" s="34"/>
      <c r="AB1318" s="7"/>
      <c r="AC1318" s="34"/>
      <c r="AD1318" s="10"/>
      <c r="AE1318"/>
      <c r="AF1318"/>
    </row>
    <row r="1319" spans="1:32" x14ac:dyDescent="0.25">
      <c r="A1319" s="16"/>
      <c r="C1319" s="70"/>
      <c r="D1319" s="70"/>
      <c r="E1319" s="73"/>
      <c r="F1319" s="9"/>
      <c r="H1319" s="9"/>
      <c r="I1319" s="10"/>
      <c r="J1319" s="10"/>
      <c r="K1319" s="7"/>
      <c r="L1319" s="10"/>
      <c r="M1319" s="10"/>
      <c r="N1319" s="10"/>
      <c r="O1319" s="10"/>
      <c r="P1319" s="10"/>
      <c r="Q1319" s="10"/>
      <c r="R1319" s="10"/>
      <c r="S1319" s="10"/>
      <c r="T1319" s="14"/>
      <c r="U1319" s="10"/>
      <c r="V1319" s="10"/>
      <c r="W1319" s="10"/>
      <c r="X1319" s="7"/>
      <c r="Y1319" s="7"/>
      <c r="Z1319" s="7"/>
      <c r="AA1319" s="34"/>
      <c r="AB1319" s="7"/>
      <c r="AC1319" s="34"/>
      <c r="AD1319" s="10"/>
      <c r="AE1319"/>
      <c r="AF1319"/>
    </row>
    <row r="1320" spans="1:32" x14ac:dyDescent="0.25">
      <c r="A1320" s="16"/>
      <c r="C1320" s="70"/>
      <c r="D1320" s="70"/>
      <c r="E1320" s="73"/>
      <c r="F1320" s="9"/>
      <c r="H1320" s="9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4"/>
      <c r="U1320" s="10"/>
      <c r="V1320" s="10"/>
      <c r="W1320" s="10"/>
      <c r="X1320" s="7"/>
      <c r="Y1320" s="7"/>
      <c r="Z1320" s="7"/>
      <c r="AA1320" s="34"/>
      <c r="AB1320" s="7"/>
      <c r="AC1320" s="34"/>
      <c r="AD1320" s="10"/>
      <c r="AE1320"/>
      <c r="AF1320"/>
    </row>
    <row r="1321" spans="1:32" x14ac:dyDescent="0.25">
      <c r="A1321" s="16"/>
      <c r="C1321" s="70"/>
      <c r="D1321" s="70"/>
      <c r="E1321" s="73"/>
      <c r="F1321" s="9"/>
      <c r="H1321" s="9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4"/>
      <c r="U1321" s="10"/>
      <c r="V1321" s="10"/>
      <c r="W1321" s="10"/>
      <c r="X1321" s="7"/>
      <c r="Y1321" s="7"/>
      <c r="Z1321" s="7"/>
      <c r="AA1321" s="34"/>
      <c r="AB1321" s="7"/>
      <c r="AC1321" s="34"/>
      <c r="AD1321" s="10"/>
      <c r="AE1321"/>
      <c r="AF1321"/>
    </row>
    <row r="1322" spans="1:32" x14ac:dyDescent="0.25">
      <c r="A1322" s="16"/>
      <c r="C1322" s="70"/>
      <c r="D1322" s="70"/>
      <c r="E1322" s="73"/>
      <c r="F1322" s="9"/>
      <c r="H1322" s="9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4"/>
      <c r="U1322" s="10"/>
      <c r="V1322" s="10"/>
      <c r="W1322" s="10"/>
      <c r="X1322" s="7"/>
      <c r="Y1322" s="7"/>
      <c r="Z1322" s="7"/>
      <c r="AA1322" s="34"/>
      <c r="AB1322" s="7"/>
      <c r="AC1322" s="34"/>
      <c r="AD1322" s="10"/>
      <c r="AE1322"/>
      <c r="AF1322"/>
    </row>
    <row r="1323" spans="1:32" x14ac:dyDescent="0.25">
      <c r="A1323" s="16"/>
      <c r="C1323" s="70"/>
      <c r="D1323" s="70"/>
      <c r="E1323" s="73"/>
      <c r="F1323" s="9"/>
      <c r="H1323" s="9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4"/>
      <c r="U1323" s="10"/>
      <c r="V1323" s="10"/>
      <c r="W1323" s="10"/>
      <c r="X1323" s="7"/>
      <c r="Y1323" s="7"/>
      <c r="Z1323" s="7"/>
      <c r="AA1323" s="34"/>
      <c r="AB1323" s="7"/>
      <c r="AC1323" s="34"/>
      <c r="AD1323" s="10"/>
      <c r="AE1323"/>
      <c r="AF1323"/>
    </row>
    <row r="1324" spans="1:32" x14ac:dyDescent="0.25">
      <c r="A1324" s="16"/>
      <c r="C1324" s="70"/>
      <c r="D1324" s="70"/>
      <c r="E1324" s="73"/>
      <c r="F1324" s="9"/>
      <c r="H1324" s="9"/>
      <c r="I1324" s="14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4"/>
      <c r="U1324" s="10"/>
      <c r="V1324" s="10"/>
      <c r="W1324" s="10"/>
      <c r="X1324" s="7"/>
      <c r="Y1324" s="7"/>
      <c r="Z1324" s="7"/>
      <c r="AA1324" s="34"/>
      <c r="AB1324" s="7"/>
      <c r="AC1324" s="34"/>
      <c r="AD1324" s="10"/>
      <c r="AE1324"/>
      <c r="AF1324"/>
    </row>
    <row r="1325" spans="1:32" x14ac:dyDescent="0.25">
      <c r="A1325" s="16"/>
      <c r="C1325" s="70"/>
      <c r="D1325" s="70"/>
      <c r="E1325" s="73"/>
      <c r="F1325" s="9"/>
      <c r="H1325" s="9"/>
      <c r="I1325" s="14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4"/>
      <c r="U1325" s="10"/>
      <c r="V1325" s="10"/>
      <c r="W1325" s="10"/>
      <c r="X1325" s="7"/>
      <c r="Y1325" s="7"/>
      <c r="Z1325" s="7"/>
      <c r="AA1325" s="34"/>
      <c r="AB1325" s="7"/>
      <c r="AC1325" s="34"/>
      <c r="AD1325" s="10"/>
      <c r="AE1325"/>
      <c r="AF1325"/>
    </row>
    <row r="1326" spans="1:32" ht="15.75" thickBot="1" x14ac:dyDescent="0.3">
      <c r="A1326" s="16"/>
      <c r="C1326" s="70"/>
      <c r="D1326" s="70"/>
      <c r="E1326" s="73"/>
      <c r="F1326" s="9"/>
      <c r="H1326" s="9"/>
      <c r="I1326" s="14"/>
      <c r="J1326" s="10"/>
      <c r="K1326" s="7"/>
      <c r="L1326" s="10"/>
      <c r="M1326" s="10"/>
      <c r="N1326" s="10"/>
      <c r="O1326" s="10"/>
      <c r="P1326" s="10"/>
      <c r="Q1326" s="10"/>
      <c r="R1326" s="10"/>
      <c r="S1326" s="10"/>
      <c r="T1326" s="14"/>
      <c r="U1326" s="10"/>
      <c r="V1326" s="10"/>
      <c r="W1326" s="10"/>
      <c r="X1326" s="7"/>
      <c r="Y1326" s="7"/>
      <c r="Z1326" s="7"/>
      <c r="AA1326" s="34"/>
      <c r="AB1326" s="7"/>
      <c r="AC1326" s="34"/>
      <c r="AD1326" s="10"/>
      <c r="AE1326"/>
      <c r="AF1326"/>
    </row>
    <row r="1327" spans="1:32" ht="19.5" thickBot="1" x14ac:dyDescent="0.35">
      <c r="A1327" s="6" t="s">
        <v>8</v>
      </c>
      <c r="B1327" s="67"/>
      <c r="C1327" s="75"/>
      <c r="D1327" s="75"/>
      <c r="E1327" s="81"/>
      <c r="F1327" s="29"/>
      <c r="G1327" s="29"/>
      <c r="H1327" s="29"/>
      <c r="I1327" s="37" t="e">
        <f>SUM(#REF!)</f>
        <v>#REF!</v>
      </c>
      <c r="J1327" s="38" t="e">
        <f>SUM(#REF!)</f>
        <v>#REF!</v>
      </c>
      <c r="K1327" s="38" t="e">
        <f>SUM(#REF!)</f>
        <v>#REF!</v>
      </c>
      <c r="L1327" s="38" t="e">
        <f>SUM(#REF!)</f>
        <v>#REF!</v>
      </c>
      <c r="M1327" s="38" t="e">
        <f>SUM(#REF!)</f>
        <v>#REF!</v>
      </c>
      <c r="N1327" s="38" t="e">
        <f>SUM(#REF!)</f>
        <v>#REF!</v>
      </c>
      <c r="O1327" s="38" t="e">
        <f>SUM(#REF!)</f>
        <v>#REF!</v>
      </c>
      <c r="P1327" s="38" t="e">
        <f>SUM(#REF!)</f>
        <v>#REF!</v>
      </c>
      <c r="Q1327" s="38" t="e">
        <f>SUM(#REF!)</f>
        <v>#REF!</v>
      </c>
      <c r="R1327" s="38" t="e">
        <f>SUM(#REF!)</f>
        <v>#REF!</v>
      </c>
      <c r="S1327" s="38" t="e">
        <f>SUM(#REF!)</f>
        <v>#REF!</v>
      </c>
      <c r="T1327" s="37" t="e">
        <f>SUM(#REF!)</f>
        <v>#REF!</v>
      </c>
      <c r="U1327" s="38"/>
      <c r="V1327" s="38"/>
      <c r="W1327" s="10" t="e">
        <f>SUM(T1327:V1327)-SUM(I1327:S1327)</f>
        <v>#REF!</v>
      </c>
      <c r="X1327" s="7"/>
      <c r="Y1327" s="7"/>
      <c r="Z1327" s="7"/>
      <c r="AA1327" s="17"/>
      <c r="AB1327" s="7"/>
      <c r="AC1327" s="17"/>
      <c r="AE1327"/>
      <c r="AF1327"/>
    </row>
    <row r="1328" spans="1:32" ht="15.75" thickTop="1" x14ac:dyDescent="0.25">
      <c r="C1328" s="70"/>
      <c r="D1328" s="70"/>
      <c r="E1328" s="73"/>
      <c r="F1328" s="9"/>
      <c r="H1328" s="9"/>
      <c r="I1328" s="14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4"/>
      <c r="U1328" s="10"/>
      <c r="V1328" s="10"/>
      <c r="W1328" s="10"/>
      <c r="X1328" s="7"/>
      <c r="Y1328" s="7"/>
      <c r="Z1328" s="7"/>
      <c r="AA1328" s="17"/>
      <c r="AB1328" s="7"/>
      <c r="AC1328" s="17"/>
      <c r="AE1328"/>
      <c r="AF1328"/>
    </row>
    <row r="1329" spans="3:32" x14ac:dyDescent="0.25">
      <c r="C1329" s="70"/>
      <c r="D1329" s="70"/>
      <c r="E1329" s="73"/>
      <c r="F1329" s="9"/>
      <c r="H1329" s="9"/>
      <c r="I1329" s="14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4"/>
      <c r="U1329" s="10"/>
      <c r="V1329" s="10"/>
      <c r="W1329" s="10"/>
      <c r="X1329" s="7"/>
      <c r="Y1329" s="7"/>
      <c r="Z1329" s="7"/>
      <c r="AA1329" s="17"/>
      <c r="AB1329" s="7"/>
      <c r="AC1329" s="17"/>
      <c r="AE1329"/>
      <c r="AF1329"/>
    </row>
  </sheetData>
  <mergeCells count="3">
    <mergeCell ref="A7:K7"/>
    <mergeCell ref="L7:AA7"/>
    <mergeCell ref="AB7:AC7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F710-CBB5-4F5B-B0AC-4B9C13982C0B}">
  <dimension ref="A1:AK603"/>
  <sheetViews>
    <sheetView zoomScale="98" zoomScaleNormal="98" workbookViewId="0">
      <pane xSplit="8" ySplit="7" topLeftCell="I556" activePane="bottomRight" state="frozen"/>
      <selection pane="topRight" activeCell="I1" sqref="I1"/>
      <selection pane="bottomLeft" activeCell="A9" sqref="A9"/>
      <selection pane="bottomRight" activeCell="A556" sqref="A556"/>
    </sheetView>
  </sheetViews>
  <sheetFormatPr defaultRowHeight="15" x14ac:dyDescent="0.25"/>
  <cols>
    <col min="1" max="1" width="11.28515625" customWidth="1"/>
    <col min="2" max="2" width="11.42578125" customWidth="1"/>
    <col min="3" max="4" width="11" style="126" bestFit="1" customWidth="1"/>
    <col min="5" max="5" width="9.140625" style="123"/>
    <col min="6" max="6" width="26" style="123" customWidth="1"/>
    <col min="7" max="7" width="13.140625" style="153" customWidth="1"/>
    <col min="8" max="8" width="9.140625" style="153"/>
    <col min="9" max="9" width="35.28515625" style="123" customWidth="1"/>
    <col min="10" max="10" width="32.7109375" style="123" customWidth="1"/>
    <col min="11" max="11" width="21" style="123" customWidth="1"/>
    <col min="12" max="12" width="13.42578125" style="123" customWidth="1"/>
    <col min="13" max="13" width="18.7109375" style="123" customWidth="1"/>
    <col min="14" max="14" width="12.7109375" style="123" customWidth="1"/>
    <col min="15" max="15" width="17.7109375" style="123" customWidth="1"/>
    <col min="16" max="16" width="14.42578125" style="123" customWidth="1"/>
    <col min="17" max="17" width="17" style="123" customWidth="1"/>
    <col min="18" max="18" width="11.85546875" style="123" customWidth="1"/>
    <col min="19" max="19" width="14.5703125" style="123" customWidth="1"/>
    <col min="20" max="20" width="13.5703125" style="123" customWidth="1"/>
    <col min="21" max="21" width="12.140625" style="123" customWidth="1"/>
    <col min="22" max="22" width="16.7109375" style="123" customWidth="1"/>
    <col min="23" max="23" width="12.42578125" style="123" customWidth="1"/>
    <col min="24" max="24" width="13" style="123" customWidth="1"/>
    <col min="25" max="25" width="12.28515625" style="123" customWidth="1"/>
    <col min="26" max="26" width="15" style="123" customWidth="1"/>
    <col min="27" max="27" width="13.28515625" style="123" customWidth="1"/>
    <col min="28" max="28" width="14.28515625" style="123" customWidth="1"/>
    <col min="29" max="29" width="12.85546875" style="123" customWidth="1"/>
    <col min="30" max="30" width="18.5703125" style="123" customWidth="1"/>
    <col min="31" max="31" width="10.5703125" style="123" bestFit="1" customWidth="1"/>
  </cols>
  <sheetData>
    <row r="1" spans="1:31" ht="26.25" x14ac:dyDescent="0.4">
      <c r="A1" s="3" t="s">
        <v>57</v>
      </c>
      <c r="B1" s="9"/>
      <c r="C1" s="69"/>
      <c r="D1" s="69"/>
      <c r="E1" s="76"/>
      <c r="F1" s="1"/>
      <c r="G1" s="9"/>
      <c r="H1" s="1"/>
      <c r="I1"/>
      <c r="J1"/>
      <c r="K1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  <c r="Z1" s="2"/>
      <c r="AA1" s="30"/>
      <c r="AB1" s="133"/>
      <c r="AC1" s="10"/>
      <c r="AD1" s="7"/>
      <c r="AE1" s="17"/>
    </row>
    <row r="2" spans="1:31" x14ac:dyDescent="0.25">
      <c r="A2" t="s">
        <v>9</v>
      </c>
      <c r="B2" s="9"/>
      <c r="C2" s="69"/>
      <c r="D2" s="69"/>
      <c r="E2" s="76"/>
      <c r="F2" s="1"/>
      <c r="G2" s="9"/>
      <c r="H2" s="1"/>
      <c r="I2"/>
      <c r="J2"/>
      <c r="K2"/>
      <c r="L2" s="2"/>
      <c r="M2" s="2"/>
      <c r="N2" s="2"/>
      <c r="O2" s="2"/>
      <c r="P2" s="2"/>
      <c r="Q2" s="2"/>
      <c r="R2" s="2"/>
      <c r="S2" s="2"/>
      <c r="U2" s="2"/>
      <c r="V2" s="2"/>
      <c r="W2" s="2"/>
      <c r="X2" s="2"/>
      <c r="Y2" s="2"/>
      <c r="Z2" s="2"/>
      <c r="AA2" s="30"/>
      <c r="AB2" s="133"/>
      <c r="AC2" s="10"/>
      <c r="AD2" s="7"/>
      <c r="AE2" s="17"/>
    </row>
    <row r="3" spans="1:31" x14ac:dyDescent="0.25">
      <c r="A3" s="4" t="s">
        <v>4675</v>
      </c>
      <c r="B3" s="9"/>
      <c r="C3" s="69"/>
      <c r="D3" s="69"/>
      <c r="E3" s="76"/>
      <c r="F3" s="1"/>
      <c r="G3" s="9"/>
      <c r="H3" s="1"/>
      <c r="I3"/>
      <c r="J3"/>
      <c r="K3"/>
      <c r="L3" s="2"/>
      <c r="M3" s="2"/>
      <c r="N3" s="2"/>
      <c r="O3" s="2"/>
      <c r="P3" s="2"/>
      <c r="Q3" s="2"/>
      <c r="R3" s="2"/>
      <c r="S3" s="2"/>
      <c r="U3" s="2"/>
      <c r="V3" s="2"/>
      <c r="W3" s="2"/>
      <c r="X3" s="2"/>
      <c r="Y3" s="2"/>
      <c r="Z3" s="2"/>
      <c r="AA3" s="30"/>
      <c r="AB3" s="133"/>
      <c r="AC3" s="10"/>
      <c r="AD3" s="7"/>
      <c r="AE3" s="17"/>
    </row>
    <row r="4" spans="1:31" x14ac:dyDescent="0.25">
      <c r="B4" s="9"/>
      <c r="C4" s="69"/>
      <c r="D4" s="69"/>
      <c r="E4" s="76"/>
      <c r="F4" s="1"/>
      <c r="G4" s="9"/>
      <c r="H4" s="1"/>
      <c r="I4"/>
      <c r="J4"/>
      <c r="K4"/>
      <c r="L4" s="2"/>
      <c r="M4" s="2"/>
      <c r="N4" s="2"/>
      <c r="O4" s="2"/>
      <c r="P4" s="2"/>
      <c r="Q4" s="2"/>
      <c r="R4" s="2"/>
      <c r="S4" s="2"/>
      <c r="U4" s="2"/>
      <c r="V4" s="2"/>
      <c r="W4" s="2"/>
      <c r="X4" s="2"/>
      <c r="Y4" s="2"/>
      <c r="Z4" s="2"/>
      <c r="AA4" s="30"/>
      <c r="AB4" s="133"/>
      <c r="AC4" s="10"/>
      <c r="AD4" s="7"/>
      <c r="AE4" s="17"/>
    </row>
    <row r="5" spans="1:31" ht="15.75" thickBot="1" x14ac:dyDescent="0.3">
      <c r="A5" s="7"/>
      <c r="B5" s="9"/>
      <c r="C5" s="70"/>
      <c r="D5" s="70"/>
      <c r="E5" s="73"/>
      <c r="F5" s="9"/>
      <c r="G5" s="9"/>
      <c r="H5" s="9"/>
      <c r="I5" s="7"/>
      <c r="J5" s="7"/>
      <c r="K5" s="7"/>
      <c r="L5" s="10"/>
      <c r="M5" s="10"/>
      <c r="N5" s="10"/>
      <c r="O5" s="10"/>
      <c r="P5" s="10"/>
      <c r="Q5" s="10"/>
      <c r="R5" s="10"/>
      <c r="S5" s="10"/>
      <c r="U5" s="10"/>
      <c r="V5" s="10"/>
      <c r="W5" s="10"/>
      <c r="X5" s="10"/>
      <c r="Y5" s="10"/>
      <c r="Z5" s="10"/>
      <c r="AA5" s="17"/>
      <c r="AB5" s="133"/>
      <c r="AC5" s="10"/>
      <c r="AD5" s="7"/>
      <c r="AE5" s="17"/>
    </row>
    <row r="6" spans="1:31" ht="15.75" thickBot="1" x14ac:dyDescent="0.3">
      <c r="A6" s="187" t="s">
        <v>11</v>
      </c>
      <c r="B6" s="188"/>
      <c r="C6" s="188"/>
      <c r="D6" s="188"/>
      <c r="E6" s="188"/>
      <c r="F6" s="188"/>
      <c r="G6" s="188"/>
      <c r="H6" s="188"/>
      <c r="I6" s="188"/>
      <c r="J6" s="188"/>
      <c r="K6" s="189"/>
      <c r="L6" s="190" t="s">
        <v>7</v>
      </c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34"/>
      <c r="AC6" s="116"/>
      <c r="AD6" s="117"/>
      <c r="AE6" s="118"/>
    </row>
    <row r="7" spans="1:31" ht="36.75" thickBot="1" x14ac:dyDescent="0.3">
      <c r="A7" s="110" t="s">
        <v>10</v>
      </c>
      <c r="B7" s="111" t="s">
        <v>5</v>
      </c>
      <c r="C7" s="112" t="s">
        <v>6</v>
      </c>
      <c r="D7" s="112" t="s">
        <v>15</v>
      </c>
      <c r="E7" s="112" t="s">
        <v>2</v>
      </c>
      <c r="F7" s="111" t="s">
        <v>14</v>
      </c>
      <c r="G7" s="111" t="s">
        <v>27</v>
      </c>
      <c r="H7" s="111" t="s">
        <v>28</v>
      </c>
      <c r="I7" s="111" t="s">
        <v>0</v>
      </c>
      <c r="J7" s="111" t="s">
        <v>12</v>
      </c>
      <c r="K7" s="113" t="s">
        <v>1</v>
      </c>
      <c r="L7" s="114" t="s">
        <v>3</v>
      </c>
      <c r="M7" s="115" t="s">
        <v>16</v>
      </c>
      <c r="N7" s="115" t="s">
        <v>21</v>
      </c>
      <c r="O7" s="115" t="s">
        <v>17</v>
      </c>
      <c r="P7" s="115" t="s">
        <v>42</v>
      </c>
      <c r="Q7" s="115" t="s">
        <v>23</v>
      </c>
      <c r="R7" s="115" t="s">
        <v>18</v>
      </c>
      <c r="S7" s="115" t="s">
        <v>209</v>
      </c>
      <c r="T7" s="131" t="s">
        <v>19</v>
      </c>
      <c r="U7" s="115" t="s">
        <v>20</v>
      </c>
      <c r="V7" s="115" t="s">
        <v>81</v>
      </c>
      <c r="W7" s="115" t="s">
        <v>22</v>
      </c>
      <c r="X7" s="115" t="s">
        <v>24</v>
      </c>
      <c r="Y7" s="115" t="s">
        <v>25</v>
      </c>
      <c r="Z7" s="115" t="s">
        <v>41</v>
      </c>
      <c r="AA7" s="128" t="s">
        <v>26</v>
      </c>
      <c r="AB7" s="135" t="s">
        <v>4</v>
      </c>
      <c r="AC7" s="119" t="s">
        <v>13</v>
      </c>
      <c r="AD7" s="120" t="s">
        <v>134</v>
      </c>
      <c r="AE7" s="121" t="s">
        <v>1096</v>
      </c>
    </row>
    <row r="8" spans="1:31" x14ac:dyDescent="0.25">
      <c r="A8" s="109">
        <v>45658</v>
      </c>
      <c r="B8" s="103"/>
      <c r="C8" s="104"/>
      <c r="D8" s="104"/>
      <c r="E8" s="105"/>
      <c r="F8" s="103"/>
      <c r="G8" s="103"/>
      <c r="H8" s="103"/>
      <c r="I8" s="106"/>
      <c r="J8" s="106"/>
      <c r="K8" s="106"/>
      <c r="L8" s="107"/>
      <c r="M8" s="107"/>
      <c r="N8" s="107"/>
      <c r="O8" s="107"/>
      <c r="P8" s="107"/>
      <c r="Q8" s="107"/>
      <c r="R8" s="107"/>
      <c r="S8" s="107"/>
      <c r="T8" s="132"/>
      <c r="U8" s="107"/>
      <c r="V8" s="107"/>
      <c r="W8" s="107"/>
      <c r="X8" s="107"/>
      <c r="Y8" s="107"/>
      <c r="Z8" s="107"/>
      <c r="AA8" s="129"/>
      <c r="AB8" s="136"/>
      <c r="AC8" s="107"/>
      <c r="AD8" s="106"/>
      <c r="AE8" s="108"/>
    </row>
    <row r="9" spans="1:31" x14ac:dyDescent="0.25">
      <c r="A9" s="43"/>
      <c r="B9" s="9"/>
      <c r="C9" s="70"/>
      <c r="D9" s="70"/>
      <c r="E9" s="73"/>
      <c r="F9" s="9"/>
      <c r="G9" s="9"/>
      <c r="H9" s="9"/>
      <c r="I9" s="7" t="s">
        <v>6536</v>
      </c>
      <c r="J9" s="51" t="s">
        <v>132</v>
      </c>
      <c r="K9" s="7"/>
      <c r="L9" s="10"/>
      <c r="M9" s="10"/>
      <c r="N9" s="10"/>
      <c r="O9" s="10"/>
      <c r="P9" s="10"/>
      <c r="Q9" s="10">
        <v>81566.55</v>
      </c>
      <c r="R9" s="10"/>
      <c r="S9" s="10"/>
      <c r="U9" s="10"/>
      <c r="V9" s="10"/>
      <c r="W9" s="10"/>
      <c r="X9" s="10"/>
      <c r="Y9" s="10"/>
      <c r="Z9" s="10"/>
      <c r="AA9" s="33"/>
      <c r="AB9" s="174">
        <v>81566.55</v>
      </c>
      <c r="AC9" s="123">
        <f t="shared" ref="AC9:AC41" si="0">SUM(AB9:AB9)-SUM(L9:AA9)</f>
        <v>0</v>
      </c>
      <c r="AD9" s="82" t="s">
        <v>133</v>
      </c>
      <c r="AE9" s="34"/>
    </row>
    <row r="10" spans="1:31" x14ac:dyDescent="0.25">
      <c r="A10" s="122" t="s">
        <v>4676</v>
      </c>
      <c r="B10" s="122" t="s">
        <v>4677</v>
      </c>
      <c r="C10" s="124">
        <v>45659</v>
      </c>
      <c r="D10" s="124">
        <v>45659</v>
      </c>
      <c r="E10" s="122"/>
      <c r="F10" s="122"/>
      <c r="G10" s="125"/>
      <c r="H10" s="125"/>
      <c r="I10" s="122" t="s">
        <v>41</v>
      </c>
      <c r="J10" s="122" t="s">
        <v>54</v>
      </c>
      <c r="K10" s="122"/>
      <c r="L10" s="122"/>
      <c r="N10" s="122"/>
      <c r="O10" s="122"/>
      <c r="P10" s="122"/>
      <c r="Q10" s="122"/>
      <c r="R10" s="122"/>
      <c r="S10" s="122"/>
      <c r="U10" s="122"/>
      <c r="V10" s="122"/>
      <c r="W10" s="122"/>
      <c r="Y10" s="122"/>
      <c r="Z10" s="123">
        <v>300000</v>
      </c>
      <c r="AB10" s="123">
        <v>300000</v>
      </c>
      <c r="AC10" s="123">
        <f t="shared" si="0"/>
        <v>0</v>
      </c>
      <c r="AD10" s="2"/>
      <c r="AE10" s="2"/>
    </row>
    <row r="11" spans="1:31" x14ac:dyDescent="0.25">
      <c r="A11" s="122" t="s">
        <v>4678</v>
      </c>
      <c r="B11" s="125">
        <v>4233511</v>
      </c>
      <c r="C11" s="126">
        <v>45691</v>
      </c>
      <c r="D11" s="126">
        <v>45663</v>
      </c>
      <c r="E11" s="126">
        <v>45691</v>
      </c>
      <c r="F11" s="122" t="s">
        <v>4795</v>
      </c>
      <c r="G11" s="125" t="s">
        <v>3785</v>
      </c>
      <c r="H11" s="125"/>
      <c r="I11" s="122" t="s">
        <v>4679</v>
      </c>
      <c r="J11" s="122" t="s">
        <v>3527</v>
      </c>
      <c r="K11" s="122" t="s">
        <v>3530</v>
      </c>
      <c r="L11" s="123">
        <v>5550</v>
      </c>
      <c r="M11" s="123">
        <v>46250</v>
      </c>
      <c r="N11" s="122"/>
      <c r="O11" s="122"/>
      <c r="P11" s="122"/>
      <c r="Q11" s="122"/>
      <c r="R11" s="122"/>
      <c r="S11" s="122"/>
      <c r="U11" s="122"/>
      <c r="V11" s="122"/>
      <c r="W11" s="122"/>
      <c r="Y11" s="122"/>
      <c r="AB11" s="123">
        <v>51800</v>
      </c>
      <c r="AC11" s="123">
        <f t="shared" si="0"/>
        <v>0</v>
      </c>
      <c r="AD11" s="2"/>
      <c r="AE11" s="2">
        <v>462.5</v>
      </c>
    </row>
    <row r="12" spans="1:31" x14ac:dyDescent="0.25">
      <c r="A12" s="122" t="s">
        <v>4680</v>
      </c>
      <c r="B12" s="125">
        <v>4233512</v>
      </c>
      <c r="C12" s="126">
        <v>45664</v>
      </c>
      <c r="D12" s="126">
        <v>45664</v>
      </c>
      <c r="E12" s="122"/>
      <c r="F12" s="122"/>
      <c r="G12" s="125"/>
      <c r="H12" s="125"/>
      <c r="I12" s="122" t="s">
        <v>4681</v>
      </c>
      <c r="J12" s="122" t="s">
        <v>3667</v>
      </c>
      <c r="K12" s="122"/>
      <c r="L12" s="122"/>
      <c r="N12" s="122"/>
      <c r="O12" s="122"/>
      <c r="P12" s="122"/>
      <c r="Q12" s="122"/>
      <c r="R12" s="122"/>
      <c r="S12" s="122"/>
      <c r="U12" s="122"/>
      <c r="V12" s="122"/>
      <c r="W12" s="122"/>
      <c r="Y12" s="122"/>
      <c r="AA12" s="123">
        <v>5000</v>
      </c>
      <c r="AB12" s="123">
        <v>1308</v>
      </c>
      <c r="AC12" s="123">
        <f t="shared" si="0"/>
        <v>-3692</v>
      </c>
      <c r="AD12" s="127" t="s">
        <v>4712</v>
      </c>
      <c r="AE12" s="2"/>
    </row>
    <row r="13" spans="1:31" x14ac:dyDescent="0.25">
      <c r="A13" s="122" t="s">
        <v>4682</v>
      </c>
      <c r="B13" s="125">
        <v>4233513</v>
      </c>
      <c r="C13" s="126">
        <v>45670</v>
      </c>
      <c r="D13" s="126">
        <v>45664</v>
      </c>
      <c r="E13" s="122"/>
      <c r="F13" s="122"/>
      <c r="G13" s="125"/>
      <c r="H13" s="125"/>
      <c r="I13" s="122" t="s">
        <v>4684</v>
      </c>
      <c r="J13" s="122" t="s">
        <v>18</v>
      </c>
      <c r="K13" s="122"/>
      <c r="L13" s="122">
        <v>151.09</v>
      </c>
      <c r="N13" s="122"/>
      <c r="O13" s="122"/>
      <c r="P13" s="122"/>
      <c r="Q13" s="122"/>
      <c r="R13" s="123">
        <v>1259.06</v>
      </c>
      <c r="S13" s="122"/>
      <c r="U13" s="122"/>
      <c r="V13" s="122"/>
      <c r="W13" s="122"/>
      <c r="Y13" s="122"/>
      <c r="AB13" s="123">
        <v>1410.15</v>
      </c>
      <c r="AC13" s="123">
        <f t="shared" si="0"/>
        <v>0</v>
      </c>
      <c r="AD13" s="2"/>
      <c r="AE13" s="2"/>
    </row>
    <row r="14" spans="1:31" x14ac:dyDescent="0.25">
      <c r="A14" s="122" t="s">
        <v>4683</v>
      </c>
      <c r="B14" s="125">
        <v>4233514</v>
      </c>
      <c r="C14" s="126">
        <v>45670</v>
      </c>
      <c r="D14" s="126">
        <v>45664</v>
      </c>
      <c r="E14" s="122"/>
      <c r="F14" s="122"/>
      <c r="G14" s="125"/>
      <c r="H14" s="125"/>
      <c r="I14" s="122" t="s">
        <v>4684</v>
      </c>
      <c r="J14" s="122" t="s">
        <v>18</v>
      </c>
      <c r="K14" s="122"/>
      <c r="L14" s="122">
        <v>811.09</v>
      </c>
      <c r="N14" s="122"/>
      <c r="O14" s="122"/>
      <c r="P14" s="122"/>
      <c r="Q14" s="122"/>
      <c r="R14" s="123">
        <v>6759.06</v>
      </c>
      <c r="S14" s="122"/>
      <c r="U14" s="122"/>
      <c r="V14" s="122"/>
      <c r="W14" s="122"/>
      <c r="Y14" s="122"/>
      <c r="AB14" s="123">
        <v>7570.15</v>
      </c>
      <c r="AC14" s="123">
        <f t="shared" si="0"/>
        <v>0</v>
      </c>
      <c r="AD14" s="2"/>
      <c r="AE14" s="2"/>
    </row>
    <row r="15" spans="1:31" x14ac:dyDescent="0.25">
      <c r="A15" s="122" t="s">
        <v>4686</v>
      </c>
      <c r="B15" s="125">
        <v>4233515</v>
      </c>
      <c r="C15" s="126">
        <v>45670</v>
      </c>
      <c r="D15" s="126">
        <v>45664</v>
      </c>
      <c r="E15" s="122"/>
      <c r="F15" s="130" t="s">
        <v>48</v>
      </c>
      <c r="G15" s="125"/>
      <c r="H15" s="125"/>
      <c r="I15" s="122" t="s">
        <v>4685</v>
      </c>
      <c r="J15" s="122" t="s">
        <v>43</v>
      </c>
      <c r="K15" s="122"/>
      <c r="L15" s="122">
        <v>62.04</v>
      </c>
      <c r="N15" s="122"/>
      <c r="O15" s="122"/>
      <c r="P15" s="122"/>
      <c r="Q15" s="122"/>
      <c r="R15" s="122"/>
      <c r="S15" s="123">
        <v>516.99</v>
      </c>
      <c r="U15" s="122"/>
      <c r="V15" s="122"/>
      <c r="W15" s="122"/>
      <c r="Y15" s="122"/>
      <c r="AB15" s="123">
        <v>579.03</v>
      </c>
      <c r="AC15" s="123">
        <f t="shared" si="0"/>
        <v>0</v>
      </c>
      <c r="AD15" s="2"/>
      <c r="AE15" s="2"/>
    </row>
    <row r="16" spans="1:31" x14ac:dyDescent="0.25">
      <c r="A16" s="122" t="s">
        <v>4687</v>
      </c>
      <c r="B16" s="125">
        <v>4233516</v>
      </c>
      <c r="C16" s="126">
        <v>45670</v>
      </c>
      <c r="D16" s="126">
        <v>45664</v>
      </c>
      <c r="E16" s="122"/>
      <c r="F16" s="130" t="s">
        <v>48</v>
      </c>
      <c r="G16" s="125"/>
      <c r="H16" s="125"/>
      <c r="I16" s="122" t="s">
        <v>4685</v>
      </c>
      <c r="J16" s="122" t="s">
        <v>43</v>
      </c>
      <c r="K16" s="122"/>
      <c r="L16" s="122">
        <v>32.14</v>
      </c>
      <c r="N16" s="122"/>
      <c r="O16" s="122"/>
      <c r="P16" s="122"/>
      <c r="Q16" s="122"/>
      <c r="R16" s="122"/>
      <c r="S16" s="123">
        <v>267.86</v>
      </c>
      <c r="U16" s="122"/>
      <c r="V16" s="122"/>
      <c r="W16" s="122"/>
      <c r="Y16" s="122"/>
      <c r="AB16" s="123">
        <v>300</v>
      </c>
      <c r="AC16" s="123">
        <f t="shared" si="0"/>
        <v>0</v>
      </c>
      <c r="AD16" s="2"/>
      <c r="AE16" s="2"/>
    </row>
    <row r="17" spans="1:31" x14ac:dyDescent="0.25">
      <c r="A17" s="122" t="s">
        <v>4691</v>
      </c>
      <c r="B17" s="125">
        <v>4233517</v>
      </c>
      <c r="C17" s="126">
        <v>45666</v>
      </c>
      <c r="D17" s="126">
        <v>45666</v>
      </c>
      <c r="E17" s="122"/>
      <c r="F17" s="122"/>
      <c r="G17" s="125"/>
      <c r="H17" s="125" t="s">
        <v>3497</v>
      </c>
      <c r="I17" s="122" t="s">
        <v>4694</v>
      </c>
      <c r="J17" s="122" t="s">
        <v>3667</v>
      </c>
      <c r="K17" s="122"/>
      <c r="L17" s="122"/>
      <c r="N17" s="122"/>
      <c r="O17" s="122"/>
      <c r="P17" s="122"/>
      <c r="Q17" s="122"/>
      <c r="R17" s="122"/>
      <c r="S17" s="122"/>
      <c r="T17" s="123">
        <v>4913.3599999999997</v>
      </c>
      <c r="U17" s="122"/>
      <c r="V17" s="122"/>
      <c r="W17" s="122"/>
      <c r="Y17" s="122"/>
      <c r="AB17" s="123">
        <v>4913.3599999999997</v>
      </c>
      <c r="AC17" s="123">
        <f t="shared" si="0"/>
        <v>0</v>
      </c>
      <c r="AD17" s="2"/>
      <c r="AE17" s="2"/>
    </row>
    <row r="18" spans="1:31" x14ac:dyDescent="0.25">
      <c r="A18" s="122" t="s">
        <v>4693</v>
      </c>
      <c r="B18" s="125">
        <v>4233518</v>
      </c>
      <c r="C18" s="126">
        <v>45666</v>
      </c>
      <c r="D18" s="126">
        <v>45666</v>
      </c>
      <c r="E18" s="126"/>
      <c r="F18" s="122"/>
      <c r="G18" s="125"/>
      <c r="H18" s="125" t="s">
        <v>3498</v>
      </c>
      <c r="I18" s="122" t="s">
        <v>4692</v>
      </c>
      <c r="J18" s="122" t="s">
        <v>3667</v>
      </c>
      <c r="K18" s="122"/>
      <c r="L18" s="122"/>
      <c r="N18" s="122"/>
      <c r="O18" s="122"/>
      <c r="P18" s="122"/>
      <c r="Q18" s="122"/>
      <c r="R18" s="122"/>
      <c r="S18" s="122"/>
      <c r="T18" s="123">
        <v>13712.5</v>
      </c>
      <c r="U18" s="122"/>
      <c r="V18" s="122"/>
      <c r="W18" s="122"/>
      <c r="Y18" s="122"/>
      <c r="AB18" s="123">
        <v>13712.5</v>
      </c>
      <c r="AC18" s="123">
        <f t="shared" si="0"/>
        <v>0</v>
      </c>
      <c r="AD18" s="2"/>
      <c r="AE18" s="2"/>
    </row>
    <row r="19" spans="1:31" x14ac:dyDescent="0.25">
      <c r="A19" s="122" t="s">
        <v>4695</v>
      </c>
      <c r="B19" s="125">
        <v>4233519</v>
      </c>
      <c r="C19" s="126">
        <v>45696</v>
      </c>
      <c r="D19" s="126">
        <v>45666</v>
      </c>
      <c r="E19" s="126">
        <v>45673</v>
      </c>
      <c r="F19" s="122" t="s">
        <v>4746</v>
      </c>
      <c r="G19" s="125" t="s">
        <v>3781</v>
      </c>
      <c r="H19" s="125"/>
      <c r="I19" s="122" t="s">
        <v>4696</v>
      </c>
      <c r="J19" s="122" t="s">
        <v>2087</v>
      </c>
      <c r="K19" s="122" t="s">
        <v>2088</v>
      </c>
      <c r="L19" s="123">
        <v>11517.86</v>
      </c>
      <c r="M19" s="123">
        <v>95982.14</v>
      </c>
      <c r="N19" s="122"/>
      <c r="O19" s="122"/>
      <c r="P19" s="122"/>
      <c r="Q19" s="122"/>
      <c r="R19" s="122"/>
      <c r="S19" s="122"/>
      <c r="U19" s="122"/>
      <c r="V19" s="122"/>
      <c r="W19" s="122"/>
      <c r="Y19" s="122"/>
      <c r="AB19" s="123">
        <v>107500</v>
      </c>
      <c r="AC19" s="123">
        <f t="shared" si="0"/>
        <v>0</v>
      </c>
      <c r="AD19" s="2"/>
      <c r="AE19" s="2">
        <v>959.82</v>
      </c>
    </row>
    <row r="20" spans="1:31" x14ac:dyDescent="0.25">
      <c r="A20" s="122" t="s">
        <v>4697</v>
      </c>
      <c r="B20" s="125">
        <v>4233520</v>
      </c>
      <c r="C20" s="126">
        <v>45709</v>
      </c>
      <c r="D20" s="126">
        <v>45666</v>
      </c>
      <c r="E20" s="126">
        <v>45695</v>
      </c>
      <c r="F20" s="122" t="s">
        <v>4819</v>
      </c>
      <c r="G20" s="125" t="s">
        <v>4699</v>
      </c>
      <c r="H20" s="125"/>
      <c r="I20" s="122" t="s">
        <v>4698</v>
      </c>
      <c r="J20" s="122" t="s">
        <v>1226</v>
      </c>
      <c r="K20" s="122" t="s">
        <v>2924</v>
      </c>
      <c r="L20" s="123">
        <v>1607.14</v>
      </c>
      <c r="M20" s="123">
        <v>13392.86</v>
      </c>
      <c r="N20" s="122"/>
      <c r="O20" s="122"/>
      <c r="P20" s="122"/>
      <c r="Q20" s="122"/>
      <c r="R20" s="122"/>
      <c r="S20" s="122"/>
      <c r="U20" s="122"/>
      <c r="V20" s="122"/>
      <c r="W20" s="122"/>
      <c r="Y20" s="122"/>
      <c r="AB20" s="123">
        <v>15000</v>
      </c>
      <c r="AC20" s="123">
        <f t="shared" si="0"/>
        <v>0</v>
      </c>
      <c r="AD20" s="2"/>
      <c r="AE20" s="2">
        <v>133.93</v>
      </c>
    </row>
    <row r="21" spans="1:31" x14ac:dyDescent="0.25">
      <c r="A21" s="122" t="s">
        <v>4700</v>
      </c>
      <c r="B21" s="125">
        <v>4233521</v>
      </c>
      <c r="C21" s="126">
        <v>45666</v>
      </c>
      <c r="D21" s="126">
        <v>45666</v>
      </c>
      <c r="E21" s="126">
        <v>45666</v>
      </c>
      <c r="F21" s="125" t="s">
        <v>4703</v>
      </c>
      <c r="G21" s="125" t="s">
        <v>4701</v>
      </c>
      <c r="H21" s="125"/>
      <c r="I21" s="122" t="s">
        <v>4702</v>
      </c>
      <c r="J21" s="122" t="s">
        <v>83</v>
      </c>
      <c r="K21" s="122" t="s">
        <v>1336</v>
      </c>
      <c r="L21" s="122">
        <v>203.57</v>
      </c>
      <c r="M21" s="123">
        <v>1696.43</v>
      </c>
      <c r="N21" s="122"/>
      <c r="O21" s="122"/>
      <c r="P21" s="122"/>
      <c r="Q21" s="122"/>
      <c r="R21" s="122"/>
      <c r="S21" s="122"/>
      <c r="U21" s="122"/>
      <c r="V21" s="122"/>
      <c r="W21" s="122"/>
      <c r="Y21" s="122"/>
      <c r="AB21" s="123">
        <v>1900</v>
      </c>
      <c r="AC21" s="123">
        <f t="shared" si="0"/>
        <v>0</v>
      </c>
      <c r="AD21" s="2"/>
      <c r="AE21" s="123">
        <v>16.96</v>
      </c>
    </row>
    <row r="22" spans="1:31" x14ac:dyDescent="0.25">
      <c r="A22" s="122" t="s">
        <v>4710</v>
      </c>
      <c r="B22" s="122" t="s">
        <v>4711</v>
      </c>
      <c r="C22" s="126">
        <v>45667</v>
      </c>
      <c r="D22" s="126">
        <v>45667</v>
      </c>
      <c r="E22" s="122"/>
      <c r="F22" s="122"/>
      <c r="G22" s="125"/>
      <c r="H22" s="125"/>
      <c r="I22" s="122" t="s">
        <v>41</v>
      </c>
      <c r="J22" s="122" t="s">
        <v>54</v>
      </c>
      <c r="K22" s="122"/>
      <c r="L22" s="122"/>
      <c r="N22" s="122"/>
      <c r="O22" s="122"/>
      <c r="P22" s="122"/>
      <c r="Q22" s="122"/>
      <c r="R22" s="122"/>
      <c r="S22" s="122"/>
      <c r="U22" s="122"/>
      <c r="V22" s="122"/>
      <c r="W22" s="122"/>
      <c r="Y22" s="122"/>
      <c r="Z22" s="123">
        <v>150000</v>
      </c>
      <c r="AB22" s="123">
        <v>150000</v>
      </c>
      <c r="AC22" s="123">
        <f t="shared" si="0"/>
        <v>0</v>
      </c>
      <c r="AD22" s="2"/>
      <c r="AE22" s="2"/>
    </row>
    <row r="23" spans="1:31" x14ac:dyDescent="0.25">
      <c r="A23" s="122" t="s">
        <v>4713</v>
      </c>
      <c r="B23" s="122" t="s">
        <v>4714</v>
      </c>
      <c r="C23" s="126">
        <v>45667</v>
      </c>
      <c r="D23" s="126">
        <v>45667</v>
      </c>
      <c r="E23" s="126">
        <v>45670</v>
      </c>
      <c r="F23" s="122" t="s">
        <v>4719</v>
      </c>
      <c r="G23" s="125" t="s">
        <v>4715</v>
      </c>
      <c r="H23" s="125"/>
      <c r="I23" s="122" t="s">
        <v>4716</v>
      </c>
      <c r="J23" s="122" t="s">
        <v>4717</v>
      </c>
      <c r="K23" s="122" t="s">
        <v>4718</v>
      </c>
      <c r="L23" s="123">
        <v>11817.86</v>
      </c>
      <c r="M23" s="123">
        <v>98482.14</v>
      </c>
      <c r="N23" s="122"/>
      <c r="O23" s="122"/>
      <c r="P23" s="122"/>
      <c r="Q23" s="122"/>
      <c r="R23" s="122"/>
      <c r="S23" s="122"/>
      <c r="U23" s="122"/>
      <c r="V23" s="122"/>
      <c r="W23" s="122"/>
      <c r="Y23" s="122"/>
      <c r="AB23" s="123">
        <v>110300</v>
      </c>
      <c r="AC23" s="123">
        <f t="shared" si="0"/>
        <v>0</v>
      </c>
      <c r="AD23" s="2"/>
      <c r="AE23" s="2">
        <v>984.82</v>
      </c>
    </row>
    <row r="24" spans="1:31" x14ac:dyDescent="0.25">
      <c r="A24" s="122" t="s">
        <v>4720</v>
      </c>
      <c r="B24" s="125">
        <v>4233522</v>
      </c>
      <c r="C24" s="126">
        <v>45671</v>
      </c>
      <c r="D24" s="126">
        <v>45671</v>
      </c>
      <c r="E24" s="122"/>
      <c r="F24" s="122"/>
      <c r="G24" s="125"/>
      <c r="H24" s="125"/>
      <c r="I24" s="122" t="s">
        <v>4612</v>
      </c>
      <c r="J24" s="122" t="s">
        <v>1847</v>
      </c>
      <c r="K24" s="122"/>
      <c r="L24" s="122"/>
      <c r="N24" s="122"/>
      <c r="O24" s="122"/>
      <c r="P24" s="122"/>
      <c r="Q24" s="122"/>
      <c r="R24" s="122"/>
      <c r="S24" s="122"/>
      <c r="U24" s="122"/>
      <c r="V24" s="122"/>
      <c r="W24" s="122"/>
      <c r="Y24" s="122"/>
      <c r="AA24" s="123">
        <v>25200</v>
      </c>
      <c r="AB24" s="123">
        <v>25200</v>
      </c>
      <c r="AC24" s="123">
        <f t="shared" si="0"/>
        <v>0</v>
      </c>
      <c r="AD24"/>
      <c r="AE24"/>
    </row>
    <row r="25" spans="1:31" x14ac:dyDescent="0.25">
      <c r="A25" s="122" t="s">
        <v>4721</v>
      </c>
      <c r="B25" s="125">
        <v>4233523</v>
      </c>
      <c r="C25" s="126">
        <v>45671</v>
      </c>
      <c r="D25" s="126">
        <v>45671</v>
      </c>
      <c r="E25" s="122"/>
      <c r="F25" s="122"/>
      <c r="G25" s="125"/>
      <c r="H25" s="125"/>
      <c r="I25" s="122" t="s">
        <v>4612</v>
      </c>
      <c r="J25" s="122" t="s">
        <v>125</v>
      </c>
      <c r="K25" s="122"/>
      <c r="L25" s="122"/>
      <c r="N25" s="122"/>
      <c r="O25" s="122"/>
      <c r="P25" s="122"/>
      <c r="Q25" s="122"/>
      <c r="R25" s="122"/>
      <c r="S25" s="122"/>
      <c r="U25" s="122"/>
      <c r="V25" s="122"/>
      <c r="W25" s="122"/>
      <c r="Y25" s="122"/>
      <c r="AA25" s="123">
        <v>25000</v>
      </c>
      <c r="AB25" s="123">
        <v>25000</v>
      </c>
      <c r="AC25" s="123">
        <f t="shared" si="0"/>
        <v>0</v>
      </c>
      <c r="AD25"/>
      <c r="AE25"/>
    </row>
    <row r="26" spans="1:31" x14ac:dyDescent="0.25">
      <c r="A26" s="122" t="s">
        <v>4722</v>
      </c>
      <c r="B26" s="125">
        <v>4233524</v>
      </c>
      <c r="C26" s="126">
        <v>45671</v>
      </c>
      <c r="D26" s="126">
        <v>45671</v>
      </c>
      <c r="E26" s="122"/>
      <c r="F26" s="122"/>
      <c r="G26" s="125"/>
      <c r="H26" s="125"/>
      <c r="I26" s="122" t="s">
        <v>4851</v>
      </c>
      <c r="J26" s="122" t="s">
        <v>4628</v>
      </c>
      <c r="K26" s="122"/>
      <c r="L26" s="122">
        <v>737.58</v>
      </c>
      <c r="N26" s="122"/>
      <c r="O26" s="122"/>
      <c r="P26" s="122"/>
      <c r="Q26" s="122"/>
      <c r="R26" s="122"/>
      <c r="S26" s="122"/>
      <c r="U26" s="122"/>
      <c r="V26" s="122"/>
      <c r="W26" s="122"/>
      <c r="X26" s="123">
        <v>6146.46</v>
      </c>
      <c r="Y26" s="122"/>
      <c r="AB26" s="123">
        <v>6884.04</v>
      </c>
      <c r="AC26" s="123">
        <f t="shared" si="0"/>
        <v>0</v>
      </c>
      <c r="AD26"/>
      <c r="AE26"/>
    </row>
    <row r="27" spans="1:31" x14ac:dyDescent="0.25">
      <c r="A27" s="122" t="s">
        <v>4723</v>
      </c>
      <c r="B27" s="125">
        <v>4233527</v>
      </c>
      <c r="C27" s="126">
        <v>45671</v>
      </c>
      <c r="D27" s="126">
        <v>45671</v>
      </c>
      <c r="E27" s="122"/>
      <c r="F27" s="122"/>
      <c r="G27" s="125"/>
      <c r="H27" s="125"/>
      <c r="I27" s="122" t="s">
        <v>4724</v>
      </c>
      <c r="J27" s="122" t="s">
        <v>46</v>
      </c>
      <c r="K27" s="122"/>
      <c r="L27" s="122">
        <v>160.61000000000001</v>
      </c>
      <c r="N27" s="122"/>
      <c r="O27" s="122"/>
      <c r="P27" s="122"/>
      <c r="Q27" s="122"/>
      <c r="R27" s="122"/>
      <c r="S27" s="123">
        <v>1338.39</v>
      </c>
      <c r="U27" s="122"/>
      <c r="V27" s="122"/>
      <c r="W27" s="122"/>
      <c r="Y27" s="122"/>
      <c r="AB27" s="123">
        <v>1499</v>
      </c>
      <c r="AC27" s="123">
        <f t="shared" si="0"/>
        <v>0</v>
      </c>
      <c r="AD27"/>
      <c r="AE27"/>
    </row>
    <row r="28" spans="1:31" x14ac:dyDescent="0.25">
      <c r="A28" s="122" t="s">
        <v>4726</v>
      </c>
      <c r="B28" s="125">
        <v>4233526</v>
      </c>
      <c r="C28" s="126">
        <v>45671</v>
      </c>
      <c r="D28" s="126">
        <v>45671</v>
      </c>
      <c r="E28" s="122"/>
      <c r="F28" s="122"/>
      <c r="G28" s="125"/>
      <c r="H28" s="125"/>
      <c r="I28" s="122" t="s">
        <v>4725</v>
      </c>
      <c r="J28" s="122" t="s">
        <v>46</v>
      </c>
      <c r="K28" s="122"/>
      <c r="L28" s="122">
        <v>107.04</v>
      </c>
      <c r="N28" s="122"/>
      <c r="O28" s="122"/>
      <c r="P28" s="122"/>
      <c r="Q28" s="122"/>
      <c r="R28" s="122"/>
      <c r="S28" s="122">
        <v>891.96</v>
      </c>
      <c r="U28" s="122"/>
      <c r="V28" s="122"/>
      <c r="W28" s="122"/>
      <c r="Y28" s="122"/>
      <c r="AB28" s="123">
        <v>999</v>
      </c>
      <c r="AC28" s="123">
        <f t="shared" si="0"/>
        <v>0</v>
      </c>
      <c r="AD28"/>
      <c r="AE28"/>
    </row>
    <row r="29" spans="1:31" x14ac:dyDescent="0.25">
      <c r="A29" s="122" t="s">
        <v>4727</v>
      </c>
      <c r="B29" s="125">
        <v>4233528</v>
      </c>
      <c r="C29" s="126">
        <v>45671</v>
      </c>
      <c r="D29" s="126">
        <v>45671</v>
      </c>
      <c r="E29" s="126">
        <v>45672</v>
      </c>
      <c r="F29" s="122" t="s">
        <v>4742</v>
      </c>
      <c r="G29" s="125" t="s">
        <v>3762</v>
      </c>
      <c r="H29" s="125"/>
      <c r="I29" s="122" t="s">
        <v>4728</v>
      </c>
      <c r="J29" s="122" t="s">
        <v>83</v>
      </c>
      <c r="K29" s="7" t="s">
        <v>1336</v>
      </c>
      <c r="L29" s="123">
        <v>8369.57</v>
      </c>
      <c r="M29" s="123">
        <v>69746.429999999993</v>
      </c>
      <c r="N29" s="122"/>
      <c r="O29" s="122"/>
      <c r="P29" s="122"/>
      <c r="Q29" s="122"/>
      <c r="R29" s="122"/>
      <c r="S29" s="122"/>
      <c r="U29" s="122"/>
      <c r="V29" s="122"/>
      <c r="W29" s="122"/>
      <c r="Y29" s="122"/>
      <c r="AB29" s="123">
        <v>78116</v>
      </c>
      <c r="AC29" s="123">
        <f t="shared" si="0"/>
        <v>0</v>
      </c>
      <c r="AD29"/>
      <c r="AE29">
        <v>697.46</v>
      </c>
    </row>
    <row r="30" spans="1:31" x14ac:dyDescent="0.25">
      <c r="A30" s="122" t="s">
        <v>4729</v>
      </c>
      <c r="B30" s="125">
        <v>4233529</v>
      </c>
      <c r="C30" s="126">
        <v>45671</v>
      </c>
      <c r="D30" s="126">
        <v>45671</v>
      </c>
      <c r="E30" s="126">
        <v>45672</v>
      </c>
      <c r="F30" s="122" t="s">
        <v>4741</v>
      </c>
      <c r="G30" s="125" t="s">
        <v>3766</v>
      </c>
      <c r="H30" s="125"/>
      <c r="I30" s="122" t="s">
        <v>4730</v>
      </c>
      <c r="J30" s="122" t="s">
        <v>83</v>
      </c>
      <c r="K30" s="7" t="s">
        <v>1336</v>
      </c>
      <c r="L30" s="123">
        <v>5423.14</v>
      </c>
      <c r="M30" s="123">
        <v>45192.86</v>
      </c>
      <c r="N30" s="122"/>
      <c r="O30" s="122"/>
      <c r="P30" s="122"/>
      <c r="Q30" s="122"/>
      <c r="R30" s="122"/>
      <c r="S30" s="122"/>
      <c r="U30" s="122"/>
      <c r="V30" s="122"/>
      <c r="W30" s="122"/>
      <c r="Y30" s="122"/>
      <c r="AB30" s="123">
        <v>50616</v>
      </c>
      <c r="AC30" s="123">
        <f t="shared" si="0"/>
        <v>0</v>
      </c>
      <c r="AD30"/>
      <c r="AE30">
        <v>451.93</v>
      </c>
    </row>
    <row r="31" spans="1:31" x14ac:dyDescent="0.25">
      <c r="A31" s="122" t="s">
        <v>4731</v>
      </c>
      <c r="B31" s="125">
        <v>4233530</v>
      </c>
      <c r="C31" s="126">
        <v>45671</v>
      </c>
      <c r="D31" s="126">
        <v>45671</v>
      </c>
      <c r="E31"/>
      <c r="F31"/>
      <c r="G31" s="1"/>
      <c r="H31" s="1"/>
      <c r="I31" s="122" t="s">
        <v>4685</v>
      </c>
      <c r="J31" s="122" t="s">
        <v>43</v>
      </c>
      <c r="K31"/>
      <c r="L31" s="122">
        <v>62.04</v>
      </c>
      <c r="N31"/>
      <c r="O31"/>
      <c r="P31"/>
      <c r="Q31"/>
      <c r="R31"/>
      <c r="S31" s="123">
        <v>516.99</v>
      </c>
      <c r="U31"/>
      <c r="V31"/>
      <c r="W31"/>
      <c r="X31" s="2"/>
      <c r="Y31"/>
      <c r="Z31" s="2"/>
      <c r="AA31" s="2"/>
      <c r="AB31" s="123">
        <v>579.03</v>
      </c>
      <c r="AC31" s="10">
        <f t="shared" si="0"/>
        <v>0</v>
      </c>
      <c r="AD31"/>
      <c r="AE31"/>
    </row>
    <row r="32" spans="1:31" x14ac:dyDescent="0.25">
      <c r="A32" s="122" t="s">
        <v>4732</v>
      </c>
      <c r="B32" s="125">
        <v>4233531</v>
      </c>
      <c r="C32" s="126">
        <v>45671</v>
      </c>
      <c r="D32" s="126">
        <v>45671</v>
      </c>
      <c r="E32"/>
      <c r="F32"/>
      <c r="G32" s="1"/>
      <c r="H32" s="1"/>
      <c r="I32" s="122" t="s">
        <v>4685</v>
      </c>
      <c r="J32" s="122" t="s">
        <v>43</v>
      </c>
      <c r="K32"/>
      <c r="L32" s="122">
        <v>32.14</v>
      </c>
      <c r="N32"/>
      <c r="O32"/>
      <c r="P32"/>
      <c r="Q32"/>
      <c r="R32"/>
      <c r="S32" s="123">
        <v>267.86</v>
      </c>
      <c r="U32"/>
      <c r="V32"/>
      <c r="W32"/>
      <c r="X32" s="2"/>
      <c r="Y32"/>
      <c r="Z32" s="2"/>
      <c r="AA32" s="2"/>
      <c r="AB32" s="123">
        <v>300</v>
      </c>
      <c r="AC32" s="10">
        <f t="shared" si="0"/>
        <v>0</v>
      </c>
      <c r="AD32"/>
      <c r="AE32"/>
    </row>
    <row r="33" spans="1:31" x14ac:dyDescent="0.25">
      <c r="A33" s="122" t="s">
        <v>4733</v>
      </c>
      <c r="B33" s="122" t="s">
        <v>4734</v>
      </c>
      <c r="C33" s="126">
        <v>45671</v>
      </c>
      <c r="D33" s="126">
        <v>45671</v>
      </c>
      <c r="E33"/>
      <c r="F33"/>
      <c r="G33" s="1"/>
      <c r="H33" s="1"/>
      <c r="I33" s="122" t="s">
        <v>4735</v>
      </c>
      <c r="J33" s="122" t="s">
        <v>39</v>
      </c>
      <c r="K33"/>
      <c r="L33"/>
      <c r="M33" s="2"/>
      <c r="N33"/>
      <c r="O33"/>
      <c r="P33"/>
      <c r="Q33"/>
      <c r="R33"/>
      <c r="S33"/>
      <c r="U33"/>
      <c r="V33"/>
      <c r="W33"/>
      <c r="X33" s="2"/>
      <c r="Y33"/>
      <c r="Z33" s="2"/>
      <c r="AA33" s="123">
        <v>31160</v>
      </c>
      <c r="AB33" s="123">
        <v>31160</v>
      </c>
      <c r="AC33" s="10">
        <f t="shared" si="0"/>
        <v>0</v>
      </c>
      <c r="AD33"/>
      <c r="AE33"/>
    </row>
    <row r="34" spans="1:31" x14ac:dyDescent="0.25">
      <c r="A34" s="122" t="s">
        <v>4736</v>
      </c>
      <c r="B34" s="125">
        <v>4233532</v>
      </c>
      <c r="C34" s="126">
        <v>45672</v>
      </c>
      <c r="D34" s="126">
        <v>45672</v>
      </c>
      <c r="E34"/>
      <c r="F34"/>
      <c r="G34" s="1"/>
      <c r="H34" s="125" t="s">
        <v>3517</v>
      </c>
      <c r="I34" s="122" t="s">
        <v>4427</v>
      </c>
      <c r="J34" s="122" t="s">
        <v>3667</v>
      </c>
      <c r="K34"/>
      <c r="L34"/>
      <c r="M34" s="2"/>
      <c r="N34"/>
      <c r="O34"/>
      <c r="P34"/>
      <c r="Q34"/>
      <c r="R34"/>
      <c r="S34"/>
      <c r="T34" s="123">
        <v>15310.64</v>
      </c>
      <c r="U34"/>
      <c r="V34"/>
      <c r="W34"/>
      <c r="X34" s="2"/>
      <c r="Y34"/>
      <c r="Z34" s="2"/>
      <c r="AA34" s="2"/>
      <c r="AB34" s="123">
        <v>15310.64</v>
      </c>
      <c r="AC34" s="10">
        <f t="shared" si="0"/>
        <v>0</v>
      </c>
      <c r="AD34"/>
      <c r="AE34"/>
    </row>
    <row r="35" spans="1:31" x14ac:dyDescent="0.25">
      <c r="A35" s="122" t="s">
        <v>4737</v>
      </c>
      <c r="B35" s="125">
        <v>4233533</v>
      </c>
      <c r="C35" s="126">
        <v>45672</v>
      </c>
      <c r="D35" s="126">
        <v>45672</v>
      </c>
      <c r="E35"/>
      <c r="F35"/>
      <c r="G35" s="1"/>
      <c r="H35" s="1"/>
      <c r="I35" s="122" t="s">
        <v>4738</v>
      </c>
      <c r="J35" s="122" t="s">
        <v>47</v>
      </c>
      <c r="K35"/>
      <c r="L35"/>
      <c r="M35" s="2"/>
      <c r="N35"/>
      <c r="O35"/>
      <c r="P35"/>
      <c r="Q35"/>
      <c r="R35"/>
      <c r="S35"/>
      <c r="U35"/>
      <c r="V35"/>
      <c r="W35"/>
      <c r="X35" s="2"/>
      <c r="Y35"/>
      <c r="Z35" s="2"/>
      <c r="AA35" s="123">
        <v>6000</v>
      </c>
      <c r="AB35" s="123">
        <v>6000</v>
      </c>
      <c r="AC35" s="10">
        <f t="shared" si="0"/>
        <v>0</v>
      </c>
      <c r="AD35"/>
      <c r="AE35"/>
    </row>
    <row r="36" spans="1:31" x14ac:dyDescent="0.25">
      <c r="A36" s="122" t="s">
        <v>4739</v>
      </c>
      <c r="B36" s="122" t="s">
        <v>4740</v>
      </c>
      <c r="C36" s="126">
        <v>45672</v>
      </c>
      <c r="D36" s="126">
        <v>45672</v>
      </c>
      <c r="E36"/>
      <c r="F36"/>
      <c r="G36" s="1"/>
      <c r="H36" s="1"/>
      <c r="I36" s="122" t="s">
        <v>41</v>
      </c>
      <c r="J36" s="122" t="s">
        <v>54</v>
      </c>
      <c r="K36"/>
      <c r="L36"/>
      <c r="M36" s="2"/>
      <c r="N36"/>
      <c r="O36"/>
      <c r="P36"/>
      <c r="Q36"/>
      <c r="R36"/>
      <c r="S36"/>
      <c r="U36"/>
      <c r="V36"/>
      <c r="W36"/>
      <c r="X36" s="2"/>
      <c r="Y36"/>
      <c r="Z36" s="123">
        <v>400000</v>
      </c>
      <c r="AB36" s="123">
        <v>400000</v>
      </c>
      <c r="AC36" s="10">
        <f t="shared" si="0"/>
        <v>0</v>
      </c>
      <c r="AD36"/>
      <c r="AE36" s="122"/>
    </row>
    <row r="37" spans="1:31" x14ac:dyDescent="0.25">
      <c r="A37" s="122" t="s">
        <v>4743</v>
      </c>
      <c r="B37" s="125">
        <v>4233534</v>
      </c>
      <c r="C37" s="126">
        <v>45703</v>
      </c>
      <c r="D37" s="126">
        <v>45672</v>
      </c>
      <c r="E37" s="126">
        <v>45705</v>
      </c>
      <c r="F37" s="122" t="s">
        <v>4874</v>
      </c>
      <c r="G37" s="125" t="s">
        <v>4745</v>
      </c>
      <c r="H37" s="1"/>
      <c r="I37" s="122" t="s">
        <v>4744</v>
      </c>
      <c r="J37" s="122" t="s">
        <v>83</v>
      </c>
      <c r="K37"/>
      <c r="L37" s="122">
        <v>642.86</v>
      </c>
      <c r="M37" s="123">
        <v>5357.14</v>
      </c>
      <c r="N37"/>
      <c r="O37"/>
      <c r="P37"/>
      <c r="Q37"/>
      <c r="R37"/>
      <c r="S37"/>
      <c r="U37"/>
      <c r="V37"/>
      <c r="W37"/>
      <c r="X37" s="2"/>
      <c r="Y37"/>
      <c r="Z37" s="2"/>
      <c r="AA37" s="2"/>
      <c r="AB37" s="123">
        <v>6000</v>
      </c>
      <c r="AC37" s="10">
        <f t="shared" si="0"/>
        <v>0</v>
      </c>
      <c r="AD37"/>
      <c r="AE37" s="122">
        <v>53.57</v>
      </c>
    </row>
    <row r="38" spans="1:31" x14ac:dyDescent="0.25">
      <c r="A38" s="122" t="s">
        <v>4747</v>
      </c>
      <c r="B38" s="125">
        <v>4233535</v>
      </c>
      <c r="C38" s="126">
        <v>45677</v>
      </c>
      <c r="D38" s="126">
        <v>45677</v>
      </c>
      <c r="E38"/>
      <c r="F38"/>
      <c r="G38" s="1"/>
      <c r="H38" s="125" t="s">
        <v>3537</v>
      </c>
      <c r="I38" s="122" t="s">
        <v>4427</v>
      </c>
      <c r="J38" s="122" t="s">
        <v>3667</v>
      </c>
      <c r="K38"/>
      <c r="L38"/>
      <c r="M38" s="2"/>
      <c r="N38"/>
      <c r="O38"/>
      <c r="P38"/>
      <c r="Q38"/>
      <c r="R38"/>
      <c r="S38"/>
      <c r="T38" s="123">
        <v>8941.49</v>
      </c>
      <c r="U38"/>
      <c r="V38"/>
      <c r="W38"/>
      <c r="X38" s="2"/>
      <c r="Y38"/>
      <c r="Z38" s="2"/>
      <c r="AA38" s="2"/>
      <c r="AB38" s="123">
        <v>8941.49</v>
      </c>
      <c r="AC38" s="10">
        <f t="shared" si="0"/>
        <v>0</v>
      </c>
      <c r="AD38"/>
      <c r="AE38" s="122"/>
    </row>
    <row r="39" spans="1:31" x14ac:dyDescent="0.25">
      <c r="A39" s="122" t="s">
        <v>4748</v>
      </c>
      <c r="B39" s="125">
        <v>4233536</v>
      </c>
      <c r="C39" s="126">
        <v>45719</v>
      </c>
      <c r="D39" s="126">
        <v>45677</v>
      </c>
      <c r="E39" s="126">
        <v>45674</v>
      </c>
      <c r="F39" s="122" t="s">
        <v>4777</v>
      </c>
      <c r="G39" s="125" t="s">
        <v>4776</v>
      </c>
      <c r="H39" s="125"/>
      <c r="I39" s="122" t="s">
        <v>4749</v>
      </c>
      <c r="J39" s="122" t="s">
        <v>1226</v>
      </c>
      <c r="K39" s="122" t="s">
        <v>2924</v>
      </c>
      <c r="L39" s="122">
        <v>3085.71</v>
      </c>
      <c r="M39" s="123">
        <v>25714.29</v>
      </c>
      <c r="N39"/>
      <c r="O39"/>
      <c r="P39"/>
      <c r="Q39"/>
      <c r="R39"/>
      <c r="S39"/>
      <c r="U39"/>
      <c r="V39"/>
      <c r="W39"/>
      <c r="X39" s="2"/>
      <c r="Y39"/>
      <c r="Z39" s="2"/>
      <c r="AA39" s="2"/>
      <c r="AB39" s="123">
        <v>28800</v>
      </c>
      <c r="AC39" s="10">
        <f t="shared" si="0"/>
        <v>0</v>
      </c>
      <c r="AD39"/>
      <c r="AE39" s="122">
        <v>257.14</v>
      </c>
    </row>
    <row r="40" spans="1:31" x14ac:dyDescent="0.25">
      <c r="A40" s="122" t="s">
        <v>4750</v>
      </c>
      <c r="B40" s="125">
        <v>4233537</v>
      </c>
      <c r="C40" s="126">
        <v>45677</v>
      </c>
      <c r="D40" s="126">
        <v>45677</v>
      </c>
      <c r="E40" s="126">
        <v>45693</v>
      </c>
      <c r="F40" s="122" t="s">
        <v>4815</v>
      </c>
      <c r="G40" s="125" t="s">
        <v>4816</v>
      </c>
      <c r="H40" s="1"/>
      <c r="I40" s="122" t="s">
        <v>4751</v>
      </c>
      <c r="J40" s="122" t="s">
        <v>187</v>
      </c>
      <c r="K40"/>
      <c r="L40" s="122"/>
      <c r="N40"/>
      <c r="O40"/>
      <c r="P40"/>
      <c r="Q40"/>
      <c r="R40"/>
      <c r="S40"/>
      <c r="U40"/>
      <c r="V40"/>
      <c r="W40"/>
      <c r="X40" s="2"/>
      <c r="Y40"/>
      <c r="Z40" s="2"/>
      <c r="AA40" s="123">
        <v>8323.2000000000007</v>
      </c>
      <c r="AB40" s="123">
        <v>8323.2000000000007</v>
      </c>
      <c r="AC40" s="10">
        <f t="shared" si="0"/>
        <v>0</v>
      </c>
      <c r="AD40"/>
      <c r="AE40" s="122"/>
    </row>
    <row r="41" spans="1:31" x14ac:dyDescent="0.25">
      <c r="A41" s="122" t="s">
        <v>4752</v>
      </c>
      <c r="B41" s="125">
        <v>4233538</v>
      </c>
      <c r="C41" s="126">
        <v>45679</v>
      </c>
      <c r="D41" s="126">
        <v>45679</v>
      </c>
      <c r="E41"/>
      <c r="F41"/>
      <c r="G41" s="1"/>
      <c r="H41" s="1"/>
      <c r="I41" s="122" t="s">
        <v>3979</v>
      </c>
      <c r="J41" s="122" t="s">
        <v>46</v>
      </c>
      <c r="K41"/>
      <c r="L41" s="123">
        <v>1387.24</v>
      </c>
      <c r="M41" s="2"/>
      <c r="N41"/>
      <c r="O41"/>
      <c r="P41"/>
      <c r="Q41"/>
      <c r="R41"/>
      <c r="S41" s="123">
        <v>11560.31</v>
      </c>
      <c r="U41"/>
      <c r="V41"/>
      <c r="W41"/>
      <c r="X41" s="2"/>
      <c r="Y41"/>
      <c r="Z41" s="2"/>
      <c r="AA41" s="2"/>
      <c r="AB41" s="123">
        <v>12947.55</v>
      </c>
      <c r="AC41" s="10">
        <f t="shared" si="0"/>
        <v>0</v>
      </c>
      <c r="AD41"/>
      <c r="AE41" s="122"/>
    </row>
    <row r="42" spans="1:31" x14ac:dyDescent="0.25">
      <c r="A42" s="122" t="s">
        <v>4753</v>
      </c>
      <c r="B42" s="125">
        <v>4233539</v>
      </c>
      <c r="C42" s="126">
        <v>45687</v>
      </c>
      <c r="D42" s="126">
        <v>45679</v>
      </c>
      <c r="E42" s="126">
        <v>45685</v>
      </c>
      <c r="F42" s="122" t="s">
        <v>4775</v>
      </c>
      <c r="G42" s="1"/>
      <c r="H42" s="1"/>
      <c r="I42" s="122" t="s">
        <v>63</v>
      </c>
      <c r="J42" s="122" t="s">
        <v>109</v>
      </c>
      <c r="K42"/>
      <c r="L42"/>
      <c r="M42" s="2"/>
      <c r="N42" s="123">
        <v>50750</v>
      </c>
      <c r="O42"/>
      <c r="P42"/>
      <c r="Q42"/>
      <c r="R42"/>
      <c r="S42"/>
      <c r="U42"/>
      <c r="V42"/>
      <c r="W42"/>
      <c r="X42" s="2"/>
      <c r="Y42"/>
      <c r="Z42" s="2"/>
      <c r="AA42" s="2"/>
      <c r="AB42" s="123">
        <v>50750</v>
      </c>
      <c r="AC42" s="10">
        <f t="shared" ref="AC42:AC75" si="1">SUM(AB42:AB42)-SUM(L42:AA42)</f>
        <v>0</v>
      </c>
      <c r="AD42"/>
      <c r="AE42"/>
    </row>
    <row r="43" spans="1:31" x14ac:dyDescent="0.25">
      <c r="A43" s="122" t="s">
        <v>4754</v>
      </c>
      <c r="B43" s="125">
        <v>4233540</v>
      </c>
      <c r="C43" s="126">
        <v>45681</v>
      </c>
      <c r="D43" s="126">
        <v>45679</v>
      </c>
      <c r="E43"/>
      <c r="F43"/>
      <c r="G43" s="1"/>
      <c r="H43" s="1"/>
      <c r="I43" s="122" t="s">
        <v>4755</v>
      </c>
      <c r="J43" s="122" t="s">
        <v>4549</v>
      </c>
      <c r="K43"/>
      <c r="L43"/>
      <c r="M43" s="2"/>
      <c r="N43"/>
      <c r="O43"/>
      <c r="P43"/>
      <c r="Q43"/>
      <c r="R43"/>
      <c r="S43"/>
      <c r="U43"/>
      <c r="V43"/>
      <c r="W43"/>
      <c r="X43" s="2"/>
      <c r="Y43"/>
      <c r="Z43" s="2"/>
      <c r="AA43" s="123">
        <v>5000</v>
      </c>
      <c r="AB43" s="123">
        <v>5000</v>
      </c>
      <c r="AC43" s="10">
        <f t="shared" si="1"/>
        <v>0</v>
      </c>
      <c r="AD43"/>
      <c r="AE43"/>
    </row>
    <row r="44" spans="1:31" x14ac:dyDescent="0.25">
      <c r="A44" s="122" t="s">
        <v>4756</v>
      </c>
      <c r="B44" s="122" t="s">
        <v>4757</v>
      </c>
      <c r="C44" s="126">
        <v>45680</v>
      </c>
      <c r="D44" s="126">
        <v>45679</v>
      </c>
      <c r="E44"/>
      <c r="F44"/>
      <c r="G44" s="1"/>
      <c r="H44" s="1"/>
      <c r="I44" s="122" t="s">
        <v>41</v>
      </c>
      <c r="J44" s="122" t="s">
        <v>54</v>
      </c>
      <c r="K44"/>
      <c r="L44"/>
      <c r="M44" s="2"/>
      <c r="N44"/>
      <c r="O44"/>
      <c r="P44"/>
      <c r="Q44"/>
      <c r="R44"/>
      <c r="S44"/>
      <c r="U44"/>
      <c r="V44"/>
      <c r="W44"/>
      <c r="X44" s="2"/>
      <c r="Y44"/>
      <c r="Z44" s="123">
        <v>200000</v>
      </c>
      <c r="AB44" s="123">
        <v>200000</v>
      </c>
      <c r="AC44" s="10">
        <f t="shared" si="1"/>
        <v>0</v>
      </c>
      <c r="AD44"/>
      <c r="AE44"/>
    </row>
    <row r="45" spans="1:31" x14ac:dyDescent="0.25">
      <c r="A45" s="122" t="s">
        <v>4760</v>
      </c>
      <c r="B45" s="122" t="s">
        <v>4759</v>
      </c>
      <c r="C45" s="126">
        <v>45680</v>
      </c>
      <c r="D45" s="126">
        <v>45679</v>
      </c>
      <c r="E45"/>
      <c r="F45"/>
      <c r="G45" s="1"/>
      <c r="H45" s="1"/>
      <c r="I45" s="122" t="s">
        <v>42</v>
      </c>
      <c r="J45" s="122" t="s">
        <v>47</v>
      </c>
      <c r="K45"/>
      <c r="L45"/>
      <c r="M45" s="2"/>
      <c r="N45"/>
      <c r="O45"/>
      <c r="P45" s="123">
        <v>20000</v>
      </c>
      <c r="Q45"/>
      <c r="R45"/>
      <c r="S45"/>
      <c r="U45"/>
      <c r="V45"/>
      <c r="W45"/>
      <c r="X45" s="2"/>
      <c r="Y45"/>
      <c r="Z45" s="2"/>
      <c r="AA45" s="2"/>
      <c r="AB45" s="123">
        <v>20000</v>
      </c>
      <c r="AC45" s="10">
        <f t="shared" si="1"/>
        <v>0</v>
      </c>
      <c r="AD45"/>
      <c r="AE45"/>
    </row>
    <row r="46" spans="1:31" x14ac:dyDescent="0.25">
      <c r="A46" s="122" t="s">
        <v>4766</v>
      </c>
      <c r="B46" s="122" t="s">
        <v>4761</v>
      </c>
      <c r="C46" s="126">
        <v>45684</v>
      </c>
      <c r="D46" s="126">
        <v>45680</v>
      </c>
      <c r="E46" s="126">
        <v>45681</v>
      </c>
      <c r="F46" s="122" t="s">
        <v>4764</v>
      </c>
      <c r="G46" s="125" t="s">
        <v>4763</v>
      </c>
      <c r="H46" s="125"/>
      <c r="I46" s="122" t="s">
        <v>4762</v>
      </c>
      <c r="J46" s="122" t="s">
        <v>4717</v>
      </c>
      <c r="K46" s="122"/>
      <c r="L46" s="123">
        <v>11517.86</v>
      </c>
      <c r="M46" s="123">
        <v>95982.14</v>
      </c>
      <c r="N46" s="122"/>
      <c r="O46" s="122"/>
      <c r="P46" s="122"/>
      <c r="Q46" s="122"/>
      <c r="R46" s="122"/>
      <c r="S46" s="122"/>
      <c r="U46" s="122"/>
      <c r="V46" s="122"/>
      <c r="W46" s="122"/>
      <c r="Y46" s="122"/>
      <c r="AB46" s="123">
        <v>107500</v>
      </c>
      <c r="AC46" s="123">
        <f t="shared" si="1"/>
        <v>0</v>
      </c>
      <c r="AD46" s="122"/>
      <c r="AE46" s="122">
        <v>959.82</v>
      </c>
    </row>
    <row r="47" spans="1:31" x14ac:dyDescent="0.25">
      <c r="A47" s="122" t="s">
        <v>4767</v>
      </c>
      <c r="B47" s="122" t="s">
        <v>4765</v>
      </c>
      <c r="C47" s="126">
        <v>45684</v>
      </c>
      <c r="D47" s="126">
        <v>45684</v>
      </c>
      <c r="E47" s="122"/>
      <c r="F47" s="122"/>
      <c r="G47" s="125"/>
      <c r="H47" s="125"/>
      <c r="I47" s="122" t="s">
        <v>41</v>
      </c>
      <c r="J47" s="122" t="s">
        <v>54</v>
      </c>
      <c r="K47" s="122"/>
      <c r="L47" s="122"/>
      <c r="N47" s="122"/>
      <c r="O47" s="122"/>
      <c r="P47" s="122"/>
      <c r="Q47" s="122"/>
      <c r="R47" s="122"/>
      <c r="S47" s="122"/>
      <c r="U47" s="122"/>
      <c r="V47" s="122"/>
      <c r="W47" s="122"/>
      <c r="Y47" s="122"/>
      <c r="Z47" s="123">
        <v>250000</v>
      </c>
      <c r="AB47" s="123">
        <v>250000</v>
      </c>
      <c r="AC47" s="123">
        <f t="shared" si="1"/>
        <v>0</v>
      </c>
      <c r="AD47" s="122"/>
      <c r="AE47" s="122"/>
    </row>
    <row r="48" spans="1:31" x14ac:dyDescent="0.25">
      <c r="A48" s="122" t="s">
        <v>4768</v>
      </c>
      <c r="B48" s="125">
        <v>4233541</v>
      </c>
      <c r="C48" s="126">
        <v>45687</v>
      </c>
      <c r="D48" s="126">
        <v>45684</v>
      </c>
      <c r="E48" s="122"/>
      <c r="F48" s="122"/>
      <c r="G48" s="125"/>
      <c r="H48" s="125"/>
      <c r="I48" s="122" t="s">
        <v>4612</v>
      </c>
      <c r="J48" s="122" t="s">
        <v>1847</v>
      </c>
      <c r="K48" s="122"/>
      <c r="L48" s="122"/>
      <c r="N48" s="122"/>
      <c r="O48" s="122"/>
      <c r="P48" s="122"/>
      <c r="Q48" s="122"/>
      <c r="R48" s="122"/>
      <c r="S48" s="122"/>
      <c r="U48" s="122"/>
      <c r="V48" s="122"/>
      <c r="W48" s="122"/>
      <c r="Y48" s="122"/>
      <c r="AA48" s="123">
        <v>25600</v>
      </c>
      <c r="AB48" s="123">
        <v>25600</v>
      </c>
      <c r="AC48" s="123">
        <f t="shared" si="1"/>
        <v>0</v>
      </c>
      <c r="AD48" s="122"/>
      <c r="AE48"/>
    </row>
    <row r="49" spans="1:31" x14ac:dyDescent="0.25">
      <c r="A49" s="122" t="s">
        <v>4769</v>
      </c>
      <c r="B49" s="125">
        <v>4233542</v>
      </c>
      <c r="C49" s="126">
        <v>45687</v>
      </c>
      <c r="D49" s="126">
        <v>45684</v>
      </c>
      <c r="E49" s="122"/>
      <c r="F49" s="122"/>
      <c r="G49" s="125"/>
      <c r="H49" s="125"/>
      <c r="I49" s="122" t="s">
        <v>4612</v>
      </c>
      <c r="J49" s="122" t="s">
        <v>125</v>
      </c>
      <c r="K49" s="122"/>
      <c r="L49" s="122"/>
      <c r="N49" s="122"/>
      <c r="O49" s="122"/>
      <c r="P49" s="122"/>
      <c r="Q49" s="122"/>
      <c r="R49" s="122"/>
      <c r="S49" s="122"/>
      <c r="U49" s="122"/>
      <c r="V49" s="122"/>
      <c r="W49" s="122"/>
      <c r="Y49" s="122"/>
      <c r="AA49" s="123">
        <v>25000</v>
      </c>
      <c r="AB49" s="123">
        <v>25000</v>
      </c>
      <c r="AC49" s="123">
        <f t="shared" si="1"/>
        <v>0</v>
      </c>
      <c r="AD49" s="122"/>
      <c r="AE49"/>
    </row>
    <row r="50" spans="1:31" x14ac:dyDescent="0.25">
      <c r="A50" s="122" t="s">
        <v>4773</v>
      </c>
      <c r="B50" s="125">
        <v>4233543</v>
      </c>
      <c r="C50" s="126">
        <v>45684</v>
      </c>
      <c r="D50" s="126">
        <v>45684</v>
      </c>
      <c r="E50" s="126">
        <v>45705</v>
      </c>
      <c r="F50" s="122" t="s">
        <v>4875</v>
      </c>
      <c r="G50" s="125" t="s">
        <v>4774</v>
      </c>
      <c r="H50" s="125"/>
      <c r="I50" s="122" t="s">
        <v>4702</v>
      </c>
      <c r="J50" s="122" t="s">
        <v>83</v>
      </c>
      <c r="K50" s="122"/>
      <c r="L50" s="122">
        <v>203.57</v>
      </c>
      <c r="M50" s="123">
        <v>1696.43</v>
      </c>
      <c r="N50" s="122"/>
      <c r="O50" s="122"/>
      <c r="P50" s="122"/>
      <c r="Q50" s="122"/>
      <c r="R50" s="122"/>
      <c r="S50" s="122"/>
      <c r="U50" s="122"/>
      <c r="V50" s="122"/>
      <c r="W50" s="122"/>
      <c r="Y50" s="122"/>
      <c r="AB50" s="123">
        <v>1900</v>
      </c>
      <c r="AC50" s="123">
        <f t="shared" si="1"/>
        <v>0</v>
      </c>
      <c r="AD50" s="122"/>
      <c r="AE50" s="122">
        <v>16.96</v>
      </c>
    </row>
    <row r="51" spans="1:31" x14ac:dyDescent="0.25">
      <c r="A51" s="122" t="s">
        <v>4772</v>
      </c>
      <c r="B51" s="122" t="s">
        <v>4770</v>
      </c>
      <c r="C51" s="126">
        <v>45684</v>
      </c>
      <c r="D51" s="126">
        <v>45684</v>
      </c>
      <c r="E51" s="122"/>
      <c r="F51" s="122"/>
      <c r="G51" s="125"/>
      <c r="H51" s="125" t="s">
        <v>3538</v>
      </c>
      <c r="I51" s="122" t="s">
        <v>4771</v>
      </c>
      <c r="J51" s="122" t="s">
        <v>39</v>
      </c>
      <c r="K51" s="122"/>
      <c r="L51" s="122"/>
      <c r="N51" s="122"/>
      <c r="O51" s="122"/>
      <c r="P51" s="122"/>
      <c r="Q51" s="122"/>
      <c r="R51" s="122"/>
      <c r="S51" s="122"/>
      <c r="U51" s="122"/>
      <c r="V51" s="122"/>
      <c r="W51" s="122"/>
      <c r="Y51" s="122"/>
      <c r="AA51" s="123">
        <v>25000</v>
      </c>
      <c r="AB51" s="123">
        <v>21091.39</v>
      </c>
      <c r="AC51" s="123">
        <f t="shared" si="1"/>
        <v>-3908.6100000000006</v>
      </c>
      <c r="AD51" s="145" t="s">
        <v>4848</v>
      </c>
      <c r="AE51"/>
    </row>
    <row r="52" spans="1:31" x14ac:dyDescent="0.25">
      <c r="A52" s="122" t="s">
        <v>4778</v>
      </c>
      <c r="B52" s="125">
        <v>4233545</v>
      </c>
      <c r="C52" s="126">
        <v>45688</v>
      </c>
      <c r="D52" s="126">
        <v>45688</v>
      </c>
      <c r="E52" s="122"/>
      <c r="F52" s="122"/>
      <c r="G52" s="125"/>
      <c r="H52" s="125" t="s">
        <v>3564</v>
      </c>
      <c r="I52" s="122" t="s">
        <v>4427</v>
      </c>
      <c r="J52" s="122" t="s">
        <v>3667</v>
      </c>
      <c r="K52" s="122"/>
      <c r="L52" s="122"/>
      <c r="N52" s="122"/>
      <c r="O52" s="122"/>
      <c r="P52" s="122"/>
      <c r="Q52" s="122"/>
      <c r="R52" s="122"/>
      <c r="S52" s="122"/>
      <c r="T52" s="123">
        <v>7544.91</v>
      </c>
      <c r="U52"/>
      <c r="V52"/>
      <c r="W52"/>
      <c r="X52" s="2"/>
      <c r="Y52"/>
      <c r="Z52" s="2"/>
      <c r="AA52" s="2"/>
      <c r="AB52" s="123">
        <v>7544.91</v>
      </c>
      <c r="AC52" s="123">
        <f t="shared" si="1"/>
        <v>0</v>
      </c>
      <c r="AD52"/>
      <c r="AE52"/>
    </row>
    <row r="53" spans="1:31" x14ac:dyDescent="0.25">
      <c r="A53" s="122" t="s">
        <v>4779</v>
      </c>
      <c r="B53" s="125">
        <v>4233546</v>
      </c>
      <c r="C53" s="126">
        <v>45688</v>
      </c>
      <c r="D53" s="126">
        <v>45688</v>
      </c>
      <c r="E53" s="122"/>
      <c r="F53" s="122"/>
      <c r="G53" s="125"/>
      <c r="H53" s="125" t="s">
        <v>3601</v>
      </c>
      <c r="I53" s="122" t="s">
        <v>4780</v>
      </c>
      <c r="J53" s="122" t="s">
        <v>3667</v>
      </c>
      <c r="K53" s="122"/>
      <c r="L53" s="122"/>
      <c r="N53" s="122"/>
      <c r="O53" s="122"/>
      <c r="P53" s="122"/>
      <c r="Q53" s="122"/>
      <c r="R53" s="122"/>
      <c r="S53" s="122"/>
      <c r="T53" s="123">
        <v>11050.02</v>
      </c>
      <c r="U53"/>
      <c r="V53"/>
      <c r="W53"/>
      <c r="X53" s="2"/>
      <c r="Y53"/>
      <c r="Z53" s="2"/>
      <c r="AA53" s="2"/>
      <c r="AB53" s="123">
        <v>11050.02</v>
      </c>
      <c r="AC53" s="10">
        <f t="shared" si="1"/>
        <v>0</v>
      </c>
      <c r="AD53"/>
      <c r="AE53"/>
    </row>
    <row r="54" spans="1:31" x14ac:dyDescent="0.25">
      <c r="A54" s="122" t="s">
        <v>4781</v>
      </c>
      <c r="B54" s="125">
        <v>4233547</v>
      </c>
      <c r="C54" s="126">
        <v>45717</v>
      </c>
      <c r="D54" s="126">
        <v>45688</v>
      </c>
      <c r="E54" s="126">
        <v>45691</v>
      </c>
      <c r="F54" s="122" t="s">
        <v>4796</v>
      </c>
      <c r="G54" s="125" t="s">
        <v>4797</v>
      </c>
      <c r="H54" s="125"/>
      <c r="I54" s="122" t="s">
        <v>4782</v>
      </c>
      <c r="J54" s="122" t="s">
        <v>3527</v>
      </c>
      <c r="K54" s="122" t="s">
        <v>3530</v>
      </c>
      <c r="L54" s="122">
        <v>867.86</v>
      </c>
      <c r="M54" s="123">
        <v>7232.14</v>
      </c>
      <c r="N54" s="122"/>
      <c r="O54" s="122"/>
      <c r="P54" s="122"/>
      <c r="Q54" s="122"/>
      <c r="R54" s="122"/>
      <c r="S54" s="122"/>
      <c r="U54"/>
      <c r="V54"/>
      <c r="W54"/>
      <c r="X54" s="2"/>
      <c r="Y54"/>
      <c r="Z54" s="2"/>
      <c r="AA54" s="2"/>
      <c r="AB54" s="123">
        <v>8100</v>
      </c>
      <c r="AC54" s="10">
        <f t="shared" si="1"/>
        <v>0</v>
      </c>
      <c r="AD54"/>
      <c r="AE54" s="122">
        <v>72.319999999999993</v>
      </c>
    </row>
    <row r="55" spans="1:31" x14ac:dyDescent="0.25">
      <c r="A55" s="122" t="s">
        <v>4783</v>
      </c>
      <c r="B55" s="125">
        <v>4233548</v>
      </c>
      <c r="C55" s="126">
        <v>45733</v>
      </c>
      <c r="D55" s="126">
        <v>45688</v>
      </c>
      <c r="E55" s="126">
        <v>45695</v>
      </c>
      <c r="F55" s="122" t="s">
        <v>4818</v>
      </c>
      <c r="G55" s="125" t="s">
        <v>4817</v>
      </c>
      <c r="H55" s="125"/>
      <c r="I55" s="122" t="s">
        <v>4784</v>
      </c>
      <c r="J55" s="122" t="s">
        <v>1226</v>
      </c>
      <c r="K55" s="122" t="s">
        <v>2924</v>
      </c>
      <c r="L55" s="123">
        <v>9107.14</v>
      </c>
      <c r="M55" s="123">
        <v>75892.86</v>
      </c>
      <c r="N55" s="122"/>
      <c r="O55" s="122"/>
      <c r="P55" s="122"/>
      <c r="Q55" s="122"/>
      <c r="R55" s="122"/>
      <c r="S55" s="122"/>
      <c r="U55"/>
      <c r="V55"/>
      <c r="W55"/>
      <c r="X55" s="2"/>
      <c r="Y55"/>
      <c r="Z55" s="2"/>
      <c r="AA55" s="2"/>
      <c r="AB55" s="123">
        <v>85000</v>
      </c>
      <c r="AC55" s="10">
        <f t="shared" si="1"/>
        <v>0</v>
      </c>
      <c r="AD55"/>
      <c r="AE55" s="122">
        <v>758.93</v>
      </c>
    </row>
    <row r="56" spans="1:31" x14ac:dyDescent="0.25">
      <c r="A56" s="122" t="s">
        <v>4785</v>
      </c>
      <c r="B56" s="125">
        <v>4233549</v>
      </c>
      <c r="C56" s="126">
        <v>45692</v>
      </c>
      <c r="D56" s="126">
        <v>45688</v>
      </c>
      <c r="E56" s="126">
        <v>45691</v>
      </c>
      <c r="F56" s="122" t="s">
        <v>4807</v>
      </c>
      <c r="G56" s="125" t="s">
        <v>4794</v>
      </c>
      <c r="H56" s="125"/>
      <c r="I56" s="122" t="s">
        <v>4786</v>
      </c>
      <c r="J56" s="122" t="s">
        <v>4717</v>
      </c>
      <c r="K56" s="122" t="s">
        <v>4718</v>
      </c>
      <c r="L56" s="123">
        <v>3786.96</v>
      </c>
      <c r="M56" s="123">
        <v>31558.04</v>
      </c>
      <c r="N56" s="122"/>
      <c r="O56" s="122"/>
      <c r="P56" s="122"/>
      <c r="Q56" s="122"/>
      <c r="R56" s="122"/>
      <c r="S56" s="122"/>
      <c r="U56"/>
      <c r="V56"/>
      <c r="W56"/>
      <c r="X56" s="2"/>
      <c r="Y56"/>
      <c r="Z56" s="2"/>
      <c r="AA56" s="2"/>
      <c r="AB56" s="123">
        <v>35345</v>
      </c>
      <c r="AC56" s="10">
        <f t="shared" si="1"/>
        <v>0</v>
      </c>
      <c r="AD56"/>
      <c r="AE56" s="122">
        <v>315.58</v>
      </c>
    </row>
    <row r="57" spans="1:31" x14ac:dyDescent="0.25">
      <c r="A57" s="122" t="s">
        <v>4787</v>
      </c>
      <c r="B57" s="125">
        <v>4233550</v>
      </c>
      <c r="C57" s="126">
        <v>45688</v>
      </c>
      <c r="D57" s="126">
        <v>45688</v>
      </c>
      <c r="E57" s="126">
        <v>45705</v>
      </c>
      <c r="F57" s="122" t="s">
        <v>4872</v>
      </c>
      <c r="G57" s="125" t="s">
        <v>4873</v>
      </c>
      <c r="H57" s="125"/>
      <c r="I57" s="122" t="s">
        <v>4788</v>
      </c>
      <c r="J57" s="122" t="s">
        <v>3527</v>
      </c>
      <c r="K57" s="122" t="s">
        <v>3530</v>
      </c>
      <c r="L57" s="122">
        <v>16.07</v>
      </c>
      <c r="M57" s="123">
        <v>133.93</v>
      </c>
      <c r="N57" s="122"/>
      <c r="O57" s="122"/>
      <c r="P57" s="122"/>
      <c r="Q57" s="122"/>
      <c r="R57" s="122"/>
      <c r="S57" s="122"/>
      <c r="U57"/>
      <c r="V57"/>
      <c r="W57"/>
      <c r="X57" s="2"/>
      <c r="Y57"/>
      <c r="Z57" s="2"/>
      <c r="AA57" s="2"/>
      <c r="AB57" s="123">
        <v>150</v>
      </c>
      <c r="AC57" s="10">
        <f t="shared" si="1"/>
        <v>0</v>
      </c>
      <c r="AD57"/>
      <c r="AE57" s="122">
        <v>1.34</v>
      </c>
    </row>
    <row r="58" spans="1:31" x14ac:dyDescent="0.25">
      <c r="A58" s="122" t="s">
        <v>4789</v>
      </c>
      <c r="B58" s="122" t="s">
        <v>4790</v>
      </c>
      <c r="C58" s="126">
        <v>45691</v>
      </c>
      <c r="D58" s="126">
        <v>45688</v>
      </c>
      <c r="E58" s="122"/>
      <c r="F58" s="122"/>
      <c r="G58" s="125"/>
      <c r="H58" s="125"/>
      <c r="I58" s="122" t="s">
        <v>41</v>
      </c>
      <c r="J58" s="122" t="s">
        <v>54</v>
      </c>
      <c r="K58" s="122"/>
      <c r="L58" s="122"/>
      <c r="N58" s="122"/>
      <c r="O58" s="122"/>
      <c r="P58" s="122"/>
      <c r="Q58" s="122"/>
      <c r="R58" s="122"/>
      <c r="S58" s="122"/>
      <c r="U58"/>
      <c r="V58"/>
      <c r="W58"/>
      <c r="X58" s="2"/>
      <c r="Y58"/>
      <c r="Z58" s="123">
        <v>300000</v>
      </c>
      <c r="AA58" s="2"/>
      <c r="AB58" s="123">
        <v>300000</v>
      </c>
      <c r="AC58" s="10">
        <f t="shared" si="1"/>
        <v>0</v>
      </c>
      <c r="AD58"/>
      <c r="AE58" s="122"/>
    </row>
    <row r="59" spans="1:31" x14ac:dyDescent="0.25">
      <c r="A59" s="122" t="s">
        <v>4791</v>
      </c>
      <c r="B59" s="122" t="s">
        <v>4792</v>
      </c>
      <c r="C59" s="126">
        <v>45698</v>
      </c>
      <c r="D59" s="126">
        <v>45688</v>
      </c>
      <c r="E59" s="126">
        <v>45691</v>
      </c>
      <c r="F59" s="122" t="s">
        <v>4808</v>
      </c>
      <c r="G59" s="125" t="s">
        <v>4793</v>
      </c>
      <c r="H59" s="125"/>
      <c r="I59" s="122" t="s">
        <v>4809</v>
      </c>
      <c r="J59" s="122" t="s">
        <v>4717</v>
      </c>
      <c r="K59" s="122" t="s">
        <v>4718</v>
      </c>
      <c r="L59" s="123">
        <v>12857.14</v>
      </c>
      <c r="M59" s="123">
        <v>107142.86</v>
      </c>
      <c r="O59" s="122"/>
      <c r="P59" s="122"/>
      <c r="Q59" s="122"/>
      <c r="R59" s="122"/>
      <c r="S59" s="122"/>
      <c r="U59"/>
      <c r="V59"/>
      <c r="W59"/>
      <c r="X59" s="2"/>
      <c r="Y59"/>
      <c r="Z59" s="2"/>
      <c r="AA59" s="2"/>
      <c r="AB59" s="123">
        <v>120000</v>
      </c>
      <c r="AC59" s="10">
        <f t="shared" si="1"/>
        <v>0</v>
      </c>
      <c r="AD59"/>
      <c r="AE59" s="123">
        <v>1071.43</v>
      </c>
    </row>
    <row r="60" spans="1:31" x14ac:dyDescent="0.25">
      <c r="A60" s="144">
        <v>45689</v>
      </c>
      <c r="B60" s="137"/>
      <c r="C60" s="138"/>
      <c r="D60" s="138"/>
      <c r="E60" s="138"/>
      <c r="F60" s="137"/>
      <c r="G60" s="139"/>
      <c r="H60" s="139"/>
      <c r="I60" s="137"/>
      <c r="J60" s="137"/>
      <c r="K60" s="137"/>
      <c r="L60" s="140"/>
      <c r="M60" s="140"/>
      <c r="N60" s="140"/>
      <c r="O60" s="137"/>
      <c r="P60" s="137"/>
      <c r="Q60" s="137"/>
      <c r="R60" s="137"/>
      <c r="S60" s="137"/>
      <c r="T60" s="140"/>
      <c r="U60" s="141"/>
      <c r="V60" s="141"/>
      <c r="W60" s="141"/>
      <c r="X60" s="142"/>
      <c r="Y60" s="141"/>
      <c r="Z60" s="142"/>
      <c r="AA60" s="142"/>
      <c r="AB60" s="140"/>
      <c r="AC60" s="143"/>
      <c r="AD60" s="141"/>
      <c r="AE60" s="140"/>
    </row>
    <row r="61" spans="1:31" x14ac:dyDescent="0.25">
      <c r="A61" s="122" t="s">
        <v>4798</v>
      </c>
      <c r="B61" s="122" t="s">
        <v>4799</v>
      </c>
      <c r="C61" s="126">
        <v>45691</v>
      </c>
      <c r="D61" s="126">
        <v>45691</v>
      </c>
      <c r="E61" s="122"/>
      <c r="F61" s="122"/>
      <c r="G61" s="125"/>
      <c r="H61" s="125"/>
      <c r="I61" s="122" t="s">
        <v>42</v>
      </c>
      <c r="J61" s="122" t="s">
        <v>4800</v>
      </c>
      <c r="K61" s="122"/>
      <c r="L61" s="122"/>
      <c r="N61" s="122"/>
      <c r="O61" s="122"/>
      <c r="P61" s="123">
        <v>20000</v>
      </c>
      <c r="Q61" s="122"/>
      <c r="R61" s="122"/>
      <c r="S61" s="122"/>
      <c r="U61"/>
      <c r="V61"/>
      <c r="W61"/>
      <c r="X61" s="2"/>
      <c r="Y61"/>
      <c r="Z61" s="2"/>
      <c r="AA61" s="2"/>
      <c r="AB61" s="123">
        <v>20000</v>
      </c>
      <c r="AC61" s="10">
        <f t="shared" si="1"/>
        <v>0</v>
      </c>
      <c r="AD61"/>
      <c r="AE61"/>
    </row>
    <row r="62" spans="1:31" x14ac:dyDescent="0.25">
      <c r="A62" s="122" t="s">
        <v>4801</v>
      </c>
      <c r="B62" s="122" t="s">
        <v>4802</v>
      </c>
      <c r="C62" s="126">
        <v>45691</v>
      </c>
      <c r="D62" s="126">
        <v>45691</v>
      </c>
      <c r="E62" s="126">
        <v>45692</v>
      </c>
      <c r="F62" s="122" t="s">
        <v>4911</v>
      </c>
      <c r="G62" s="125" t="s">
        <v>4806</v>
      </c>
      <c r="H62" s="125"/>
      <c r="I62" s="122" t="s">
        <v>4803</v>
      </c>
      <c r="J62" s="122" t="s">
        <v>4804</v>
      </c>
      <c r="K62" s="122" t="s">
        <v>4805</v>
      </c>
      <c r="L62" s="123">
        <v>13392.86</v>
      </c>
      <c r="M62" s="123">
        <v>111607.14</v>
      </c>
      <c r="N62" s="122"/>
      <c r="O62" s="122"/>
      <c r="P62" s="122"/>
      <c r="Q62" s="122"/>
      <c r="R62" s="122"/>
      <c r="S62" s="122"/>
      <c r="U62"/>
      <c r="V62"/>
      <c r="W62"/>
      <c r="X62" s="2"/>
      <c r="Y62"/>
      <c r="Z62" s="2"/>
      <c r="AA62" s="2"/>
      <c r="AB62" s="123">
        <v>125000</v>
      </c>
      <c r="AC62" s="10">
        <f t="shared" si="1"/>
        <v>0</v>
      </c>
      <c r="AD62"/>
      <c r="AE62">
        <v>1116.07</v>
      </c>
    </row>
    <row r="63" spans="1:31" x14ac:dyDescent="0.25">
      <c r="A63" s="122" t="s">
        <v>4810</v>
      </c>
      <c r="B63" s="125">
        <v>4233551</v>
      </c>
      <c r="C63" s="126">
        <v>45692</v>
      </c>
      <c r="D63" s="126">
        <v>45692</v>
      </c>
      <c r="E63" s="122"/>
      <c r="F63" s="122"/>
      <c r="G63" s="125"/>
      <c r="H63" s="125" t="s">
        <v>3619</v>
      </c>
      <c r="I63" s="122" t="s">
        <v>4811</v>
      </c>
      <c r="J63" s="122" t="s">
        <v>3667</v>
      </c>
      <c r="K63" s="122"/>
      <c r="L63" s="122"/>
      <c r="N63" s="122"/>
      <c r="O63" s="122"/>
      <c r="P63" s="122"/>
      <c r="Q63" s="122"/>
      <c r="R63" s="122"/>
      <c r="S63" s="122"/>
      <c r="T63" s="123">
        <v>10324.5</v>
      </c>
      <c r="U63"/>
      <c r="V63"/>
      <c r="W63"/>
      <c r="X63" s="2"/>
      <c r="Y63"/>
      <c r="Z63" s="2"/>
      <c r="AA63" s="2"/>
      <c r="AB63" s="123">
        <v>10324.5</v>
      </c>
      <c r="AC63" s="10">
        <f t="shared" si="1"/>
        <v>0</v>
      </c>
      <c r="AD63"/>
      <c r="AE63"/>
    </row>
    <row r="64" spans="1:31" x14ac:dyDescent="0.25">
      <c r="A64" s="122" t="s">
        <v>4812</v>
      </c>
      <c r="B64" s="125">
        <v>4233552</v>
      </c>
      <c r="C64" s="126">
        <v>45698</v>
      </c>
      <c r="D64" s="126">
        <v>45692</v>
      </c>
      <c r="E64" s="122"/>
      <c r="F64" s="122"/>
      <c r="G64" s="125"/>
      <c r="H64" s="125"/>
      <c r="I64" s="122" t="s">
        <v>4813</v>
      </c>
      <c r="J64" s="122" t="s">
        <v>18</v>
      </c>
      <c r="K64" s="122"/>
      <c r="L64" s="122">
        <v>151.09</v>
      </c>
      <c r="N64" s="122"/>
      <c r="O64" s="122"/>
      <c r="P64" s="122"/>
      <c r="Q64" s="122"/>
      <c r="R64" s="123">
        <v>1259.06</v>
      </c>
      <c r="S64" s="122"/>
      <c r="U64"/>
      <c r="V64"/>
      <c r="W64"/>
      <c r="X64" s="2"/>
      <c r="Y64"/>
      <c r="Z64" s="2"/>
      <c r="AA64" s="2"/>
      <c r="AB64" s="123">
        <v>1410.15</v>
      </c>
      <c r="AC64" s="10">
        <f t="shared" si="1"/>
        <v>0</v>
      </c>
      <c r="AD64"/>
      <c r="AE64"/>
    </row>
    <row r="65" spans="1:35" x14ac:dyDescent="0.25">
      <c r="A65" s="122" t="s">
        <v>4814</v>
      </c>
      <c r="B65" s="125">
        <v>4233553</v>
      </c>
      <c r="C65" s="126">
        <v>45698</v>
      </c>
      <c r="D65" s="126">
        <v>45692</v>
      </c>
      <c r="E65" s="122"/>
      <c r="F65" s="122"/>
      <c r="G65" s="125"/>
      <c r="H65" s="125"/>
      <c r="I65" s="122" t="s">
        <v>4813</v>
      </c>
      <c r="J65" s="122" t="s">
        <v>18</v>
      </c>
      <c r="K65" s="122"/>
      <c r="L65" s="122">
        <v>811.09</v>
      </c>
      <c r="N65" s="122"/>
      <c r="O65" s="122"/>
      <c r="P65" s="122"/>
      <c r="Q65" s="122"/>
      <c r="R65" s="123">
        <v>6759.06</v>
      </c>
      <c r="S65" s="122"/>
      <c r="U65"/>
      <c r="V65"/>
      <c r="W65"/>
      <c r="X65" s="2"/>
      <c r="Y65"/>
      <c r="Z65" s="2"/>
      <c r="AA65" s="2"/>
      <c r="AB65" s="123">
        <v>7570.15</v>
      </c>
      <c r="AC65" s="10">
        <f t="shared" si="1"/>
        <v>0</v>
      </c>
      <c r="AD65"/>
      <c r="AE65"/>
    </row>
    <row r="66" spans="1:35" x14ac:dyDescent="0.25">
      <c r="A66" s="122" t="s">
        <v>4820</v>
      </c>
      <c r="B66" s="125">
        <v>4233554</v>
      </c>
      <c r="C66" s="126">
        <v>45737</v>
      </c>
      <c r="D66" s="126">
        <v>45695</v>
      </c>
      <c r="E66" s="126">
        <v>45702</v>
      </c>
      <c r="F66" s="122" t="s">
        <v>4849</v>
      </c>
      <c r="G66" s="125" t="s">
        <v>4822</v>
      </c>
      <c r="H66" s="125"/>
      <c r="I66" s="122" t="s">
        <v>4821</v>
      </c>
      <c r="J66" s="122" t="s">
        <v>1226</v>
      </c>
      <c r="K66" s="122" t="s">
        <v>2924</v>
      </c>
      <c r="L66" s="122">
        <v>5089.29</v>
      </c>
      <c r="M66" s="123">
        <v>42410.71</v>
      </c>
      <c r="N66" s="122"/>
      <c r="O66" s="122"/>
      <c r="P66" s="122"/>
      <c r="Q66" s="122"/>
      <c r="R66" s="122"/>
      <c r="S66" s="122"/>
      <c r="U66"/>
      <c r="V66"/>
      <c r="W66"/>
      <c r="X66" s="2"/>
      <c r="Y66"/>
      <c r="Z66" s="2"/>
      <c r="AA66" s="2"/>
      <c r="AB66" s="123">
        <v>47500</v>
      </c>
      <c r="AC66" s="10">
        <f t="shared" si="1"/>
        <v>0</v>
      </c>
      <c r="AD66"/>
      <c r="AE66">
        <v>424.11</v>
      </c>
    </row>
    <row r="67" spans="1:35" x14ac:dyDescent="0.25">
      <c r="A67" s="122" t="s">
        <v>4823</v>
      </c>
      <c r="B67" s="125">
        <v>4233555</v>
      </c>
      <c r="C67" s="126">
        <v>45723</v>
      </c>
      <c r="D67" s="126">
        <v>45695</v>
      </c>
      <c r="E67" s="126">
        <v>45698</v>
      </c>
      <c r="F67" s="122" t="s">
        <v>4831</v>
      </c>
      <c r="G67" s="125" t="s">
        <v>4824</v>
      </c>
      <c r="H67" s="125"/>
      <c r="I67" s="122" t="s">
        <v>4825</v>
      </c>
      <c r="J67" s="122" t="s">
        <v>2087</v>
      </c>
      <c r="K67" s="122" t="s">
        <v>2088</v>
      </c>
      <c r="L67" s="123">
        <v>3535.71</v>
      </c>
      <c r="M67" s="123">
        <v>29464.29</v>
      </c>
      <c r="N67" s="122"/>
      <c r="O67" s="122"/>
      <c r="P67" s="122"/>
      <c r="Q67" s="122"/>
      <c r="R67" s="122"/>
      <c r="S67" s="122"/>
      <c r="U67"/>
      <c r="V67"/>
      <c r="W67"/>
      <c r="X67" s="2"/>
      <c r="Y67"/>
      <c r="Z67" s="2"/>
      <c r="AA67" s="2"/>
      <c r="AB67" s="123">
        <v>33000</v>
      </c>
      <c r="AC67" s="10">
        <f t="shared" si="1"/>
        <v>0</v>
      </c>
      <c r="AD67"/>
      <c r="AE67">
        <v>294.64</v>
      </c>
    </row>
    <row r="68" spans="1:35" x14ac:dyDescent="0.25">
      <c r="A68" s="122" t="s">
        <v>4826</v>
      </c>
      <c r="B68" s="125">
        <v>4233556</v>
      </c>
      <c r="C68" s="126">
        <v>45695</v>
      </c>
      <c r="D68" s="126">
        <v>45695</v>
      </c>
      <c r="E68" s="126">
        <v>45698</v>
      </c>
      <c r="F68" s="122" t="s">
        <v>4832</v>
      </c>
      <c r="G68" s="125" t="s">
        <v>4828</v>
      </c>
      <c r="H68" s="125"/>
      <c r="I68" s="122" t="s">
        <v>4829</v>
      </c>
      <c r="J68" s="122" t="s">
        <v>4717</v>
      </c>
      <c r="K68" s="122" t="s">
        <v>4718</v>
      </c>
      <c r="L68" s="123">
        <v>1419.64</v>
      </c>
      <c r="M68" s="123">
        <v>11830.36</v>
      </c>
      <c r="N68" s="122"/>
      <c r="O68" s="122"/>
      <c r="P68" s="122"/>
      <c r="Q68" s="122"/>
      <c r="R68" s="122"/>
      <c r="S68" s="122"/>
      <c r="U68"/>
      <c r="V68"/>
      <c r="W68"/>
      <c r="X68" s="2"/>
      <c r="Y68"/>
      <c r="Z68" s="2"/>
      <c r="AA68" s="2"/>
      <c r="AB68" s="123">
        <v>13250</v>
      </c>
      <c r="AC68" s="10">
        <f t="shared" si="1"/>
        <v>0</v>
      </c>
      <c r="AD68"/>
      <c r="AE68">
        <v>118.3</v>
      </c>
    </row>
    <row r="69" spans="1:35" x14ac:dyDescent="0.25">
      <c r="A69" s="122" t="s">
        <v>4827</v>
      </c>
      <c r="B69" s="125">
        <v>4233557</v>
      </c>
      <c r="C69" s="126">
        <v>45695</v>
      </c>
      <c r="D69" s="126">
        <v>45695</v>
      </c>
      <c r="E69" s="122"/>
      <c r="F69" s="122"/>
      <c r="G69" s="125"/>
      <c r="H69" s="125"/>
      <c r="I69" s="122" t="s">
        <v>4612</v>
      </c>
      <c r="J69" s="122" t="s">
        <v>4830</v>
      </c>
      <c r="K69" s="122"/>
      <c r="L69" s="122"/>
      <c r="N69" s="122"/>
      <c r="O69" s="122"/>
      <c r="P69" s="122"/>
      <c r="Q69" s="122"/>
      <c r="R69" s="122"/>
      <c r="S69" s="122"/>
      <c r="U69"/>
      <c r="V69"/>
      <c r="W69"/>
      <c r="X69" s="2"/>
      <c r="Y69"/>
      <c r="Z69" s="2"/>
      <c r="AA69" s="123">
        <v>16000</v>
      </c>
      <c r="AB69" s="123">
        <v>16000</v>
      </c>
      <c r="AC69" s="10">
        <f t="shared" si="1"/>
        <v>0</v>
      </c>
      <c r="AD69"/>
      <c r="AE69"/>
    </row>
    <row r="70" spans="1:35" x14ac:dyDescent="0.25">
      <c r="A70" s="122" t="s">
        <v>4833</v>
      </c>
      <c r="B70" s="125">
        <v>4233558</v>
      </c>
      <c r="C70" s="126">
        <v>45700</v>
      </c>
      <c r="D70" s="126">
        <v>45700</v>
      </c>
      <c r="E70" s="122"/>
      <c r="F70" s="122"/>
      <c r="G70" s="125"/>
      <c r="H70" s="125" t="s">
        <v>3627</v>
      </c>
      <c r="I70" s="122" t="s">
        <v>4811</v>
      </c>
      <c r="J70" s="122" t="s">
        <v>3667</v>
      </c>
      <c r="K70" s="122"/>
      <c r="L70" s="122"/>
      <c r="N70" s="122"/>
      <c r="O70" s="122"/>
      <c r="P70" s="122"/>
      <c r="Q70" s="122"/>
      <c r="R70" s="122"/>
      <c r="S70" s="122"/>
      <c r="T70" s="123">
        <v>6491.95</v>
      </c>
      <c r="U70"/>
      <c r="V70"/>
      <c r="W70"/>
      <c r="X70" s="2"/>
      <c r="Y70"/>
      <c r="Z70" s="2"/>
      <c r="AA70" s="2"/>
      <c r="AB70" s="123">
        <v>6491.95</v>
      </c>
      <c r="AC70" s="10">
        <f t="shared" si="1"/>
        <v>0</v>
      </c>
      <c r="AD70"/>
      <c r="AE70"/>
    </row>
    <row r="71" spans="1:35" x14ac:dyDescent="0.25">
      <c r="A71" s="122" t="s">
        <v>4834</v>
      </c>
      <c r="B71" s="125">
        <v>4233559</v>
      </c>
      <c r="C71" s="126">
        <v>45700</v>
      </c>
      <c r="D71" s="126">
        <v>45700</v>
      </c>
      <c r="E71"/>
      <c r="F71"/>
      <c r="G71" s="1"/>
      <c r="H71" s="1"/>
      <c r="I71" s="122" t="s">
        <v>4601</v>
      </c>
      <c r="J71" s="122" t="s">
        <v>2855</v>
      </c>
      <c r="K71"/>
      <c r="L71" s="122"/>
      <c r="M71" s="123">
        <v>28000</v>
      </c>
      <c r="N71"/>
      <c r="O71"/>
      <c r="P71"/>
      <c r="Q71"/>
      <c r="R71"/>
      <c r="S71"/>
      <c r="U71"/>
      <c r="V71"/>
      <c r="W71"/>
      <c r="X71" s="2"/>
      <c r="Y71"/>
      <c r="Z71" s="2"/>
      <c r="AA71" s="2"/>
      <c r="AB71" s="123">
        <v>28000</v>
      </c>
      <c r="AC71" s="10">
        <f t="shared" si="1"/>
        <v>0</v>
      </c>
      <c r="AD71"/>
      <c r="AE71"/>
    </row>
    <row r="72" spans="1:35" x14ac:dyDescent="0.25">
      <c r="A72" s="122" t="s">
        <v>4835</v>
      </c>
      <c r="B72" s="125">
        <v>4233560</v>
      </c>
      <c r="C72" s="126">
        <v>45700</v>
      </c>
      <c r="D72" s="126">
        <v>45700</v>
      </c>
      <c r="E72"/>
      <c r="F72"/>
      <c r="G72" s="1"/>
      <c r="H72" s="1"/>
      <c r="I72" s="122" t="s">
        <v>4836</v>
      </c>
      <c r="J72" s="122" t="s">
        <v>43</v>
      </c>
      <c r="K72"/>
      <c r="L72" s="122">
        <v>64.180000000000007</v>
      </c>
      <c r="N72"/>
      <c r="O72"/>
      <c r="P72"/>
      <c r="Q72"/>
      <c r="R72"/>
      <c r="S72" s="123">
        <v>534.82000000000005</v>
      </c>
      <c r="U72"/>
      <c r="V72"/>
      <c r="W72"/>
      <c r="X72" s="2"/>
      <c r="Y72"/>
      <c r="Z72" s="2"/>
      <c r="AA72" s="2"/>
      <c r="AB72" s="123">
        <v>599</v>
      </c>
      <c r="AC72" s="10">
        <f t="shared" si="1"/>
        <v>0</v>
      </c>
      <c r="AD72"/>
      <c r="AE72"/>
    </row>
    <row r="73" spans="1:35" x14ac:dyDescent="0.25">
      <c r="A73" s="122" t="s">
        <v>4837</v>
      </c>
      <c r="B73" s="125">
        <v>4233561</v>
      </c>
      <c r="C73" s="126">
        <v>45700</v>
      </c>
      <c r="D73" s="126">
        <v>45700</v>
      </c>
      <c r="E73"/>
      <c r="F73"/>
      <c r="G73" s="1"/>
      <c r="H73" s="1"/>
      <c r="I73" s="122" t="s">
        <v>4836</v>
      </c>
      <c r="J73" s="122" t="s">
        <v>43</v>
      </c>
      <c r="K73"/>
      <c r="L73" s="122">
        <v>32.14</v>
      </c>
      <c r="N73"/>
      <c r="O73"/>
      <c r="P73"/>
      <c r="Q73"/>
      <c r="R73"/>
      <c r="S73" s="123">
        <v>267.86</v>
      </c>
      <c r="U73"/>
      <c r="V73"/>
      <c r="W73"/>
      <c r="X73" s="2"/>
      <c r="Y73"/>
      <c r="Z73" s="2"/>
      <c r="AA73" s="2"/>
      <c r="AB73" s="123">
        <v>300</v>
      </c>
      <c r="AC73" s="10">
        <f t="shared" si="1"/>
        <v>0</v>
      </c>
      <c r="AD73"/>
      <c r="AE73"/>
    </row>
    <row r="74" spans="1:35" x14ac:dyDescent="0.25">
      <c r="A74" s="122" t="s">
        <v>4838</v>
      </c>
      <c r="B74" s="125">
        <v>4233562</v>
      </c>
      <c r="C74" s="126">
        <v>45701</v>
      </c>
      <c r="D74" s="126">
        <v>45700</v>
      </c>
      <c r="E74"/>
      <c r="F74"/>
      <c r="G74" s="1"/>
      <c r="H74" s="1"/>
      <c r="I74" s="122" t="s">
        <v>4612</v>
      </c>
      <c r="J74" s="122" t="s">
        <v>1847</v>
      </c>
      <c r="K74"/>
      <c r="L74"/>
      <c r="M74" s="2"/>
      <c r="N74"/>
      <c r="O74"/>
      <c r="P74"/>
      <c r="Q74"/>
      <c r="R74"/>
      <c r="S74"/>
      <c r="U74"/>
      <c r="V74"/>
      <c r="W74"/>
      <c r="X74" s="2"/>
      <c r="Y74"/>
      <c r="Z74" s="2"/>
      <c r="AA74" s="123">
        <v>25600</v>
      </c>
      <c r="AB74" s="123">
        <v>25600</v>
      </c>
      <c r="AC74" s="10">
        <f t="shared" si="1"/>
        <v>0</v>
      </c>
      <c r="AD74"/>
      <c r="AE74"/>
    </row>
    <row r="75" spans="1:35" x14ac:dyDescent="0.25">
      <c r="A75" s="122" t="s">
        <v>4839</v>
      </c>
      <c r="B75" s="125">
        <v>4233563</v>
      </c>
      <c r="C75" s="126">
        <v>45701</v>
      </c>
      <c r="D75" s="126">
        <v>45700</v>
      </c>
      <c r="E75"/>
      <c r="F75"/>
      <c r="G75" s="1"/>
      <c r="H75" s="1"/>
      <c r="I75" s="122" t="s">
        <v>4612</v>
      </c>
      <c r="J75" s="122" t="s">
        <v>125</v>
      </c>
      <c r="K75"/>
      <c r="L75"/>
      <c r="M75" s="2"/>
      <c r="N75"/>
      <c r="O75"/>
      <c r="P75"/>
      <c r="Q75"/>
      <c r="R75"/>
      <c r="S75"/>
      <c r="U75"/>
      <c r="V75"/>
      <c r="W75"/>
      <c r="X75" s="2"/>
      <c r="Y75"/>
      <c r="Z75" s="2"/>
      <c r="AA75" s="123">
        <v>15000</v>
      </c>
      <c r="AB75" s="123">
        <v>15000</v>
      </c>
      <c r="AC75" s="10">
        <f t="shared" si="1"/>
        <v>0</v>
      </c>
      <c r="AD75"/>
      <c r="AE75"/>
    </row>
    <row r="76" spans="1:35" x14ac:dyDescent="0.25">
      <c r="A76" s="122" t="s">
        <v>4840</v>
      </c>
      <c r="B76" s="122" t="s">
        <v>4841</v>
      </c>
      <c r="C76" s="126">
        <v>45700</v>
      </c>
      <c r="D76" s="126">
        <v>45700</v>
      </c>
      <c r="E76"/>
      <c r="F76"/>
      <c r="G76" s="1"/>
      <c r="H76" s="1"/>
      <c r="I76" s="7" t="s">
        <v>4842</v>
      </c>
      <c r="J76" s="7" t="s">
        <v>94</v>
      </c>
      <c r="K76"/>
      <c r="L76"/>
      <c r="M76" s="2"/>
      <c r="N76"/>
      <c r="O76"/>
      <c r="P76"/>
      <c r="Q76"/>
      <c r="R76"/>
      <c r="S76"/>
      <c r="U76"/>
      <c r="V76"/>
      <c r="W76"/>
      <c r="X76" s="2"/>
      <c r="Y76"/>
      <c r="Z76" s="2"/>
      <c r="AA76" s="123">
        <v>30000.01</v>
      </c>
      <c r="AB76" s="123">
        <v>30000.01</v>
      </c>
      <c r="AC76" s="10">
        <f t="shared" ref="AC76:AC107" si="2">SUM(AB76:AB76)-SUM(L76:AA76)</f>
        <v>0</v>
      </c>
      <c r="AD76"/>
      <c r="AE76"/>
    </row>
    <row r="77" spans="1:35" x14ac:dyDescent="0.25">
      <c r="A77" s="122" t="s">
        <v>4843</v>
      </c>
      <c r="B77" s="122" t="s">
        <v>4844</v>
      </c>
      <c r="C77" s="126">
        <v>45700</v>
      </c>
      <c r="D77" s="126">
        <v>45700</v>
      </c>
      <c r="E77"/>
      <c r="F77"/>
      <c r="G77" s="1"/>
      <c r="H77" s="1"/>
      <c r="I77" s="7" t="s">
        <v>4845</v>
      </c>
      <c r="J77" s="7" t="s">
        <v>3584</v>
      </c>
      <c r="K77"/>
      <c r="L77"/>
      <c r="M77" s="2"/>
      <c r="N77"/>
      <c r="O77"/>
      <c r="P77"/>
      <c r="Q77"/>
      <c r="R77"/>
      <c r="S77"/>
      <c r="U77"/>
      <c r="V77"/>
      <c r="W77"/>
      <c r="X77" s="2"/>
      <c r="Y77"/>
      <c r="Z77" s="2"/>
      <c r="AA77" s="123">
        <v>31471.89</v>
      </c>
      <c r="AB77" s="123">
        <v>31471.89</v>
      </c>
      <c r="AC77" s="10">
        <f t="shared" si="2"/>
        <v>0</v>
      </c>
      <c r="AD77"/>
      <c r="AE77"/>
    </row>
    <row r="78" spans="1:35" x14ac:dyDescent="0.25">
      <c r="A78" s="122" t="s">
        <v>4846</v>
      </c>
      <c r="B78" s="122" t="s">
        <v>4847</v>
      </c>
      <c r="C78" s="126">
        <v>45705</v>
      </c>
      <c r="D78" s="126">
        <v>45700</v>
      </c>
      <c r="E78"/>
      <c r="F78"/>
      <c r="G78" s="1"/>
      <c r="H78" s="1"/>
      <c r="I78" s="7" t="s">
        <v>3640</v>
      </c>
      <c r="J78" s="7" t="s">
        <v>39</v>
      </c>
      <c r="K78"/>
      <c r="L78"/>
      <c r="M78" s="2"/>
      <c r="N78"/>
      <c r="O78"/>
      <c r="P78"/>
      <c r="Q78"/>
      <c r="R78"/>
      <c r="S78"/>
      <c r="U78"/>
      <c r="V78"/>
      <c r="W78"/>
      <c r="X78" s="2"/>
      <c r="Y78"/>
      <c r="Z78" s="2"/>
      <c r="AA78" s="123">
        <v>67750.649999999994</v>
      </c>
      <c r="AB78" s="123">
        <v>67750.649999999994</v>
      </c>
      <c r="AC78" s="10">
        <f t="shared" si="2"/>
        <v>0</v>
      </c>
      <c r="AD78"/>
      <c r="AE78"/>
    </row>
    <row r="79" spans="1:35" x14ac:dyDescent="0.25">
      <c r="A79" s="122" t="s">
        <v>4850</v>
      </c>
      <c r="B79" s="125">
        <v>4233564</v>
      </c>
      <c r="C79" s="126">
        <v>45702</v>
      </c>
      <c r="D79" s="126">
        <v>45702</v>
      </c>
      <c r="E79"/>
      <c r="F79"/>
      <c r="G79" s="1"/>
      <c r="H79" s="1"/>
      <c r="I79" s="122" t="s">
        <v>4869</v>
      </c>
      <c r="J79" s="122" t="s">
        <v>4628</v>
      </c>
      <c r="K79"/>
      <c r="L79"/>
      <c r="M79" s="2"/>
      <c r="N79"/>
      <c r="O79"/>
      <c r="P79"/>
      <c r="Q79"/>
      <c r="R79"/>
      <c r="S79"/>
      <c r="U79"/>
      <c r="V79"/>
      <c r="W79"/>
      <c r="X79" s="2">
        <v>7198.81</v>
      </c>
      <c r="Y79"/>
      <c r="Z79" s="2"/>
      <c r="AA79" s="2"/>
      <c r="AB79" s="123">
        <v>7198.81</v>
      </c>
      <c r="AC79" s="10">
        <f t="shared" si="2"/>
        <v>0</v>
      </c>
      <c r="AD79"/>
      <c r="AE79"/>
    </row>
    <row r="80" spans="1:35" x14ac:dyDescent="0.25">
      <c r="A80" s="122" t="s">
        <v>4853</v>
      </c>
      <c r="B80" s="125">
        <v>4233565</v>
      </c>
      <c r="C80" s="126">
        <v>45729</v>
      </c>
      <c r="D80" s="126">
        <v>45702</v>
      </c>
      <c r="E80" s="126">
        <v>45713</v>
      </c>
      <c r="F80" s="122" t="s">
        <v>4910</v>
      </c>
      <c r="G80" s="125" t="s">
        <v>4824</v>
      </c>
      <c r="H80" s="125"/>
      <c r="I80" s="122" t="s">
        <v>4854</v>
      </c>
      <c r="J80" s="122" t="s">
        <v>2087</v>
      </c>
      <c r="K80" s="122" t="s">
        <v>2088</v>
      </c>
      <c r="L80" s="122">
        <v>8250</v>
      </c>
      <c r="M80" s="123">
        <v>68750</v>
      </c>
      <c r="N80" s="122"/>
      <c r="O80" s="122"/>
      <c r="P80" s="122"/>
      <c r="Q80" s="122"/>
      <c r="R80" s="122"/>
      <c r="S80" s="122"/>
      <c r="U80" s="122"/>
      <c r="V80" s="122"/>
      <c r="W80" s="122"/>
      <c r="Y80" s="122"/>
      <c r="AB80" s="123">
        <v>77000</v>
      </c>
      <c r="AC80" s="123">
        <f t="shared" si="2"/>
        <v>0</v>
      </c>
      <c r="AD80" s="122"/>
      <c r="AE80" s="122">
        <v>687.5</v>
      </c>
      <c r="AF80" s="122"/>
      <c r="AG80" s="122"/>
      <c r="AH80" s="122"/>
      <c r="AI80" s="122"/>
    </row>
    <row r="81" spans="1:35" x14ac:dyDescent="0.25">
      <c r="A81" s="122" t="s">
        <v>4855</v>
      </c>
      <c r="B81" s="130" t="s">
        <v>48</v>
      </c>
      <c r="C81" s="126">
        <v>45747</v>
      </c>
      <c r="D81" s="126">
        <v>45702</v>
      </c>
      <c r="E81" s="126">
        <v>45716</v>
      </c>
      <c r="F81" s="122" t="s">
        <v>4945</v>
      </c>
      <c r="G81" s="125" t="s">
        <v>4856</v>
      </c>
      <c r="H81" s="130" t="s">
        <v>48</v>
      </c>
      <c r="I81" s="122" t="s">
        <v>4857</v>
      </c>
      <c r="J81" s="122" t="s">
        <v>1226</v>
      </c>
      <c r="K81" s="122" t="s">
        <v>2924</v>
      </c>
      <c r="L81" s="122">
        <v>4553.57</v>
      </c>
      <c r="M81" s="123">
        <v>37946.43</v>
      </c>
      <c r="N81" s="122"/>
      <c r="O81" s="122"/>
      <c r="P81" s="122"/>
      <c r="Q81" s="122"/>
      <c r="R81" s="122"/>
      <c r="S81" s="122"/>
      <c r="U81" s="122"/>
      <c r="V81" s="122"/>
      <c r="W81" s="122"/>
      <c r="Y81" s="122"/>
      <c r="AB81" s="123">
        <v>42500</v>
      </c>
      <c r="AC81" s="123">
        <f t="shared" si="2"/>
        <v>0</v>
      </c>
      <c r="AD81" s="122"/>
      <c r="AE81" s="122">
        <v>379.46</v>
      </c>
      <c r="AF81" s="122"/>
      <c r="AG81" s="122"/>
      <c r="AH81" s="122"/>
      <c r="AI81" s="122"/>
    </row>
    <row r="82" spans="1:35" x14ac:dyDescent="0.25">
      <c r="A82" s="122" t="s">
        <v>4858</v>
      </c>
      <c r="B82" s="125">
        <v>4233567</v>
      </c>
      <c r="C82" s="126">
        <v>45705</v>
      </c>
      <c r="D82" s="126">
        <v>45702</v>
      </c>
      <c r="E82" s="126">
        <v>45709</v>
      </c>
      <c r="F82" s="122" t="s">
        <v>4888</v>
      </c>
      <c r="G82" s="125" t="s">
        <v>4860</v>
      </c>
      <c r="H82" s="125"/>
      <c r="I82" s="122" t="s">
        <v>4861</v>
      </c>
      <c r="J82" s="122" t="s">
        <v>4717</v>
      </c>
      <c r="K82" s="122" t="s">
        <v>4718</v>
      </c>
      <c r="L82" s="122">
        <v>787.5</v>
      </c>
      <c r="M82" s="123">
        <v>6562.5</v>
      </c>
      <c r="N82" s="122"/>
      <c r="O82" s="122"/>
      <c r="P82" s="122"/>
      <c r="Q82" s="122"/>
      <c r="R82" s="122"/>
      <c r="S82" s="122"/>
      <c r="U82" s="122"/>
      <c r="V82" s="122"/>
      <c r="W82" s="122"/>
      <c r="Y82" s="122"/>
      <c r="AB82" s="123">
        <v>7350</v>
      </c>
      <c r="AC82" s="123">
        <f t="shared" si="2"/>
        <v>0</v>
      </c>
      <c r="AD82" s="122"/>
      <c r="AE82" s="122">
        <v>65.63</v>
      </c>
      <c r="AF82" s="122"/>
      <c r="AG82" s="122"/>
      <c r="AH82" s="122"/>
      <c r="AI82" s="122"/>
    </row>
    <row r="83" spans="1:35" x14ac:dyDescent="0.25">
      <c r="A83" s="122" t="s">
        <v>4859</v>
      </c>
      <c r="B83" s="122" t="s">
        <v>4862</v>
      </c>
      <c r="C83" s="126">
        <v>45705</v>
      </c>
      <c r="D83" s="126">
        <v>45702</v>
      </c>
      <c r="E83" s="126">
        <v>45705</v>
      </c>
      <c r="F83" s="122" t="s">
        <v>4912</v>
      </c>
      <c r="G83" s="125" t="s">
        <v>4806</v>
      </c>
      <c r="H83" s="125"/>
      <c r="I83" s="122" t="s">
        <v>4803</v>
      </c>
      <c r="J83" s="122" t="s">
        <v>4804</v>
      </c>
      <c r="K83" s="122" t="s">
        <v>4805</v>
      </c>
      <c r="L83" s="123">
        <v>15428.57</v>
      </c>
      <c r="M83" s="123">
        <v>128571.43</v>
      </c>
      <c r="N83" s="122"/>
      <c r="O83" s="122"/>
      <c r="P83" s="122"/>
      <c r="Q83" s="122"/>
      <c r="R83" s="122"/>
      <c r="S83" s="122"/>
      <c r="U83" s="122"/>
      <c r="V83" s="122"/>
      <c r="W83" s="122"/>
      <c r="Y83" s="122"/>
      <c r="AB83" s="123">
        <v>144000</v>
      </c>
      <c r="AC83" s="123">
        <f t="shared" si="2"/>
        <v>0</v>
      </c>
      <c r="AD83" s="122"/>
      <c r="AE83" s="122">
        <v>1285.71</v>
      </c>
      <c r="AF83" s="122"/>
      <c r="AG83" s="122"/>
      <c r="AH83" s="122"/>
      <c r="AI83" s="122"/>
    </row>
    <row r="84" spans="1:35" x14ac:dyDescent="0.25">
      <c r="A84" s="122" t="s">
        <v>4863</v>
      </c>
      <c r="B84" s="125">
        <v>4233568</v>
      </c>
      <c r="C84" s="126">
        <v>45705</v>
      </c>
      <c r="D84" s="126">
        <v>45705</v>
      </c>
      <c r="E84" s="122"/>
      <c r="F84" s="122"/>
      <c r="G84" s="125"/>
      <c r="H84" s="125"/>
      <c r="I84" s="122" t="s">
        <v>4866</v>
      </c>
      <c r="J84" s="122" t="s">
        <v>46</v>
      </c>
      <c r="K84" s="122"/>
      <c r="L84" s="122">
        <v>107.04</v>
      </c>
      <c r="N84" s="122"/>
      <c r="O84" s="122"/>
      <c r="P84" s="122"/>
      <c r="Q84" s="122"/>
      <c r="R84" s="122"/>
      <c r="S84" s="122">
        <v>891.96</v>
      </c>
      <c r="U84" s="122"/>
      <c r="V84" s="122"/>
      <c r="W84" s="122"/>
      <c r="Y84" s="122"/>
      <c r="AB84" s="123">
        <v>999</v>
      </c>
      <c r="AC84" s="123">
        <f t="shared" si="2"/>
        <v>0</v>
      </c>
      <c r="AD84" s="122"/>
      <c r="AE84" s="122"/>
      <c r="AF84" s="122"/>
      <c r="AG84" s="122"/>
      <c r="AH84" s="122"/>
      <c r="AI84" s="122"/>
    </row>
    <row r="85" spans="1:35" x14ac:dyDescent="0.25">
      <c r="A85" s="122" t="s">
        <v>4864</v>
      </c>
      <c r="B85" s="125">
        <v>4233569</v>
      </c>
      <c r="C85" s="126">
        <v>45705</v>
      </c>
      <c r="D85" s="126">
        <v>45705</v>
      </c>
      <c r="E85" s="122"/>
      <c r="F85" s="122"/>
      <c r="G85" s="125"/>
      <c r="H85" s="125"/>
      <c r="I85" s="122" t="s">
        <v>4867</v>
      </c>
      <c r="J85" s="122" t="s">
        <v>46</v>
      </c>
      <c r="K85" s="122"/>
      <c r="L85" s="122">
        <v>160.61000000000001</v>
      </c>
      <c r="N85" s="122"/>
      <c r="O85" s="122"/>
      <c r="P85" s="122"/>
      <c r="Q85" s="122"/>
      <c r="R85" s="122"/>
      <c r="S85" s="122">
        <v>1338.39</v>
      </c>
      <c r="U85" s="122"/>
      <c r="V85" s="122"/>
      <c r="W85" s="122"/>
      <c r="Y85" s="122"/>
      <c r="AB85" s="123">
        <v>1499</v>
      </c>
      <c r="AC85" s="123">
        <f t="shared" si="2"/>
        <v>0</v>
      </c>
      <c r="AD85" s="122"/>
      <c r="AE85" s="122"/>
      <c r="AF85" s="122"/>
      <c r="AG85" s="122"/>
      <c r="AH85" s="122"/>
      <c r="AI85" s="122"/>
    </row>
    <row r="86" spans="1:35" x14ac:dyDescent="0.25">
      <c r="A86" s="122" t="s">
        <v>4865</v>
      </c>
      <c r="B86" s="125">
        <v>4233570</v>
      </c>
      <c r="C86" s="126">
        <v>45705</v>
      </c>
      <c r="D86" s="126">
        <v>45705</v>
      </c>
      <c r="E86" s="126">
        <v>45706</v>
      </c>
      <c r="F86" s="122" t="s">
        <v>4876</v>
      </c>
      <c r="G86" s="125"/>
      <c r="H86" s="125"/>
      <c r="I86" s="122" t="s">
        <v>4868</v>
      </c>
      <c r="J86" s="122" t="s">
        <v>187</v>
      </c>
      <c r="K86" s="122"/>
      <c r="L86" s="122"/>
      <c r="N86" s="122"/>
      <c r="O86" s="122"/>
      <c r="P86" s="122"/>
      <c r="Q86" s="122"/>
      <c r="R86" s="122"/>
      <c r="S86" s="122"/>
      <c r="U86" s="122"/>
      <c r="V86" s="122"/>
      <c r="W86" s="122"/>
      <c r="Y86" s="122"/>
      <c r="AA86" s="123">
        <v>6732</v>
      </c>
      <c r="AB86" s="123">
        <v>6732</v>
      </c>
      <c r="AC86" s="123">
        <f t="shared" si="2"/>
        <v>0</v>
      </c>
      <c r="AD86" s="122"/>
      <c r="AE86" s="122"/>
      <c r="AF86" s="122"/>
      <c r="AG86" s="122"/>
      <c r="AH86" s="122"/>
      <c r="AI86" s="122"/>
    </row>
    <row r="87" spans="1:35" x14ac:dyDescent="0.25">
      <c r="A87" s="122" t="s">
        <v>4870</v>
      </c>
      <c r="B87" s="122" t="s">
        <v>4871</v>
      </c>
      <c r="C87" s="126">
        <v>45705</v>
      </c>
      <c r="D87" s="126">
        <v>45705</v>
      </c>
      <c r="E87" s="122"/>
      <c r="F87" s="122"/>
      <c r="G87" s="125"/>
      <c r="H87" s="125"/>
      <c r="I87" s="122" t="s">
        <v>41</v>
      </c>
      <c r="J87" s="122" t="s">
        <v>54</v>
      </c>
      <c r="K87" s="122"/>
      <c r="L87" s="122"/>
      <c r="N87" s="122"/>
      <c r="O87" s="122"/>
      <c r="P87" s="122"/>
      <c r="Q87" s="122"/>
      <c r="R87" s="122"/>
      <c r="S87" s="122"/>
      <c r="U87" s="122"/>
      <c r="V87" s="122"/>
      <c r="W87" s="122"/>
      <c r="Y87" s="122"/>
      <c r="Z87" s="123">
        <v>300000</v>
      </c>
      <c r="AB87" s="123">
        <v>300000</v>
      </c>
      <c r="AC87" s="123">
        <f t="shared" si="2"/>
        <v>0</v>
      </c>
      <c r="AD87" s="122"/>
      <c r="AE87" s="122"/>
      <c r="AF87" s="122"/>
      <c r="AG87" s="122"/>
      <c r="AH87" s="122"/>
      <c r="AI87" s="122"/>
    </row>
    <row r="88" spans="1:35" x14ac:dyDescent="0.25">
      <c r="A88" s="122" t="s">
        <v>4877</v>
      </c>
      <c r="B88" s="125">
        <v>4233571</v>
      </c>
      <c r="C88" s="126">
        <v>45706</v>
      </c>
      <c r="D88" s="126">
        <v>45706</v>
      </c>
      <c r="E88" s="122"/>
      <c r="F88" s="122"/>
      <c r="G88" s="125"/>
      <c r="H88" s="125" t="s">
        <v>3630</v>
      </c>
      <c r="I88" s="122" t="s">
        <v>4811</v>
      </c>
      <c r="J88" s="122" t="s">
        <v>3667</v>
      </c>
      <c r="K88" s="122"/>
      <c r="L88" s="122"/>
      <c r="N88" s="122"/>
      <c r="O88" s="122"/>
      <c r="P88" s="122"/>
      <c r="Q88" s="122"/>
      <c r="R88" s="122"/>
      <c r="S88" s="122"/>
      <c r="T88" s="123">
        <v>9358.3700000000008</v>
      </c>
      <c r="U88" s="122"/>
      <c r="V88" s="122"/>
      <c r="W88" s="122"/>
      <c r="Y88" s="122"/>
      <c r="AB88" s="123">
        <v>9358.3700000000008</v>
      </c>
      <c r="AC88" s="123">
        <f t="shared" si="2"/>
        <v>0</v>
      </c>
      <c r="AD88" s="122"/>
      <c r="AE88" s="122"/>
      <c r="AF88" s="122"/>
      <c r="AG88" s="122"/>
      <c r="AH88" s="122"/>
      <c r="AI88" s="122"/>
    </row>
    <row r="89" spans="1:35" x14ac:dyDescent="0.25">
      <c r="A89" s="122" t="s">
        <v>4878</v>
      </c>
      <c r="B89" s="125">
        <v>4233572</v>
      </c>
      <c r="C89" s="126">
        <v>45706</v>
      </c>
      <c r="D89" s="126">
        <v>45706</v>
      </c>
      <c r="E89" s="122"/>
      <c r="F89" s="122"/>
      <c r="G89" s="125"/>
      <c r="H89" s="125" t="s">
        <v>3631</v>
      </c>
      <c r="I89" s="122" t="s">
        <v>4879</v>
      </c>
      <c r="J89" s="122" t="s">
        <v>3667</v>
      </c>
      <c r="K89" s="122"/>
      <c r="L89" s="122"/>
      <c r="N89" s="122"/>
      <c r="O89" s="122"/>
      <c r="P89" s="122"/>
      <c r="Q89" s="122"/>
      <c r="R89" s="122"/>
      <c r="S89" s="122"/>
      <c r="T89" s="123">
        <v>11953</v>
      </c>
      <c r="U89" s="122"/>
      <c r="V89" s="122"/>
      <c r="W89" s="122"/>
      <c r="Y89" s="122"/>
      <c r="AB89" s="123">
        <v>11953</v>
      </c>
      <c r="AC89" s="123">
        <f t="shared" si="2"/>
        <v>0</v>
      </c>
      <c r="AD89" s="122"/>
      <c r="AE89" s="122"/>
      <c r="AF89" s="122"/>
      <c r="AG89" s="122"/>
      <c r="AH89" s="122"/>
      <c r="AI89" s="122"/>
    </row>
    <row r="90" spans="1:35" x14ac:dyDescent="0.25">
      <c r="A90" s="122" t="s">
        <v>4880</v>
      </c>
      <c r="B90" s="125">
        <v>4233573</v>
      </c>
      <c r="C90" s="126">
        <v>45733</v>
      </c>
      <c r="D90" s="126">
        <v>45706</v>
      </c>
      <c r="E90" s="126">
        <v>45720</v>
      </c>
      <c r="F90" s="122" t="s">
        <v>4929</v>
      </c>
      <c r="G90" s="125" t="s">
        <v>4930</v>
      </c>
      <c r="H90" s="125"/>
      <c r="I90" s="122" t="s">
        <v>4886</v>
      </c>
      <c r="J90" s="122" t="s">
        <v>3527</v>
      </c>
      <c r="K90" s="122" t="s">
        <v>3530</v>
      </c>
      <c r="L90" s="122">
        <v>2705.36</v>
      </c>
      <c r="M90" s="123">
        <v>22544.639999999999</v>
      </c>
      <c r="N90" s="122"/>
      <c r="O90" s="122"/>
      <c r="P90" s="122"/>
      <c r="Q90" s="122"/>
      <c r="R90" s="122"/>
      <c r="S90" s="122"/>
      <c r="U90" s="122"/>
      <c r="V90" s="122"/>
      <c r="W90" s="122"/>
      <c r="Y90" s="122"/>
      <c r="AB90" s="123">
        <v>25250</v>
      </c>
      <c r="AC90" s="123">
        <f t="shared" si="2"/>
        <v>0</v>
      </c>
      <c r="AD90" s="122"/>
      <c r="AE90" s="122">
        <v>225.45</v>
      </c>
      <c r="AF90" s="122"/>
      <c r="AG90" s="122"/>
      <c r="AH90" s="122"/>
      <c r="AI90" s="122"/>
    </row>
    <row r="91" spans="1:35" x14ac:dyDescent="0.25">
      <c r="A91" s="122" t="s">
        <v>4881</v>
      </c>
      <c r="B91" s="125">
        <v>4233574</v>
      </c>
      <c r="C91" s="126">
        <v>45733</v>
      </c>
      <c r="D91" s="126">
        <v>45706</v>
      </c>
      <c r="E91" s="126">
        <v>45716</v>
      </c>
      <c r="F91" s="122" t="s">
        <v>4921</v>
      </c>
      <c r="G91" s="125" t="s">
        <v>4920</v>
      </c>
      <c r="H91" s="125"/>
      <c r="I91" s="122" t="s">
        <v>4887</v>
      </c>
      <c r="J91" s="122" t="s">
        <v>83</v>
      </c>
      <c r="K91" s="122" t="s">
        <v>1336</v>
      </c>
      <c r="L91" s="122">
        <v>4607.1400000000003</v>
      </c>
      <c r="M91" s="123">
        <v>38392.86</v>
      </c>
      <c r="N91" s="122"/>
      <c r="O91" s="122"/>
      <c r="P91" s="122"/>
      <c r="Q91" s="122"/>
      <c r="R91" s="122"/>
      <c r="S91" s="122"/>
      <c r="U91" s="122"/>
      <c r="V91" s="122"/>
      <c r="W91" s="122"/>
      <c r="Y91" s="122"/>
      <c r="AB91" s="123">
        <v>43000</v>
      </c>
      <c r="AC91" s="123">
        <f t="shared" si="2"/>
        <v>0</v>
      </c>
      <c r="AD91" s="122"/>
      <c r="AE91" s="122">
        <v>383.93</v>
      </c>
      <c r="AF91" s="122"/>
      <c r="AG91" s="122"/>
      <c r="AH91" s="122"/>
      <c r="AI91" s="122"/>
    </row>
    <row r="92" spans="1:35" x14ac:dyDescent="0.25">
      <c r="A92" s="122" t="s">
        <v>4882</v>
      </c>
      <c r="B92" s="125">
        <v>4233575</v>
      </c>
      <c r="C92" s="126">
        <v>45707</v>
      </c>
      <c r="D92" s="126">
        <v>45707</v>
      </c>
      <c r="E92" s="122"/>
      <c r="F92" s="122"/>
      <c r="G92" s="125"/>
      <c r="H92" s="125"/>
      <c r="I92" s="7" t="s">
        <v>3979</v>
      </c>
      <c r="J92" s="7" t="s">
        <v>46</v>
      </c>
      <c r="K92" s="122"/>
      <c r="L92" s="123">
        <v>1387.24</v>
      </c>
      <c r="N92" s="122"/>
      <c r="O92" s="122"/>
      <c r="P92" s="122"/>
      <c r="Q92" s="122"/>
      <c r="R92" s="122"/>
      <c r="S92" s="123">
        <v>11560.31</v>
      </c>
      <c r="U92" s="122"/>
      <c r="V92" s="122"/>
      <c r="W92" s="122"/>
      <c r="Y92" s="122"/>
      <c r="AB92" s="123">
        <v>12947.55</v>
      </c>
      <c r="AC92" s="123">
        <f t="shared" si="2"/>
        <v>0</v>
      </c>
      <c r="AD92" s="122"/>
      <c r="AE92" s="122">
        <v>235.45</v>
      </c>
      <c r="AF92" s="122"/>
      <c r="AG92" s="122"/>
      <c r="AH92" s="122"/>
      <c r="AI92" s="122"/>
    </row>
    <row r="93" spans="1:35" x14ac:dyDescent="0.25">
      <c r="A93" s="122" t="s">
        <v>4883</v>
      </c>
      <c r="B93" s="125">
        <v>4233576</v>
      </c>
      <c r="C93" s="126">
        <v>45712</v>
      </c>
      <c r="D93" s="126">
        <v>45712</v>
      </c>
      <c r="E93"/>
      <c r="F93"/>
      <c r="G93" s="1"/>
      <c r="H93" s="125" t="s">
        <v>3646</v>
      </c>
      <c r="I93" s="122" t="s">
        <v>4811</v>
      </c>
      <c r="J93" s="122" t="s">
        <v>3667</v>
      </c>
      <c r="K93"/>
      <c r="L93"/>
      <c r="M93" s="2"/>
      <c r="N93"/>
      <c r="O93"/>
      <c r="P93"/>
      <c r="Q93"/>
      <c r="R93"/>
      <c r="S93"/>
      <c r="T93" s="123">
        <v>8421.36</v>
      </c>
      <c r="U93"/>
      <c r="V93"/>
      <c r="W93"/>
      <c r="X93" s="2"/>
      <c r="Y93"/>
      <c r="Z93" s="2"/>
      <c r="AA93" s="2"/>
      <c r="AB93" s="123">
        <v>8421.36</v>
      </c>
      <c r="AC93" s="10">
        <f t="shared" si="2"/>
        <v>0</v>
      </c>
      <c r="AD93"/>
      <c r="AE93"/>
    </row>
    <row r="94" spans="1:35" x14ac:dyDescent="0.25">
      <c r="A94" s="122" t="s">
        <v>4884</v>
      </c>
      <c r="B94" s="125">
        <v>4233577</v>
      </c>
      <c r="C94" s="126">
        <v>45715</v>
      </c>
      <c r="D94" s="126">
        <v>45712</v>
      </c>
      <c r="E94"/>
      <c r="F94"/>
      <c r="G94" s="1"/>
      <c r="H94" s="1"/>
      <c r="I94" s="122" t="s">
        <v>63</v>
      </c>
      <c r="J94" s="122" t="s">
        <v>109</v>
      </c>
      <c r="K94"/>
      <c r="L94"/>
      <c r="M94" s="2"/>
      <c r="N94" s="123">
        <v>45675</v>
      </c>
      <c r="O94"/>
      <c r="P94"/>
      <c r="Q94"/>
      <c r="R94"/>
      <c r="S94"/>
      <c r="U94"/>
      <c r="V94"/>
      <c r="W94"/>
      <c r="X94" s="2"/>
      <c r="Y94"/>
      <c r="Z94" s="2"/>
      <c r="AA94" s="2"/>
      <c r="AB94" s="123">
        <v>45675</v>
      </c>
      <c r="AC94" s="10">
        <f t="shared" si="2"/>
        <v>0</v>
      </c>
      <c r="AD94"/>
      <c r="AE94"/>
    </row>
    <row r="95" spans="1:35" x14ac:dyDescent="0.25">
      <c r="A95" s="122" t="s">
        <v>4885</v>
      </c>
      <c r="B95" s="125">
        <v>4233578</v>
      </c>
      <c r="C95" s="126">
        <v>45712</v>
      </c>
      <c r="D95" s="126">
        <v>45712</v>
      </c>
      <c r="E95"/>
      <c r="F95"/>
      <c r="G95" s="1"/>
      <c r="H95" s="1"/>
      <c r="I95" s="122" t="s">
        <v>4889</v>
      </c>
      <c r="J95" s="122" t="s">
        <v>1469</v>
      </c>
      <c r="K95"/>
      <c r="L95"/>
      <c r="M95" s="2"/>
      <c r="N95"/>
      <c r="O95"/>
      <c r="P95"/>
      <c r="Q95"/>
      <c r="R95"/>
      <c r="S95"/>
      <c r="U95"/>
      <c r="V95"/>
      <c r="W95"/>
      <c r="X95" s="2"/>
      <c r="Y95"/>
      <c r="Z95" s="2"/>
      <c r="AA95" s="123">
        <v>14000</v>
      </c>
      <c r="AB95" s="123">
        <v>14000</v>
      </c>
      <c r="AC95" s="10">
        <f t="shared" si="2"/>
        <v>0</v>
      </c>
      <c r="AD95"/>
      <c r="AE95"/>
    </row>
    <row r="96" spans="1:35" x14ac:dyDescent="0.25">
      <c r="A96" s="122" t="s">
        <v>4890</v>
      </c>
      <c r="B96" s="125">
        <v>4233579</v>
      </c>
      <c r="C96" s="126">
        <v>45712</v>
      </c>
      <c r="D96" s="126">
        <v>45712</v>
      </c>
      <c r="E96"/>
      <c r="F96"/>
      <c r="G96" s="1"/>
      <c r="H96" s="1"/>
      <c r="I96" s="122" t="s">
        <v>4893</v>
      </c>
      <c r="J96" s="7" t="s">
        <v>1469</v>
      </c>
      <c r="K96"/>
      <c r="L96" s="123">
        <v>3375</v>
      </c>
      <c r="M96" s="2"/>
      <c r="N96"/>
      <c r="O96"/>
      <c r="P96"/>
      <c r="Q96"/>
      <c r="R96"/>
      <c r="S96"/>
      <c r="U96"/>
      <c r="V96"/>
      <c r="W96"/>
      <c r="X96" s="2"/>
      <c r="Y96"/>
      <c r="Z96" s="2"/>
      <c r="AA96" s="123">
        <v>28125</v>
      </c>
      <c r="AB96" s="123">
        <v>31500</v>
      </c>
      <c r="AC96" s="10">
        <f t="shared" si="2"/>
        <v>0</v>
      </c>
      <c r="AD96"/>
      <c r="AE96"/>
    </row>
    <row r="97" spans="1:34" x14ac:dyDescent="0.25">
      <c r="A97" s="122" t="s">
        <v>4891</v>
      </c>
      <c r="B97" s="125">
        <v>4233580</v>
      </c>
      <c r="C97" s="126">
        <v>45715</v>
      </c>
      <c r="D97" s="126">
        <v>45712</v>
      </c>
      <c r="E97" s="126">
        <v>45709</v>
      </c>
      <c r="F97" s="122" t="s">
        <v>4918</v>
      </c>
      <c r="G97" s="125" t="s">
        <v>4895</v>
      </c>
      <c r="H97" s="1"/>
      <c r="I97" s="122" t="s">
        <v>4894</v>
      </c>
      <c r="J97" s="122" t="s">
        <v>4717</v>
      </c>
      <c r="K97" s="122" t="s">
        <v>4718</v>
      </c>
      <c r="L97" s="123">
        <v>3455.36</v>
      </c>
      <c r="M97" s="123">
        <v>28794.639999999999</v>
      </c>
      <c r="N97"/>
      <c r="O97"/>
      <c r="P97"/>
      <c r="Q97"/>
      <c r="R97"/>
      <c r="S97"/>
      <c r="U97"/>
      <c r="V97"/>
      <c r="W97"/>
      <c r="X97" s="2"/>
      <c r="Y97"/>
      <c r="Z97" s="2"/>
      <c r="AA97" s="2"/>
      <c r="AB97" s="123">
        <v>32250</v>
      </c>
      <c r="AC97" s="10">
        <f t="shared" si="2"/>
        <v>0</v>
      </c>
      <c r="AD97"/>
      <c r="AE97">
        <v>287.95</v>
      </c>
    </row>
    <row r="98" spans="1:34" x14ac:dyDescent="0.25">
      <c r="A98" s="122" t="s">
        <v>4892</v>
      </c>
      <c r="B98" s="122" t="s">
        <v>4896</v>
      </c>
      <c r="C98" s="126">
        <v>45712</v>
      </c>
      <c r="D98" s="126">
        <v>45712</v>
      </c>
      <c r="E98"/>
      <c r="F98"/>
      <c r="G98" s="1"/>
      <c r="H98" s="1"/>
      <c r="I98" s="122" t="s">
        <v>41</v>
      </c>
      <c r="J98" s="122" t="s">
        <v>54</v>
      </c>
      <c r="K98"/>
      <c r="L98"/>
      <c r="M98" s="2"/>
      <c r="N98"/>
      <c r="O98"/>
      <c r="P98"/>
      <c r="Q98"/>
      <c r="R98"/>
      <c r="S98"/>
      <c r="U98"/>
      <c r="V98"/>
      <c r="W98"/>
      <c r="X98" s="2"/>
      <c r="Y98"/>
      <c r="Z98" s="123">
        <v>300000</v>
      </c>
      <c r="AA98" s="2"/>
      <c r="AB98" s="123">
        <v>300000</v>
      </c>
      <c r="AC98" s="10">
        <f t="shared" si="2"/>
        <v>0</v>
      </c>
      <c r="AD98"/>
      <c r="AE98"/>
    </row>
    <row r="99" spans="1:34" x14ac:dyDescent="0.25">
      <c r="A99" s="122" t="s">
        <v>4897</v>
      </c>
      <c r="B99" s="125">
        <v>4233581</v>
      </c>
      <c r="C99" s="126">
        <v>45741</v>
      </c>
      <c r="D99" s="126">
        <v>45713</v>
      </c>
      <c r="E99" s="126">
        <v>45741</v>
      </c>
      <c r="F99" s="122" t="s">
        <v>5018</v>
      </c>
      <c r="G99" s="125" t="s">
        <v>3776</v>
      </c>
      <c r="H99" s="1"/>
      <c r="I99" s="122" t="s">
        <v>4901</v>
      </c>
      <c r="J99" s="122" t="s">
        <v>83</v>
      </c>
      <c r="K99" s="122" t="s">
        <v>1336</v>
      </c>
      <c r="L99" s="123">
        <v>13769.57</v>
      </c>
      <c r="M99" s="123">
        <v>114746.43</v>
      </c>
      <c r="N99"/>
      <c r="O99"/>
      <c r="P99"/>
      <c r="Q99"/>
      <c r="R99"/>
      <c r="S99"/>
      <c r="U99"/>
      <c r="V99"/>
      <c r="W99"/>
      <c r="X99" s="2"/>
      <c r="Y99"/>
      <c r="Z99" s="2"/>
      <c r="AA99" s="2"/>
      <c r="AB99" s="123">
        <v>128516</v>
      </c>
      <c r="AC99" s="10">
        <f t="shared" si="2"/>
        <v>0</v>
      </c>
      <c r="AD99"/>
      <c r="AE99" s="122">
        <v>1147.46</v>
      </c>
    </row>
    <row r="100" spans="1:34" x14ac:dyDescent="0.25">
      <c r="A100" s="122" t="s">
        <v>4898</v>
      </c>
      <c r="B100" s="125">
        <v>4233582</v>
      </c>
      <c r="C100" s="126">
        <v>45741</v>
      </c>
      <c r="D100" s="126">
        <v>45713</v>
      </c>
      <c r="E100" s="126">
        <v>45716</v>
      </c>
      <c r="F100" s="122" t="s">
        <v>4922</v>
      </c>
      <c r="G100" s="125" t="s">
        <v>4903</v>
      </c>
      <c r="H100" s="1"/>
      <c r="I100" s="122" t="s">
        <v>4902</v>
      </c>
      <c r="J100" s="122" t="s">
        <v>83</v>
      </c>
      <c r="K100" s="122" t="s">
        <v>1336</v>
      </c>
      <c r="L100" s="123">
        <v>814.29</v>
      </c>
      <c r="M100" s="123">
        <v>6785.71</v>
      </c>
      <c r="N100"/>
      <c r="O100"/>
      <c r="P100"/>
      <c r="Q100"/>
      <c r="R100"/>
      <c r="S100"/>
      <c r="U100"/>
      <c r="V100"/>
      <c r="W100"/>
      <c r="X100" s="2"/>
      <c r="Y100"/>
      <c r="Z100" s="2"/>
      <c r="AA100" s="2"/>
      <c r="AB100" s="123">
        <v>7600</v>
      </c>
      <c r="AC100" s="10">
        <f t="shared" si="2"/>
        <v>0</v>
      </c>
      <c r="AD100"/>
      <c r="AE100" s="122">
        <v>67.83</v>
      </c>
    </row>
    <row r="101" spans="1:34" x14ac:dyDescent="0.25">
      <c r="A101" s="122" t="s">
        <v>4899</v>
      </c>
      <c r="B101" s="125">
        <v>4233583</v>
      </c>
      <c r="C101" s="126">
        <v>45713</v>
      </c>
      <c r="D101" s="126">
        <v>45713</v>
      </c>
      <c r="E101" s="126">
        <v>45716</v>
      </c>
      <c r="F101" s="122" t="s">
        <v>4919</v>
      </c>
      <c r="G101" s="125" t="s">
        <v>4904</v>
      </c>
      <c r="H101" s="1"/>
      <c r="I101" s="122" t="s">
        <v>4905</v>
      </c>
      <c r="J101" s="122" t="s">
        <v>4906</v>
      </c>
      <c r="K101"/>
      <c r="L101" s="123">
        <v>535.71</v>
      </c>
      <c r="M101" s="123">
        <v>4464.29</v>
      </c>
      <c r="N101"/>
      <c r="O101"/>
      <c r="P101"/>
      <c r="Q101"/>
      <c r="R101"/>
      <c r="S101"/>
      <c r="U101"/>
      <c r="V101"/>
      <c r="W101"/>
      <c r="X101" s="2"/>
      <c r="Y101"/>
      <c r="Z101" s="2"/>
      <c r="AA101" s="2"/>
      <c r="AB101" s="123">
        <v>5000</v>
      </c>
      <c r="AC101" s="10">
        <f t="shared" si="2"/>
        <v>0</v>
      </c>
      <c r="AD101"/>
      <c r="AE101"/>
    </row>
    <row r="102" spans="1:34" x14ac:dyDescent="0.25">
      <c r="A102" s="122" t="s">
        <v>4900</v>
      </c>
      <c r="B102" s="125">
        <v>4233584</v>
      </c>
      <c r="C102" s="126">
        <v>45716</v>
      </c>
      <c r="D102" s="126">
        <v>45713</v>
      </c>
      <c r="E102"/>
      <c r="F102"/>
      <c r="G102" s="1"/>
      <c r="H102" s="1"/>
      <c r="I102" s="122" t="s">
        <v>4612</v>
      </c>
      <c r="J102" s="122" t="s">
        <v>125</v>
      </c>
      <c r="K102"/>
      <c r="L102"/>
      <c r="M102" s="2"/>
      <c r="N102"/>
      <c r="O102"/>
      <c r="P102"/>
      <c r="Q102"/>
      <c r="R102"/>
      <c r="S102"/>
      <c r="U102"/>
      <c r="V102"/>
      <c r="W102"/>
      <c r="X102" s="2"/>
      <c r="Y102"/>
      <c r="Z102" s="2"/>
      <c r="AA102" s="123">
        <v>12500</v>
      </c>
      <c r="AB102" s="123">
        <v>12500</v>
      </c>
      <c r="AC102" s="10">
        <f t="shared" si="2"/>
        <v>0</v>
      </c>
      <c r="AD102"/>
      <c r="AE102"/>
    </row>
    <row r="103" spans="1:34" x14ac:dyDescent="0.25">
      <c r="A103" s="122" t="s">
        <v>4907</v>
      </c>
      <c r="B103" s="125">
        <v>4233585</v>
      </c>
      <c r="C103" s="126">
        <v>45716</v>
      </c>
      <c r="D103" s="126">
        <v>45713</v>
      </c>
      <c r="E103"/>
      <c r="F103"/>
      <c r="G103" s="1"/>
      <c r="H103" s="1"/>
      <c r="I103" s="122" t="s">
        <v>4612</v>
      </c>
      <c r="J103" s="122" t="s">
        <v>1847</v>
      </c>
      <c r="K103"/>
      <c r="L103"/>
      <c r="M103" s="2"/>
      <c r="N103"/>
      <c r="O103"/>
      <c r="P103"/>
      <c r="Q103"/>
      <c r="R103"/>
      <c r="S103"/>
      <c r="U103"/>
      <c r="V103"/>
      <c r="W103"/>
      <c r="X103" s="2"/>
      <c r="Y103"/>
      <c r="Z103" s="2"/>
      <c r="AA103" s="123">
        <v>32320</v>
      </c>
      <c r="AB103" s="123">
        <v>32320</v>
      </c>
      <c r="AC103" s="10">
        <f t="shared" si="2"/>
        <v>0</v>
      </c>
      <c r="AD103"/>
      <c r="AE103"/>
    </row>
    <row r="104" spans="1:34" x14ac:dyDescent="0.25">
      <c r="A104" s="122" t="s">
        <v>4908</v>
      </c>
      <c r="B104" s="125">
        <v>4233586</v>
      </c>
      <c r="C104" s="126">
        <v>45713</v>
      </c>
      <c r="D104" s="126">
        <v>45713</v>
      </c>
      <c r="E104"/>
      <c r="F104"/>
      <c r="G104" s="1"/>
      <c r="H104" s="1"/>
      <c r="I104" s="122" t="s">
        <v>4909</v>
      </c>
      <c r="J104" s="122" t="s">
        <v>4549</v>
      </c>
      <c r="K104"/>
      <c r="L104"/>
      <c r="M104" s="2"/>
      <c r="N104"/>
      <c r="O104"/>
      <c r="P104"/>
      <c r="Q104"/>
      <c r="R104"/>
      <c r="S104"/>
      <c r="U104"/>
      <c r="V104"/>
      <c r="W104"/>
      <c r="X104" s="2"/>
      <c r="Y104"/>
      <c r="Z104" s="2"/>
      <c r="AA104" s="123">
        <v>4500</v>
      </c>
      <c r="AB104" s="123">
        <v>4200</v>
      </c>
      <c r="AC104" s="10">
        <f t="shared" si="2"/>
        <v>-300</v>
      </c>
      <c r="AD104" s="145" t="s">
        <v>4917</v>
      </c>
      <c r="AE104"/>
    </row>
    <row r="105" spans="1:34" x14ac:dyDescent="0.25">
      <c r="A105" s="122" t="s">
        <v>4913</v>
      </c>
      <c r="B105" s="122" t="s">
        <v>4914</v>
      </c>
      <c r="C105" s="126">
        <v>45720</v>
      </c>
      <c r="D105" s="126">
        <v>45713</v>
      </c>
      <c r="E105" s="126">
        <v>45716</v>
      </c>
      <c r="F105" s="122" t="s">
        <v>4927</v>
      </c>
      <c r="G105" s="125" t="s">
        <v>4916</v>
      </c>
      <c r="H105" s="1"/>
      <c r="I105" s="122" t="s">
        <v>4915</v>
      </c>
      <c r="J105" s="122" t="s">
        <v>4717</v>
      </c>
      <c r="K105" s="122" t="s">
        <v>4718</v>
      </c>
      <c r="L105" s="123">
        <v>15080.36</v>
      </c>
      <c r="M105" s="123">
        <v>125669.64</v>
      </c>
      <c r="N105"/>
      <c r="O105"/>
      <c r="P105"/>
      <c r="Q105"/>
      <c r="R105"/>
      <c r="S105"/>
      <c r="U105"/>
      <c r="V105"/>
      <c r="W105"/>
      <c r="X105" s="2"/>
      <c r="Y105"/>
      <c r="Z105" s="2"/>
      <c r="AA105" s="2"/>
      <c r="AB105" s="123">
        <v>140750</v>
      </c>
      <c r="AC105" s="10">
        <f t="shared" si="2"/>
        <v>0</v>
      </c>
      <c r="AD105"/>
      <c r="AE105" s="123">
        <v>1256.7</v>
      </c>
    </row>
    <row r="106" spans="1:34" x14ac:dyDescent="0.25">
      <c r="A106" s="144">
        <v>45717</v>
      </c>
      <c r="B106" s="137"/>
      <c r="C106" s="138"/>
      <c r="D106" s="138"/>
      <c r="E106" s="138"/>
      <c r="F106" s="137"/>
      <c r="G106" s="139"/>
      <c r="H106" s="139"/>
      <c r="I106" s="137"/>
      <c r="J106" s="137"/>
      <c r="K106" s="137"/>
      <c r="L106" s="140"/>
      <c r="M106" s="140"/>
      <c r="N106" s="140"/>
      <c r="O106" s="137"/>
      <c r="P106" s="137"/>
      <c r="Q106" s="137"/>
      <c r="R106" s="137"/>
      <c r="S106" s="137"/>
      <c r="T106" s="140"/>
      <c r="U106" s="141"/>
      <c r="V106" s="141"/>
      <c r="W106" s="141"/>
      <c r="X106" s="142"/>
      <c r="Y106" s="141"/>
      <c r="Z106" s="142"/>
      <c r="AA106" s="142"/>
      <c r="AB106" s="140"/>
      <c r="AC106" s="143"/>
      <c r="AD106" s="141"/>
      <c r="AE106" s="140"/>
    </row>
    <row r="107" spans="1:34" x14ac:dyDescent="0.25">
      <c r="A107" s="122" t="s">
        <v>4923</v>
      </c>
      <c r="B107" s="125">
        <v>4233587</v>
      </c>
      <c r="C107" s="126">
        <v>45719</v>
      </c>
      <c r="D107" s="126">
        <v>45719</v>
      </c>
      <c r="E107"/>
      <c r="F107"/>
      <c r="G107" s="1"/>
      <c r="H107" s="125" t="s">
        <v>3670</v>
      </c>
      <c r="I107" s="122" t="s">
        <v>4924</v>
      </c>
      <c r="J107" s="122" t="s">
        <v>65</v>
      </c>
      <c r="K107"/>
      <c r="L107"/>
      <c r="M107" s="2"/>
      <c r="N107"/>
      <c r="O107"/>
      <c r="P107"/>
      <c r="Q107"/>
      <c r="R107"/>
      <c r="S107"/>
      <c r="U107"/>
      <c r="V107"/>
      <c r="W107"/>
      <c r="X107" s="2"/>
      <c r="Y107"/>
      <c r="Z107" s="2"/>
      <c r="AA107" s="123">
        <v>41760</v>
      </c>
      <c r="AB107" s="123">
        <v>41760</v>
      </c>
      <c r="AC107" s="10">
        <f t="shared" si="2"/>
        <v>0</v>
      </c>
      <c r="AD107"/>
      <c r="AE107"/>
    </row>
    <row r="108" spans="1:34" x14ac:dyDescent="0.25">
      <c r="A108" s="122" t="s">
        <v>4925</v>
      </c>
      <c r="B108" s="125">
        <v>4233588</v>
      </c>
      <c r="C108" s="126">
        <v>45719</v>
      </c>
      <c r="D108" s="126">
        <v>45719</v>
      </c>
      <c r="E108"/>
      <c r="F108"/>
      <c r="G108" s="1"/>
      <c r="H108" s="125" t="s">
        <v>3669</v>
      </c>
      <c r="I108" s="122" t="s">
        <v>4926</v>
      </c>
      <c r="J108" s="122" t="s">
        <v>39</v>
      </c>
      <c r="K108"/>
      <c r="L108"/>
      <c r="M108" s="2"/>
      <c r="N108"/>
      <c r="O108"/>
      <c r="P108"/>
      <c r="Q108"/>
      <c r="R108"/>
      <c r="S108"/>
      <c r="U108"/>
      <c r="V108"/>
      <c r="W108"/>
      <c r="X108" s="2"/>
      <c r="Y108"/>
      <c r="Z108" s="2"/>
      <c r="AA108" s="123">
        <v>24547.29</v>
      </c>
      <c r="AB108" s="123">
        <v>30000</v>
      </c>
      <c r="AC108" s="10">
        <f t="shared" ref="AC108:AC139" si="3">SUM(AB108:AB108)-SUM(L108:AA108)</f>
        <v>5452.7099999999991</v>
      </c>
      <c r="AD108" s="145" t="s">
        <v>4967</v>
      </c>
      <c r="AE108"/>
    </row>
    <row r="109" spans="1:34" x14ac:dyDescent="0.25">
      <c r="A109" s="122" t="s">
        <v>4928</v>
      </c>
      <c r="B109" s="125">
        <v>4233589</v>
      </c>
      <c r="C109" s="126">
        <v>45720</v>
      </c>
      <c r="D109" s="126">
        <v>45720</v>
      </c>
      <c r="E109"/>
      <c r="F109"/>
      <c r="G109" s="1"/>
      <c r="H109" s="125" t="s">
        <v>3732</v>
      </c>
      <c r="I109" s="122" t="s">
        <v>4811</v>
      </c>
      <c r="J109" s="122" t="s">
        <v>3667</v>
      </c>
      <c r="K109"/>
      <c r="L109"/>
      <c r="M109" s="2"/>
      <c r="N109"/>
      <c r="O109"/>
      <c r="P109"/>
      <c r="Q109"/>
      <c r="R109"/>
      <c r="S109"/>
      <c r="T109" s="123">
        <v>6651.08</v>
      </c>
      <c r="U109"/>
      <c r="V109"/>
      <c r="W109"/>
      <c r="X109" s="2"/>
      <c r="Y109"/>
      <c r="Z109" s="2"/>
      <c r="AA109" s="2"/>
      <c r="AB109" s="123">
        <v>6651.08</v>
      </c>
      <c r="AC109" s="10">
        <f t="shared" si="3"/>
        <v>0</v>
      </c>
      <c r="AD109"/>
      <c r="AE109"/>
    </row>
    <row r="110" spans="1:34" x14ac:dyDescent="0.25">
      <c r="A110" s="122" t="s">
        <v>4931</v>
      </c>
      <c r="B110" s="125">
        <v>4233590</v>
      </c>
      <c r="C110" s="126">
        <v>45745</v>
      </c>
      <c r="D110" s="126">
        <v>45721</v>
      </c>
      <c r="E110" s="126">
        <v>45741</v>
      </c>
      <c r="F110" s="122" t="s">
        <v>5019</v>
      </c>
      <c r="G110" s="125" t="s">
        <v>4816</v>
      </c>
      <c r="H110" s="125"/>
      <c r="I110" s="122" t="s">
        <v>4932</v>
      </c>
      <c r="J110" s="122" t="s">
        <v>83</v>
      </c>
      <c r="K110" s="122" t="s">
        <v>1336</v>
      </c>
      <c r="L110" s="122">
        <v>4725</v>
      </c>
      <c r="M110" s="123">
        <v>39375</v>
      </c>
      <c r="N110" s="122"/>
      <c r="O110" s="122"/>
      <c r="P110" s="122"/>
      <c r="Q110" s="122"/>
      <c r="R110" s="122"/>
      <c r="S110" s="122"/>
      <c r="U110" s="122"/>
      <c r="V110" s="122"/>
      <c r="W110" s="122"/>
      <c r="Y110" s="122"/>
      <c r="AB110" s="123">
        <v>44100</v>
      </c>
      <c r="AC110" s="123">
        <f t="shared" si="3"/>
        <v>0</v>
      </c>
      <c r="AD110" s="122"/>
      <c r="AE110" s="122">
        <v>393.75</v>
      </c>
      <c r="AF110" s="122"/>
      <c r="AG110" s="122"/>
      <c r="AH110" s="122"/>
    </row>
    <row r="111" spans="1:34" x14ac:dyDescent="0.25">
      <c r="A111" s="122" t="s">
        <v>4933</v>
      </c>
      <c r="B111" s="125">
        <v>4233591</v>
      </c>
      <c r="C111" s="126">
        <v>45750</v>
      </c>
      <c r="D111" s="126">
        <v>45721</v>
      </c>
      <c r="E111" s="130" t="s">
        <v>48</v>
      </c>
      <c r="F111" s="122" t="s">
        <v>4935</v>
      </c>
      <c r="G111" s="125" t="s">
        <v>4936</v>
      </c>
      <c r="H111" s="130" t="s">
        <v>48</v>
      </c>
      <c r="I111" s="122" t="s">
        <v>4934</v>
      </c>
      <c r="J111" s="122" t="s">
        <v>3527</v>
      </c>
      <c r="K111" s="122" t="s">
        <v>3530</v>
      </c>
      <c r="L111" s="123">
        <v>4017.86</v>
      </c>
      <c r="M111" s="123">
        <v>33482.14</v>
      </c>
      <c r="N111" s="122"/>
      <c r="O111" s="122"/>
      <c r="P111" s="122"/>
      <c r="Q111" s="122"/>
      <c r="R111" s="122"/>
      <c r="S111" s="122"/>
      <c r="U111" s="122"/>
      <c r="V111" s="122"/>
      <c r="W111" s="122"/>
      <c r="Y111" s="122"/>
      <c r="AB111" s="148" t="s">
        <v>48</v>
      </c>
      <c r="AC111" s="123">
        <f t="shared" si="3"/>
        <v>-37500</v>
      </c>
      <c r="AD111" s="122"/>
      <c r="AE111" s="122">
        <v>334.82</v>
      </c>
      <c r="AF111" s="122"/>
      <c r="AG111" s="122"/>
      <c r="AH111" s="122"/>
    </row>
    <row r="112" spans="1:34" x14ac:dyDescent="0.25">
      <c r="A112" s="122" t="s">
        <v>4937</v>
      </c>
      <c r="B112" s="125">
        <v>4233592</v>
      </c>
      <c r="C112" s="126">
        <v>45750</v>
      </c>
      <c r="D112" s="126">
        <v>45721</v>
      </c>
      <c r="E112" s="126">
        <v>45740</v>
      </c>
      <c r="F112" s="122" t="s">
        <v>5013</v>
      </c>
      <c r="G112" s="125" t="s">
        <v>4938</v>
      </c>
      <c r="H112" s="125"/>
      <c r="I112" s="122" t="s">
        <v>4939</v>
      </c>
      <c r="J112" s="122" t="s">
        <v>2687</v>
      </c>
      <c r="K112" s="122" t="s">
        <v>2688</v>
      </c>
      <c r="L112" s="122">
        <v>755.36</v>
      </c>
      <c r="M112" s="123">
        <v>6294.64</v>
      </c>
      <c r="N112" s="122"/>
      <c r="O112" s="122"/>
      <c r="P112" s="122"/>
      <c r="Q112" s="122"/>
      <c r="R112" s="122"/>
      <c r="S112" s="122"/>
      <c r="U112" s="122"/>
      <c r="V112" s="122"/>
      <c r="W112" s="122"/>
      <c r="Y112" s="122"/>
      <c r="AB112" s="123">
        <v>7050</v>
      </c>
      <c r="AC112" s="123">
        <f t="shared" si="3"/>
        <v>0</v>
      </c>
      <c r="AD112" s="122"/>
      <c r="AE112" s="122">
        <v>62.95</v>
      </c>
      <c r="AF112" s="122"/>
      <c r="AG112" s="122"/>
      <c r="AH112" s="122"/>
    </row>
    <row r="113" spans="1:34" x14ac:dyDescent="0.25">
      <c r="A113" s="122" t="s">
        <v>4940</v>
      </c>
      <c r="B113" s="125">
        <v>4233594</v>
      </c>
      <c r="C113" s="126">
        <v>45742</v>
      </c>
      <c r="D113" s="126">
        <v>45721</v>
      </c>
      <c r="E113" s="126">
        <v>45751</v>
      </c>
      <c r="F113" s="122" t="s">
        <v>5036</v>
      </c>
      <c r="G113" s="125" t="s">
        <v>4941</v>
      </c>
      <c r="H113" s="125"/>
      <c r="I113" s="122" t="s">
        <v>4942</v>
      </c>
      <c r="J113" s="122" t="s">
        <v>3527</v>
      </c>
      <c r="K113" s="122" t="s">
        <v>3530</v>
      </c>
      <c r="L113" s="122">
        <v>866.79</v>
      </c>
      <c r="M113" s="123">
        <v>7223.21</v>
      </c>
      <c r="N113" s="122"/>
      <c r="O113" s="122"/>
      <c r="P113" s="122"/>
      <c r="Q113" s="122"/>
      <c r="R113" s="122"/>
      <c r="S113" s="122"/>
      <c r="U113" s="122"/>
      <c r="V113" s="122"/>
      <c r="W113" s="122"/>
      <c r="Y113" s="122"/>
      <c r="AB113" s="123">
        <v>8090</v>
      </c>
      <c r="AC113" s="123">
        <f t="shared" si="3"/>
        <v>0</v>
      </c>
      <c r="AD113" s="122"/>
      <c r="AE113" s="122">
        <v>72.23</v>
      </c>
      <c r="AF113" s="122"/>
      <c r="AG113" s="122"/>
      <c r="AH113" s="122"/>
    </row>
    <row r="114" spans="1:34" x14ac:dyDescent="0.25">
      <c r="A114" s="122" t="s">
        <v>4943</v>
      </c>
      <c r="B114" s="125">
        <v>4233595</v>
      </c>
      <c r="C114" s="126">
        <v>45751</v>
      </c>
      <c r="D114" s="126">
        <v>45721</v>
      </c>
      <c r="E114" s="126">
        <v>45751</v>
      </c>
      <c r="F114" s="122" t="s">
        <v>5037</v>
      </c>
      <c r="G114" s="125" t="s">
        <v>4944</v>
      </c>
      <c r="H114" s="125"/>
      <c r="I114" s="122" t="s">
        <v>4942</v>
      </c>
      <c r="J114" s="122" t="s">
        <v>3527</v>
      </c>
      <c r="K114" s="122" t="s">
        <v>3530</v>
      </c>
      <c r="L114" s="122">
        <v>871.45</v>
      </c>
      <c r="M114" s="123">
        <v>7262.05</v>
      </c>
      <c r="N114" s="122"/>
      <c r="O114" s="122"/>
      <c r="P114" s="122"/>
      <c r="Q114" s="122"/>
      <c r="R114" s="122"/>
      <c r="S114" s="122"/>
      <c r="U114" s="122"/>
      <c r="V114" s="122"/>
      <c r="W114" s="122"/>
      <c r="Y114" s="122"/>
      <c r="AB114" s="123">
        <v>8133.5</v>
      </c>
      <c r="AC114" s="123">
        <f t="shared" si="3"/>
        <v>0</v>
      </c>
      <c r="AD114" s="122"/>
      <c r="AE114" s="122">
        <v>72.62</v>
      </c>
      <c r="AF114" s="122"/>
      <c r="AG114" s="122"/>
      <c r="AH114" s="122"/>
    </row>
    <row r="115" spans="1:34" x14ac:dyDescent="0.25">
      <c r="A115" s="122" t="s">
        <v>4946</v>
      </c>
      <c r="B115" s="122" t="s">
        <v>4947</v>
      </c>
      <c r="C115" s="126">
        <v>45726</v>
      </c>
      <c r="D115" s="126">
        <v>45726</v>
      </c>
      <c r="E115" s="122"/>
      <c r="F115" s="122"/>
      <c r="G115" s="125"/>
      <c r="H115" s="125"/>
      <c r="I115" s="122" t="s">
        <v>41</v>
      </c>
      <c r="J115" s="122" t="s">
        <v>54</v>
      </c>
      <c r="K115" s="122"/>
      <c r="L115" s="122"/>
      <c r="N115" s="122"/>
      <c r="O115" s="122"/>
      <c r="P115" s="122"/>
      <c r="Q115" s="122"/>
      <c r="R115" s="122"/>
      <c r="S115" s="122"/>
      <c r="U115" s="122"/>
      <c r="V115" s="122"/>
      <c r="W115" s="122"/>
      <c r="Y115" s="122"/>
      <c r="Z115" s="123">
        <v>400000</v>
      </c>
      <c r="AB115" s="123">
        <v>400000</v>
      </c>
      <c r="AC115" s="123">
        <f t="shared" si="3"/>
        <v>0</v>
      </c>
      <c r="AD115" s="122"/>
      <c r="AE115" s="122"/>
      <c r="AF115" s="122"/>
      <c r="AG115" s="122"/>
      <c r="AH115" s="122"/>
    </row>
    <row r="116" spans="1:34" x14ac:dyDescent="0.25">
      <c r="A116" s="122" t="s">
        <v>4948</v>
      </c>
      <c r="B116" s="122" t="s">
        <v>4949</v>
      </c>
      <c r="C116" s="126">
        <v>45727</v>
      </c>
      <c r="D116" s="126">
        <v>45726</v>
      </c>
      <c r="E116"/>
      <c r="F116"/>
      <c r="G116" s="1"/>
      <c r="H116" s="1"/>
      <c r="I116" s="122" t="s">
        <v>41</v>
      </c>
      <c r="J116" s="122" t="s">
        <v>54</v>
      </c>
      <c r="K116"/>
      <c r="L116"/>
      <c r="M116" s="2"/>
      <c r="N116"/>
      <c r="O116"/>
      <c r="P116"/>
      <c r="Q116"/>
      <c r="R116"/>
      <c r="S116"/>
      <c r="U116"/>
      <c r="V116"/>
      <c r="W116"/>
      <c r="X116" s="2"/>
      <c r="Y116"/>
      <c r="Z116" s="123">
        <v>200000</v>
      </c>
      <c r="AA116" s="2"/>
      <c r="AB116" s="123">
        <v>200000</v>
      </c>
      <c r="AC116" s="10">
        <f t="shared" si="3"/>
        <v>0</v>
      </c>
      <c r="AD116"/>
      <c r="AE116"/>
    </row>
    <row r="117" spans="1:34" x14ac:dyDescent="0.25">
      <c r="A117" s="122" t="s">
        <v>4950</v>
      </c>
      <c r="B117" s="125">
        <v>4233595</v>
      </c>
      <c r="C117" s="126">
        <v>45726</v>
      </c>
      <c r="D117" s="126">
        <v>45726</v>
      </c>
      <c r="E117"/>
      <c r="F117"/>
      <c r="G117" s="1"/>
      <c r="H117" s="125" t="s">
        <v>3740</v>
      </c>
      <c r="I117" s="122" t="s">
        <v>4811</v>
      </c>
      <c r="J117" s="122" t="s">
        <v>3667</v>
      </c>
      <c r="K117"/>
      <c r="L117"/>
      <c r="M117" s="2"/>
      <c r="N117"/>
      <c r="O117"/>
      <c r="P117"/>
      <c r="Q117"/>
      <c r="R117"/>
      <c r="S117"/>
      <c r="T117" s="123">
        <v>6851.01</v>
      </c>
      <c r="U117"/>
      <c r="V117"/>
      <c r="W117"/>
      <c r="X117" s="2"/>
      <c r="Y117"/>
      <c r="Z117" s="2"/>
      <c r="AA117" s="2"/>
      <c r="AB117" s="123">
        <v>6851.01</v>
      </c>
      <c r="AC117" s="10">
        <f t="shared" si="3"/>
        <v>0</v>
      </c>
      <c r="AD117"/>
      <c r="AE117"/>
    </row>
    <row r="118" spans="1:34" x14ac:dyDescent="0.25">
      <c r="A118" s="122" t="s">
        <v>4951</v>
      </c>
      <c r="B118" s="125">
        <v>4233597</v>
      </c>
      <c r="C118" s="126">
        <v>45768</v>
      </c>
      <c r="D118" s="126">
        <v>45726</v>
      </c>
      <c r="E118" s="126">
        <v>45728</v>
      </c>
      <c r="F118" s="122" t="s">
        <v>4972</v>
      </c>
      <c r="G118" s="125" t="s">
        <v>4962</v>
      </c>
      <c r="H118" s="1"/>
      <c r="I118" s="122" t="s">
        <v>4960</v>
      </c>
      <c r="J118" s="122" t="s">
        <v>1226</v>
      </c>
      <c r="K118" s="122" t="s">
        <v>2924</v>
      </c>
      <c r="L118" s="123">
        <v>9107.14</v>
      </c>
      <c r="M118" s="123">
        <v>75892.86</v>
      </c>
      <c r="N118"/>
      <c r="O118"/>
      <c r="P118"/>
      <c r="Q118"/>
      <c r="R118"/>
      <c r="S118"/>
      <c r="U118"/>
      <c r="V118"/>
      <c r="W118"/>
      <c r="X118" s="2"/>
      <c r="Y118"/>
      <c r="Z118" s="2"/>
      <c r="AA118" s="2"/>
      <c r="AB118" s="123">
        <v>85000</v>
      </c>
      <c r="AC118" s="10">
        <f t="shared" si="3"/>
        <v>0</v>
      </c>
      <c r="AD118"/>
      <c r="AE118">
        <v>758.93</v>
      </c>
    </row>
    <row r="119" spans="1:34" x14ac:dyDescent="0.25">
      <c r="A119" s="122" t="s">
        <v>4952</v>
      </c>
      <c r="B119" s="125">
        <v>4233598</v>
      </c>
      <c r="C119" s="126">
        <v>45728</v>
      </c>
      <c r="D119" s="126">
        <v>45726</v>
      </c>
      <c r="E119" s="126">
        <v>45729</v>
      </c>
      <c r="F119" s="122" t="s">
        <v>4973</v>
      </c>
      <c r="G119" s="125" t="s">
        <v>5008</v>
      </c>
      <c r="H119" s="1"/>
      <c r="I119" s="122" t="s">
        <v>4961</v>
      </c>
      <c r="J119" s="122" t="s">
        <v>4717</v>
      </c>
      <c r="K119" s="122" t="s">
        <v>4718</v>
      </c>
      <c r="L119" s="123">
        <v>5983.93</v>
      </c>
      <c r="M119" s="123">
        <v>49866.07</v>
      </c>
      <c r="N119"/>
      <c r="O119"/>
      <c r="P119"/>
      <c r="Q119"/>
      <c r="R119"/>
      <c r="S119"/>
      <c r="U119"/>
      <c r="V119"/>
      <c r="W119"/>
      <c r="X119" s="2"/>
      <c r="Y119"/>
      <c r="Z119" s="2"/>
      <c r="AA119" s="2"/>
      <c r="AB119" s="123">
        <v>55850</v>
      </c>
      <c r="AC119" s="10">
        <f t="shared" si="3"/>
        <v>0</v>
      </c>
      <c r="AD119"/>
      <c r="AE119">
        <v>498.66</v>
      </c>
    </row>
    <row r="120" spans="1:34" x14ac:dyDescent="0.25">
      <c r="A120" s="122" t="s">
        <v>4953</v>
      </c>
      <c r="B120" s="125">
        <v>4233599</v>
      </c>
      <c r="C120" s="126">
        <v>45768</v>
      </c>
      <c r="D120" s="126">
        <v>45726</v>
      </c>
      <c r="E120" s="126">
        <v>45728</v>
      </c>
      <c r="F120" s="122" t="s">
        <v>4971</v>
      </c>
      <c r="G120" s="125" t="s">
        <v>4963</v>
      </c>
      <c r="H120" s="1"/>
      <c r="I120" s="122" t="s">
        <v>4964</v>
      </c>
      <c r="J120" s="122" t="s">
        <v>1226</v>
      </c>
      <c r="K120" s="122" t="s">
        <v>2924</v>
      </c>
      <c r="L120" s="123">
        <v>4553.57</v>
      </c>
      <c r="M120" s="123">
        <v>37946.43</v>
      </c>
      <c r="N120" s="122"/>
      <c r="O120"/>
      <c r="P120"/>
      <c r="Q120"/>
      <c r="R120"/>
      <c r="S120"/>
      <c r="U120"/>
      <c r="V120"/>
      <c r="W120"/>
      <c r="X120" s="2"/>
      <c r="Y120"/>
      <c r="Z120" s="2"/>
      <c r="AA120" s="2"/>
      <c r="AB120" s="123">
        <v>42500</v>
      </c>
      <c r="AC120" s="10">
        <f t="shared" si="3"/>
        <v>0</v>
      </c>
      <c r="AD120"/>
      <c r="AE120">
        <v>379.46</v>
      </c>
    </row>
    <row r="121" spans="1:34" x14ac:dyDescent="0.25">
      <c r="A121" s="122" t="s">
        <v>4954</v>
      </c>
      <c r="B121" s="125">
        <v>4233600</v>
      </c>
      <c r="C121" s="126">
        <v>45726</v>
      </c>
      <c r="D121" s="126">
        <v>45726</v>
      </c>
      <c r="E121"/>
      <c r="F121"/>
      <c r="G121" s="1"/>
      <c r="H121" s="1"/>
      <c r="I121" s="122" t="s">
        <v>4965</v>
      </c>
      <c r="J121" s="122" t="s">
        <v>18</v>
      </c>
      <c r="K121"/>
      <c r="L121" s="122">
        <v>151.09</v>
      </c>
      <c r="N121" s="122"/>
      <c r="O121" s="122"/>
      <c r="P121" s="122"/>
      <c r="Q121" s="122"/>
      <c r="R121" s="123">
        <v>1259.06</v>
      </c>
      <c r="S121"/>
      <c r="U121"/>
      <c r="V121"/>
      <c r="W121"/>
      <c r="X121" s="2"/>
      <c r="Y121"/>
      <c r="Z121" s="2"/>
      <c r="AA121" s="2"/>
      <c r="AB121" s="123">
        <v>1410.15</v>
      </c>
      <c r="AC121" s="10">
        <f t="shared" si="3"/>
        <v>0</v>
      </c>
      <c r="AD121"/>
      <c r="AE121"/>
    </row>
    <row r="122" spans="1:34" x14ac:dyDescent="0.25">
      <c r="A122" s="122" t="s">
        <v>4955</v>
      </c>
      <c r="B122" s="125">
        <v>4233601</v>
      </c>
      <c r="C122" s="126">
        <v>45726</v>
      </c>
      <c r="D122" s="126">
        <v>45726</v>
      </c>
      <c r="E122"/>
      <c r="F122"/>
      <c r="G122" s="1"/>
      <c r="H122" s="1"/>
      <c r="I122" s="122" t="s">
        <v>4965</v>
      </c>
      <c r="J122" s="122" t="s">
        <v>18</v>
      </c>
      <c r="K122"/>
      <c r="L122" s="122">
        <v>811.09</v>
      </c>
      <c r="N122" s="122"/>
      <c r="O122" s="122"/>
      <c r="P122" s="122"/>
      <c r="Q122" s="122"/>
      <c r="R122" s="123">
        <v>6759.06</v>
      </c>
      <c r="S122"/>
      <c r="U122"/>
      <c r="V122"/>
      <c r="W122"/>
      <c r="X122" s="2"/>
      <c r="Y122"/>
      <c r="Z122" s="2"/>
      <c r="AA122" s="2"/>
      <c r="AB122" s="123">
        <v>7570.15</v>
      </c>
      <c r="AC122" s="10">
        <f t="shared" si="3"/>
        <v>0</v>
      </c>
      <c r="AD122"/>
      <c r="AE122"/>
    </row>
    <row r="123" spans="1:34" x14ac:dyDescent="0.25">
      <c r="A123" s="122" t="s">
        <v>4956</v>
      </c>
      <c r="B123" s="125">
        <v>4233602</v>
      </c>
      <c r="C123" s="126">
        <v>45726</v>
      </c>
      <c r="D123" s="126">
        <v>45726</v>
      </c>
      <c r="E123"/>
      <c r="F123"/>
      <c r="G123" s="1"/>
      <c r="H123" s="1"/>
      <c r="I123" s="122" t="s">
        <v>4966</v>
      </c>
      <c r="J123" s="122" t="s">
        <v>43</v>
      </c>
      <c r="K123"/>
      <c r="L123" s="123">
        <v>64.180000000000007</v>
      </c>
      <c r="N123"/>
      <c r="O123"/>
      <c r="P123"/>
      <c r="Q123"/>
      <c r="R123"/>
      <c r="S123" s="123">
        <v>534.82000000000005</v>
      </c>
      <c r="U123"/>
      <c r="V123"/>
      <c r="W123"/>
      <c r="X123" s="2"/>
      <c r="Y123"/>
      <c r="Z123" s="2"/>
      <c r="AA123" s="2"/>
      <c r="AB123" s="123">
        <v>599</v>
      </c>
      <c r="AC123" s="10">
        <f t="shared" si="3"/>
        <v>0</v>
      </c>
      <c r="AD123"/>
      <c r="AE123"/>
    </row>
    <row r="124" spans="1:34" x14ac:dyDescent="0.25">
      <c r="A124" s="122" t="s">
        <v>4957</v>
      </c>
      <c r="B124" s="125">
        <v>4233603</v>
      </c>
      <c r="C124" s="126">
        <v>45726</v>
      </c>
      <c r="D124" s="126">
        <v>45726</v>
      </c>
      <c r="E124"/>
      <c r="F124"/>
      <c r="G124" s="1"/>
      <c r="H124" s="1"/>
      <c r="I124" s="122" t="s">
        <v>4966</v>
      </c>
      <c r="J124" s="122" t="s">
        <v>43</v>
      </c>
      <c r="K124"/>
      <c r="L124" s="123">
        <v>32.14</v>
      </c>
      <c r="M124" s="59"/>
      <c r="N124"/>
      <c r="O124"/>
      <c r="P124"/>
      <c r="Q124"/>
      <c r="R124"/>
      <c r="S124" s="59">
        <v>267.86</v>
      </c>
      <c r="U124"/>
      <c r="V124"/>
      <c r="W124"/>
      <c r="X124" s="2"/>
      <c r="Y124"/>
      <c r="Z124" s="2"/>
      <c r="AA124" s="2"/>
      <c r="AB124" s="123">
        <v>300</v>
      </c>
      <c r="AC124" s="10">
        <f t="shared" si="3"/>
        <v>0</v>
      </c>
      <c r="AD124"/>
      <c r="AE124"/>
    </row>
    <row r="125" spans="1:34" x14ac:dyDescent="0.25">
      <c r="A125" s="122" t="s">
        <v>4958</v>
      </c>
      <c r="B125" s="125">
        <v>4233604</v>
      </c>
      <c r="C125" s="126">
        <v>45730</v>
      </c>
      <c r="D125" s="126">
        <v>45726</v>
      </c>
      <c r="E125"/>
      <c r="F125"/>
      <c r="G125" s="1"/>
      <c r="H125" s="1"/>
      <c r="I125" s="122" t="s">
        <v>4612</v>
      </c>
      <c r="J125" s="122" t="s">
        <v>125</v>
      </c>
      <c r="K125"/>
      <c r="L125"/>
      <c r="M125" s="2"/>
      <c r="N125"/>
      <c r="O125"/>
      <c r="P125"/>
      <c r="Q125"/>
      <c r="R125"/>
      <c r="S125"/>
      <c r="U125"/>
      <c r="V125"/>
      <c r="W125"/>
      <c r="X125" s="2"/>
      <c r="Y125"/>
      <c r="Z125" s="2"/>
      <c r="AA125" s="123">
        <v>15000</v>
      </c>
      <c r="AB125" s="123">
        <v>15000</v>
      </c>
      <c r="AC125" s="10">
        <f t="shared" si="3"/>
        <v>0</v>
      </c>
      <c r="AD125"/>
      <c r="AE125"/>
    </row>
    <row r="126" spans="1:34" x14ac:dyDescent="0.25">
      <c r="A126" s="122" t="s">
        <v>4959</v>
      </c>
      <c r="B126" s="125">
        <v>4233605</v>
      </c>
      <c r="C126" s="126">
        <v>45726</v>
      </c>
      <c r="D126" s="126">
        <v>45726</v>
      </c>
      <c r="E126"/>
      <c r="F126"/>
      <c r="G126" s="1"/>
      <c r="H126" s="1"/>
      <c r="I126" s="122" t="s">
        <v>50</v>
      </c>
      <c r="J126" s="122" t="s">
        <v>39</v>
      </c>
      <c r="K126"/>
      <c r="L126"/>
      <c r="M126" s="2"/>
      <c r="N126"/>
      <c r="O126"/>
      <c r="P126"/>
      <c r="Q126"/>
      <c r="R126"/>
      <c r="S126"/>
      <c r="U126"/>
      <c r="V126"/>
      <c r="W126"/>
      <c r="X126" s="2"/>
      <c r="Y126"/>
      <c r="Z126" s="2"/>
      <c r="AA126" s="123">
        <v>9193.75</v>
      </c>
      <c r="AB126" s="123">
        <v>9193.75</v>
      </c>
      <c r="AC126" s="10">
        <f t="shared" si="3"/>
        <v>0</v>
      </c>
      <c r="AD126"/>
      <c r="AE126"/>
    </row>
    <row r="127" spans="1:34" x14ac:dyDescent="0.25">
      <c r="A127" s="122" t="s">
        <v>4968</v>
      </c>
      <c r="B127" s="125">
        <v>4233606</v>
      </c>
      <c r="C127" s="126">
        <v>45730</v>
      </c>
      <c r="D127" s="126">
        <v>45726</v>
      </c>
      <c r="E127"/>
      <c r="F127"/>
      <c r="G127" s="1"/>
      <c r="H127" s="1"/>
      <c r="I127" s="122" t="s">
        <v>4612</v>
      </c>
      <c r="J127" s="122" t="s">
        <v>1847</v>
      </c>
      <c r="K127"/>
      <c r="L127"/>
      <c r="M127" s="2"/>
      <c r="N127"/>
      <c r="O127"/>
      <c r="P127"/>
      <c r="Q127"/>
      <c r="R127"/>
      <c r="S127"/>
      <c r="U127"/>
      <c r="V127"/>
      <c r="W127"/>
      <c r="X127" s="2"/>
      <c r="Y127"/>
      <c r="Z127" s="2"/>
      <c r="AA127" s="123">
        <v>24960</v>
      </c>
      <c r="AB127" s="123">
        <v>24960</v>
      </c>
      <c r="AC127" s="10">
        <f t="shared" si="3"/>
        <v>0</v>
      </c>
      <c r="AD127"/>
      <c r="AE127"/>
    </row>
    <row r="128" spans="1:34" x14ac:dyDescent="0.25">
      <c r="A128" s="122" t="s">
        <v>4969</v>
      </c>
      <c r="B128" s="125">
        <v>4233607</v>
      </c>
      <c r="C128" s="126">
        <v>45727</v>
      </c>
      <c r="D128" s="126">
        <v>45727</v>
      </c>
      <c r="E128" s="126">
        <v>45741</v>
      </c>
      <c r="F128" s="122" t="s">
        <v>5016</v>
      </c>
      <c r="G128" s="1"/>
      <c r="H128" s="1"/>
      <c r="I128" s="122" t="s">
        <v>4970</v>
      </c>
      <c r="J128" s="122" t="s">
        <v>187</v>
      </c>
      <c r="K128"/>
      <c r="L128"/>
      <c r="M128" s="2"/>
      <c r="N128"/>
      <c r="O128"/>
      <c r="P128"/>
      <c r="Q128"/>
      <c r="R128"/>
      <c r="S128"/>
      <c r="U128"/>
      <c r="V128"/>
      <c r="W128"/>
      <c r="X128" s="2"/>
      <c r="Y128"/>
      <c r="Z128" s="2"/>
      <c r="AA128" s="123">
        <v>9690</v>
      </c>
      <c r="AB128" s="123">
        <v>9690</v>
      </c>
      <c r="AC128" s="10">
        <f t="shared" si="3"/>
        <v>0</v>
      </c>
      <c r="AD128"/>
      <c r="AE128"/>
    </row>
    <row r="129" spans="1:31" x14ac:dyDescent="0.25">
      <c r="A129" s="122" t="s">
        <v>4974</v>
      </c>
      <c r="B129" s="125">
        <v>4233609</v>
      </c>
      <c r="C129" s="126">
        <v>45733</v>
      </c>
      <c r="D129" s="126">
        <v>45733</v>
      </c>
      <c r="E129"/>
      <c r="F129"/>
      <c r="G129" s="1"/>
      <c r="H129" s="125" t="s">
        <v>3758</v>
      </c>
      <c r="I129" s="122" t="s">
        <v>4975</v>
      </c>
      <c r="J129" s="122" t="s">
        <v>3667</v>
      </c>
      <c r="K129"/>
      <c r="L129"/>
      <c r="M129" s="2"/>
      <c r="N129"/>
      <c r="O129"/>
      <c r="P129"/>
      <c r="Q129"/>
      <c r="R129"/>
      <c r="S129"/>
      <c r="T129" s="123">
        <v>10026.56</v>
      </c>
      <c r="U129"/>
      <c r="V129"/>
      <c r="W129"/>
      <c r="X129" s="2"/>
      <c r="Y129"/>
      <c r="Z129" s="2"/>
      <c r="AA129" s="2"/>
      <c r="AB129" s="123">
        <v>10026.56</v>
      </c>
      <c r="AC129" s="10">
        <f t="shared" si="3"/>
        <v>0</v>
      </c>
      <c r="AD129"/>
      <c r="AE129"/>
    </row>
    <row r="130" spans="1:31" x14ac:dyDescent="0.25">
      <c r="A130" s="122" t="s">
        <v>4976</v>
      </c>
      <c r="B130" s="125">
        <v>4233610</v>
      </c>
      <c r="C130" s="126">
        <v>45733</v>
      </c>
      <c r="D130" s="126">
        <v>45733</v>
      </c>
      <c r="E130"/>
      <c r="F130"/>
      <c r="G130" s="1"/>
      <c r="H130" s="125" t="s">
        <v>3750</v>
      </c>
      <c r="I130" s="122" t="s">
        <v>4977</v>
      </c>
      <c r="J130" s="122" t="s">
        <v>3667</v>
      </c>
      <c r="K130"/>
      <c r="L130"/>
      <c r="M130" s="2"/>
      <c r="N130"/>
      <c r="O130"/>
      <c r="P130"/>
      <c r="Q130"/>
      <c r="R130"/>
      <c r="S130"/>
      <c r="T130" s="123">
        <v>10753.65</v>
      </c>
      <c r="U130"/>
      <c r="V130"/>
      <c r="W130"/>
      <c r="X130" s="2"/>
      <c r="Y130"/>
      <c r="Z130" s="2"/>
      <c r="AA130" s="2"/>
      <c r="AB130" s="123">
        <v>10753.65</v>
      </c>
      <c r="AC130" s="10">
        <f t="shared" si="3"/>
        <v>0</v>
      </c>
      <c r="AD130"/>
      <c r="AE130"/>
    </row>
    <row r="131" spans="1:31" x14ac:dyDescent="0.25">
      <c r="A131" s="122" t="s">
        <v>4978</v>
      </c>
      <c r="B131" s="125">
        <v>4233611</v>
      </c>
      <c r="C131" s="126">
        <v>45733</v>
      </c>
      <c r="D131" s="126">
        <v>45733</v>
      </c>
      <c r="E131"/>
      <c r="F131"/>
      <c r="G131" s="1"/>
      <c r="H131" s="1"/>
      <c r="I131" s="122" t="s">
        <v>4988</v>
      </c>
      <c r="J131" s="122" t="s">
        <v>4628</v>
      </c>
      <c r="K131"/>
      <c r="L131"/>
      <c r="M131" s="2"/>
      <c r="N131"/>
      <c r="O131"/>
      <c r="P131"/>
      <c r="Q131"/>
      <c r="R131"/>
      <c r="S131"/>
      <c r="U131"/>
      <c r="V131"/>
      <c r="W131"/>
      <c r="X131" s="123">
        <v>7772.42</v>
      </c>
      <c r="Y131"/>
      <c r="Z131" s="2"/>
      <c r="AA131" s="2"/>
      <c r="AB131" s="123">
        <v>7772.42</v>
      </c>
      <c r="AC131" s="10">
        <f t="shared" si="3"/>
        <v>0</v>
      </c>
      <c r="AD131"/>
      <c r="AE131"/>
    </row>
    <row r="132" spans="1:31" x14ac:dyDescent="0.25">
      <c r="A132" s="122" t="s">
        <v>4979</v>
      </c>
      <c r="B132" s="125">
        <v>4233612</v>
      </c>
      <c r="C132" s="126">
        <v>45733</v>
      </c>
      <c r="D132" s="126">
        <v>45758</v>
      </c>
      <c r="E132" s="126">
        <v>45741</v>
      </c>
      <c r="F132" s="122" t="s">
        <v>5017</v>
      </c>
      <c r="G132" s="125" t="s">
        <v>4980</v>
      </c>
      <c r="H132" s="1"/>
      <c r="I132" s="122" t="s">
        <v>4981</v>
      </c>
      <c r="J132" s="122" t="s">
        <v>83</v>
      </c>
      <c r="K132" s="122" t="s">
        <v>1336</v>
      </c>
      <c r="L132" s="123">
        <v>5250</v>
      </c>
      <c r="M132" s="123">
        <v>43750</v>
      </c>
      <c r="N132"/>
      <c r="O132"/>
      <c r="P132"/>
      <c r="Q132"/>
      <c r="R132"/>
      <c r="S132"/>
      <c r="U132"/>
      <c r="V132"/>
      <c r="W132"/>
      <c r="X132" s="2"/>
      <c r="Y132"/>
      <c r="Z132" s="2"/>
      <c r="AA132" s="2"/>
      <c r="AB132" s="123">
        <v>49000</v>
      </c>
      <c r="AC132" s="10">
        <f t="shared" si="3"/>
        <v>0</v>
      </c>
      <c r="AD132"/>
      <c r="AE132"/>
    </row>
    <row r="133" spans="1:31" x14ac:dyDescent="0.25">
      <c r="A133" s="122" t="s">
        <v>4982</v>
      </c>
      <c r="B133" s="125">
        <v>4233613</v>
      </c>
      <c r="C133" s="126">
        <v>45768</v>
      </c>
      <c r="D133" s="126">
        <v>45733</v>
      </c>
      <c r="E133" s="126">
        <v>45737</v>
      </c>
      <c r="F133" s="122" t="s">
        <v>5007</v>
      </c>
      <c r="G133" s="125" t="s">
        <v>4983</v>
      </c>
      <c r="H133" s="1"/>
      <c r="I133" s="122" t="s">
        <v>4984</v>
      </c>
      <c r="J133" s="122" t="s">
        <v>1226</v>
      </c>
      <c r="K133" s="122" t="s">
        <v>2924</v>
      </c>
      <c r="L133" s="123">
        <v>3535.71</v>
      </c>
      <c r="M133" s="123">
        <v>29464.29</v>
      </c>
      <c r="P133"/>
      <c r="Q133"/>
      <c r="R133"/>
      <c r="S133"/>
      <c r="U133"/>
      <c r="V133"/>
      <c r="W133"/>
      <c r="X133" s="2"/>
      <c r="Y133"/>
      <c r="Z133" s="2"/>
      <c r="AA133" s="2"/>
      <c r="AB133" s="123">
        <v>33000</v>
      </c>
      <c r="AC133" s="10">
        <f t="shared" si="3"/>
        <v>0</v>
      </c>
      <c r="AD133"/>
      <c r="AE133">
        <v>294.64</v>
      </c>
    </row>
    <row r="134" spans="1:31" x14ac:dyDescent="0.25">
      <c r="A134" s="122" t="s">
        <v>4985</v>
      </c>
      <c r="B134" s="125">
        <v>4233614</v>
      </c>
      <c r="C134" s="126">
        <v>45758</v>
      </c>
      <c r="D134" s="126">
        <v>45733</v>
      </c>
      <c r="E134" s="126">
        <v>45741</v>
      </c>
      <c r="F134" s="122" t="s">
        <v>5020</v>
      </c>
      <c r="G134" s="125" t="s">
        <v>4986</v>
      </c>
      <c r="H134" s="1"/>
      <c r="I134" s="122" t="s">
        <v>4987</v>
      </c>
      <c r="J134" s="122" t="s">
        <v>83</v>
      </c>
      <c r="K134" s="122" t="s">
        <v>1336</v>
      </c>
      <c r="L134" s="123">
        <v>5423.14</v>
      </c>
      <c r="M134" s="123">
        <v>45192.86</v>
      </c>
      <c r="N134"/>
      <c r="O134"/>
      <c r="P134"/>
      <c r="Q134"/>
      <c r="R134"/>
      <c r="S134"/>
      <c r="U134"/>
      <c r="V134"/>
      <c r="W134"/>
      <c r="X134" s="2"/>
      <c r="Y134"/>
      <c r="Z134" s="2"/>
      <c r="AA134" s="2"/>
      <c r="AB134" s="123">
        <v>50616</v>
      </c>
      <c r="AC134" s="10">
        <f t="shared" si="3"/>
        <v>0</v>
      </c>
      <c r="AD134"/>
      <c r="AE134"/>
    </row>
    <row r="135" spans="1:31" x14ac:dyDescent="0.25">
      <c r="A135" s="122" t="s">
        <v>4989</v>
      </c>
      <c r="B135" s="125">
        <v>4233615</v>
      </c>
      <c r="C135" s="126">
        <v>45735</v>
      </c>
      <c r="D135" s="126">
        <v>45735</v>
      </c>
      <c r="E135"/>
      <c r="F135"/>
      <c r="G135" s="1"/>
      <c r="H135" s="1"/>
      <c r="I135" s="122" t="s">
        <v>2750</v>
      </c>
      <c r="J135" s="122" t="s">
        <v>4991</v>
      </c>
      <c r="K135"/>
      <c r="L135"/>
      <c r="M135" s="2"/>
      <c r="N135"/>
      <c r="O135"/>
      <c r="P135"/>
      <c r="Q135"/>
      <c r="R135"/>
      <c r="S135"/>
      <c r="U135"/>
      <c r="V135"/>
      <c r="W135"/>
      <c r="X135" s="2"/>
      <c r="Y135"/>
      <c r="Z135" s="2"/>
      <c r="AA135" s="123">
        <v>6367.4</v>
      </c>
      <c r="AB135" s="123">
        <v>6367.4</v>
      </c>
      <c r="AC135" s="10">
        <f t="shared" si="3"/>
        <v>0</v>
      </c>
      <c r="AD135"/>
      <c r="AE135"/>
    </row>
    <row r="136" spans="1:31" x14ac:dyDescent="0.25">
      <c r="A136" s="122" t="s">
        <v>4990</v>
      </c>
      <c r="B136" s="125">
        <v>4233616</v>
      </c>
      <c r="C136" s="126">
        <v>45744</v>
      </c>
      <c r="D136" s="126">
        <v>45735</v>
      </c>
      <c r="E136"/>
      <c r="F136"/>
      <c r="G136" s="1"/>
      <c r="H136" s="1"/>
      <c r="I136" s="122" t="s">
        <v>63</v>
      </c>
      <c r="J136" s="122" t="s">
        <v>109</v>
      </c>
      <c r="K136"/>
      <c r="L136"/>
      <c r="M136" s="2"/>
      <c r="N136" s="123">
        <v>14700</v>
      </c>
      <c r="O136"/>
      <c r="P136"/>
      <c r="Q136"/>
      <c r="R136"/>
      <c r="S136"/>
      <c r="U136"/>
      <c r="V136"/>
      <c r="W136"/>
      <c r="X136" s="2"/>
      <c r="Y136"/>
      <c r="Z136" s="2"/>
      <c r="AA136" s="2"/>
      <c r="AB136" s="123">
        <v>14700</v>
      </c>
      <c r="AC136" s="10">
        <f t="shared" si="3"/>
        <v>0</v>
      </c>
      <c r="AD136"/>
      <c r="AE136"/>
    </row>
    <row r="137" spans="1:31" x14ac:dyDescent="0.25">
      <c r="A137" s="122" t="s">
        <v>4992</v>
      </c>
      <c r="B137" s="125">
        <v>4233617</v>
      </c>
      <c r="C137" s="126">
        <v>45735</v>
      </c>
      <c r="D137" s="126">
        <v>45735</v>
      </c>
      <c r="E137"/>
      <c r="F137"/>
      <c r="G137" s="1"/>
      <c r="H137" s="1"/>
      <c r="I137" s="122" t="s">
        <v>4994</v>
      </c>
      <c r="J137" s="122" t="s">
        <v>46</v>
      </c>
      <c r="K137"/>
      <c r="L137" s="123">
        <v>168.11</v>
      </c>
      <c r="M137" s="2"/>
      <c r="N137"/>
      <c r="O137"/>
      <c r="P137"/>
      <c r="Q137"/>
      <c r="R137"/>
      <c r="S137" s="122">
        <v>1400.96</v>
      </c>
      <c r="U137"/>
      <c r="V137"/>
      <c r="W137"/>
      <c r="X137" s="2"/>
      <c r="Y137"/>
      <c r="Z137" s="2"/>
      <c r="AA137" s="2"/>
      <c r="AB137" s="123">
        <v>1569.07</v>
      </c>
      <c r="AC137" s="10">
        <f t="shared" si="3"/>
        <v>0</v>
      </c>
      <c r="AD137"/>
      <c r="AE137"/>
    </row>
    <row r="138" spans="1:31" x14ac:dyDescent="0.25">
      <c r="A138" s="122" t="s">
        <v>4993</v>
      </c>
      <c r="B138" s="125">
        <v>4233618</v>
      </c>
      <c r="C138" s="126">
        <v>45735</v>
      </c>
      <c r="D138" s="126">
        <v>45735</v>
      </c>
      <c r="E138"/>
      <c r="F138"/>
      <c r="G138" s="1"/>
      <c r="H138" s="1"/>
      <c r="I138" s="122" t="s">
        <v>4995</v>
      </c>
      <c r="J138" s="122" t="s">
        <v>46</v>
      </c>
      <c r="K138"/>
      <c r="L138" s="123">
        <v>107.04</v>
      </c>
      <c r="M138" s="2"/>
      <c r="N138"/>
      <c r="O138"/>
      <c r="P138"/>
      <c r="Q138"/>
      <c r="R138"/>
      <c r="S138" s="122">
        <v>891.96</v>
      </c>
      <c r="U138"/>
      <c r="V138"/>
      <c r="W138"/>
      <c r="X138" s="2"/>
      <c r="Y138"/>
      <c r="Z138" s="2"/>
      <c r="AA138" s="2"/>
      <c r="AB138" s="123">
        <v>999</v>
      </c>
      <c r="AC138" s="10">
        <f t="shared" si="3"/>
        <v>0</v>
      </c>
      <c r="AD138"/>
      <c r="AE138"/>
    </row>
    <row r="139" spans="1:31" x14ac:dyDescent="0.25">
      <c r="A139" s="122" t="s">
        <v>4996</v>
      </c>
      <c r="B139" s="125">
        <v>4233618</v>
      </c>
      <c r="C139" s="126">
        <v>45735</v>
      </c>
      <c r="D139" s="126">
        <v>45735</v>
      </c>
      <c r="E139"/>
      <c r="F139"/>
      <c r="G139" s="1"/>
      <c r="H139" s="1"/>
      <c r="I139" s="122" t="s">
        <v>2750</v>
      </c>
      <c r="J139" s="122" t="s">
        <v>3521</v>
      </c>
      <c r="K139"/>
      <c r="L139"/>
      <c r="M139" s="2"/>
      <c r="N139"/>
      <c r="O139"/>
      <c r="P139"/>
      <c r="Q139"/>
      <c r="R139"/>
      <c r="S139"/>
      <c r="U139"/>
      <c r="V139"/>
      <c r="W139"/>
      <c r="X139" s="2"/>
      <c r="Y139"/>
      <c r="Z139" s="2"/>
      <c r="AA139" s="123">
        <v>4746.74</v>
      </c>
      <c r="AB139" s="123">
        <v>4746.74</v>
      </c>
      <c r="AC139" s="10">
        <f t="shared" si="3"/>
        <v>0</v>
      </c>
      <c r="AD139"/>
      <c r="AE139"/>
    </row>
    <row r="140" spans="1:31" x14ac:dyDescent="0.25">
      <c r="A140" s="122" t="s">
        <v>4997</v>
      </c>
      <c r="B140" s="125">
        <v>4233620</v>
      </c>
      <c r="C140" s="126">
        <v>45736</v>
      </c>
      <c r="D140" s="126">
        <v>45736</v>
      </c>
      <c r="E140"/>
      <c r="F140"/>
      <c r="G140" s="1"/>
      <c r="H140" s="125" t="s">
        <v>3784</v>
      </c>
      <c r="I140" s="122" t="s">
        <v>4427</v>
      </c>
      <c r="J140" s="122" t="s">
        <v>3667</v>
      </c>
      <c r="K140"/>
      <c r="L140"/>
      <c r="M140" s="2"/>
      <c r="N140"/>
      <c r="O140"/>
      <c r="P140"/>
      <c r="Q140"/>
      <c r="R140"/>
      <c r="S140"/>
      <c r="T140" s="123">
        <v>4713.05</v>
      </c>
      <c r="U140"/>
      <c r="V140"/>
      <c r="W140"/>
      <c r="X140" s="2"/>
      <c r="Y140"/>
      <c r="Z140" s="2"/>
      <c r="AA140" s="2"/>
      <c r="AB140" s="123">
        <v>4713.05</v>
      </c>
      <c r="AC140" s="10">
        <f t="shared" ref="AC140:AC205" si="4">SUM(AB140:AB140)-SUM(L140:AA140)</f>
        <v>0</v>
      </c>
      <c r="AD140"/>
      <c r="AE140"/>
    </row>
    <row r="141" spans="1:31" x14ac:dyDescent="0.25">
      <c r="A141" s="122" t="s">
        <v>4998</v>
      </c>
      <c r="B141" s="125">
        <v>4233621</v>
      </c>
      <c r="C141" s="126">
        <v>45736</v>
      </c>
      <c r="D141" s="126">
        <v>45736</v>
      </c>
      <c r="E141"/>
      <c r="F141"/>
      <c r="G141" s="1"/>
      <c r="H141" s="1"/>
      <c r="I141" s="122" t="s">
        <v>3979</v>
      </c>
      <c r="J141" s="122" t="s">
        <v>46</v>
      </c>
      <c r="K141"/>
      <c r="L141" s="123">
        <v>1387.24</v>
      </c>
      <c r="N141"/>
      <c r="O141"/>
      <c r="P141"/>
      <c r="Q141"/>
      <c r="R141"/>
      <c r="S141" s="123">
        <v>11560.31</v>
      </c>
      <c r="U141"/>
      <c r="V141"/>
      <c r="W141"/>
      <c r="X141" s="2"/>
      <c r="Y141"/>
      <c r="Z141" s="2"/>
      <c r="AA141" s="2"/>
      <c r="AB141" s="123">
        <v>12947.55</v>
      </c>
      <c r="AC141" s="10">
        <f t="shared" si="4"/>
        <v>0</v>
      </c>
      <c r="AD141"/>
      <c r="AE141"/>
    </row>
    <row r="142" spans="1:31" x14ac:dyDescent="0.25">
      <c r="A142" s="122" t="s">
        <v>4999</v>
      </c>
      <c r="B142" s="125">
        <v>4233622</v>
      </c>
      <c r="C142" s="126">
        <v>45736</v>
      </c>
      <c r="D142" s="126">
        <v>45736</v>
      </c>
      <c r="E142" s="126">
        <v>45758</v>
      </c>
      <c r="F142" s="122" t="s">
        <v>5088</v>
      </c>
      <c r="G142" s="125" t="s">
        <v>5003</v>
      </c>
      <c r="H142" s="1"/>
      <c r="I142" s="122" t="s">
        <v>5002</v>
      </c>
      <c r="J142" s="122" t="s">
        <v>4717</v>
      </c>
      <c r="K142" s="122" t="s">
        <v>4718</v>
      </c>
      <c r="L142" s="122">
        <v>723.21</v>
      </c>
      <c r="M142" s="123">
        <v>6026.79</v>
      </c>
      <c r="N142"/>
      <c r="O142"/>
      <c r="P142"/>
      <c r="Q142"/>
      <c r="R142"/>
      <c r="S142"/>
      <c r="U142"/>
      <c r="V142"/>
      <c r="W142"/>
      <c r="X142" s="2"/>
      <c r="Y142"/>
      <c r="Z142" s="2"/>
      <c r="AA142" s="2"/>
      <c r="AB142" s="123">
        <v>6750</v>
      </c>
      <c r="AC142" s="10">
        <f t="shared" si="4"/>
        <v>0</v>
      </c>
      <c r="AD142"/>
      <c r="AE142">
        <v>60.27</v>
      </c>
    </row>
    <row r="143" spans="1:31" x14ac:dyDescent="0.25">
      <c r="A143" s="122" t="s">
        <v>5000</v>
      </c>
      <c r="B143" s="125">
        <v>4233622</v>
      </c>
      <c r="C143" s="126">
        <v>45779</v>
      </c>
      <c r="D143" s="126">
        <v>45736</v>
      </c>
      <c r="E143" s="126">
        <v>45737</v>
      </c>
      <c r="F143" s="122" t="s">
        <v>5006</v>
      </c>
      <c r="G143" s="125" t="s">
        <v>5004</v>
      </c>
      <c r="H143" s="1"/>
      <c r="I143" s="122" t="s">
        <v>5005</v>
      </c>
      <c r="J143" s="122" t="s">
        <v>1226</v>
      </c>
      <c r="K143" s="122" t="s">
        <v>2924</v>
      </c>
      <c r="L143" s="123">
        <v>5464.29</v>
      </c>
      <c r="M143" s="123">
        <v>45535.71</v>
      </c>
      <c r="N143"/>
      <c r="O143"/>
      <c r="P143"/>
      <c r="Q143"/>
      <c r="R143"/>
      <c r="S143"/>
      <c r="U143"/>
      <c r="V143"/>
      <c r="W143"/>
      <c r="X143" s="2"/>
      <c r="Y143"/>
      <c r="Z143" s="2"/>
      <c r="AA143" s="2"/>
      <c r="AB143" s="123">
        <v>51000</v>
      </c>
      <c r="AC143" s="10">
        <f t="shared" si="4"/>
        <v>0</v>
      </c>
      <c r="AD143"/>
      <c r="AE143">
        <v>455.36</v>
      </c>
    </row>
    <row r="144" spans="1:31" x14ac:dyDescent="0.25">
      <c r="A144" s="122" t="s">
        <v>5001</v>
      </c>
      <c r="B144" s="125">
        <v>4233624</v>
      </c>
      <c r="C144" s="126">
        <v>45737</v>
      </c>
      <c r="D144" s="126">
        <v>45737</v>
      </c>
      <c r="E144" s="122"/>
      <c r="F144" s="122"/>
      <c r="G144" s="125"/>
      <c r="H144" s="125"/>
      <c r="I144" s="122" t="s">
        <v>5009</v>
      </c>
      <c r="J144" s="122" t="s">
        <v>65</v>
      </c>
      <c r="K144" s="122"/>
      <c r="L144" s="122"/>
      <c r="N144" s="122"/>
      <c r="O144" s="122"/>
      <c r="P144" s="122"/>
      <c r="Q144" s="122"/>
      <c r="R144" s="122"/>
      <c r="S144" s="122"/>
      <c r="U144" s="122"/>
      <c r="V144" s="122"/>
      <c r="W144" s="122"/>
      <c r="Y144" s="122"/>
      <c r="AA144" s="123">
        <v>15000</v>
      </c>
      <c r="AB144" s="123">
        <v>15000</v>
      </c>
      <c r="AC144" s="10">
        <f t="shared" si="4"/>
        <v>0</v>
      </c>
      <c r="AD144"/>
      <c r="AE144"/>
    </row>
    <row r="145" spans="1:31" x14ac:dyDescent="0.25">
      <c r="A145" s="122" t="s">
        <v>5010</v>
      </c>
      <c r="B145" s="125">
        <v>4233625</v>
      </c>
      <c r="C145" s="126">
        <v>45768</v>
      </c>
      <c r="D145" s="126">
        <v>45740</v>
      </c>
      <c r="E145" s="126">
        <v>45754</v>
      </c>
      <c r="F145" s="122" t="s">
        <v>5040</v>
      </c>
      <c r="G145" s="125" t="s">
        <v>5011</v>
      </c>
      <c r="H145" s="1"/>
      <c r="I145" s="122" t="s">
        <v>5012</v>
      </c>
      <c r="J145" s="122" t="s">
        <v>83</v>
      </c>
      <c r="K145" s="122" t="s">
        <v>1336</v>
      </c>
      <c r="L145" s="123">
        <v>1767.86</v>
      </c>
      <c r="M145" s="123">
        <v>14732.14</v>
      </c>
      <c r="N145"/>
      <c r="O145"/>
      <c r="P145"/>
      <c r="Q145"/>
      <c r="R145"/>
      <c r="S145"/>
      <c r="U145"/>
      <c r="V145"/>
      <c r="W145"/>
      <c r="X145" s="2"/>
      <c r="Y145"/>
      <c r="Z145" s="2"/>
      <c r="AA145" s="2"/>
      <c r="AB145" s="123">
        <v>16500</v>
      </c>
      <c r="AC145" s="10">
        <f t="shared" si="4"/>
        <v>0</v>
      </c>
      <c r="AD145"/>
      <c r="AE145">
        <v>147.32</v>
      </c>
    </row>
    <row r="146" spans="1:31" x14ac:dyDescent="0.25">
      <c r="A146" s="122" t="s">
        <v>5014</v>
      </c>
      <c r="B146" s="122" t="s">
        <v>5015</v>
      </c>
      <c r="C146" s="126">
        <v>45740</v>
      </c>
      <c r="D146" s="126">
        <v>45740</v>
      </c>
      <c r="E146"/>
      <c r="F146"/>
      <c r="G146" s="1"/>
      <c r="H146" s="1"/>
      <c r="I146" s="122" t="s">
        <v>41</v>
      </c>
      <c r="J146" s="122" t="s">
        <v>54</v>
      </c>
      <c r="K146"/>
      <c r="L146"/>
      <c r="M146" s="2"/>
      <c r="N146"/>
      <c r="O146"/>
      <c r="P146"/>
      <c r="Q146"/>
      <c r="R146"/>
      <c r="S146"/>
      <c r="U146"/>
      <c r="V146"/>
      <c r="W146"/>
      <c r="X146" s="2"/>
      <c r="Y146"/>
      <c r="Z146" s="123">
        <v>250000</v>
      </c>
      <c r="AA146" s="2"/>
      <c r="AB146" s="123">
        <v>250000</v>
      </c>
      <c r="AC146" s="10">
        <f t="shared" si="4"/>
        <v>0</v>
      </c>
      <c r="AD146"/>
      <c r="AE146"/>
    </row>
    <row r="147" spans="1:31" x14ac:dyDescent="0.25">
      <c r="A147" s="122" t="s">
        <v>5021</v>
      </c>
      <c r="B147" s="125">
        <v>4233626</v>
      </c>
      <c r="C147" s="126">
        <v>45744</v>
      </c>
      <c r="D147" s="126">
        <v>45743</v>
      </c>
      <c r="E147"/>
      <c r="F147"/>
      <c r="G147" s="1"/>
      <c r="H147" s="1"/>
      <c r="I147" s="122" t="s">
        <v>4612</v>
      </c>
      <c r="J147" s="122" t="s">
        <v>1847</v>
      </c>
      <c r="K147"/>
      <c r="L147"/>
      <c r="M147" s="2"/>
      <c r="N147"/>
      <c r="O147"/>
      <c r="P147"/>
      <c r="Q147"/>
      <c r="R147"/>
      <c r="S147"/>
      <c r="U147"/>
      <c r="V147"/>
      <c r="W147"/>
      <c r="X147" s="2"/>
      <c r="Y147"/>
      <c r="Z147" s="2"/>
      <c r="AA147" s="123">
        <v>29360</v>
      </c>
      <c r="AB147" s="123">
        <v>29360</v>
      </c>
      <c r="AC147" s="10">
        <f t="shared" si="4"/>
        <v>0</v>
      </c>
      <c r="AD147"/>
      <c r="AE147"/>
    </row>
    <row r="148" spans="1:31" x14ac:dyDescent="0.25">
      <c r="A148" s="122" t="s">
        <v>5022</v>
      </c>
      <c r="B148" s="125">
        <v>4233627</v>
      </c>
      <c r="C148" s="126">
        <v>45744</v>
      </c>
      <c r="D148" s="126">
        <v>45743</v>
      </c>
      <c r="E148"/>
      <c r="F148"/>
      <c r="G148" s="1"/>
      <c r="H148" s="1"/>
      <c r="I148" s="122" t="s">
        <v>4612</v>
      </c>
      <c r="J148" s="122" t="s">
        <v>125</v>
      </c>
      <c r="K148"/>
      <c r="L148"/>
      <c r="M148" s="2"/>
      <c r="N148"/>
      <c r="O148"/>
      <c r="P148"/>
      <c r="Q148"/>
      <c r="R148"/>
      <c r="S148"/>
      <c r="U148"/>
      <c r="V148"/>
      <c r="W148"/>
      <c r="X148" s="2"/>
      <c r="Y148"/>
      <c r="Z148" s="2"/>
      <c r="AA148" s="123">
        <v>18000</v>
      </c>
      <c r="AB148" s="123">
        <v>18000</v>
      </c>
      <c r="AC148" s="10">
        <f t="shared" si="4"/>
        <v>0</v>
      </c>
      <c r="AD148"/>
      <c r="AE148"/>
    </row>
    <row r="149" spans="1:31" x14ac:dyDescent="0.25">
      <c r="A149" s="122" t="s">
        <v>5023</v>
      </c>
      <c r="B149" s="125">
        <v>4233628</v>
      </c>
      <c r="C149" s="126">
        <v>45771</v>
      </c>
      <c r="D149" s="126">
        <v>45743</v>
      </c>
      <c r="E149" s="126">
        <v>45769</v>
      </c>
      <c r="F149" s="122" t="s">
        <v>5117</v>
      </c>
      <c r="G149" s="1" t="s">
        <v>5118</v>
      </c>
      <c r="H149" s="1"/>
      <c r="I149" s="122" t="s">
        <v>5027</v>
      </c>
      <c r="J149" s="122" t="s">
        <v>2687</v>
      </c>
      <c r="K149" s="122" t="s">
        <v>61</v>
      </c>
      <c r="L149" s="122">
        <v>857.14</v>
      </c>
      <c r="M149" s="123">
        <v>7142.86</v>
      </c>
      <c r="N149"/>
      <c r="O149"/>
      <c r="P149"/>
      <c r="Q149"/>
      <c r="R149"/>
      <c r="S149"/>
      <c r="U149"/>
      <c r="V149"/>
      <c r="W149"/>
      <c r="X149" s="2"/>
      <c r="Y149"/>
      <c r="Z149" s="2"/>
      <c r="AA149" s="2"/>
      <c r="AB149" s="123">
        <v>8000</v>
      </c>
      <c r="AC149" s="10">
        <f t="shared" si="4"/>
        <v>0</v>
      </c>
      <c r="AD149"/>
      <c r="AE149">
        <v>71.430000000000007</v>
      </c>
    </row>
    <row r="150" spans="1:31" x14ac:dyDescent="0.25">
      <c r="A150" s="122" t="s">
        <v>5024</v>
      </c>
      <c r="B150" s="125">
        <v>4233629</v>
      </c>
      <c r="C150" s="126">
        <v>45773</v>
      </c>
      <c r="D150" s="126">
        <v>45743</v>
      </c>
      <c r="E150" s="126">
        <v>45751</v>
      </c>
      <c r="F150" s="122" t="s">
        <v>5038</v>
      </c>
      <c r="G150" s="146" t="s">
        <v>5039</v>
      </c>
      <c r="H150" s="1"/>
      <c r="I150" s="122" t="s">
        <v>5028</v>
      </c>
      <c r="J150" s="122" t="s">
        <v>3527</v>
      </c>
      <c r="K150" s="122" t="s">
        <v>3530</v>
      </c>
      <c r="L150" s="122">
        <v>2455.71</v>
      </c>
      <c r="M150" s="123">
        <v>20464.29</v>
      </c>
      <c r="N150"/>
      <c r="O150"/>
      <c r="P150"/>
      <c r="Q150"/>
      <c r="R150"/>
      <c r="S150"/>
      <c r="U150"/>
      <c r="V150"/>
      <c r="W150"/>
      <c r="X150" s="2"/>
      <c r="Y150"/>
      <c r="Z150" s="2"/>
      <c r="AA150" s="2"/>
      <c r="AB150" s="123">
        <v>22920</v>
      </c>
      <c r="AC150" s="10">
        <f t="shared" si="4"/>
        <v>0</v>
      </c>
      <c r="AD150"/>
      <c r="AE150">
        <v>204.64</v>
      </c>
    </row>
    <row r="151" spans="1:31" x14ac:dyDescent="0.25">
      <c r="A151" s="122" t="s">
        <v>5025</v>
      </c>
      <c r="B151" s="125">
        <v>4233630</v>
      </c>
      <c r="C151" s="126">
        <v>45747</v>
      </c>
      <c r="D151" s="126">
        <v>45747</v>
      </c>
      <c r="E151"/>
      <c r="F151"/>
      <c r="G151" s="1"/>
      <c r="H151" s="125" t="s">
        <v>3804</v>
      </c>
      <c r="I151" s="122" t="s">
        <v>5030</v>
      </c>
      <c r="J151" s="122" t="s">
        <v>3667</v>
      </c>
      <c r="K151"/>
      <c r="L151"/>
      <c r="M151" s="2"/>
      <c r="N151"/>
      <c r="O151"/>
      <c r="P151"/>
      <c r="Q151"/>
      <c r="R151"/>
      <c r="S151"/>
      <c r="T151" s="123">
        <v>8060.19</v>
      </c>
      <c r="U151"/>
      <c r="V151"/>
      <c r="W151"/>
      <c r="X151" s="2"/>
      <c r="Y151"/>
      <c r="Z151" s="2"/>
      <c r="AA151" s="2"/>
      <c r="AB151" s="123">
        <v>8060.19</v>
      </c>
      <c r="AC151" s="10">
        <f t="shared" si="4"/>
        <v>0</v>
      </c>
      <c r="AD151"/>
      <c r="AE151"/>
    </row>
    <row r="152" spans="1:31" x14ac:dyDescent="0.25">
      <c r="A152" s="122" t="s">
        <v>5026</v>
      </c>
      <c r="B152" s="125">
        <v>4233631</v>
      </c>
      <c r="C152" s="126">
        <v>45747</v>
      </c>
      <c r="D152" s="126">
        <v>45747</v>
      </c>
      <c r="E152" s="122"/>
      <c r="F152" s="122"/>
      <c r="G152" s="125"/>
      <c r="H152" s="125"/>
      <c r="I152" s="122" t="s">
        <v>5029</v>
      </c>
      <c r="J152" s="122" t="s">
        <v>39</v>
      </c>
      <c r="K152" s="122"/>
      <c r="L152" s="122"/>
      <c r="N152" s="122"/>
      <c r="O152" s="122"/>
      <c r="P152" s="122"/>
      <c r="Q152" s="122"/>
      <c r="R152" s="122"/>
      <c r="S152" s="122"/>
      <c r="U152" s="122"/>
      <c r="V152" s="122"/>
      <c r="W152" s="122"/>
      <c r="Y152" s="122"/>
      <c r="AA152" s="123">
        <v>29521.58</v>
      </c>
      <c r="AB152" s="123">
        <v>29521.58</v>
      </c>
      <c r="AC152" s="10">
        <f t="shared" si="4"/>
        <v>0</v>
      </c>
      <c r="AD152"/>
      <c r="AE152"/>
    </row>
    <row r="153" spans="1:31" x14ac:dyDescent="0.25">
      <c r="A153" s="122" t="s">
        <v>5031</v>
      </c>
      <c r="B153" s="125">
        <v>4233633</v>
      </c>
      <c r="C153" s="126">
        <v>45747</v>
      </c>
      <c r="D153" s="126">
        <v>45747</v>
      </c>
      <c r="E153" s="126">
        <v>45747</v>
      </c>
      <c r="F153" s="122" t="s">
        <v>4945</v>
      </c>
      <c r="G153" s="125" t="s">
        <v>4856</v>
      </c>
      <c r="H153" s="125"/>
      <c r="I153" s="122" t="s">
        <v>5032</v>
      </c>
      <c r="J153" s="122" t="s">
        <v>1226</v>
      </c>
      <c r="K153" s="122" t="s">
        <v>2924</v>
      </c>
      <c r="L153" s="122">
        <v>4553.57</v>
      </c>
      <c r="M153" s="123">
        <v>37946.43</v>
      </c>
      <c r="N153" s="122"/>
      <c r="O153" s="122"/>
      <c r="P153" s="122"/>
      <c r="Q153" s="122"/>
      <c r="R153" s="122"/>
      <c r="S153" s="122"/>
      <c r="U153" s="122"/>
      <c r="V153" s="122"/>
      <c r="W153" s="122"/>
      <c r="Y153" s="122"/>
      <c r="AB153" s="123">
        <v>42500</v>
      </c>
      <c r="AC153" s="123">
        <f t="shared" si="4"/>
        <v>0</v>
      </c>
      <c r="AD153"/>
      <c r="AE153"/>
    </row>
    <row r="154" spans="1:31" x14ac:dyDescent="0.25">
      <c r="A154" s="144">
        <v>45748</v>
      </c>
      <c r="B154" s="137"/>
      <c r="C154" s="138"/>
      <c r="D154" s="138"/>
      <c r="E154" s="138"/>
      <c r="F154" s="137"/>
      <c r="G154" s="139"/>
      <c r="H154" s="139"/>
      <c r="I154" s="137"/>
      <c r="J154" s="137"/>
      <c r="K154" s="137"/>
      <c r="L154" s="140"/>
      <c r="M154" s="140"/>
      <c r="N154" s="140"/>
      <c r="O154" s="137"/>
      <c r="P154" s="137"/>
      <c r="Q154" s="137"/>
      <c r="R154" s="137"/>
      <c r="S154" s="137"/>
      <c r="T154" s="140"/>
      <c r="U154" s="141"/>
      <c r="V154" s="141"/>
      <c r="W154" s="141"/>
      <c r="X154" s="142"/>
      <c r="Y154" s="141"/>
      <c r="Z154" s="142"/>
      <c r="AA154" s="142"/>
      <c r="AB154" s="140"/>
      <c r="AC154" s="143"/>
      <c r="AD154" s="141"/>
      <c r="AE154" s="140"/>
    </row>
    <row r="155" spans="1:31" x14ac:dyDescent="0.25">
      <c r="A155" s="149"/>
      <c r="B155" s="122"/>
      <c r="E155" s="126"/>
      <c r="F155" s="122"/>
      <c r="G155" s="125"/>
      <c r="H155" s="125"/>
      <c r="I155" s="7" t="s">
        <v>5072</v>
      </c>
      <c r="J155" s="51" t="s">
        <v>132</v>
      </c>
      <c r="K155" s="1"/>
      <c r="O155" s="122"/>
      <c r="P155" s="122"/>
      <c r="Q155" s="123">
        <v>62922.14</v>
      </c>
      <c r="R155" s="122"/>
      <c r="S155" s="122"/>
      <c r="U155"/>
      <c r="V155"/>
      <c r="W155"/>
      <c r="X155" s="2"/>
      <c r="Y155"/>
      <c r="Z155" s="2"/>
      <c r="AA155" s="2"/>
      <c r="AB155" s="123">
        <v>62922.14</v>
      </c>
      <c r="AC155" s="10">
        <f t="shared" si="4"/>
        <v>0</v>
      </c>
      <c r="AD155" s="82" t="s">
        <v>133</v>
      </c>
    </row>
    <row r="156" spans="1:31" x14ac:dyDescent="0.25">
      <c r="A156" s="122" t="s">
        <v>5033</v>
      </c>
      <c r="B156" s="125">
        <v>4233634</v>
      </c>
      <c r="C156" s="126">
        <v>45750</v>
      </c>
      <c r="D156" s="126">
        <v>45750</v>
      </c>
      <c r="E156"/>
      <c r="F156"/>
      <c r="G156" s="1"/>
      <c r="H156" s="125" t="s">
        <v>3816</v>
      </c>
      <c r="I156" s="122" t="s">
        <v>5030</v>
      </c>
      <c r="J156" s="122" t="s">
        <v>3667</v>
      </c>
      <c r="K156"/>
      <c r="L156"/>
      <c r="M156" s="2"/>
      <c r="N156"/>
      <c r="O156"/>
      <c r="P156"/>
      <c r="Q156"/>
      <c r="R156"/>
      <c r="S156"/>
      <c r="T156" s="123">
        <v>5831</v>
      </c>
      <c r="U156"/>
      <c r="V156"/>
      <c r="W156"/>
      <c r="X156" s="2"/>
      <c r="Y156"/>
      <c r="Z156" s="2"/>
      <c r="AA156" s="2"/>
      <c r="AB156" s="123">
        <v>5831</v>
      </c>
      <c r="AC156" s="10">
        <f t="shared" si="4"/>
        <v>0</v>
      </c>
      <c r="AD156"/>
      <c r="AE156"/>
    </row>
    <row r="157" spans="1:31" x14ac:dyDescent="0.25">
      <c r="A157" s="122" t="s">
        <v>5034</v>
      </c>
      <c r="B157" s="125">
        <v>4233635</v>
      </c>
      <c r="C157" s="126">
        <v>45750</v>
      </c>
      <c r="D157" s="126">
        <v>45750</v>
      </c>
      <c r="E157" s="122"/>
      <c r="F157" s="122"/>
      <c r="G157" s="125"/>
      <c r="H157" s="125"/>
      <c r="I157" s="122" t="s">
        <v>5035</v>
      </c>
      <c r="J157" s="122" t="s">
        <v>39</v>
      </c>
      <c r="K157" s="122"/>
      <c r="L157" s="122"/>
      <c r="N157" s="122"/>
      <c r="O157" s="122"/>
      <c r="P157" s="122"/>
      <c r="Q157" s="122"/>
      <c r="R157" s="122"/>
      <c r="S157" s="122"/>
      <c r="U157" s="122"/>
      <c r="V157" s="122"/>
      <c r="W157" s="122"/>
      <c r="Y157" s="122"/>
      <c r="AA157" s="123">
        <v>15176</v>
      </c>
      <c r="AB157" s="123">
        <v>15176</v>
      </c>
      <c r="AC157" s="10">
        <f t="shared" si="4"/>
        <v>0</v>
      </c>
      <c r="AD157"/>
      <c r="AE157"/>
    </row>
    <row r="158" spans="1:31" x14ac:dyDescent="0.25">
      <c r="A158" s="122" t="s">
        <v>5041</v>
      </c>
      <c r="B158" s="122" t="s">
        <v>5042</v>
      </c>
      <c r="C158" s="126">
        <v>45755</v>
      </c>
      <c r="D158" s="126">
        <v>45755</v>
      </c>
      <c r="E158" s="147"/>
      <c r="F158"/>
      <c r="G158" s="1"/>
      <c r="H158" s="1"/>
      <c r="I158" s="122" t="s">
        <v>41</v>
      </c>
      <c r="J158" s="122" t="s">
        <v>54</v>
      </c>
      <c r="K158"/>
      <c r="L158"/>
      <c r="M158" s="2"/>
      <c r="N158"/>
      <c r="O158"/>
      <c r="P158"/>
      <c r="Q158"/>
      <c r="R158"/>
      <c r="S158"/>
      <c r="U158"/>
      <c r="V158"/>
      <c r="W158"/>
      <c r="X158" s="2"/>
      <c r="Y158"/>
      <c r="Z158" s="123">
        <v>300000</v>
      </c>
      <c r="AA158" s="2"/>
      <c r="AB158" s="123">
        <v>300000</v>
      </c>
      <c r="AC158" s="10">
        <f t="shared" si="4"/>
        <v>0</v>
      </c>
      <c r="AD158"/>
      <c r="AE158"/>
    </row>
    <row r="159" spans="1:31" x14ac:dyDescent="0.25">
      <c r="A159" s="122" t="s">
        <v>5043</v>
      </c>
      <c r="B159" s="125">
        <v>4233636</v>
      </c>
      <c r="C159" s="126">
        <v>45755</v>
      </c>
      <c r="D159" s="126">
        <v>45755</v>
      </c>
      <c r="E159" s="147"/>
      <c r="F159"/>
      <c r="G159" s="1"/>
      <c r="H159" s="125" t="s">
        <v>3818</v>
      </c>
      <c r="I159" s="122" t="s">
        <v>5030</v>
      </c>
      <c r="J159" s="122" t="s">
        <v>3667</v>
      </c>
      <c r="K159"/>
      <c r="L159"/>
      <c r="M159" s="2"/>
      <c r="N159"/>
      <c r="O159"/>
      <c r="P159"/>
      <c r="Q159"/>
      <c r="R159"/>
      <c r="S159"/>
      <c r="T159" s="123">
        <v>3699.35</v>
      </c>
      <c r="U159"/>
      <c r="V159"/>
      <c r="W159"/>
      <c r="X159" s="2"/>
      <c r="Y159"/>
      <c r="Z159" s="2"/>
      <c r="AA159" s="2"/>
      <c r="AB159" s="123">
        <v>3699.35</v>
      </c>
      <c r="AC159" s="10">
        <f t="shared" si="4"/>
        <v>0</v>
      </c>
      <c r="AD159"/>
      <c r="AE159"/>
    </row>
    <row r="160" spans="1:31" x14ac:dyDescent="0.25">
      <c r="A160" s="122" t="s">
        <v>5044</v>
      </c>
      <c r="B160" s="125">
        <v>4233637</v>
      </c>
      <c r="C160" s="126">
        <v>45755</v>
      </c>
      <c r="D160" s="126">
        <v>45755</v>
      </c>
      <c r="E160" s="147"/>
      <c r="F160"/>
      <c r="G160" s="1"/>
      <c r="H160" s="1" t="s">
        <v>4054</v>
      </c>
      <c r="I160" s="122" t="s">
        <v>5045</v>
      </c>
      <c r="J160" s="122" t="s">
        <v>5046</v>
      </c>
      <c r="K160"/>
      <c r="L160"/>
      <c r="M160" s="2"/>
      <c r="N160"/>
      <c r="O160"/>
      <c r="P160"/>
      <c r="Q160"/>
      <c r="R160"/>
      <c r="S160"/>
      <c r="U160"/>
      <c r="V160"/>
      <c r="W160"/>
      <c r="X160" s="2"/>
      <c r="Y160"/>
      <c r="Z160" s="2"/>
      <c r="AA160" s="123">
        <v>50000</v>
      </c>
      <c r="AB160" s="123">
        <v>50000</v>
      </c>
      <c r="AC160" s="10">
        <f t="shared" si="4"/>
        <v>0</v>
      </c>
      <c r="AD160"/>
      <c r="AE160"/>
    </row>
    <row r="161" spans="1:37" x14ac:dyDescent="0.25">
      <c r="A161" s="122" t="s">
        <v>5047</v>
      </c>
      <c r="B161" s="125">
        <v>4233638</v>
      </c>
      <c r="C161" s="126">
        <v>45755</v>
      </c>
      <c r="D161" s="126">
        <v>45755</v>
      </c>
      <c r="E161" s="126">
        <v>45771</v>
      </c>
      <c r="F161" s="122" t="s">
        <v>5128</v>
      </c>
      <c r="G161" s="125" t="s">
        <v>4936</v>
      </c>
      <c r="H161" s="1"/>
      <c r="I161" s="122" t="s">
        <v>5054</v>
      </c>
      <c r="J161" s="122" t="s">
        <v>3527</v>
      </c>
      <c r="K161" s="122" t="s">
        <v>3530</v>
      </c>
      <c r="L161"/>
      <c r="M161" s="2"/>
      <c r="N161"/>
      <c r="O161"/>
      <c r="P161"/>
      <c r="Q161"/>
      <c r="R161"/>
      <c r="S161"/>
      <c r="U161"/>
      <c r="V161"/>
      <c r="W161"/>
      <c r="X161" s="2"/>
      <c r="Y161"/>
      <c r="Z161" s="2"/>
      <c r="AA161" s="123">
        <v>24000</v>
      </c>
      <c r="AB161" s="123">
        <v>24000</v>
      </c>
      <c r="AC161" s="10">
        <f t="shared" si="4"/>
        <v>0</v>
      </c>
      <c r="AD161"/>
      <c r="AE161"/>
    </row>
    <row r="162" spans="1:37" x14ac:dyDescent="0.25">
      <c r="A162" s="122" t="s">
        <v>5048</v>
      </c>
      <c r="B162" s="125">
        <v>4233639</v>
      </c>
      <c r="C162" s="126">
        <v>45755</v>
      </c>
      <c r="D162" s="126">
        <v>45755</v>
      </c>
      <c r="E162" s="151">
        <v>45771</v>
      </c>
      <c r="F162" s="122" t="s">
        <v>5129</v>
      </c>
      <c r="G162" s="125" t="s">
        <v>4936</v>
      </c>
      <c r="H162" s="1"/>
      <c r="I162" s="122" t="s">
        <v>5055</v>
      </c>
      <c r="J162" s="122" t="s">
        <v>3527</v>
      </c>
      <c r="K162" s="122" t="s">
        <v>3530</v>
      </c>
      <c r="L162" s="123">
        <v>1446.43</v>
      </c>
      <c r="M162" s="123">
        <v>12053.57</v>
      </c>
      <c r="N162"/>
      <c r="O162"/>
      <c r="P162"/>
      <c r="Q162"/>
      <c r="R162"/>
      <c r="S162"/>
      <c r="U162"/>
      <c r="V162"/>
      <c r="W162"/>
      <c r="X162" s="2"/>
      <c r="Y162"/>
      <c r="Z162" s="2"/>
      <c r="AA162" s="2"/>
      <c r="AB162" s="123">
        <v>13500</v>
      </c>
      <c r="AC162" s="10">
        <f t="shared" si="4"/>
        <v>0</v>
      </c>
      <c r="AD162"/>
      <c r="AE162">
        <v>120.54</v>
      </c>
    </row>
    <row r="163" spans="1:37" x14ac:dyDescent="0.25">
      <c r="A163" s="122" t="s">
        <v>5049</v>
      </c>
      <c r="B163" s="125">
        <v>4233640</v>
      </c>
      <c r="C163" s="126">
        <v>45799</v>
      </c>
      <c r="D163" s="126">
        <v>45755</v>
      </c>
      <c r="E163" s="126">
        <v>45762</v>
      </c>
      <c r="F163" s="122" t="s">
        <v>5089</v>
      </c>
      <c r="G163" s="125" t="s">
        <v>4962</v>
      </c>
      <c r="H163" s="1"/>
      <c r="I163" s="122" t="s">
        <v>4576</v>
      </c>
      <c r="J163" s="122" t="s">
        <v>1226</v>
      </c>
      <c r="K163" s="122" t="s">
        <v>2924</v>
      </c>
      <c r="L163" s="122">
        <v>9107.14</v>
      </c>
      <c r="M163" s="123">
        <v>75892.86</v>
      </c>
      <c r="N163"/>
      <c r="O163"/>
      <c r="P163"/>
      <c r="Q163"/>
      <c r="R163"/>
      <c r="S163"/>
      <c r="U163"/>
      <c r="V163"/>
      <c r="W163"/>
      <c r="X163" s="2"/>
      <c r="Y163"/>
      <c r="Z163" s="2"/>
      <c r="AA163" s="2"/>
      <c r="AB163" s="123">
        <v>85000</v>
      </c>
      <c r="AC163" s="10">
        <f t="shared" si="4"/>
        <v>0</v>
      </c>
      <c r="AD163"/>
      <c r="AE163">
        <v>758.93</v>
      </c>
    </row>
    <row r="164" spans="1:37" x14ac:dyDescent="0.25">
      <c r="A164" s="122" t="s">
        <v>5050</v>
      </c>
      <c r="B164" s="125">
        <v>4233641</v>
      </c>
      <c r="C164" s="126">
        <v>45784</v>
      </c>
      <c r="D164" s="126">
        <v>45755</v>
      </c>
      <c r="E164" s="126">
        <v>45785</v>
      </c>
      <c r="F164" s="122" t="s">
        <v>5170</v>
      </c>
      <c r="G164" s="125" t="s">
        <v>5056</v>
      </c>
      <c r="H164" s="1"/>
      <c r="I164" s="122" t="s">
        <v>5057</v>
      </c>
      <c r="J164" s="122" t="s">
        <v>83</v>
      </c>
      <c r="K164" s="122" t="s">
        <v>1336</v>
      </c>
      <c r="L164" s="123">
        <v>4500</v>
      </c>
      <c r="M164" s="123">
        <v>37500</v>
      </c>
      <c r="N164"/>
      <c r="O164"/>
      <c r="P164"/>
      <c r="Q164"/>
      <c r="R164"/>
      <c r="S164"/>
      <c r="U164"/>
      <c r="V164"/>
      <c r="W164"/>
      <c r="X164" s="2"/>
      <c r="Y164"/>
      <c r="Z164" s="2"/>
      <c r="AA164" s="2"/>
      <c r="AB164" s="123">
        <v>42000</v>
      </c>
      <c r="AC164" s="10">
        <f t="shared" si="4"/>
        <v>0</v>
      </c>
      <c r="AD164"/>
      <c r="AE164">
        <v>375</v>
      </c>
    </row>
    <row r="165" spans="1:37" x14ac:dyDescent="0.25">
      <c r="A165" s="122" t="s">
        <v>5051</v>
      </c>
      <c r="B165" s="125">
        <v>4233642</v>
      </c>
      <c r="C165" s="126">
        <v>45784</v>
      </c>
      <c r="D165" s="126">
        <v>45755</v>
      </c>
      <c r="E165" s="126">
        <v>45769</v>
      </c>
      <c r="F165" s="122" t="s">
        <v>5116</v>
      </c>
      <c r="G165" s="125" t="s">
        <v>5058</v>
      </c>
      <c r="H165" s="1"/>
      <c r="I165" s="122" t="s">
        <v>5059</v>
      </c>
      <c r="J165" s="122" t="s">
        <v>2087</v>
      </c>
      <c r="K165" s="122" t="s">
        <v>2088</v>
      </c>
      <c r="L165" s="123">
        <v>11785.71</v>
      </c>
      <c r="M165" s="123">
        <v>98214.29</v>
      </c>
      <c r="N165"/>
      <c r="O165"/>
      <c r="P165"/>
      <c r="Q165"/>
      <c r="R165"/>
      <c r="S165"/>
      <c r="U165"/>
      <c r="V165"/>
      <c r="W165"/>
      <c r="X165" s="2"/>
      <c r="Y165"/>
      <c r="Z165" s="2"/>
      <c r="AA165" s="2"/>
      <c r="AB165" s="123">
        <v>110000</v>
      </c>
      <c r="AC165" s="10">
        <f t="shared" si="4"/>
        <v>0</v>
      </c>
      <c r="AD165"/>
      <c r="AE165">
        <v>982.14</v>
      </c>
    </row>
    <row r="166" spans="1:37" x14ac:dyDescent="0.25">
      <c r="A166" s="122" t="s">
        <v>5052</v>
      </c>
      <c r="B166" s="125">
        <v>4233643</v>
      </c>
      <c r="C166" s="126">
        <v>45761</v>
      </c>
      <c r="D166" s="126">
        <v>45755</v>
      </c>
      <c r="E166" s="122"/>
      <c r="F166"/>
      <c r="G166" s="1"/>
      <c r="H166" s="1"/>
      <c r="I166" s="122" t="s">
        <v>5154</v>
      </c>
      <c r="J166" s="122" t="s">
        <v>43</v>
      </c>
      <c r="K166"/>
      <c r="L166" s="123">
        <v>32.14</v>
      </c>
      <c r="M166" s="2"/>
      <c r="N166"/>
      <c r="O166"/>
      <c r="P166"/>
      <c r="Q166"/>
      <c r="R166"/>
      <c r="S166" s="122">
        <v>267.86</v>
      </c>
      <c r="U166"/>
      <c r="V166"/>
      <c r="W166"/>
      <c r="X166" s="2"/>
      <c r="Y166"/>
      <c r="Z166" s="2"/>
      <c r="AA166" s="2"/>
      <c r="AB166" s="123">
        <v>300</v>
      </c>
      <c r="AC166" s="10">
        <f t="shared" si="4"/>
        <v>0</v>
      </c>
      <c r="AD166"/>
      <c r="AE166"/>
    </row>
    <row r="167" spans="1:37" x14ac:dyDescent="0.25">
      <c r="A167" s="122" t="s">
        <v>5053</v>
      </c>
      <c r="B167" s="125">
        <v>4233644</v>
      </c>
      <c r="C167" s="126">
        <v>45761</v>
      </c>
      <c r="D167" s="126">
        <v>45755</v>
      </c>
      <c r="E167" s="122"/>
      <c r="F167"/>
      <c r="G167" s="1"/>
      <c r="H167" s="1"/>
      <c r="I167" s="122" t="s">
        <v>5154</v>
      </c>
      <c r="J167" s="122" t="s">
        <v>43</v>
      </c>
      <c r="K167"/>
      <c r="L167" s="123">
        <v>37.26</v>
      </c>
      <c r="M167" s="2"/>
      <c r="N167"/>
      <c r="O167"/>
      <c r="P167"/>
      <c r="Q167"/>
      <c r="R167"/>
      <c r="S167" s="122">
        <v>310.54000000000002</v>
      </c>
      <c r="U167"/>
      <c r="V167"/>
      <c r="W167"/>
      <c r="X167" s="2"/>
      <c r="Y167"/>
      <c r="Z167" s="2"/>
      <c r="AA167" s="2"/>
      <c r="AB167" s="123">
        <v>347.8</v>
      </c>
      <c r="AC167" s="10">
        <f t="shared" si="4"/>
        <v>0</v>
      </c>
      <c r="AD167"/>
      <c r="AE167"/>
    </row>
    <row r="168" spans="1:37" x14ac:dyDescent="0.25">
      <c r="A168" s="122" t="s">
        <v>5060</v>
      </c>
      <c r="B168" s="122" t="s">
        <v>5061</v>
      </c>
      <c r="C168" s="126">
        <v>45758</v>
      </c>
      <c r="D168" s="126">
        <v>45755</v>
      </c>
      <c r="E168" s="126">
        <v>45758</v>
      </c>
      <c r="F168" s="122" t="s">
        <v>5087</v>
      </c>
      <c r="G168" s="125" t="s">
        <v>5062</v>
      </c>
      <c r="H168" s="1"/>
      <c r="I168" s="122" t="s">
        <v>5063</v>
      </c>
      <c r="J168" s="122" t="s">
        <v>4717</v>
      </c>
      <c r="K168" s="122" t="s">
        <v>4718</v>
      </c>
      <c r="L168" s="123">
        <v>14364.11</v>
      </c>
      <c r="M168" s="123">
        <v>119700.89</v>
      </c>
      <c r="N168"/>
      <c r="O168"/>
      <c r="P168"/>
      <c r="Q168"/>
      <c r="R168"/>
      <c r="S168"/>
      <c r="U168"/>
      <c r="V168"/>
      <c r="W168"/>
      <c r="X168" s="2"/>
      <c r="Y168"/>
      <c r="Z168" s="2"/>
      <c r="AA168" s="2"/>
      <c r="AB168" s="123">
        <v>134065</v>
      </c>
      <c r="AC168" s="10">
        <f t="shared" si="4"/>
        <v>0</v>
      </c>
      <c r="AD168"/>
      <c r="AE168" s="123">
        <v>1197.01</v>
      </c>
    </row>
    <row r="169" spans="1:37" x14ac:dyDescent="0.25">
      <c r="A169" s="122" t="s">
        <v>5064</v>
      </c>
      <c r="B169" s="125">
        <v>4233645</v>
      </c>
      <c r="C169" s="126">
        <v>45762</v>
      </c>
      <c r="D169" s="126">
        <v>45758</v>
      </c>
      <c r="E169"/>
      <c r="F169"/>
      <c r="G169" s="1"/>
      <c r="H169" s="1"/>
      <c r="I169" s="122" t="s">
        <v>4612</v>
      </c>
      <c r="J169" s="122" t="s">
        <v>1847</v>
      </c>
      <c r="K169"/>
      <c r="L169"/>
      <c r="M169" s="2"/>
      <c r="N169"/>
      <c r="O169"/>
      <c r="P169"/>
      <c r="Q169"/>
      <c r="R169"/>
      <c r="S169"/>
      <c r="U169"/>
      <c r="V169"/>
      <c r="W169"/>
      <c r="X169" s="2"/>
      <c r="Y169"/>
      <c r="Z169" s="2"/>
      <c r="AA169" s="2">
        <v>25600</v>
      </c>
      <c r="AB169" s="123">
        <v>25600</v>
      </c>
      <c r="AC169" s="10">
        <f t="shared" si="4"/>
        <v>0</v>
      </c>
      <c r="AD169"/>
      <c r="AE169"/>
      <c r="AK169" t="s">
        <v>4389</v>
      </c>
    </row>
    <row r="170" spans="1:37" x14ac:dyDescent="0.25">
      <c r="A170" s="122" t="s">
        <v>5065</v>
      </c>
      <c r="B170" s="125">
        <v>4233646</v>
      </c>
      <c r="C170" s="126">
        <v>45762</v>
      </c>
      <c r="D170" s="126">
        <v>45758</v>
      </c>
      <c r="E170"/>
      <c r="F170"/>
      <c r="G170" s="1"/>
      <c r="H170" s="1"/>
      <c r="I170" s="122" t="s">
        <v>4612</v>
      </c>
      <c r="J170" s="122" t="s">
        <v>125</v>
      </c>
      <c r="K170"/>
      <c r="L170"/>
      <c r="M170" s="2"/>
      <c r="N170"/>
      <c r="O170"/>
      <c r="P170"/>
      <c r="Q170"/>
      <c r="R170"/>
      <c r="S170"/>
      <c r="U170"/>
      <c r="V170"/>
      <c r="W170"/>
      <c r="X170" s="2"/>
      <c r="Y170"/>
      <c r="Z170" s="2"/>
      <c r="AA170" s="2">
        <v>16000</v>
      </c>
      <c r="AB170" s="123">
        <v>16000</v>
      </c>
      <c r="AC170" s="10">
        <f t="shared" si="4"/>
        <v>0</v>
      </c>
      <c r="AD170"/>
      <c r="AE170"/>
    </row>
    <row r="171" spans="1:37" x14ac:dyDescent="0.25">
      <c r="A171" s="122" t="s">
        <v>5066</v>
      </c>
      <c r="B171" s="125">
        <v>4233647</v>
      </c>
      <c r="C171" s="126">
        <v>45761</v>
      </c>
      <c r="D171" s="126">
        <v>45758</v>
      </c>
      <c r="E171" s="126">
        <v>45763</v>
      </c>
      <c r="F171" s="122" t="s">
        <v>5090</v>
      </c>
      <c r="G171" s="1"/>
      <c r="H171" s="1"/>
      <c r="I171" s="122" t="s">
        <v>5068</v>
      </c>
      <c r="J171" s="122" t="s">
        <v>187</v>
      </c>
      <c r="K171"/>
      <c r="L171"/>
      <c r="M171" s="2"/>
      <c r="N171"/>
      <c r="O171"/>
      <c r="P171"/>
      <c r="Q171"/>
      <c r="R171"/>
      <c r="S171"/>
      <c r="U171"/>
      <c r="V171"/>
      <c r="W171"/>
      <c r="X171" s="2"/>
      <c r="Y171"/>
      <c r="Z171" s="2"/>
      <c r="AA171" s="2">
        <v>5985.6</v>
      </c>
      <c r="AB171" s="123">
        <v>5985.6</v>
      </c>
      <c r="AC171" s="10">
        <f t="shared" si="4"/>
        <v>0</v>
      </c>
      <c r="AD171"/>
      <c r="AE171"/>
    </row>
    <row r="172" spans="1:37" x14ac:dyDescent="0.25">
      <c r="A172" s="122" t="s">
        <v>5067</v>
      </c>
      <c r="B172" s="125">
        <v>4233648</v>
      </c>
      <c r="C172" s="126">
        <v>45758</v>
      </c>
      <c r="D172" s="126">
        <v>45758</v>
      </c>
      <c r="E172"/>
      <c r="F172"/>
      <c r="G172" s="1"/>
      <c r="H172" s="125" t="s">
        <v>3845</v>
      </c>
      <c r="I172" s="122" t="s">
        <v>4977</v>
      </c>
      <c r="J172" s="122" t="s">
        <v>3667</v>
      </c>
      <c r="K172"/>
      <c r="L172"/>
      <c r="M172" s="2"/>
      <c r="N172"/>
      <c r="O172"/>
      <c r="P172"/>
      <c r="Q172"/>
      <c r="R172"/>
      <c r="S172"/>
      <c r="T172" s="123">
        <v>9987.48</v>
      </c>
      <c r="U172"/>
      <c r="V172"/>
      <c r="W172"/>
      <c r="X172" s="2"/>
      <c r="Y172"/>
      <c r="Z172" s="2"/>
      <c r="AA172" s="2"/>
      <c r="AB172" s="123">
        <v>9987.48</v>
      </c>
      <c r="AC172" s="10">
        <f t="shared" si="4"/>
        <v>0</v>
      </c>
      <c r="AD172"/>
      <c r="AE172"/>
    </row>
    <row r="173" spans="1:37" x14ac:dyDescent="0.25">
      <c r="A173" s="122" t="s">
        <v>5069</v>
      </c>
      <c r="B173" s="125">
        <v>4233649</v>
      </c>
      <c r="C173" s="126">
        <v>45758</v>
      </c>
      <c r="D173" s="126">
        <v>45758</v>
      </c>
      <c r="E173"/>
      <c r="F173"/>
      <c r="G173" s="1"/>
      <c r="H173" s="1"/>
      <c r="I173" s="122" t="s">
        <v>5070</v>
      </c>
      <c r="J173" s="122" t="s">
        <v>5071</v>
      </c>
      <c r="K173"/>
      <c r="L173"/>
      <c r="M173" s="2"/>
      <c r="N173"/>
      <c r="O173"/>
      <c r="P173"/>
      <c r="Q173"/>
      <c r="R173"/>
      <c r="S173"/>
      <c r="U173"/>
      <c r="V173"/>
      <c r="W173"/>
      <c r="X173" s="2"/>
      <c r="Y173"/>
      <c r="Z173" s="2"/>
      <c r="AA173" s="123">
        <v>4116</v>
      </c>
      <c r="AB173" s="123">
        <v>4116</v>
      </c>
      <c r="AC173" s="10">
        <f t="shared" si="4"/>
        <v>0</v>
      </c>
      <c r="AD173"/>
      <c r="AE173"/>
    </row>
    <row r="174" spans="1:37" x14ac:dyDescent="0.25">
      <c r="A174" s="122" t="s">
        <v>5073</v>
      </c>
      <c r="B174" s="125">
        <v>4233650</v>
      </c>
      <c r="C174" s="126">
        <v>45762</v>
      </c>
      <c r="D174" s="126">
        <v>45761</v>
      </c>
      <c r="E174"/>
      <c r="F174" s="7"/>
      <c r="G174" s="7"/>
      <c r="H174" s="1"/>
      <c r="I174" s="122" t="s">
        <v>4612</v>
      </c>
      <c r="J174" s="122" t="s">
        <v>125</v>
      </c>
      <c r="K174"/>
      <c r="L174"/>
      <c r="M174" s="2"/>
      <c r="N174"/>
      <c r="O174"/>
      <c r="P174"/>
      <c r="Q174"/>
      <c r="R174"/>
      <c r="S174"/>
      <c r="U174"/>
      <c r="V174"/>
      <c r="W174"/>
      <c r="X174" s="2"/>
      <c r="Y174"/>
      <c r="Z174" s="2"/>
      <c r="AA174" s="123">
        <v>15000</v>
      </c>
      <c r="AB174" s="123">
        <v>15000</v>
      </c>
      <c r="AC174" s="10">
        <f t="shared" si="4"/>
        <v>0</v>
      </c>
      <c r="AD174"/>
      <c r="AE174"/>
    </row>
    <row r="175" spans="1:37" x14ac:dyDescent="0.25">
      <c r="A175" s="122" t="s">
        <v>5074</v>
      </c>
      <c r="B175" s="125">
        <v>4233651</v>
      </c>
      <c r="C175" s="126">
        <v>45762</v>
      </c>
      <c r="D175" s="126">
        <v>45761</v>
      </c>
      <c r="E175"/>
      <c r="F175"/>
      <c r="G175" s="1"/>
      <c r="H175" s="1"/>
      <c r="I175" s="122" t="s">
        <v>5079</v>
      </c>
      <c r="J175" s="122" t="s">
        <v>4628</v>
      </c>
      <c r="K175"/>
      <c r="L175"/>
      <c r="M175" s="2"/>
      <c r="N175"/>
      <c r="O175"/>
      <c r="P175"/>
      <c r="Q175"/>
      <c r="R175"/>
      <c r="S175"/>
      <c r="U175"/>
      <c r="V175"/>
      <c r="W175"/>
      <c r="X175" s="2">
        <v>9802.8700000000008</v>
      </c>
      <c r="Y175"/>
      <c r="Z175" s="2"/>
      <c r="AA175" s="2"/>
      <c r="AB175" s="123">
        <v>9802.8700000000008</v>
      </c>
      <c r="AC175" s="10">
        <f t="shared" si="4"/>
        <v>0</v>
      </c>
      <c r="AD175"/>
      <c r="AE175"/>
    </row>
    <row r="176" spans="1:37" x14ac:dyDescent="0.25">
      <c r="A176" s="122" t="s">
        <v>5075</v>
      </c>
      <c r="B176" s="125">
        <v>4233652</v>
      </c>
      <c r="C176" s="126">
        <v>45762</v>
      </c>
      <c r="D176" s="126">
        <v>45761</v>
      </c>
      <c r="E176"/>
      <c r="F176"/>
      <c r="G176" s="1"/>
      <c r="H176" s="1"/>
      <c r="I176" s="122" t="s">
        <v>5080</v>
      </c>
      <c r="J176" s="122" t="s">
        <v>18</v>
      </c>
      <c r="K176"/>
      <c r="L176" s="122">
        <v>151.09</v>
      </c>
      <c r="N176" s="122"/>
      <c r="O176" s="122"/>
      <c r="P176" s="122"/>
      <c r="Q176" s="122"/>
      <c r="R176" s="123">
        <v>1259.06</v>
      </c>
      <c r="S176"/>
      <c r="U176"/>
      <c r="V176"/>
      <c r="W176"/>
      <c r="X176" s="2"/>
      <c r="Y176"/>
      <c r="Z176" s="2"/>
      <c r="AA176" s="2"/>
      <c r="AB176" s="123">
        <v>1410.15</v>
      </c>
      <c r="AC176" s="10">
        <f t="shared" si="4"/>
        <v>0</v>
      </c>
      <c r="AD176"/>
      <c r="AE176"/>
    </row>
    <row r="177" spans="1:31" x14ac:dyDescent="0.25">
      <c r="A177" s="122" t="s">
        <v>5076</v>
      </c>
      <c r="B177" s="125">
        <v>4233653</v>
      </c>
      <c r="C177" s="126">
        <v>45762</v>
      </c>
      <c r="D177" s="126">
        <v>45761</v>
      </c>
      <c r="E177"/>
      <c r="F177" s="122"/>
      <c r="G177" s="125"/>
      <c r="H177" s="125"/>
      <c r="I177" s="122" t="s">
        <v>5080</v>
      </c>
      <c r="J177" s="122" t="s">
        <v>18</v>
      </c>
      <c r="K177" s="122"/>
      <c r="L177" s="122">
        <v>811.09</v>
      </c>
      <c r="N177" s="122"/>
      <c r="O177" s="122"/>
      <c r="P177" s="122"/>
      <c r="Q177" s="122"/>
      <c r="R177" s="123">
        <v>6759.06</v>
      </c>
      <c r="S177" s="122"/>
      <c r="U177" s="122"/>
      <c r="V177" s="122"/>
      <c r="W177" s="122"/>
      <c r="Y177" s="122"/>
      <c r="AB177" s="123">
        <v>7570.15</v>
      </c>
      <c r="AC177" s="10">
        <f t="shared" si="4"/>
        <v>0</v>
      </c>
      <c r="AD177"/>
      <c r="AE177"/>
    </row>
    <row r="178" spans="1:31" x14ac:dyDescent="0.25">
      <c r="A178" s="122" t="s">
        <v>5077</v>
      </c>
      <c r="B178" s="125">
        <v>4233654</v>
      </c>
      <c r="C178" s="126">
        <v>45762</v>
      </c>
      <c r="D178" s="126">
        <v>45761</v>
      </c>
      <c r="E178" s="152">
        <v>45755</v>
      </c>
      <c r="F178" s="122" t="s">
        <v>5084</v>
      </c>
      <c r="G178" s="125" t="s">
        <v>5083</v>
      </c>
      <c r="H178" s="125"/>
      <c r="I178" s="122" t="s">
        <v>5081</v>
      </c>
      <c r="J178" s="122" t="s">
        <v>109</v>
      </c>
      <c r="K178" s="122"/>
      <c r="L178" s="122"/>
      <c r="M178" s="123">
        <v>27500</v>
      </c>
      <c r="N178" s="122"/>
      <c r="O178" s="122"/>
      <c r="P178" s="122"/>
      <c r="Q178" s="122"/>
      <c r="R178" s="122"/>
      <c r="S178" s="122"/>
      <c r="U178" s="122"/>
      <c r="V178" s="122"/>
      <c r="W178" s="122"/>
      <c r="Y178" s="122"/>
      <c r="AB178" s="123">
        <v>27500</v>
      </c>
      <c r="AC178" s="10">
        <f t="shared" si="4"/>
        <v>0</v>
      </c>
      <c r="AD178"/>
      <c r="AE178"/>
    </row>
    <row r="179" spans="1:31" x14ac:dyDescent="0.25">
      <c r="A179" s="122" t="s">
        <v>5078</v>
      </c>
      <c r="B179" s="125">
        <v>4233655</v>
      </c>
      <c r="C179" s="126">
        <v>45762</v>
      </c>
      <c r="D179" s="126">
        <v>45761</v>
      </c>
      <c r="E179"/>
      <c r="F179" s="122" t="s">
        <v>5085</v>
      </c>
      <c r="G179" s="150" t="s">
        <v>5086</v>
      </c>
      <c r="H179" s="125"/>
      <c r="I179" s="122" t="s">
        <v>5082</v>
      </c>
      <c r="J179" s="122" t="s">
        <v>109</v>
      </c>
      <c r="K179" s="122"/>
      <c r="L179" s="122"/>
      <c r="N179" s="122"/>
      <c r="O179" s="122"/>
      <c r="P179" s="122"/>
      <c r="Q179" s="122"/>
      <c r="R179" s="122"/>
      <c r="S179" s="122"/>
      <c r="U179" s="122"/>
      <c r="V179" s="122"/>
      <c r="W179" s="122"/>
      <c r="Y179" s="122"/>
      <c r="AA179" s="123">
        <v>7350</v>
      </c>
      <c r="AB179" s="123">
        <v>7350</v>
      </c>
      <c r="AC179" s="10">
        <f t="shared" si="4"/>
        <v>0</v>
      </c>
      <c r="AD179"/>
      <c r="AE179"/>
    </row>
    <row r="180" spans="1:31" x14ac:dyDescent="0.25">
      <c r="A180" s="122" t="s">
        <v>5091</v>
      </c>
      <c r="B180" s="125">
        <v>4233656</v>
      </c>
      <c r="C180" s="126">
        <v>45763</v>
      </c>
      <c r="D180" s="126">
        <v>45763</v>
      </c>
      <c r="E180"/>
      <c r="F180" s="122"/>
      <c r="G180" s="125"/>
      <c r="H180" s="125"/>
      <c r="I180" s="122" t="s">
        <v>5094</v>
      </c>
      <c r="J180" s="122" t="s">
        <v>46</v>
      </c>
      <c r="K180" s="122"/>
      <c r="L180" s="122">
        <v>161.68</v>
      </c>
      <c r="N180" s="122"/>
      <c r="O180" s="122"/>
      <c r="P180" s="122"/>
      <c r="Q180" s="122"/>
      <c r="R180" s="122"/>
      <c r="S180" s="122">
        <v>1347.32</v>
      </c>
      <c r="U180" s="122"/>
      <c r="V180" s="122"/>
      <c r="W180" s="122"/>
      <c r="Y180" s="122"/>
      <c r="AB180" s="123">
        <v>1509</v>
      </c>
      <c r="AC180" s="10">
        <f t="shared" si="4"/>
        <v>0</v>
      </c>
      <c r="AD180"/>
      <c r="AE180"/>
    </row>
    <row r="181" spans="1:31" x14ac:dyDescent="0.25">
      <c r="A181" s="122" t="s">
        <v>5092</v>
      </c>
      <c r="B181" s="125">
        <v>4233657</v>
      </c>
      <c r="C181" s="126">
        <v>45763</v>
      </c>
      <c r="D181" s="126">
        <v>45763</v>
      </c>
      <c r="E181"/>
      <c r="F181"/>
      <c r="G181" s="1"/>
      <c r="H181" s="1"/>
      <c r="I181" s="122" t="s">
        <v>5095</v>
      </c>
      <c r="J181" s="122" t="s">
        <v>46</v>
      </c>
      <c r="K181"/>
      <c r="L181" s="122">
        <v>107.04</v>
      </c>
      <c r="M181" s="2"/>
      <c r="N181"/>
      <c r="O181"/>
      <c r="P181"/>
      <c r="Q181"/>
      <c r="R181"/>
      <c r="S181" s="122">
        <v>891.96</v>
      </c>
      <c r="U181"/>
      <c r="V181"/>
      <c r="W181"/>
      <c r="X181" s="2"/>
      <c r="Y181"/>
      <c r="Z181" s="2"/>
      <c r="AA181" s="2"/>
      <c r="AB181" s="123">
        <v>999</v>
      </c>
      <c r="AC181" s="10">
        <f t="shared" si="4"/>
        <v>0</v>
      </c>
      <c r="AD181"/>
      <c r="AE181"/>
    </row>
    <row r="182" spans="1:31" x14ac:dyDescent="0.25">
      <c r="A182" s="122" t="s">
        <v>5093</v>
      </c>
      <c r="B182" s="125">
        <v>4233658</v>
      </c>
      <c r="C182" s="126">
        <v>45763</v>
      </c>
      <c r="D182" s="126">
        <v>45763</v>
      </c>
      <c r="E182"/>
      <c r="F182"/>
      <c r="G182" s="1"/>
      <c r="H182" s="125" t="s">
        <v>3865</v>
      </c>
      <c r="I182" s="122" t="s">
        <v>5030</v>
      </c>
      <c r="J182" s="122" t="s">
        <v>54</v>
      </c>
      <c r="K182"/>
      <c r="L182" s="122"/>
      <c r="M182" s="2"/>
      <c r="N182"/>
      <c r="O182"/>
      <c r="P182"/>
      <c r="Q182"/>
      <c r="R182"/>
      <c r="S182"/>
      <c r="T182" s="123">
        <v>4992.0600000000004</v>
      </c>
      <c r="U182"/>
      <c r="V182"/>
      <c r="W182"/>
      <c r="X182" s="2"/>
      <c r="Y182"/>
      <c r="Z182" s="2"/>
      <c r="AA182" s="2"/>
      <c r="AB182" s="123">
        <v>4992.0600000000004</v>
      </c>
      <c r="AC182" s="10">
        <f t="shared" si="4"/>
        <v>0</v>
      </c>
      <c r="AD182"/>
      <c r="AE182"/>
    </row>
    <row r="183" spans="1:31" x14ac:dyDescent="0.25">
      <c r="A183" s="122" t="s">
        <v>5096</v>
      </c>
      <c r="B183" s="125">
        <v>4233659</v>
      </c>
      <c r="C183" s="126">
        <v>45769</v>
      </c>
      <c r="D183" s="126">
        <v>45768</v>
      </c>
      <c r="E183"/>
      <c r="F183"/>
      <c r="G183" s="1"/>
      <c r="H183" s="1"/>
      <c r="I183" s="122" t="s">
        <v>5097</v>
      </c>
      <c r="J183" s="122" t="s">
        <v>1469</v>
      </c>
      <c r="K183"/>
      <c r="L183" s="122"/>
      <c r="M183" s="2"/>
      <c r="N183"/>
      <c r="O183"/>
      <c r="P183"/>
      <c r="Q183"/>
      <c r="R183"/>
      <c r="S183"/>
      <c r="U183"/>
      <c r="V183"/>
      <c r="W183"/>
      <c r="X183" s="2"/>
      <c r="Y183"/>
      <c r="Z183" s="2"/>
      <c r="AA183" s="123">
        <v>14000</v>
      </c>
      <c r="AB183" s="123">
        <v>14000</v>
      </c>
      <c r="AC183" s="10">
        <f t="shared" si="4"/>
        <v>0</v>
      </c>
      <c r="AD183"/>
      <c r="AE183"/>
    </row>
    <row r="184" spans="1:31" x14ac:dyDescent="0.25">
      <c r="A184" s="122" t="s">
        <v>5098</v>
      </c>
      <c r="B184" s="125">
        <v>4233660</v>
      </c>
      <c r="C184" s="126">
        <v>45769</v>
      </c>
      <c r="D184" s="126">
        <v>45768</v>
      </c>
      <c r="E184"/>
      <c r="F184"/>
      <c r="G184" s="1"/>
      <c r="H184" s="1"/>
      <c r="I184" s="122" t="s">
        <v>5099</v>
      </c>
      <c r="J184" s="122" t="s">
        <v>39</v>
      </c>
      <c r="K184"/>
      <c r="L184" s="122"/>
      <c r="M184" s="2"/>
      <c r="N184"/>
      <c r="O184"/>
      <c r="P184"/>
      <c r="Q184"/>
      <c r="R184"/>
      <c r="S184"/>
      <c r="U184"/>
      <c r="V184"/>
      <c r="W184"/>
      <c r="X184" s="2"/>
      <c r="Y184"/>
      <c r="Z184" s="2"/>
      <c r="AA184" s="59">
        <v>5000</v>
      </c>
      <c r="AB184" s="123">
        <v>5000</v>
      </c>
      <c r="AC184" s="10">
        <f t="shared" si="4"/>
        <v>0</v>
      </c>
      <c r="AD184"/>
      <c r="AE184"/>
    </row>
    <row r="185" spans="1:31" x14ac:dyDescent="0.25">
      <c r="A185" s="122" t="s">
        <v>5100</v>
      </c>
      <c r="B185" s="125">
        <v>4233661</v>
      </c>
      <c r="C185" s="126">
        <v>45769</v>
      </c>
      <c r="D185" s="126">
        <v>45769</v>
      </c>
      <c r="E185" s="122"/>
      <c r="F185" s="122"/>
      <c r="G185" s="1"/>
      <c r="H185" s="1"/>
      <c r="I185" s="122" t="s">
        <v>3979</v>
      </c>
      <c r="J185" s="122" t="s">
        <v>46</v>
      </c>
      <c r="K185"/>
      <c r="L185" s="122">
        <v>1387.24</v>
      </c>
      <c r="M185" s="2"/>
      <c r="N185"/>
      <c r="O185"/>
      <c r="P185"/>
      <c r="Q185"/>
      <c r="R185"/>
      <c r="S185" s="123">
        <v>11560.31</v>
      </c>
      <c r="U185"/>
      <c r="V185"/>
      <c r="W185"/>
      <c r="X185" s="2"/>
      <c r="Y185"/>
      <c r="Z185" s="2"/>
      <c r="AA185" s="2"/>
      <c r="AB185" s="123">
        <v>12947.55</v>
      </c>
      <c r="AC185" s="10">
        <f t="shared" si="4"/>
        <v>0</v>
      </c>
      <c r="AD185"/>
      <c r="AE185"/>
    </row>
    <row r="186" spans="1:31" x14ac:dyDescent="0.25">
      <c r="A186" s="122" t="s">
        <v>5101</v>
      </c>
      <c r="B186" s="122" t="s">
        <v>5110</v>
      </c>
      <c r="C186" s="126">
        <v>45769</v>
      </c>
      <c r="D186" s="126">
        <v>45769</v>
      </c>
      <c r="E186" s="122"/>
      <c r="F186" s="122"/>
      <c r="G186" s="1"/>
      <c r="H186" s="1"/>
      <c r="I186" s="122" t="s">
        <v>5111</v>
      </c>
      <c r="J186" s="122" t="s">
        <v>39</v>
      </c>
      <c r="K186"/>
      <c r="L186" s="122"/>
      <c r="M186" s="2"/>
      <c r="N186"/>
      <c r="O186"/>
      <c r="P186"/>
      <c r="Q186"/>
      <c r="R186"/>
      <c r="S186"/>
      <c r="U186"/>
      <c r="V186"/>
      <c r="W186" s="123">
        <v>30000</v>
      </c>
      <c r="X186" s="2"/>
      <c r="Y186"/>
      <c r="Z186" s="2"/>
      <c r="AB186" s="123">
        <v>30000</v>
      </c>
      <c r="AC186" s="10">
        <f>SUM(AB186:AB186)-SUM(L186:Z186)</f>
        <v>0</v>
      </c>
      <c r="AD186"/>
      <c r="AE186"/>
    </row>
    <row r="187" spans="1:31" x14ac:dyDescent="0.25">
      <c r="A187" s="122" t="s">
        <v>5102</v>
      </c>
      <c r="B187" s="122" t="s">
        <v>5112</v>
      </c>
      <c r="C187" s="126">
        <v>45769</v>
      </c>
      <c r="D187" s="126">
        <v>45769</v>
      </c>
      <c r="E187" s="122"/>
      <c r="F187" s="122"/>
      <c r="G187" s="1"/>
      <c r="H187" s="1"/>
      <c r="I187" s="122" t="s">
        <v>42</v>
      </c>
      <c r="J187" s="122" t="s">
        <v>5113</v>
      </c>
      <c r="K187"/>
      <c r="L187" s="122"/>
      <c r="M187" s="2"/>
      <c r="N187"/>
      <c r="O187"/>
      <c r="P187" s="59">
        <v>10000</v>
      </c>
      <c r="Q187"/>
      <c r="R187"/>
      <c r="S187"/>
      <c r="U187"/>
      <c r="V187"/>
      <c r="W187"/>
      <c r="X187" s="2"/>
      <c r="Y187"/>
      <c r="Z187" s="2"/>
      <c r="AA187" s="2"/>
      <c r="AB187" s="123">
        <v>10000</v>
      </c>
      <c r="AC187" s="10">
        <f t="shared" si="4"/>
        <v>0</v>
      </c>
      <c r="AD187"/>
      <c r="AE187"/>
    </row>
    <row r="188" spans="1:31" x14ac:dyDescent="0.25">
      <c r="A188" s="122" t="s">
        <v>5103</v>
      </c>
      <c r="B188" s="122" t="s">
        <v>5114</v>
      </c>
      <c r="C188" s="126">
        <v>45771</v>
      </c>
      <c r="D188" s="126">
        <v>45769</v>
      </c>
      <c r="E188" s="122"/>
      <c r="F188" s="122"/>
      <c r="G188" s="1"/>
      <c r="H188" s="1"/>
      <c r="I188" s="122" t="s">
        <v>42</v>
      </c>
      <c r="J188" s="122" t="s">
        <v>5115</v>
      </c>
      <c r="K188"/>
      <c r="L188"/>
      <c r="M188" s="2"/>
      <c r="N188"/>
      <c r="O188"/>
      <c r="P188" s="59">
        <v>30000</v>
      </c>
      <c r="Q188"/>
      <c r="R188"/>
      <c r="S188"/>
      <c r="U188"/>
      <c r="V188"/>
      <c r="W188"/>
      <c r="X188" s="2"/>
      <c r="Y188"/>
      <c r="Z188" s="2"/>
      <c r="AA188" s="2"/>
      <c r="AB188" s="123">
        <v>30000</v>
      </c>
      <c r="AC188" s="10">
        <f t="shared" si="4"/>
        <v>0</v>
      </c>
      <c r="AD188"/>
      <c r="AE188"/>
    </row>
    <row r="189" spans="1:31" x14ac:dyDescent="0.25">
      <c r="A189" s="122" t="s">
        <v>5104</v>
      </c>
      <c r="B189" s="125">
        <v>4233662</v>
      </c>
      <c r="C189" s="126">
        <v>45776</v>
      </c>
      <c r="D189" s="126">
        <v>45771</v>
      </c>
      <c r="E189" s="122"/>
      <c r="F189" s="122"/>
      <c r="G189" s="125"/>
      <c r="H189" s="125"/>
      <c r="I189" s="122" t="s">
        <v>5119</v>
      </c>
      <c r="J189" s="122" t="s">
        <v>47</v>
      </c>
      <c r="K189" s="122"/>
      <c r="L189" s="122"/>
      <c r="N189" s="122"/>
      <c r="O189" s="122"/>
      <c r="P189" s="122"/>
      <c r="Q189" s="122"/>
      <c r="R189" s="122"/>
      <c r="S189" s="122"/>
      <c r="U189" s="122"/>
      <c r="V189" s="122"/>
      <c r="W189" s="122"/>
      <c r="Y189" s="122"/>
      <c r="AA189" s="123">
        <v>12500</v>
      </c>
      <c r="AB189" s="123">
        <v>12500</v>
      </c>
      <c r="AC189" s="10">
        <f t="shared" si="4"/>
        <v>0</v>
      </c>
      <c r="AD189"/>
      <c r="AE189"/>
    </row>
    <row r="190" spans="1:31" x14ac:dyDescent="0.25">
      <c r="A190" s="122" t="s">
        <v>5105</v>
      </c>
      <c r="B190" s="125">
        <v>4233663</v>
      </c>
      <c r="C190" s="126">
        <v>45813</v>
      </c>
      <c r="D190" s="126">
        <v>45771</v>
      </c>
      <c r="E190" s="126">
        <v>45775</v>
      </c>
      <c r="F190" s="122" t="s">
        <v>5130</v>
      </c>
      <c r="G190" s="125" t="s">
        <v>5122</v>
      </c>
      <c r="H190" s="125"/>
      <c r="I190" s="122" t="s">
        <v>5120</v>
      </c>
      <c r="J190" s="122" t="s">
        <v>1226</v>
      </c>
      <c r="K190" s="122" t="s">
        <v>2924</v>
      </c>
      <c r="L190" s="122">
        <v>3053.57</v>
      </c>
      <c r="M190" s="123">
        <v>25446.43</v>
      </c>
      <c r="N190" s="122"/>
      <c r="O190" s="122"/>
      <c r="P190" s="122"/>
      <c r="Q190" s="122"/>
      <c r="R190" s="122"/>
      <c r="S190" s="122"/>
      <c r="U190" s="122"/>
      <c r="V190" s="122"/>
      <c r="W190" s="122"/>
      <c r="Y190" s="122"/>
      <c r="AB190" s="123">
        <v>28500</v>
      </c>
      <c r="AC190" s="10">
        <f t="shared" si="4"/>
        <v>0</v>
      </c>
      <c r="AD190"/>
      <c r="AE190" s="122">
        <v>254.46</v>
      </c>
    </row>
    <row r="191" spans="1:31" x14ac:dyDescent="0.25">
      <c r="A191" s="122" t="s">
        <v>5106</v>
      </c>
      <c r="B191" s="125">
        <v>4233664</v>
      </c>
      <c r="C191" s="126">
        <v>45777</v>
      </c>
      <c r="D191" s="126">
        <v>45771</v>
      </c>
      <c r="E191" s="126">
        <v>45782</v>
      </c>
      <c r="F191" s="122" t="s">
        <v>5151</v>
      </c>
      <c r="G191" s="125" t="s">
        <v>5123</v>
      </c>
      <c r="H191" s="125"/>
      <c r="I191" s="122" t="s">
        <v>5121</v>
      </c>
      <c r="J191" s="122" t="s">
        <v>4717</v>
      </c>
      <c r="K191" s="122" t="s">
        <v>4718</v>
      </c>
      <c r="L191" s="122">
        <v>2448.21</v>
      </c>
      <c r="M191" s="123">
        <v>20401.79</v>
      </c>
      <c r="N191" s="122"/>
      <c r="O191" s="122"/>
      <c r="P191" s="122"/>
      <c r="Q191" s="122"/>
      <c r="R191" s="122"/>
      <c r="S191" s="122"/>
      <c r="U191" s="122"/>
      <c r="V191" s="122"/>
      <c r="W191" s="122"/>
      <c r="Y191" s="122"/>
      <c r="AB191" s="123">
        <v>22850</v>
      </c>
      <c r="AC191" s="10">
        <f t="shared" si="4"/>
        <v>0</v>
      </c>
      <c r="AD191"/>
      <c r="AE191" s="122">
        <v>204.02</v>
      </c>
    </row>
    <row r="192" spans="1:31" x14ac:dyDescent="0.25">
      <c r="A192" s="122" t="s">
        <v>5107</v>
      </c>
      <c r="B192" s="125">
        <v>4233665</v>
      </c>
      <c r="C192" s="126">
        <v>45771</v>
      </c>
      <c r="D192" s="126">
        <v>45771</v>
      </c>
      <c r="E192" s="122"/>
      <c r="F192" s="122"/>
      <c r="G192" s="125"/>
      <c r="H192" s="125"/>
      <c r="I192" s="122" t="s">
        <v>5127</v>
      </c>
      <c r="J192" s="122" t="s">
        <v>65</v>
      </c>
      <c r="K192" s="122"/>
      <c r="L192" s="122"/>
      <c r="N192" s="122"/>
      <c r="O192" s="122"/>
      <c r="Q192" s="122"/>
      <c r="R192" s="122"/>
      <c r="S192" s="122"/>
      <c r="U192" s="122"/>
      <c r="V192" s="122"/>
      <c r="W192" s="122"/>
      <c r="Y192" s="123">
        <v>6000</v>
      </c>
      <c r="AB192" s="123">
        <v>3440</v>
      </c>
      <c r="AC192" s="10">
        <f>SUM(AB192:AB192)-SUM(L192:Z192)</f>
        <v>-2560</v>
      </c>
      <c r="AD192" s="145" t="s">
        <v>5217</v>
      </c>
      <c r="AE192"/>
    </row>
    <row r="193" spans="1:32" x14ac:dyDescent="0.25">
      <c r="A193" s="122" t="s">
        <v>5108</v>
      </c>
      <c r="B193" s="122" t="s">
        <v>5124</v>
      </c>
      <c r="C193" s="126">
        <v>45771</v>
      </c>
      <c r="D193" s="126">
        <v>45771</v>
      </c>
      <c r="E193" s="122"/>
      <c r="F193" s="122"/>
      <c r="G193" s="125"/>
      <c r="H193" s="125"/>
      <c r="I193" s="122" t="s">
        <v>42</v>
      </c>
      <c r="J193" s="122" t="s">
        <v>47</v>
      </c>
      <c r="K193" s="122"/>
      <c r="L193" s="122"/>
      <c r="N193" s="122"/>
      <c r="O193" s="122"/>
      <c r="P193" s="123">
        <v>20000</v>
      </c>
      <c r="Q193" s="122"/>
      <c r="R193" s="122"/>
      <c r="S193" s="122"/>
      <c r="U193" s="122"/>
      <c r="V193" s="122"/>
      <c r="W193" s="122"/>
      <c r="Y193" s="122"/>
      <c r="AB193" s="123">
        <v>20000</v>
      </c>
      <c r="AC193" s="10">
        <f t="shared" si="4"/>
        <v>0</v>
      </c>
      <c r="AD193"/>
      <c r="AE193"/>
    </row>
    <row r="194" spans="1:32" x14ac:dyDescent="0.25">
      <c r="A194" s="122" t="s">
        <v>5109</v>
      </c>
      <c r="B194" s="122" t="s">
        <v>5125</v>
      </c>
      <c r="C194" s="126">
        <v>45771</v>
      </c>
      <c r="D194" s="126">
        <v>45771</v>
      </c>
      <c r="E194"/>
      <c r="F194"/>
      <c r="G194" s="1"/>
      <c r="H194" s="1"/>
      <c r="I194" s="122" t="s">
        <v>55</v>
      </c>
      <c r="J194" s="122" t="s">
        <v>5126</v>
      </c>
      <c r="K194"/>
      <c r="L194"/>
      <c r="M194" s="2"/>
      <c r="N194"/>
      <c r="O194"/>
      <c r="P194"/>
      <c r="Q194"/>
      <c r="R194"/>
      <c r="S194"/>
      <c r="U194"/>
      <c r="V194"/>
      <c r="W194"/>
      <c r="X194" s="2"/>
      <c r="Y194"/>
      <c r="Z194" s="123">
        <v>300000</v>
      </c>
      <c r="AA194" s="2"/>
      <c r="AB194" s="123">
        <v>300000</v>
      </c>
      <c r="AC194" s="10">
        <f t="shared" si="4"/>
        <v>0</v>
      </c>
      <c r="AD194"/>
      <c r="AE194"/>
    </row>
    <row r="195" spans="1:32" x14ac:dyDescent="0.25">
      <c r="A195" s="122" t="s">
        <v>5131</v>
      </c>
      <c r="B195" s="125">
        <v>4233666</v>
      </c>
      <c r="C195" s="126">
        <v>45777</v>
      </c>
      <c r="D195" s="126">
        <v>45776</v>
      </c>
      <c r="E195" s="122"/>
      <c r="F195" s="122"/>
      <c r="G195" s="125"/>
      <c r="H195" s="125" t="s">
        <v>3864</v>
      </c>
      <c r="I195" s="122" t="s">
        <v>4975</v>
      </c>
      <c r="J195" s="122" t="s">
        <v>54</v>
      </c>
      <c r="K195"/>
      <c r="L195"/>
      <c r="M195" s="2"/>
      <c r="N195"/>
      <c r="O195"/>
      <c r="P195"/>
      <c r="Q195"/>
      <c r="R195"/>
      <c r="S195"/>
      <c r="T195" s="123">
        <v>9694.34</v>
      </c>
      <c r="U195"/>
      <c r="V195"/>
      <c r="W195"/>
      <c r="X195" s="2"/>
      <c r="Y195"/>
      <c r="Z195" s="2"/>
      <c r="AA195" s="2"/>
      <c r="AB195" s="123">
        <v>9694.34</v>
      </c>
      <c r="AC195" s="10">
        <f t="shared" si="4"/>
        <v>0</v>
      </c>
      <c r="AD195"/>
      <c r="AE195"/>
    </row>
    <row r="196" spans="1:32" x14ac:dyDescent="0.25">
      <c r="A196" s="122" t="s">
        <v>5132</v>
      </c>
      <c r="B196" s="125">
        <v>4233667</v>
      </c>
      <c r="C196" s="126">
        <v>45777</v>
      </c>
      <c r="D196" s="126">
        <v>45776</v>
      </c>
      <c r="E196" s="122"/>
      <c r="F196" s="122"/>
      <c r="G196" s="125"/>
      <c r="H196" s="125"/>
      <c r="I196" s="122" t="s">
        <v>4612</v>
      </c>
      <c r="J196" s="122" t="s">
        <v>1847</v>
      </c>
      <c r="K196"/>
      <c r="L196"/>
      <c r="M196" s="2"/>
      <c r="N196"/>
      <c r="O196"/>
      <c r="P196"/>
      <c r="Q196"/>
      <c r="R196"/>
      <c r="S196"/>
      <c r="U196"/>
      <c r="V196"/>
      <c r="W196"/>
      <c r="X196" s="2"/>
      <c r="Y196"/>
      <c r="Z196" s="2"/>
      <c r="AA196" s="123">
        <v>23040</v>
      </c>
      <c r="AB196" s="123">
        <v>23040</v>
      </c>
      <c r="AC196" s="10">
        <f t="shared" si="4"/>
        <v>0</v>
      </c>
      <c r="AD196"/>
      <c r="AE196"/>
    </row>
    <row r="197" spans="1:32" x14ac:dyDescent="0.25">
      <c r="A197" s="122" t="s">
        <v>5133</v>
      </c>
      <c r="B197" s="125">
        <v>4233668</v>
      </c>
      <c r="C197" s="126">
        <v>45777</v>
      </c>
      <c r="D197" s="126">
        <v>45776</v>
      </c>
      <c r="E197" s="122"/>
      <c r="F197" s="122"/>
      <c r="G197" s="125"/>
      <c r="H197" s="125"/>
      <c r="I197" s="122" t="s">
        <v>4612</v>
      </c>
      <c r="J197" s="122" t="s">
        <v>125</v>
      </c>
      <c r="K197"/>
      <c r="L197" s="122"/>
      <c r="N197" s="122"/>
      <c r="O197"/>
      <c r="P197"/>
      <c r="Q197"/>
      <c r="R197"/>
      <c r="S197"/>
      <c r="U197"/>
      <c r="V197"/>
      <c r="W197"/>
      <c r="X197" s="2"/>
      <c r="Y197"/>
      <c r="Z197" s="2"/>
      <c r="AA197" s="123">
        <v>10000</v>
      </c>
      <c r="AB197" s="123">
        <v>10000</v>
      </c>
      <c r="AC197" s="10">
        <f t="shared" si="4"/>
        <v>0</v>
      </c>
      <c r="AD197"/>
      <c r="AE197"/>
    </row>
    <row r="198" spans="1:32" x14ac:dyDescent="0.25">
      <c r="A198" s="122" t="s">
        <v>5134</v>
      </c>
      <c r="B198" s="125">
        <v>4233669</v>
      </c>
      <c r="C198" s="126">
        <v>45802</v>
      </c>
      <c r="D198" s="126">
        <v>45776</v>
      </c>
      <c r="E198" s="126">
        <v>45800</v>
      </c>
      <c r="F198" s="122" t="s">
        <v>5232</v>
      </c>
      <c r="G198" s="125" t="s">
        <v>5139</v>
      </c>
      <c r="H198" s="125"/>
      <c r="I198" s="122" t="s">
        <v>5140</v>
      </c>
      <c r="J198" s="122" t="s">
        <v>2687</v>
      </c>
      <c r="K198" s="122" t="s">
        <v>61</v>
      </c>
      <c r="L198" s="122">
        <v>4285.71</v>
      </c>
      <c r="M198" s="123">
        <v>35714.29</v>
      </c>
      <c r="N198" s="122"/>
      <c r="O198"/>
      <c r="P198"/>
      <c r="Q198"/>
      <c r="R198"/>
      <c r="S198"/>
      <c r="U198"/>
      <c r="V198"/>
      <c r="W198"/>
      <c r="X198" s="2"/>
      <c r="Y198"/>
      <c r="Z198" s="2"/>
      <c r="AA198" s="2"/>
      <c r="AB198" s="123">
        <v>40000</v>
      </c>
      <c r="AC198" s="10">
        <f t="shared" si="4"/>
        <v>0</v>
      </c>
      <c r="AD198"/>
      <c r="AE198">
        <v>357.14</v>
      </c>
    </row>
    <row r="199" spans="1:32" x14ac:dyDescent="0.25">
      <c r="A199" s="122" t="s">
        <v>5135</v>
      </c>
      <c r="B199" s="125">
        <v>4233670</v>
      </c>
      <c r="C199" s="126">
        <v>45820</v>
      </c>
      <c r="D199" s="126">
        <v>45776</v>
      </c>
      <c r="E199" s="126">
        <v>45786</v>
      </c>
      <c r="F199" s="122" t="s">
        <v>5171</v>
      </c>
      <c r="G199" s="125" t="s">
        <v>5141</v>
      </c>
      <c r="H199" s="125"/>
      <c r="I199" s="122" t="s">
        <v>5142</v>
      </c>
      <c r="J199" s="122" t="s">
        <v>1226</v>
      </c>
      <c r="K199" s="122" t="s">
        <v>2924</v>
      </c>
      <c r="L199" s="122">
        <v>4221.43</v>
      </c>
      <c r="M199" s="123">
        <v>35178.57</v>
      </c>
      <c r="N199" s="122"/>
      <c r="O199"/>
      <c r="P199"/>
      <c r="Q199"/>
      <c r="R199"/>
      <c r="S199"/>
      <c r="U199"/>
      <c r="V199"/>
      <c r="W199"/>
      <c r="X199" s="2"/>
      <c r="Y199"/>
      <c r="Z199" s="2"/>
      <c r="AA199" s="2"/>
      <c r="AB199" s="123">
        <v>39400</v>
      </c>
      <c r="AC199" s="10">
        <f t="shared" si="4"/>
        <v>0</v>
      </c>
      <c r="AD199"/>
      <c r="AE199">
        <v>351.79</v>
      </c>
    </row>
    <row r="200" spans="1:32" x14ac:dyDescent="0.25">
      <c r="A200" s="122" t="s">
        <v>5136</v>
      </c>
      <c r="B200" s="122" t="s">
        <v>5143</v>
      </c>
      <c r="C200" s="126">
        <v>45776</v>
      </c>
      <c r="D200" s="126">
        <v>45776</v>
      </c>
      <c r="E200" s="122"/>
      <c r="F200" s="122"/>
      <c r="G200" s="125"/>
      <c r="H200" s="125"/>
      <c r="I200" s="122" t="s">
        <v>5144</v>
      </c>
      <c r="J200" s="122" t="s">
        <v>94</v>
      </c>
      <c r="K200"/>
      <c r="L200" s="122"/>
      <c r="N200" s="122"/>
      <c r="O200"/>
      <c r="P200"/>
      <c r="Q200"/>
      <c r="R200"/>
      <c r="S200"/>
      <c r="U200"/>
      <c r="V200"/>
      <c r="W200"/>
      <c r="X200" s="2"/>
      <c r="Y200"/>
      <c r="Z200" s="2"/>
      <c r="AA200" s="123">
        <v>73440</v>
      </c>
      <c r="AB200" s="123">
        <v>73440</v>
      </c>
      <c r="AC200" s="10">
        <f t="shared" si="4"/>
        <v>0</v>
      </c>
      <c r="AD200"/>
      <c r="AE200"/>
    </row>
    <row r="201" spans="1:32" x14ac:dyDescent="0.25">
      <c r="A201" s="122" t="s">
        <v>5137</v>
      </c>
      <c r="B201" s="125">
        <v>4233670</v>
      </c>
      <c r="C201" s="126">
        <v>45777</v>
      </c>
      <c r="D201" s="126">
        <v>45777</v>
      </c>
      <c r="E201" s="122"/>
      <c r="F201" s="122"/>
      <c r="G201" s="125"/>
      <c r="H201" s="125"/>
      <c r="I201" s="122" t="s">
        <v>5145</v>
      </c>
      <c r="J201" s="122" t="s">
        <v>5071</v>
      </c>
      <c r="K201"/>
      <c r="L201"/>
      <c r="M201" s="2"/>
      <c r="N201"/>
      <c r="O201"/>
      <c r="P201"/>
      <c r="Q201"/>
      <c r="R201"/>
      <c r="S201"/>
      <c r="U201"/>
      <c r="V201"/>
      <c r="W201"/>
      <c r="X201" s="2"/>
      <c r="Y201"/>
      <c r="Z201" s="2"/>
      <c r="AA201" s="123">
        <v>4116</v>
      </c>
      <c r="AB201" s="123">
        <v>4116</v>
      </c>
      <c r="AC201" s="10">
        <f t="shared" si="4"/>
        <v>0</v>
      </c>
      <c r="AD201"/>
      <c r="AE201"/>
    </row>
    <row r="202" spans="1:32" x14ac:dyDescent="0.25">
      <c r="A202" s="144">
        <v>45778</v>
      </c>
      <c r="B202" s="137"/>
      <c r="C202" s="138"/>
      <c r="D202" s="138"/>
      <c r="E202" s="138"/>
      <c r="F202" s="137"/>
      <c r="G202" s="139"/>
      <c r="H202" s="139"/>
      <c r="I202" s="137"/>
      <c r="J202" s="137"/>
      <c r="K202" s="137"/>
      <c r="L202" s="140"/>
      <c r="M202" s="140"/>
      <c r="N202" s="140"/>
      <c r="O202" s="137"/>
      <c r="P202" s="137"/>
      <c r="Q202" s="137"/>
      <c r="R202" s="137"/>
      <c r="S202" s="137"/>
      <c r="T202" s="140"/>
      <c r="U202" s="141"/>
      <c r="V202" s="141"/>
      <c r="W202" s="141"/>
      <c r="X202" s="142"/>
      <c r="Y202" s="141"/>
      <c r="Z202" s="142"/>
      <c r="AA202" s="142"/>
      <c r="AB202" s="140"/>
      <c r="AC202" s="143"/>
      <c r="AD202" s="141"/>
      <c r="AE202" s="140"/>
    </row>
    <row r="203" spans="1:32" x14ac:dyDescent="0.25">
      <c r="A203" s="122" t="s">
        <v>5138</v>
      </c>
      <c r="B203" s="122" t="s">
        <v>5146</v>
      </c>
      <c r="C203" s="126">
        <v>45783</v>
      </c>
      <c r="D203" s="126">
        <v>45782</v>
      </c>
      <c r="E203"/>
      <c r="F203"/>
      <c r="G203" s="1"/>
      <c r="H203" s="1"/>
      <c r="I203" s="122" t="s">
        <v>5147</v>
      </c>
      <c r="J203" s="122" t="s">
        <v>5148</v>
      </c>
      <c r="K203"/>
      <c r="L203"/>
      <c r="M203" s="2"/>
      <c r="N203"/>
      <c r="O203"/>
      <c r="P203"/>
      <c r="Q203"/>
      <c r="R203"/>
      <c r="S203"/>
      <c r="U203"/>
      <c r="V203"/>
      <c r="W203"/>
      <c r="X203" s="2"/>
      <c r="Y203"/>
      <c r="Z203" s="2"/>
      <c r="AA203" s="123">
        <v>69000</v>
      </c>
      <c r="AB203" s="123">
        <v>69000</v>
      </c>
      <c r="AC203" s="10">
        <f t="shared" si="4"/>
        <v>0</v>
      </c>
      <c r="AD203"/>
      <c r="AE203"/>
    </row>
    <row r="204" spans="1:32" x14ac:dyDescent="0.25">
      <c r="A204" s="122" t="s">
        <v>5149</v>
      </c>
      <c r="B204" s="122" t="s">
        <v>5150</v>
      </c>
      <c r="C204" s="126">
        <v>45782</v>
      </c>
      <c r="D204" s="126">
        <v>45782</v>
      </c>
      <c r="E204"/>
      <c r="F204"/>
      <c r="G204" s="1"/>
      <c r="H204" s="1"/>
      <c r="I204" s="122" t="s">
        <v>41</v>
      </c>
      <c r="J204" s="122" t="s">
        <v>54</v>
      </c>
      <c r="K204"/>
      <c r="L204"/>
      <c r="M204" s="2"/>
      <c r="N204"/>
      <c r="O204"/>
      <c r="P204"/>
      <c r="Q204"/>
      <c r="R204"/>
      <c r="S204"/>
      <c r="U204"/>
      <c r="V204"/>
      <c r="W204"/>
      <c r="X204" s="2"/>
      <c r="Y204"/>
      <c r="Z204" s="123">
        <v>300000</v>
      </c>
      <c r="AA204" s="2"/>
      <c r="AB204" s="123">
        <v>300000</v>
      </c>
      <c r="AC204" s="10">
        <f t="shared" si="4"/>
        <v>0</v>
      </c>
      <c r="AD204"/>
      <c r="AE204"/>
    </row>
    <row r="205" spans="1:32" x14ac:dyDescent="0.25">
      <c r="A205" s="122" t="s">
        <v>5152</v>
      </c>
      <c r="B205" s="125">
        <v>4233672</v>
      </c>
      <c r="C205" s="126">
        <v>45784</v>
      </c>
      <c r="D205" s="126">
        <v>45784</v>
      </c>
      <c r="E205"/>
      <c r="F205"/>
      <c r="G205" s="1"/>
      <c r="H205" s="1"/>
      <c r="I205" s="122" t="s">
        <v>5155</v>
      </c>
      <c r="J205" s="122" t="s">
        <v>43</v>
      </c>
      <c r="K205"/>
      <c r="L205" s="123">
        <v>32.14</v>
      </c>
      <c r="M205" s="2"/>
      <c r="N205"/>
      <c r="O205"/>
      <c r="P205"/>
      <c r="Q205"/>
      <c r="R205"/>
      <c r="S205" s="122">
        <v>267.86</v>
      </c>
      <c r="U205"/>
      <c r="V205"/>
      <c r="W205"/>
      <c r="X205" s="2"/>
      <c r="Y205"/>
      <c r="Z205" s="2"/>
      <c r="AA205" s="2"/>
      <c r="AB205" s="123">
        <v>300</v>
      </c>
      <c r="AC205" s="10">
        <f t="shared" si="4"/>
        <v>0</v>
      </c>
      <c r="AD205"/>
      <c r="AE205"/>
    </row>
    <row r="206" spans="1:32" x14ac:dyDescent="0.25">
      <c r="A206" s="122" t="s">
        <v>5153</v>
      </c>
      <c r="B206" s="125">
        <v>4233673</v>
      </c>
      <c r="C206" s="126">
        <v>45784</v>
      </c>
      <c r="D206" s="126">
        <v>45784</v>
      </c>
      <c r="E206"/>
      <c r="F206"/>
      <c r="G206" s="1"/>
      <c r="H206" s="125" t="s">
        <v>3898</v>
      </c>
      <c r="I206" s="122" t="s">
        <v>4975</v>
      </c>
      <c r="J206" s="122" t="s">
        <v>54</v>
      </c>
      <c r="K206"/>
      <c r="L206"/>
      <c r="M206" s="2"/>
      <c r="N206"/>
      <c r="O206"/>
      <c r="P206"/>
      <c r="Q206"/>
      <c r="R206"/>
      <c r="S206"/>
      <c r="T206" s="123">
        <v>9359.36</v>
      </c>
      <c r="U206"/>
      <c r="V206"/>
      <c r="W206"/>
      <c r="X206" s="2"/>
      <c r="Y206"/>
      <c r="Z206" s="2"/>
      <c r="AA206" s="2"/>
      <c r="AB206" s="123">
        <v>9359.36</v>
      </c>
      <c r="AC206" s="10">
        <f t="shared" ref="AC206:AC270" si="5">SUM(AB206:AB206)-SUM(L206:AA206)</f>
        <v>0</v>
      </c>
      <c r="AD206"/>
      <c r="AE206"/>
    </row>
    <row r="207" spans="1:32" x14ac:dyDescent="0.25">
      <c r="A207" s="122" t="s">
        <v>5156</v>
      </c>
      <c r="B207" s="125">
        <v>4233674</v>
      </c>
      <c r="C207" s="126">
        <v>45784</v>
      </c>
      <c r="D207" s="126">
        <v>45784</v>
      </c>
      <c r="E207" s="126">
        <v>45791</v>
      </c>
      <c r="F207" s="122" t="s">
        <v>5216</v>
      </c>
      <c r="G207" s="125" t="s">
        <v>5158</v>
      </c>
      <c r="H207" s="125"/>
      <c r="I207" s="122" t="s">
        <v>5157</v>
      </c>
      <c r="J207" s="122" t="s">
        <v>2087</v>
      </c>
      <c r="K207" s="122" t="s">
        <v>2088</v>
      </c>
      <c r="L207" s="122">
        <v>133.93</v>
      </c>
      <c r="M207" s="123">
        <v>1116.07</v>
      </c>
      <c r="N207" s="122"/>
      <c r="O207" s="122"/>
      <c r="P207" s="122"/>
      <c r="Q207" s="122"/>
      <c r="R207" s="122"/>
      <c r="S207" s="122"/>
      <c r="U207" s="122"/>
      <c r="V207" s="122"/>
      <c r="W207" s="122"/>
      <c r="Y207" s="122"/>
      <c r="AB207" s="123">
        <v>1250</v>
      </c>
      <c r="AC207" s="123">
        <f t="shared" si="5"/>
        <v>0</v>
      </c>
      <c r="AD207" s="122"/>
      <c r="AE207" s="122">
        <v>11.16</v>
      </c>
      <c r="AF207" s="122"/>
    </row>
    <row r="208" spans="1:32" x14ac:dyDescent="0.25">
      <c r="A208" s="122" t="s">
        <v>5159</v>
      </c>
      <c r="B208" s="122" t="s">
        <v>5161</v>
      </c>
      <c r="C208" s="126">
        <v>45784</v>
      </c>
      <c r="D208" s="126">
        <v>45784</v>
      </c>
      <c r="E208"/>
      <c r="F208"/>
      <c r="G208" s="1"/>
      <c r="H208" s="1"/>
      <c r="I208" s="122" t="s">
        <v>41</v>
      </c>
      <c r="J208" s="122" t="s">
        <v>54</v>
      </c>
      <c r="K208"/>
      <c r="L208"/>
      <c r="M208" s="2"/>
      <c r="N208"/>
      <c r="O208"/>
      <c r="P208"/>
      <c r="Q208"/>
      <c r="R208"/>
      <c r="S208"/>
      <c r="U208"/>
      <c r="V208"/>
      <c r="W208"/>
      <c r="X208" s="2"/>
      <c r="Y208"/>
      <c r="Z208" s="123">
        <v>100000</v>
      </c>
      <c r="AB208" s="123">
        <v>100000</v>
      </c>
      <c r="AC208" s="123">
        <f t="shared" si="5"/>
        <v>0</v>
      </c>
      <c r="AD208"/>
      <c r="AE208"/>
    </row>
    <row r="209" spans="1:31" x14ac:dyDescent="0.25">
      <c r="A209" s="122" t="s">
        <v>5160</v>
      </c>
      <c r="B209" s="122" t="s">
        <v>5162</v>
      </c>
      <c r="C209" s="126">
        <v>45784</v>
      </c>
      <c r="D209" s="126">
        <v>45784</v>
      </c>
      <c r="E209"/>
      <c r="F209"/>
      <c r="G209" s="1"/>
      <c r="H209" s="1"/>
      <c r="I209" s="122" t="s">
        <v>5163</v>
      </c>
      <c r="J209" s="122" t="s">
        <v>39</v>
      </c>
      <c r="K209"/>
      <c r="L209"/>
      <c r="M209" s="2"/>
      <c r="N209"/>
      <c r="O209"/>
      <c r="P209"/>
      <c r="Q209"/>
      <c r="R209"/>
      <c r="S209"/>
      <c r="U209"/>
      <c r="V209"/>
      <c r="W209"/>
      <c r="X209" s="2"/>
      <c r="Y209"/>
      <c r="AA209" s="123">
        <v>50000</v>
      </c>
      <c r="AB209" s="123">
        <v>50000</v>
      </c>
      <c r="AC209" s="123">
        <f t="shared" si="5"/>
        <v>0</v>
      </c>
      <c r="AD209"/>
      <c r="AE209"/>
    </row>
    <row r="210" spans="1:31" x14ac:dyDescent="0.25">
      <c r="A210" s="122" t="s">
        <v>5164</v>
      </c>
      <c r="B210" s="125">
        <v>4233675</v>
      </c>
      <c r="C210" s="126">
        <v>45785</v>
      </c>
      <c r="D210" s="126">
        <v>45785</v>
      </c>
      <c r="E210"/>
      <c r="F210"/>
      <c r="G210" s="1"/>
      <c r="H210" s="1"/>
      <c r="I210" s="122" t="s">
        <v>5167</v>
      </c>
      <c r="J210" s="122" t="s">
        <v>39</v>
      </c>
      <c r="K210"/>
      <c r="L210"/>
      <c r="M210" s="2"/>
      <c r="N210"/>
      <c r="O210"/>
      <c r="P210"/>
      <c r="Q210"/>
      <c r="R210"/>
      <c r="S210"/>
      <c r="U210"/>
      <c r="V210"/>
      <c r="W210"/>
      <c r="X210" s="2"/>
      <c r="Y210"/>
      <c r="AA210" s="123">
        <v>6701</v>
      </c>
      <c r="AB210" s="123">
        <v>6701</v>
      </c>
      <c r="AC210" s="123">
        <f t="shared" si="5"/>
        <v>0</v>
      </c>
      <c r="AD210"/>
      <c r="AE210"/>
    </row>
    <row r="211" spans="1:31" x14ac:dyDescent="0.25">
      <c r="A211" s="122" t="s">
        <v>5165</v>
      </c>
      <c r="B211" s="122" t="s">
        <v>5166</v>
      </c>
      <c r="C211" s="126">
        <v>45785</v>
      </c>
      <c r="D211" s="126">
        <v>45785</v>
      </c>
      <c r="E211"/>
      <c r="F211"/>
      <c r="G211" s="1"/>
      <c r="H211" s="1"/>
      <c r="I211" s="122" t="s">
        <v>4459</v>
      </c>
      <c r="J211" s="122" t="s">
        <v>5168</v>
      </c>
      <c r="K211"/>
      <c r="L211"/>
      <c r="M211" s="2"/>
      <c r="N211"/>
      <c r="O211"/>
      <c r="P211" s="2">
        <v>20000</v>
      </c>
      <c r="Q211"/>
      <c r="R211"/>
      <c r="S211"/>
      <c r="U211"/>
      <c r="V211"/>
      <c r="W211"/>
      <c r="X211" s="2"/>
      <c r="Y211"/>
      <c r="Z211" s="2"/>
      <c r="AA211" s="2"/>
      <c r="AB211" s="123">
        <v>20000</v>
      </c>
      <c r="AC211" s="10">
        <f t="shared" si="5"/>
        <v>0</v>
      </c>
      <c r="AD211"/>
      <c r="AE211"/>
    </row>
    <row r="212" spans="1:31" x14ac:dyDescent="0.25">
      <c r="A212" s="122" t="s">
        <v>5172</v>
      </c>
      <c r="B212" s="125">
        <v>4233676</v>
      </c>
      <c r="C212" s="126">
        <v>45792</v>
      </c>
      <c r="D212" s="126">
        <v>45790</v>
      </c>
      <c r="E212"/>
      <c r="F212"/>
      <c r="G212" s="1"/>
      <c r="H212" s="1"/>
      <c r="I212" s="122" t="s">
        <v>4612</v>
      </c>
      <c r="J212" s="122" t="s">
        <v>1847</v>
      </c>
      <c r="K212"/>
      <c r="L212"/>
      <c r="M212" s="2"/>
      <c r="N212"/>
      <c r="O212"/>
      <c r="P212"/>
      <c r="Q212"/>
      <c r="R212"/>
      <c r="S212"/>
      <c r="U212"/>
      <c r="V212"/>
      <c r="W212"/>
      <c r="X212" s="2"/>
      <c r="Y212"/>
      <c r="Z212" s="2"/>
      <c r="AA212" s="123">
        <v>28160</v>
      </c>
      <c r="AB212" s="123">
        <v>28160</v>
      </c>
      <c r="AC212" s="10">
        <f t="shared" si="5"/>
        <v>0</v>
      </c>
      <c r="AD212"/>
      <c r="AE212"/>
    </row>
    <row r="213" spans="1:31" x14ac:dyDescent="0.25">
      <c r="A213" s="122" t="s">
        <v>5173</v>
      </c>
      <c r="B213" s="125">
        <v>4233677</v>
      </c>
      <c r="C213" s="126">
        <v>45792</v>
      </c>
      <c r="D213" s="126">
        <v>45790</v>
      </c>
      <c r="E213"/>
      <c r="F213"/>
      <c r="G213" s="1"/>
      <c r="H213" s="1"/>
      <c r="I213" s="122" t="s">
        <v>4612</v>
      </c>
      <c r="J213" s="122" t="s">
        <v>5175</v>
      </c>
      <c r="K213"/>
      <c r="L213"/>
      <c r="M213" s="2"/>
      <c r="N213"/>
      <c r="O213"/>
      <c r="P213"/>
      <c r="Q213"/>
      <c r="R213"/>
      <c r="S213"/>
      <c r="U213"/>
      <c r="V213"/>
      <c r="W213"/>
      <c r="X213" s="2"/>
      <c r="Y213"/>
      <c r="Z213" s="2"/>
      <c r="AA213" s="123">
        <v>21000</v>
      </c>
      <c r="AB213" s="123">
        <v>21000</v>
      </c>
      <c r="AC213" s="10">
        <f t="shared" si="5"/>
        <v>0</v>
      </c>
      <c r="AD213"/>
      <c r="AE213"/>
    </row>
    <row r="214" spans="1:31" x14ac:dyDescent="0.25">
      <c r="A214" s="122" t="s">
        <v>5174</v>
      </c>
      <c r="B214" s="125">
        <v>4233678</v>
      </c>
      <c r="C214" s="126">
        <v>45792</v>
      </c>
      <c r="D214" s="126">
        <v>45790</v>
      </c>
      <c r="E214" s="126">
        <v>45800</v>
      </c>
      <c r="F214" s="122" t="s">
        <v>5231</v>
      </c>
      <c r="G214" s="1"/>
      <c r="H214" s="1"/>
      <c r="I214" s="122" t="s">
        <v>5176</v>
      </c>
      <c r="J214" s="122" t="s">
        <v>187</v>
      </c>
      <c r="K214"/>
      <c r="L214"/>
      <c r="M214" s="2"/>
      <c r="N214"/>
      <c r="O214"/>
      <c r="P214"/>
      <c r="Q214"/>
      <c r="R214"/>
      <c r="S214"/>
      <c r="U214"/>
      <c r="V214"/>
      <c r="W214"/>
      <c r="X214" s="2"/>
      <c r="Y214"/>
      <c r="Z214" s="2"/>
      <c r="AA214" s="123">
        <v>5875.2</v>
      </c>
      <c r="AB214" s="123">
        <v>5875.2</v>
      </c>
      <c r="AC214" s="10">
        <f t="shared" si="5"/>
        <v>0</v>
      </c>
      <c r="AD214"/>
      <c r="AE214"/>
    </row>
    <row r="215" spans="1:31" x14ac:dyDescent="0.25">
      <c r="A215" s="122" t="s">
        <v>5177</v>
      </c>
      <c r="B215" s="125">
        <v>4233679</v>
      </c>
      <c r="C215" s="126">
        <v>45792</v>
      </c>
      <c r="D215" s="126">
        <v>45790</v>
      </c>
      <c r="E215" s="126">
        <v>45792</v>
      </c>
      <c r="F215" s="122" t="s">
        <v>5389</v>
      </c>
      <c r="G215" s="1"/>
      <c r="H215" s="1"/>
      <c r="I215" s="122" t="s">
        <v>5180</v>
      </c>
      <c r="J215" s="122" t="s">
        <v>1457</v>
      </c>
      <c r="K215"/>
      <c r="L215"/>
      <c r="M215" s="2"/>
      <c r="N215" s="123">
        <v>27125</v>
      </c>
      <c r="O215"/>
      <c r="P215"/>
      <c r="Q215"/>
      <c r="R215"/>
      <c r="S215"/>
      <c r="U215"/>
      <c r="V215"/>
      <c r="W215"/>
      <c r="X215" s="2"/>
      <c r="Y215"/>
      <c r="Z215" s="2"/>
      <c r="AA215" s="2"/>
      <c r="AB215" s="123">
        <v>27125</v>
      </c>
      <c r="AC215" s="10">
        <f t="shared" si="5"/>
        <v>0</v>
      </c>
      <c r="AD215"/>
      <c r="AE215"/>
    </row>
    <row r="216" spans="1:31" x14ac:dyDescent="0.25">
      <c r="A216" s="122" t="s">
        <v>5178</v>
      </c>
      <c r="B216" s="125">
        <v>4233680</v>
      </c>
      <c r="C216" s="126">
        <v>45816</v>
      </c>
      <c r="D216" s="126">
        <v>45790</v>
      </c>
      <c r="E216" s="126">
        <v>45819</v>
      </c>
      <c r="F216" s="122" t="s">
        <v>5290</v>
      </c>
      <c r="G216" s="125" t="s">
        <v>5182</v>
      </c>
      <c r="H216" s="1"/>
      <c r="I216" s="122" t="s">
        <v>5181</v>
      </c>
      <c r="J216" s="122" t="s">
        <v>83</v>
      </c>
      <c r="K216" s="122" t="s">
        <v>1336</v>
      </c>
      <c r="L216" s="123">
        <v>2067.86</v>
      </c>
      <c r="M216" s="123">
        <v>17232.14</v>
      </c>
      <c r="N216"/>
      <c r="O216"/>
      <c r="P216"/>
      <c r="Q216"/>
      <c r="R216"/>
      <c r="S216"/>
      <c r="U216"/>
      <c r="V216"/>
      <c r="W216"/>
      <c r="X216" s="2"/>
      <c r="Y216"/>
      <c r="Z216" s="2"/>
      <c r="AA216" s="2"/>
      <c r="AB216" s="123">
        <v>19300</v>
      </c>
      <c r="AC216" s="10">
        <f t="shared" si="5"/>
        <v>0</v>
      </c>
      <c r="AD216"/>
      <c r="AE216" s="122">
        <v>172.32</v>
      </c>
    </row>
    <row r="217" spans="1:31" x14ac:dyDescent="0.25">
      <c r="A217" s="122" t="s">
        <v>5179</v>
      </c>
      <c r="B217" s="125">
        <v>4233681</v>
      </c>
      <c r="C217" s="126">
        <v>45793</v>
      </c>
      <c r="D217" s="126">
        <v>45790</v>
      </c>
      <c r="E217" s="126">
        <v>45793</v>
      </c>
      <c r="F217" s="122" t="s">
        <v>5228</v>
      </c>
      <c r="G217" s="125" t="s">
        <v>5183</v>
      </c>
      <c r="H217" s="1"/>
      <c r="I217" s="122" t="s">
        <v>5184</v>
      </c>
      <c r="J217" s="122" t="s">
        <v>4717</v>
      </c>
      <c r="K217" s="122" t="s">
        <v>4718</v>
      </c>
      <c r="L217" s="122">
        <v>1071.43</v>
      </c>
      <c r="M217" s="123">
        <v>8928.57</v>
      </c>
      <c r="N217"/>
      <c r="O217"/>
      <c r="P217"/>
      <c r="Q217"/>
      <c r="R217"/>
      <c r="S217"/>
      <c r="U217"/>
      <c r="V217"/>
      <c r="W217"/>
      <c r="X217" s="2"/>
      <c r="Y217"/>
      <c r="Z217" s="2"/>
      <c r="AB217" s="123">
        <v>10000</v>
      </c>
      <c r="AC217" s="10">
        <f t="shared" si="5"/>
        <v>0</v>
      </c>
      <c r="AD217"/>
      <c r="AE217" s="122">
        <v>89.29</v>
      </c>
    </row>
    <row r="218" spans="1:31" x14ac:dyDescent="0.25">
      <c r="A218" s="122" t="s">
        <v>5185</v>
      </c>
      <c r="B218" s="122" t="s">
        <v>5189</v>
      </c>
      <c r="C218" s="126">
        <v>45790</v>
      </c>
      <c r="D218" s="126">
        <v>45790</v>
      </c>
      <c r="E218" s="122"/>
      <c r="F218"/>
      <c r="G218" s="1"/>
      <c r="H218" s="1"/>
      <c r="I218" s="122" t="s">
        <v>5190</v>
      </c>
      <c r="J218" s="122" t="s">
        <v>39</v>
      </c>
      <c r="K218"/>
      <c r="L218" s="122"/>
      <c r="N218"/>
      <c r="O218"/>
      <c r="P218"/>
      <c r="Q218"/>
      <c r="R218"/>
      <c r="S218"/>
      <c r="U218"/>
      <c r="V218"/>
      <c r="W218" s="123">
        <v>60000</v>
      </c>
      <c r="X218" s="2"/>
      <c r="Y218"/>
      <c r="Z218" s="2"/>
      <c r="AB218" s="123">
        <v>60000</v>
      </c>
      <c r="AC218" s="10">
        <f t="shared" si="5"/>
        <v>0</v>
      </c>
      <c r="AD218"/>
      <c r="AE218"/>
    </row>
    <row r="219" spans="1:31" x14ac:dyDescent="0.25">
      <c r="A219" s="122" t="s">
        <v>5186</v>
      </c>
      <c r="B219" s="122" t="s">
        <v>5191</v>
      </c>
      <c r="C219" s="126">
        <v>45790</v>
      </c>
      <c r="D219" s="126">
        <v>45790</v>
      </c>
      <c r="E219"/>
      <c r="F219"/>
      <c r="G219" s="1"/>
      <c r="H219" s="1"/>
      <c r="I219" s="122" t="s">
        <v>4459</v>
      </c>
      <c r="J219" s="122" t="s">
        <v>5168</v>
      </c>
      <c r="K219"/>
      <c r="L219" s="122"/>
      <c r="N219"/>
      <c r="O219"/>
      <c r="P219" s="123">
        <v>30000</v>
      </c>
      <c r="Q219"/>
      <c r="R219"/>
      <c r="S219"/>
      <c r="U219"/>
      <c r="V219"/>
      <c r="W219"/>
      <c r="X219" s="2"/>
      <c r="Y219"/>
      <c r="Z219" s="2"/>
      <c r="AB219" s="123">
        <v>30000</v>
      </c>
      <c r="AC219" s="10">
        <f t="shared" si="5"/>
        <v>0</v>
      </c>
      <c r="AD219"/>
      <c r="AE219"/>
    </row>
    <row r="220" spans="1:31" x14ac:dyDescent="0.25">
      <c r="A220" s="122" t="s">
        <v>5187</v>
      </c>
      <c r="B220" s="125">
        <v>4233682</v>
      </c>
      <c r="C220" s="126">
        <v>45792</v>
      </c>
      <c r="D220" s="126">
        <v>45790</v>
      </c>
      <c r="E220"/>
      <c r="F220"/>
      <c r="G220" s="1"/>
      <c r="H220" s="1"/>
      <c r="I220" s="122" t="s">
        <v>5094</v>
      </c>
      <c r="J220" s="122" t="s">
        <v>46</v>
      </c>
      <c r="K220"/>
      <c r="L220" s="122">
        <v>160.61000000000001</v>
      </c>
      <c r="N220"/>
      <c r="O220"/>
      <c r="P220"/>
      <c r="Q220"/>
      <c r="R220"/>
      <c r="S220">
        <v>1338.39</v>
      </c>
      <c r="U220"/>
      <c r="V220"/>
      <c r="W220"/>
      <c r="X220" s="2"/>
      <c r="Y220"/>
      <c r="Z220" s="2"/>
      <c r="AB220" s="123">
        <v>1499</v>
      </c>
      <c r="AC220" s="10">
        <f t="shared" si="5"/>
        <v>0</v>
      </c>
      <c r="AD220"/>
      <c r="AE220"/>
    </row>
    <row r="221" spans="1:31" x14ac:dyDescent="0.25">
      <c r="A221" s="122" t="s">
        <v>5188</v>
      </c>
      <c r="B221" s="125">
        <v>4233683</v>
      </c>
      <c r="C221" s="126">
        <v>45792</v>
      </c>
      <c r="D221" s="126">
        <v>45790</v>
      </c>
      <c r="E221"/>
      <c r="F221"/>
      <c r="G221" s="1"/>
      <c r="H221" s="1"/>
      <c r="I221" s="122" t="s">
        <v>5095</v>
      </c>
      <c r="J221" s="122" t="s">
        <v>46</v>
      </c>
      <c r="K221"/>
      <c r="L221" s="122">
        <v>107.04</v>
      </c>
      <c r="N221"/>
      <c r="O221"/>
      <c r="P221"/>
      <c r="Q221"/>
      <c r="R221"/>
      <c r="S221">
        <v>891.96</v>
      </c>
      <c r="U221"/>
      <c r="V221"/>
      <c r="W221"/>
      <c r="X221" s="2"/>
      <c r="Y221"/>
      <c r="Z221" s="2"/>
      <c r="AB221" s="123">
        <v>999</v>
      </c>
      <c r="AC221" s="10">
        <f t="shared" si="5"/>
        <v>0</v>
      </c>
      <c r="AD221"/>
      <c r="AE221"/>
    </row>
    <row r="222" spans="1:31" x14ac:dyDescent="0.25">
      <c r="A222" s="122" t="s">
        <v>5192</v>
      </c>
      <c r="B222" s="125">
        <v>4233684</v>
      </c>
      <c r="C222" s="126">
        <v>45790</v>
      </c>
      <c r="D222" s="126">
        <v>45790</v>
      </c>
      <c r="E222"/>
      <c r="F222"/>
      <c r="G222" s="1"/>
      <c r="H222" s="1"/>
      <c r="I222" s="122" t="s">
        <v>5194</v>
      </c>
      <c r="J222" s="122" t="s">
        <v>3667</v>
      </c>
      <c r="K222"/>
      <c r="L222"/>
      <c r="M222" s="2"/>
      <c r="N222"/>
      <c r="O222"/>
      <c r="P222" s="122"/>
      <c r="Q222" s="122"/>
      <c r="R222" s="122"/>
      <c r="S222" s="122"/>
      <c r="U222"/>
      <c r="V222"/>
      <c r="W222"/>
      <c r="X222" s="2"/>
      <c r="Y222"/>
      <c r="Z222" s="2"/>
      <c r="AA222" s="123">
        <v>3750</v>
      </c>
      <c r="AB222" s="123">
        <v>3750</v>
      </c>
      <c r="AC222" s="10">
        <f t="shared" si="5"/>
        <v>0</v>
      </c>
      <c r="AD222"/>
      <c r="AE222"/>
    </row>
    <row r="223" spans="1:31" x14ac:dyDescent="0.25">
      <c r="A223" s="122" t="s">
        <v>5193</v>
      </c>
      <c r="B223" s="122" t="s">
        <v>5195</v>
      </c>
      <c r="C223" s="126">
        <v>45790</v>
      </c>
      <c r="D223" s="126">
        <v>45790</v>
      </c>
      <c r="E223"/>
      <c r="F223"/>
      <c r="G223" s="1"/>
      <c r="H223" s="1"/>
      <c r="I223" s="122" t="s">
        <v>4459</v>
      </c>
      <c r="J223" s="122" t="s">
        <v>4549</v>
      </c>
      <c r="K223"/>
      <c r="L223"/>
      <c r="M223" s="2"/>
      <c r="N223"/>
      <c r="O223"/>
      <c r="P223" s="123">
        <v>100000</v>
      </c>
      <c r="Q223" s="122"/>
      <c r="R223" s="122"/>
      <c r="S223" s="122"/>
      <c r="U223"/>
      <c r="V223"/>
      <c r="W223"/>
      <c r="X223" s="2"/>
      <c r="Y223"/>
      <c r="Z223" s="2"/>
      <c r="AB223" s="123">
        <v>100000</v>
      </c>
      <c r="AC223" s="10">
        <f t="shared" si="5"/>
        <v>0</v>
      </c>
      <c r="AD223"/>
      <c r="AE223"/>
    </row>
    <row r="224" spans="1:31" x14ac:dyDescent="0.25">
      <c r="A224" s="122" t="s">
        <v>5196</v>
      </c>
      <c r="B224" s="125">
        <v>4233685</v>
      </c>
      <c r="C224" s="126">
        <v>45792</v>
      </c>
      <c r="D224" s="126">
        <v>45791</v>
      </c>
      <c r="E224"/>
      <c r="F224"/>
      <c r="G224" s="1"/>
      <c r="H224" s="125" t="s">
        <v>3915</v>
      </c>
      <c r="I224" s="122" t="s">
        <v>4975</v>
      </c>
      <c r="J224" s="122" t="s">
        <v>3667</v>
      </c>
      <c r="K224"/>
      <c r="L224"/>
      <c r="M224" s="2"/>
      <c r="N224"/>
      <c r="O224"/>
      <c r="P224" s="122"/>
      <c r="Q224" s="122"/>
      <c r="R224" s="122"/>
      <c r="S224" s="122"/>
      <c r="T224" s="123">
        <v>7178.03</v>
      </c>
      <c r="U224"/>
      <c r="V224"/>
      <c r="W224"/>
      <c r="X224" s="2"/>
      <c r="Y224"/>
      <c r="Z224" s="2"/>
      <c r="AB224" s="123">
        <v>7178.03</v>
      </c>
      <c r="AC224" s="10">
        <f t="shared" si="5"/>
        <v>0</v>
      </c>
      <c r="AD224"/>
      <c r="AE224"/>
    </row>
    <row r="225" spans="1:31" x14ac:dyDescent="0.25">
      <c r="A225" s="122" t="s">
        <v>5197</v>
      </c>
      <c r="B225" s="125">
        <v>4233686</v>
      </c>
      <c r="C225" s="126">
        <v>45797</v>
      </c>
      <c r="D225" s="126">
        <v>45791</v>
      </c>
      <c r="E225"/>
      <c r="F225"/>
      <c r="G225" s="1"/>
      <c r="H225" s="1"/>
      <c r="I225" s="122" t="s">
        <v>5204</v>
      </c>
      <c r="J225" s="122" t="s">
        <v>65</v>
      </c>
      <c r="K225"/>
      <c r="L225"/>
      <c r="M225" s="2"/>
      <c r="N225"/>
      <c r="O225"/>
      <c r="P225" s="122"/>
      <c r="Q225" s="122"/>
      <c r="R225" s="122"/>
      <c r="S225" s="122"/>
      <c r="U225"/>
      <c r="V225"/>
      <c r="W225"/>
      <c r="X225" s="2"/>
      <c r="Y225" s="123">
        <v>2513</v>
      </c>
      <c r="Z225" s="2"/>
      <c r="AB225" s="123">
        <v>3000</v>
      </c>
      <c r="AC225" s="10">
        <f t="shared" si="5"/>
        <v>487</v>
      </c>
      <c r="AD225" s="145" t="s">
        <v>5245</v>
      </c>
      <c r="AE225"/>
    </row>
    <row r="226" spans="1:31" x14ac:dyDescent="0.25">
      <c r="A226" s="122" t="s">
        <v>5198</v>
      </c>
      <c r="B226" s="125">
        <v>4233687</v>
      </c>
      <c r="C226" s="126">
        <v>45791</v>
      </c>
      <c r="D226" s="126">
        <v>45791</v>
      </c>
      <c r="E226"/>
      <c r="F226"/>
      <c r="G226" s="1"/>
      <c r="H226" s="1"/>
      <c r="I226" s="122" t="s">
        <v>5205</v>
      </c>
      <c r="J226" s="122" t="s">
        <v>4628</v>
      </c>
      <c r="K226"/>
      <c r="L226"/>
      <c r="M226" s="2"/>
      <c r="N226"/>
      <c r="O226"/>
      <c r="P226" s="122"/>
      <c r="Q226" s="122"/>
      <c r="R226" s="122"/>
      <c r="S226" s="122"/>
      <c r="U226"/>
      <c r="V226"/>
      <c r="W226"/>
      <c r="X226" s="123">
        <v>9780.2999999999993</v>
      </c>
      <c r="Y226"/>
      <c r="Z226" s="2"/>
      <c r="AA226" s="2"/>
      <c r="AB226" s="123">
        <v>9780.2999999999993</v>
      </c>
      <c r="AC226" s="10">
        <f t="shared" si="5"/>
        <v>0</v>
      </c>
      <c r="AD226"/>
      <c r="AE226"/>
    </row>
    <row r="227" spans="1:31" x14ac:dyDescent="0.25">
      <c r="A227" s="122" t="s">
        <v>5199</v>
      </c>
      <c r="B227" s="125">
        <v>4233688</v>
      </c>
      <c r="C227" s="126">
        <v>45791</v>
      </c>
      <c r="D227" s="126">
        <v>45791</v>
      </c>
      <c r="E227"/>
      <c r="F227"/>
      <c r="G227" s="1"/>
      <c r="H227" s="1"/>
      <c r="I227" s="122" t="s">
        <v>5206</v>
      </c>
      <c r="J227" s="122" t="s">
        <v>18</v>
      </c>
      <c r="K227"/>
      <c r="L227" s="122">
        <v>151.09</v>
      </c>
      <c r="N227" s="122"/>
      <c r="O227" s="122"/>
      <c r="P227" s="122"/>
      <c r="Q227" s="122"/>
      <c r="R227" s="123">
        <v>1259.06</v>
      </c>
      <c r="S227" s="122"/>
      <c r="U227"/>
      <c r="V227"/>
      <c r="W227"/>
      <c r="X227" s="2"/>
      <c r="Y227"/>
      <c r="Z227" s="2"/>
      <c r="AA227" s="2"/>
      <c r="AB227" s="123">
        <v>1410.15</v>
      </c>
      <c r="AC227" s="10">
        <f t="shared" si="5"/>
        <v>0</v>
      </c>
      <c r="AD227"/>
      <c r="AE227"/>
    </row>
    <row r="228" spans="1:31" x14ac:dyDescent="0.25">
      <c r="A228" s="122" t="s">
        <v>5200</v>
      </c>
      <c r="B228" s="125">
        <v>4233689</v>
      </c>
      <c r="C228" s="126">
        <v>45791</v>
      </c>
      <c r="D228" s="126">
        <v>45791</v>
      </c>
      <c r="E228"/>
      <c r="F228"/>
      <c r="G228" s="1"/>
      <c r="H228" s="1"/>
      <c r="I228" s="122" t="s">
        <v>5206</v>
      </c>
      <c r="J228" s="122" t="s">
        <v>18</v>
      </c>
      <c r="K228"/>
      <c r="L228" s="122">
        <v>811.09</v>
      </c>
      <c r="N228" s="122"/>
      <c r="O228" s="122"/>
      <c r="P228" s="122"/>
      <c r="Q228" s="122"/>
      <c r="R228" s="123">
        <v>6759.06</v>
      </c>
      <c r="S228" s="122"/>
      <c r="U228"/>
      <c r="V228"/>
      <c r="W228"/>
      <c r="X228" s="2"/>
      <c r="Y228"/>
      <c r="Z228" s="2"/>
      <c r="AA228" s="2"/>
      <c r="AB228" s="123">
        <v>7570.15</v>
      </c>
      <c r="AC228" s="10">
        <f t="shared" si="5"/>
        <v>0</v>
      </c>
      <c r="AD228"/>
      <c r="AE228"/>
    </row>
    <row r="229" spans="1:31" x14ac:dyDescent="0.25">
      <c r="A229" s="122" t="s">
        <v>5201</v>
      </c>
      <c r="B229" s="125">
        <v>4233690</v>
      </c>
      <c r="C229" s="126">
        <v>45821</v>
      </c>
      <c r="D229" s="126">
        <v>45791</v>
      </c>
      <c r="E229" s="156">
        <v>0.54545454545454541</v>
      </c>
      <c r="F229" s="123" t="s">
        <v>5291</v>
      </c>
      <c r="G229" s="153" t="s">
        <v>5292</v>
      </c>
      <c r="I229" s="123" t="s">
        <v>5207</v>
      </c>
      <c r="J229" s="122" t="s">
        <v>83</v>
      </c>
      <c r="K229" s="122" t="s">
        <v>1336</v>
      </c>
      <c r="L229" s="123">
        <v>11142.86</v>
      </c>
      <c r="M229" s="123">
        <v>92857.14</v>
      </c>
      <c r="AB229" s="123">
        <v>104000</v>
      </c>
      <c r="AC229" s="10">
        <f t="shared" si="5"/>
        <v>0</v>
      </c>
      <c r="AE229" s="123">
        <v>928.57</v>
      </c>
    </row>
    <row r="230" spans="1:31" x14ac:dyDescent="0.25">
      <c r="A230" s="122" t="s">
        <v>5202</v>
      </c>
      <c r="B230" s="125">
        <v>4233691</v>
      </c>
      <c r="C230" s="126">
        <v>45835</v>
      </c>
      <c r="D230" s="126">
        <v>45791</v>
      </c>
      <c r="E230" s="126">
        <v>45810</v>
      </c>
      <c r="F230" s="123" t="s">
        <v>5255</v>
      </c>
      <c r="G230" s="153" t="s">
        <v>5256</v>
      </c>
      <c r="I230" s="123" t="s">
        <v>5208</v>
      </c>
      <c r="J230" s="122" t="s">
        <v>1226</v>
      </c>
      <c r="K230" s="122" t="s">
        <v>2924</v>
      </c>
      <c r="L230" s="123">
        <v>7446.43</v>
      </c>
      <c r="M230" s="123">
        <v>62053.57</v>
      </c>
      <c r="AB230" s="123">
        <v>69500</v>
      </c>
      <c r="AC230" s="10">
        <f t="shared" si="5"/>
        <v>0</v>
      </c>
      <c r="AE230" s="123">
        <v>620.54</v>
      </c>
    </row>
    <row r="231" spans="1:31" x14ac:dyDescent="0.25">
      <c r="A231" s="122" t="s">
        <v>5203</v>
      </c>
      <c r="B231" s="125">
        <v>4233692</v>
      </c>
      <c r="C231" s="126">
        <v>45821</v>
      </c>
      <c r="D231" s="126">
        <v>45791</v>
      </c>
      <c r="E231" s="126">
        <v>45812</v>
      </c>
      <c r="F231" s="123" t="s">
        <v>5257</v>
      </c>
      <c r="G231" s="153" t="s">
        <v>5258</v>
      </c>
      <c r="I231" s="123" t="s">
        <v>5209</v>
      </c>
      <c r="J231" s="122" t="s">
        <v>3527</v>
      </c>
      <c r="K231" s="122" t="s">
        <v>3530</v>
      </c>
      <c r="L231" s="123">
        <v>723.21</v>
      </c>
      <c r="M231" s="123">
        <v>6026.79</v>
      </c>
      <c r="AB231" s="123">
        <v>6750</v>
      </c>
      <c r="AC231" s="10">
        <f t="shared" si="5"/>
        <v>0</v>
      </c>
      <c r="AE231" s="123">
        <v>60.27</v>
      </c>
    </row>
    <row r="232" spans="1:31" x14ac:dyDescent="0.25">
      <c r="A232" s="122" t="s">
        <v>5210</v>
      </c>
      <c r="B232" s="122" t="s">
        <v>5211</v>
      </c>
      <c r="C232" s="126">
        <v>45791</v>
      </c>
      <c r="D232" s="126">
        <v>45791</v>
      </c>
      <c r="I232" s="123" t="s">
        <v>41</v>
      </c>
      <c r="J232" s="123" t="s">
        <v>54</v>
      </c>
      <c r="Z232" s="123">
        <v>100000</v>
      </c>
      <c r="AB232" s="123">
        <v>100000</v>
      </c>
      <c r="AC232" s="10">
        <f t="shared" si="5"/>
        <v>0</v>
      </c>
    </row>
    <row r="233" spans="1:31" x14ac:dyDescent="0.25">
      <c r="A233" s="122" t="s">
        <v>5212</v>
      </c>
      <c r="B233" s="125">
        <v>4233693</v>
      </c>
      <c r="C233" s="126">
        <v>45822</v>
      </c>
      <c r="D233" s="126">
        <v>45791</v>
      </c>
      <c r="I233" s="123" t="s">
        <v>5214</v>
      </c>
      <c r="J233" s="122" t="s">
        <v>2087</v>
      </c>
      <c r="K233" s="122" t="s">
        <v>2088</v>
      </c>
      <c r="L233" s="123">
        <v>5892.86</v>
      </c>
      <c r="M233" s="123">
        <v>49107.14</v>
      </c>
      <c r="AB233" s="123">
        <v>55000</v>
      </c>
      <c r="AC233" s="10">
        <f t="shared" si="5"/>
        <v>0</v>
      </c>
      <c r="AE233" s="123">
        <v>491.07</v>
      </c>
    </row>
    <row r="234" spans="1:31" x14ac:dyDescent="0.25">
      <c r="A234" s="122" t="s">
        <v>5213</v>
      </c>
      <c r="B234" s="125">
        <v>4233694</v>
      </c>
      <c r="C234" s="126">
        <v>45791</v>
      </c>
      <c r="D234" s="126">
        <v>45791</v>
      </c>
      <c r="I234" s="123" t="s">
        <v>5215</v>
      </c>
      <c r="J234" s="123" t="s">
        <v>3667</v>
      </c>
      <c r="AA234" s="123">
        <v>1600</v>
      </c>
      <c r="AB234" s="123">
        <v>1100</v>
      </c>
      <c r="AC234" s="10">
        <f t="shared" si="5"/>
        <v>-500</v>
      </c>
      <c r="AD234" s="145" t="s">
        <v>5229</v>
      </c>
    </row>
    <row r="235" spans="1:31" x14ac:dyDescent="0.25">
      <c r="A235" s="122" t="s">
        <v>5218</v>
      </c>
      <c r="B235" s="125">
        <v>4233699</v>
      </c>
      <c r="C235" s="126">
        <v>45793</v>
      </c>
      <c r="D235" s="126">
        <v>45793</v>
      </c>
      <c r="E235" s="126">
        <v>45799</v>
      </c>
      <c r="F235" s="123" t="s">
        <v>5230</v>
      </c>
      <c r="I235" s="123" t="s">
        <v>5226</v>
      </c>
      <c r="J235" s="123" t="s">
        <v>5227</v>
      </c>
      <c r="AA235" s="123">
        <v>15000</v>
      </c>
      <c r="AB235" s="123">
        <v>15000</v>
      </c>
      <c r="AC235" s="10">
        <f t="shared" si="5"/>
        <v>0</v>
      </c>
    </row>
    <row r="236" spans="1:31" x14ac:dyDescent="0.25">
      <c r="A236" s="122" t="s">
        <v>5219</v>
      </c>
      <c r="B236" s="125">
        <v>4233696</v>
      </c>
      <c r="C236" s="126">
        <v>45793</v>
      </c>
      <c r="D236" s="126">
        <v>45793</v>
      </c>
      <c r="I236" s="123" t="s">
        <v>5224</v>
      </c>
      <c r="J236" s="123" t="s">
        <v>5225</v>
      </c>
      <c r="AA236" s="123">
        <v>6696</v>
      </c>
      <c r="AB236" s="123">
        <v>6696</v>
      </c>
      <c r="AC236" s="10">
        <f t="shared" si="5"/>
        <v>0</v>
      </c>
    </row>
    <row r="237" spans="1:31" x14ac:dyDescent="0.25">
      <c r="A237" s="122" t="s">
        <v>5220</v>
      </c>
      <c r="B237" s="125">
        <v>4233697</v>
      </c>
      <c r="C237" s="126">
        <v>45793</v>
      </c>
      <c r="D237" s="126">
        <v>45793</v>
      </c>
      <c r="H237" s="125" t="s">
        <v>3916</v>
      </c>
      <c r="I237" s="123" t="s">
        <v>4780</v>
      </c>
      <c r="J237" s="123" t="s">
        <v>3667</v>
      </c>
      <c r="T237" s="123">
        <v>10904.55</v>
      </c>
      <c r="AB237" s="123">
        <v>10904.55</v>
      </c>
      <c r="AC237" s="10">
        <f t="shared" si="5"/>
        <v>0</v>
      </c>
    </row>
    <row r="238" spans="1:31" x14ac:dyDescent="0.25">
      <c r="A238" s="122" t="s">
        <v>5221</v>
      </c>
      <c r="B238" s="125">
        <v>4233700</v>
      </c>
      <c r="C238" s="126">
        <v>45796</v>
      </c>
      <c r="D238" s="126">
        <v>45796</v>
      </c>
      <c r="I238" s="122" t="s">
        <v>3979</v>
      </c>
      <c r="J238" s="122" t="s">
        <v>46</v>
      </c>
      <c r="L238" s="123">
        <v>1388.31</v>
      </c>
      <c r="S238" s="123">
        <v>11569.24</v>
      </c>
      <c r="AB238" s="123">
        <v>12957.55</v>
      </c>
      <c r="AC238" s="10">
        <f t="shared" si="5"/>
        <v>0</v>
      </c>
    </row>
    <row r="239" spans="1:31" x14ac:dyDescent="0.25">
      <c r="A239" s="122" t="s">
        <v>5222</v>
      </c>
      <c r="B239" s="122" t="s">
        <v>5233</v>
      </c>
      <c r="C239" s="126">
        <v>45798</v>
      </c>
      <c r="D239" s="126">
        <v>45797</v>
      </c>
      <c r="I239" s="123" t="s">
        <v>41</v>
      </c>
      <c r="J239" s="123" t="s">
        <v>54</v>
      </c>
      <c r="Z239" s="123">
        <v>350000</v>
      </c>
      <c r="AB239" s="123">
        <v>350000</v>
      </c>
      <c r="AC239" s="10">
        <f t="shared" si="5"/>
        <v>0</v>
      </c>
    </row>
    <row r="240" spans="1:31" x14ac:dyDescent="0.25">
      <c r="A240" s="122" t="s">
        <v>5223</v>
      </c>
      <c r="B240" s="122" t="s">
        <v>5234</v>
      </c>
      <c r="C240" s="126">
        <v>45804</v>
      </c>
      <c r="D240" s="126">
        <v>45804</v>
      </c>
      <c r="I240" s="123" t="s">
        <v>3435</v>
      </c>
      <c r="J240" s="123" t="s">
        <v>5235</v>
      </c>
      <c r="AA240" s="123">
        <v>20685.52</v>
      </c>
      <c r="AB240" s="123">
        <v>20685.52</v>
      </c>
      <c r="AC240" s="10">
        <f t="shared" si="5"/>
        <v>0</v>
      </c>
    </row>
    <row r="241" spans="1:31" x14ac:dyDescent="0.25">
      <c r="A241" s="122" t="s">
        <v>5236</v>
      </c>
      <c r="B241" s="122" t="s">
        <v>5237</v>
      </c>
      <c r="C241" s="126">
        <v>45804</v>
      </c>
      <c r="D241" s="126">
        <v>45804</v>
      </c>
      <c r="I241" s="123" t="s">
        <v>5238</v>
      </c>
      <c r="J241" s="123" t="s">
        <v>5235</v>
      </c>
      <c r="AA241" s="123">
        <v>140000</v>
      </c>
      <c r="AB241" s="123">
        <v>140000</v>
      </c>
      <c r="AC241" s="10">
        <f t="shared" si="5"/>
        <v>0</v>
      </c>
    </row>
    <row r="242" spans="1:31" x14ac:dyDescent="0.25">
      <c r="A242" s="122" t="s">
        <v>5239</v>
      </c>
      <c r="B242" s="125">
        <v>4233701</v>
      </c>
      <c r="C242" s="126">
        <v>45804</v>
      </c>
      <c r="D242" s="126">
        <v>45804</v>
      </c>
      <c r="H242" s="125" t="s">
        <v>3919</v>
      </c>
      <c r="I242" s="123" t="s">
        <v>4427</v>
      </c>
      <c r="J242" s="123" t="s">
        <v>3667</v>
      </c>
      <c r="T242" s="123">
        <v>13704.18</v>
      </c>
      <c r="AB242" s="123">
        <v>13704.18</v>
      </c>
      <c r="AC242" s="10">
        <f t="shared" si="5"/>
        <v>0</v>
      </c>
    </row>
    <row r="243" spans="1:31" x14ac:dyDescent="0.25">
      <c r="A243" s="122" t="s">
        <v>5240</v>
      </c>
      <c r="B243" s="125">
        <v>4233702</v>
      </c>
      <c r="C243" s="126">
        <v>45807</v>
      </c>
      <c r="D243" s="126">
        <v>45804</v>
      </c>
      <c r="I243" s="123" t="s">
        <v>4612</v>
      </c>
      <c r="J243" s="123" t="s">
        <v>1847</v>
      </c>
      <c r="AA243" s="123">
        <v>25600</v>
      </c>
      <c r="AB243" s="123">
        <v>25600</v>
      </c>
      <c r="AC243" s="10">
        <f t="shared" si="5"/>
        <v>0</v>
      </c>
    </row>
    <row r="244" spans="1:31" x14ac:dyDescent="0.25">
      <c r="A244" s="122" t="s">
        <v>5241</v>
      </c>
      <c r="B244" s="125">
        <v>4233703</v>
      </c>
      <c r="C244" s="126">
        <v>45807</v>
      </c>
      <c r="D244" s="126">
        <v>45804</v>
      </c>
      <c r="I244" s="123" t="s">
        <v>4612</v>
      </c>
      <c r="J244" s="123" t="s">
        <v>5175</v>
      </c>
      <c r="AA244" s="123">
        <v>15200</v>
      </c>
      <c r="AB244" s="123">
        <v>15200</v>
      </c>
      <c r="AC244" s="10">
        <f t="shared" si="5"/>
        <v>0</v>
      </c>
    </row>
    <row r="245" spans="1:31" x14ac:dyDescent="0.25">
      <c r="A245" s="122" t="s">
        <v>5242</v>
      </c>
      <c r="B245" s="125">
        <v>4233704</v>
      </c>
      <c r="C245" s="126">
        <v>45805</v>
      </c>
      <c r="D245" s="126">
        <v>45805</v>
      </c>
      <c r="I245" s="123" t="s">
        <v>4459</v>
      </c>
      <c r="J245" s="123" t="s">
        <v>5113</v>
      </c>
      <c r="P245" s="123">
        <v>15000</v>
      </c>
      <c r="AB245" s="123">
        <v>15000</v>
      </c>
      <c r="AC245" s="10">
        <f t="shared" si="5"/>
        <v>0</v>
      </c>
    </row>
    <row r="246" spans="1:31" x14ac:dyDescent="0.25">
      <c r="A246" s="122" t="s">
        <v>5243</v>
      </c>
      <c r="B246" s="125">
        <v>4233705</v>
      </c>
      <c r="C246" s="126">
        <v>45805</v>
      </c>
      <c r="D246" s="126">
        <v>45805</v>
      </c>
      <c r="E246" s="126">
        <v>45819</v>
      </c>
      <c r="I246" s="123" t="s">
        <v>5244</v>
      </c>
      <c r="J246" s="122" t="s">
        <v>83</v>
      </c>
      <c r="K246" s="122" t="s">
        <v>1336</v>
      </c>
      <c r="AA246" s="123">
        <v>5116.6899999999996</v>
      </c>
      <c r="AB246" s="123">
        <v>5116.6899999999996</v>
      </c>
      <c r="AC246" s="10">
        <f t="shared" si="5"/>
        <v>0</v>
      </c>
    </row>
    <row r="247" spans="1:31" x14ac:dyDescent="0.25">
      <c r="A247" s="122" t="s">
        <v>5246</v>
      </c>
      <c r="B247" s="125">
        <v>4233706</v>
      </c>
      <c r="C247" s="126">
        <v>45806</v>
      </c>
      <c r="D247" s="126">
        <v>45806</v>
      </c>
      <c r="I247" s="123" t="s">
        <v>5247</v>
      </c>
      <c r="J247" s="123" t="s">
        <v>3667</v>
      </c>
      <c r="Y247" s="123">
        <v>3000</v>
      </c>
      <c r="AB247" s="123">
        <v>2704</v>
      </c>
      <c r="AC247" s="10">
        <f t="shared" si="5"/>
        <v>-296</v>
      </c>
      <c r="AD247" s="145" t="s">
        <v>5379</v>
      </c>
    </row>
    <row r="248" spans="1:31" x14ac:dyDescent="0.25">
      <c r="A248" s="144">
        <v>45809</v>
      </c>
      <c r="B248" s="137"/>
      <c r="C248" s="138"/>
      <c r="D248" s="138"/>
      <c r="E248" s="138"/>
      <c r="F248" s="137"/>
      <c r="G248" s="139"/>
      <c r="H248" s="139"/>
      <c r="I248" s="137"/>
      <c r="J248" s="137"/>
      <c r="K248" s="137"/>
      <c r="L248" s="140"/>
      <c r="M248" s="140"/>
      <c r="N248" s="140"/>
      <c r="O248" s="137"/>
      <c r="P248" s="137"/>
      <c r="Q248" s="137"/>
      <c r="R248" s="137"/>
      <c r="S248" s="137"/>
      <c r="T248" s="140"/>
      <c r="U248" s="141"/>
      <c r="V248" s="141"/>
      <c r="W248" s="141"/>
      <c r="X248" s="142"/>
      <c r="Y248" s="141"/>
      <c r="Z248" s="142"/>
      <c r="AA248" s="142"/>
      <c r="AB248" s="140"/>
      <c r="AC248" s="143"/>
      <c r="AD248" s="141"/>
      <c r="AE248" s="140"/>
    </row>
    <row r="249" spans="1:31" x14ac:dyDescent="0.25">
      <c r="A249" s="158" t="s">
        <v>5248</v>
      </c>
      <c r="B249" s="159">
        <v>4233707</v>
      </c>
      <c r="C249" s="160">
        <v>45854</v>
      </c>
      <c r="D249" s="160">
        <v>45810</v>
      </c>
      <c r="E249" s="160">
        <v>45824</v>
      </c>
      <c r="F249" s="161" t="s">
        <v>5334</v>
      </c>
      <c r="G249" s="162" t="s">
        <v>4962</v>
      </c>
      <c r="H249" s="162"/>
      <c r="I249" s="161" t="s">
        <v>5420</v>
      </c>
      <c r="J249" s="161" t="s">
        <v>1226</v>
      </c>
      <c r="K249" s="158" t="s">
        <v>2924</v>
      </c>
      <c r="L249" s="161">
        <v>4553.57</v>
      </c>
      <c r="M249" s="161">
        <v>37946.43</v>
      </c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>
        <v>42500</v>
      </c>
      <c r="AC249" s="10">
        <f t="shared" si="5"/>
        <v>0</v>
      </c>
      <c r="AD249" s="161" t="s">
        <v>5432</v>
      </c>
      <c r="AE249" s="123">
        <v>379.46</v>
      </c>
    </row>
    <row r="250" spans="1:31" x14ac:dyDescent="0.25">
      <c r="A250" s="122" t="s">
        <v>5249</v>
      </c>
      <c r="B250" s="125">
        <v>4233708</v>
      </c>
      <c r="C250" s="126">
        <v>45817</v>
      </c>
      <c r="D250" s="126">
        <v>45810</v>
      </c>
      <c r="E250" s="126">
        <v>45818</v>
      </c>
      <c r="F250" s="123" t="s">
        <v>5289</v>
      </c>
      <c r="G250" s="153" t="s">
        <v>5253</v>
      </c>
      <c r="I250" s="123" t="s">
        <v>5254</v>
      </c>
      <c r="J250" s="122" t="s">
        <v>4717</v>
      </c>
      <c r="K250" s="122" t="s">
        <v>4718</v>
      </c>
      <c r="L250" s="123">
        <v>15160.71</v>
      </c>
      <c r="M250" s="123">
        <v>126339.29</v>
      </c>
      <c r="AB250" s="123">
        <v>141500</v>
      </c>
      <c r="AC250" s="10">
        <f t="shared" si="5"/>
        <v>0</v>
      </c>
      <c r="AE250" s="123">
        <v>1263.3900000000001</v>
      </c>
    </row>
    <row r="251" spans="1:31" x14ac:dyDescent="0.25">
      <c r="A251" s="163" t="s">
        <v>5250</v>
      </c>
      <c r="B251" s="164" t="s">
        <v>5265</v>
      </c>
      <c r="C251" s="160">
        <v>45854</v>
      </c>
      <c r="D251" s="160">
        <v>45810</v>
      </c>
      <c r="E251" s="160">
        <v>45824</v>
      </c>
      <c r="F251" s="161" t="s">
        <v>5333</v>
      </c>
      <c r="G251" s="162" t="s">
        <v>5251</v>
      </c>
      <c r="H251" s="162"/>
      <c r="I251" s="161" t="s">
        <v>5252</v>
      </c>
      <c r="J251" s="161" t="s">
        <v>1226</v>
      </c>
      <c r="K251" s="158" t="s">
        <v>2924</v>
      </c>
      <c r="L251" s="161">
        <v>5410.71</v>
      </c>
      <c r="M251" s="161">
        <v>45089.29</v>
      </c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>
        <v>50500</v>
      </c>
      <c r="AC251" s="10">
        <f t="shared" si="5"/>
        <v>0</v>
      </c>
      <c r="AD251" s="161" t="s">
        <v>5432</v>
      </c>
      <c r="AE251" s="123">
        <v>450.89</v>
      </c>
    </row>
    <row r="252" spans="1:31" x14ac:dyDescent="0.25">
      <c r="A252" s="154" t="s">
        <v>5259</v>
      </c>
      <c r="B252" s="155" t="s">
        <v>5266</v>
      </c>
      <c r="C252" s="126">
        <v>45813</v>
      </c>
      <c r="D252" s="126">
        <v>45813</v>
      </c>
      <c r="I252" s="123" t="s">
        <v>50</v>
      </c>
      <c r="J252" s="123" t="s">
        <v>39</v>
      </c>
      <c r="AA252" s="123">
        <v>9673.75</v>
      </c>
      <c r="AB252" s="123">
        <v>9673.75</v>
      </c>
      <c r="AC252" s="10">
        <f t="shared" si="5"/>
        <v>0</v>
      </c>
    </row>
    <row r="253" spans="1:31" x14ac:dyDescent="0.25">
      <c r="A253" s="154" t="s">
        <v>5260</v>
      </c>
      <c r="B253" s="155" t="s">
        <v>5267</v>
      </c>
      <c r="C253" s="126">
        <v>45813</v>
      </c>
      <c r="D253" s="126">
        <v>45813</v>
      </c>
      <c r="H253" s="153" t="s">
        <v>4053</v>
      </c>
      <c r="I253" s="123" t="s">
        <v>5030</v>
      </c>
      <c r="J253" s="123" t="s">
        <v>3667</v>
      </c>
      <c r="T253" s="123">
        <v>9435.1299999999992</v>
      </c>
      <c r="AB253" s="123">
        <v>9435.1299999999992</v>
      </c>
      <c r="AC253" s="10">
        <f t="shared" si="5"/>
        <v>0</v>
      </c>
    </row>
    <row r="254" spans="1:31" x14ac:dyDescent="0.25">
      <c r="A254" s="154" t="s">
        <v>5261</v>
      </c>
      <c r="B254" s="155" t="s">
        <v>5268</v>
      </c>
      <c r="C254" s="126">
        <v>45813</v>
      </c>
      <c r="D254" s="126">
        <v>45813</v>
      </c>
      <c r="I254" s="123" t="s">
        <v>5271</v>
      </c>
      <c r="J254" s="123" t="s">
        <v>5225</v>
      </c>
      <c r="AA254" s="123">
        <v>4464.29</v>
      </c>
      <c r="AB254" s="123">
        <v>4464.29</v>
      </c>
      <c r="AC254" s="10">
        <f t="shared" si="5"/>
        <v>0</v>
      </c>
    </row>
    <row r="255" spans="1:31" x14ac:dyDescent="0.25">
      <c r="A255" s="163" t="s">
        <v>5262</v>
      </c>
      <c r="B255" s="164" t="s">
        <v>5269</v>
      </c>
      <c r="C255" s="160">
        <v>45842</v>
      </c>
      <c r="D255" s="160">
        <v>45813</v>
      </c>
      <c r="E255" s="160">
        <v>45832</v>
      </c>
      <c r="F255" s="161" t="s">
        <v>5387</v>
      </c>
      <c r="G255" s="162" t="s">
        <v>5273</v>
      </c>
      <c r="H255" s="162"/>
      <c r="I255" s="161" t="s">
        <v>5272</v>
      </c>
      <c r="J255" s="158" t="s">
        <v>3527</v>
      </c>
      <c r="K255" s="158" t="s">
        <v>3530</v>
      </c>
      <c r="L255" s="161">
        <v>871.45</v>
      </c>
      <c r="M255" s="161">
        <v>7262.05</v>
      </c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>
        <v>8133.5</v>
      </c>
      <c r="AC255" s="10">
        <f t="shared" si="5"/>
        <v>0</v>
      </c>
      <c r="AD255" s="161" t="s">
        <v>5432</v>
      </c>
    </row>
    <row r="256" spans="1:31" x14ac:dyDescent="0.25">
      <c r="A256" s="154" t="s">
        <v>5263</v>
      </c>
      <c r="B256" s="155" t="s">
        <v>5270</v>
      </c>
      <c r="C256" s="126">
        <v>45813</v>
      </c>
      <c r="D256" s="126">
        <v>45813</v>
      </c>
      <c r="E256" s="126">
        <v>45817</v>
      </c>
      <c r="F256" s="123" t="s">
        <v>5280</v>
      </c>
      <c r="G256" s="153" t="s">
        <v>5274</v>
      </c>
      <c r="I256" s="123" t="s">
        <v>53</v>
      </c>
      <c r="J256" s="123" t="s">
        <v>5275</v>
      </c>
      <c r="K256" s="123" t="s">
        <v>2978</v>
      </c>
      <c r="L256" s="123">
        <v>826.61</v>
      </c>
      <c r="M256" s="123">
        <v>6888.39</v>
      </c>
      <c r="AB256" s="123">
        <v>7715</v>
      </c>
      <c r="AC256" s="10">
        <f t="shared" si="5"/>
        <v>0</v>
      </c>
      <c r="AE256" s="123">
        <v>68.88</v>
      </c>
    </row>
    <row r="257" spans="1:31" x14ac:dyDescent="0.25">
      <c r="A257" s="154" t="s">
        <v>5264</v>
      </c>
      <c r="B257" s="155" t="s">
        <v>5276</v>
      </c>
      <c r="C257" s="126">
        <v>45813</v>
      </c>
      <c r="D257" s="126">
        <v>45813</v>
      </c>
      <c r="I257" s="123" t="s">
        <v>42</v>
      </c>
      <c r="J257" s="123" t="s">
        <v>3667</v>
      </c>
      <c r="P257" s="123">
        <v>15000</v>
      </c>
      <c r="AB257" s="123">
        <v>15000</v>
      </c>
      <c r="AC257" s="10">
        <f t="shared" si="5"/>
        <v>0</v>
      </c>
    </row>
    <row r="258" spans="1:31" x14ac:dyDescent="0.25">
      <c r="A258" s="154" t="s">
        <v>5277</v>
      </c>
      <c r="B258" s="125" t="s">
        <v>5278</v>
      </c>
      <c r="C258" s="126">
        <v>45813</v>
      </c>
      <c r="D258" s="126">
        <v>45813</v>
      </c>
      <c r="I258" s="123" t="s">
        <v>41</v>
      </c>
      <c r="J258" s="123" t="s">
        <v>5279</v>
      </c>
      <c r="Z258" s="123">
        <v>200000</v>
      </c>
      <c r="AB258" s="123">
        <v>200000</v>
      </c>
      <c r="AC258" s="10">
        <f t="shared" si="5"/>
        <v>0</v>
      </c>
    </row>
    <row r="259" spans="1:31" x14ac:dyDescent="0.25">
      <c r="A259" s="163" t="s">
        <v>5281</v>
      </c>
      <c r="B259" s="164" t="s">
        <v>5283</v>
      </c>
      <c r="C259" s="160">
        <v>45844</v>
      </c>
      <c r="D259" s="160">
        <v>45813</v>
      </c>
      <c r="E259" s="160">
        <v>45832</v>
      </c>
      <c r="F259" s="161" t="s">
        <v>5385</v>
      </c>
      <c r="G259" s="162" t="s">
        <v>5386</v>
      </c>
      <c r="H259" s="162"/>
      <c r="I259" s="161" t="s">
        <v>5285</v>
      </c>
      <c r="J259" s="161" t="s">
        <v>3527</v>
      </c>
      <c r="K259" s="158" t="s">
        <v>3530</v>
      </c>
      <c r="L259" s="161">
        <v>208.93</v>
      </c>
      <c r="M259" s="161">
        <v>1741.07</v>
      </c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>
        <v>1950</v>
      </c>
      <c r="AC259" s="10">
        <f t="shared" si="5"/>
        <v>0</v>
      </c>
      <c r="AD259" s="161" t="s">
        <v>5432</v>
      </c>
      <c r="AE259" s="123">
        <v>17.41</v>
      </c>
    </row>
    <row r="260" spans="1:31" x14ac:dyDescent="0.25">
      <c r="A260" s="163" t="s">
        <v>5282</v>
      </c>
      <c r="B260" s="164" t="s">
        <v>5284</v>
      </c>
      <c r="C260" s="160">
        <v>45848</v>
      </c>
      <c r="D260" s="160">
        <v>45817</v>
      </c>
      <c r="E260" s="160">
        <v>45818</v>
      </c>
      <c r="F260" s="161" t="s">
        <v>5287</v>
      </c>
      <c r="G260" s="162" t="s">
        <v>5288</v>
      </c>
      <c r="H260" s="162"/>
      <c r="I260" s="161" t="s">
        <v>5286</v>
      </c>
      <c r="J260" s="158" t="s">
        <v>2687</v>
      </c>
      <c r="K260" s="158" t="s">
        <v>61</v>
      </c>
      <c r="L260" s="161">
        <v>857.14</v>
      </c>
      <c r="M260" s="161">
        <v>7142.86</v>
      </c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>
        <v>8000</v>
      </c>
      <c r="AC260" s="10">
        <f t="shared" si="5"/>
        <v>0</v>
      </c>
      <c r="AD260" s="161" t="s">
        <v>5432</v>
      </c>
      <c r="AE260" s="123">
        <v>71.430000000000007</v>
      </c>
    </row>
    <row r="261" spans="1:31" x14ac:dyDescent="0.25">
      <c r="A261" s="154" t="s">
        <v>5293</v>
      </c>
      <c r="B261" s="125" t="s">
        <v>5294</v>
      </c>
      <c r="C261" s="126">
        <v>45821</v>
      </c>
      <c r="D261" s="126">
        <v>45817</v>
      </c>
      <c r="I261" s="123" t="s">
        <v>42</v>
      </c>
      <c r="J261" s="123" t="s">
        <v>5295</v>
      </c>
      <c r="P261" s="123">
        <v>15000</v>
      </c>
      <c r="AB261" s="123">
        <v>15000</v>
      </c>
      <c r="AC261" s="10">
        <f t="shared" si="5"/>
        <v>0</v>
      </c>
    </row>
    <row r="262" spans="1:31" x14ac:dyDescent="0.25">
      <c r="A262" s="154" t="s">
        <v>5296</v>
      </c>
      <c r="B262" s="155" t="s">
        <v>5298</v>
      </c>
      <c r="C262" s="126">
        <v>45821</v>
      </c>
      <c r="D262" s="126">
        <v>45821</v>
      </c>
      <c r="I262" s="123" t="s">
        <v>4612</v>
      </c>
      <c r="J262" s="123" t="s">
        <v>5175</v>
      </c>
      <c r="AA262" s="123">
        <v>17400</v>
      </c>
      <c r="AB262" s="123">
        <v>17400</v>
      </c>
      <c r="AC262" s="10">
        <f t="shared" si="5"/>
        <v>0</v>
      </c>
    </row>
    <row r="263" spans="1:31" x14ac:dyDescent="0.25">
      <c r="A263" s="154" t="s">
        <v>5297</v>
      </c>
      <c r="B263" s="155" t="s">
        <v>5299</v>
      </c>
      <c r="C263" s="126">
        <v>45821</v>
      </c>
      <c r="D263" s="126">
        <v>45821</v>
      </c>
      <c r="I263" s="123" t="s">
        <v>4612</v>
      </c>
      <c r="J263" s="123" t="s">
        <v>5300</v>
      </c>
      <c r="AA263" s="123">
        <v>28160</v>
      </c>
      <c r="AB263" s="123">
        <v>28160</v>
      </c>
      <c r="AC263" s="10">
        <f t="shared" si="5"/>
        <v>0</v>
      </c>
    </row>
    <row r="264" spans="1:31" x14ac:dyDescent="0.25">
      <c r="A264" s="154" t="s">
        <v>5301</v>
      </c>
      <c r="B264" s="155" t="s">
        <v>5310</v>
      </c>
      <c r="C264" s="126">
        <v>45824</v>
      </c>
      <c r="D264" s="126">
        <v>45824</v>
      </c>
      <c r="I264" s="122" t="s">
        <v>5318</v>
      </c>
      <c r="J264" s="122" t="s">
        <v>4628</v>
      </c>
      <c r="X264" s="123">
        <v>10379.870000000001</v>
      </c>
      <c r="AB264" s="123">
        <v>10379.870000000001</v>
      </c>
      <c r="AC264" s="10">
        <f t="shared" si="5"/>
        <v>0</v>
      </c>
    </row>
    <row r="265" spans="1:31" x14ac:dyDescent="0.25">
      <c r="A265" s="154" t="s">
        <v>5302</v>
      </c>
      <c r="B265" s="155" t="s">
        <v>5311</v>
      </c>
      <c r="C265" s="126">
        <v>45824</v>
      </c>
      <c r="D265" s="126">
        <v>45824</v>
      </c>
      <c r="I265" s="122" t="s">
        <v>5319</v>
      </c>
      <c r="J265" s="122" t="s">
        <v>43</v>
      </c>
      <c r="L265" s="123">
        <v>32.14</v>
      </c>
      <c r="S265" s="123">
        <v>267.86</v>
      </c>
      <c r="AB265" s="123">
        <v>300</v>
      </c>
      <c r="AC265" s="10">
        <f t="shared" si="5"/>
        <v>0</v>
      </c>
    </row>
    <row r="266" spans="1:31" x14ac:dyDescent="0.25">
      <c r="A266" s="154" t="s">
        <v>5303</v>
      </c>
      <c r="B266" s="155" t="s">
        <v>5312</v>
      </c>
      <c r="C266" s="126">
        <v>45824</v>
      </c>
      <c r="D266" s="126">
        <v>45824</v>
      </c>
      <c r="E266" s="126">
        <v>45826</v>
      </c>
      <c r="F266" s="123" t="s">
        <v>5359</v>
      </c>
      <c r="I266" s="122" t="s">
        <v>5320</v>
      </c>
      <c r="J266" s="122" t="s">
        <v>187</v>
      </c>
      <c r="AA266" s="123">
        <v>5875.2</v>
      </c>
      <c r="AB266" s="123">
        <v>5875.2</v>
      </c>
      <c r="AC266" s="10">
        <f t="shared" si="5"/>
        <v>0</v>
      </c>
    </row>
    <row r="267" spans="1:31" x14ac:dyDescent="0.25">
      <c r="A267" s="154" t="s">
        <v>5304</v>
      </c>
      <c r="B267" s="155" t="s">
        <v>5313</v>
      </c>
      <c r="C267" s="126">
        <v>45824</v>
      </c>
      <c r="D267" s="126">
        <v>45824</v>
      </c>
      <c r="E267" s="126">
        <v>45825</v>
      </c>
      <c r="F267" s="123" t="s">
        <v>5413</v>
      </c>
      <c r="I267" s="122" t="s">
        <v>5180</v>
      </c>
      <c r="J267" s="122" t="s">
        <v>1457</v>
      </c>
      <c r="N267" s="123">
        <v>39550</v>
      </c>
      <c r="AB267" s="123">
        <v>39550</v>
      </c>
      <c r="AC267" s="10">
        <f t="shared" si="5"/>
        <v>0</v>
      </c>
    </row>
    <row r="268" spans="1:31" x14ac:dyDescent="0.25">
      <c r="A268" s="154" t="s">
        <v>5305</v>
      </c>
      <c r="B268" s="155" t="s">
        <v>5314</v>
      </c>
      <c r="C268" s="126">
        <v>45824</v>
      </c>
      <c r="D268" s="126">
        <v>45824</v>
      </c>
      <c r="H268" s="153" t="s">
        <v>4064</v>
      </c>
      <c r="I268" s="123" t="s">
        <v>4977</v>
      </c>
      <c r="J268" s="123" t="s">
        <v>3667</v>
      </c>
      <c r="T268" s="123">
        <v>10771.24</v>
      </c>
      <c r="AB268" s="123">
        <v>10771.24</v>
      </c>
      <c r="AC268" s="10">
        <f t="shared" si="5"/>
        <v>0</v>
      </c>
    </row>
    <row r="269" spans="1:31" x14ac:dyDescent="0.25">
      <c r="A269" s="163" t="s">
        <v>5306</v>
      </c>
      <c r="B269" s="164" t="s">
        <v>5315</v>
      </c>
      <c r="C269" s="160">
        <v>45864</v>
      </c>
      <c r="D269" s="160">
        <v>45824</v>
      </c>
      <c r="E269" s="160">
        <v>45824</v>
      </c>
      <c r="F269" s="161" t="s">
        <v>5331</v>
      </c>
      <c r="G269" s="162" t="s">
        <v>5332</v>
      </c>
      <c r="H269" s="162"/>
      <c r="I269" s="161" t="s">
        <v>5321</v>
      </c>
      <c r="J269" s="161" t="s">
        <v>1226</v>
      </c>
      <c r="K269" s="158" t="s">
        <v>2924</v>
      </c>
      <c r="L269" s="161">
        <v>1821.43</v>
      </c>
      <c r="M269" s="161">
        <v>15178.57</v>
      </c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>
        <v>17000</v>
      </c>
      <c r="AC269" s="10">
        <f t="shared" si="5"/>
        <v>0</v>
      </c>
      <c r="AD269" s="161" t="s">
        <v>5432</v>
      </c>
      <c r="AE269" s="123">
        <v>151.79</v>
      </c>
    </row>
    <row r="270" spans="1:31" x14ac:dyDescent="0.25">
      <c r="A270" s="154" t="s">
        <v>5307</v>
      </c>
      <c r="B270" s="155" t="s">
        <v>5316</v>
      </c>
      <c r="C270" s="126">
        <v>45824</v>
      </c>
      <c r="D270" s="126">
        <v>45824</v>
      </c>
      <c r="I270" s="122" t="s">
        <v>5322</v>
      </c>
      <c r="J270" s="122" t="s">
        <v>46</v>
      </c>
      <c r="L270" s="123">
        <v>160.61000000000001</v>
      </c>
      <c r="M270" s="123">
        <v>1338.39</v>
      </c>
      <c r="AB270" s="123">
        <v>1499</v>
      </c>
      <c r="AC270" s="10">
        <f t="shared" si="5"/>
        <v>0</v>
      </c>
    </row>
    <row r="271" spans="1:31" x14ac:dyDescent="0.25">
      <c r="A271" s="154" t="s">
        <v>5308</v>
      </c>
      <c r="B271" s="155" t="s">
        <v>5317</v>
      </c>
      <c r="C271" s="126">
        <v>45824</v>
      </c>
      <c r="D271" s="126">
        <v>45824</v>
      </c>
      <c r="I271" s="122" t="s">
        <v>5323</v>
      </c>
      <c r="J271" s="122" t="s">
        <v>46</v>
      </c>
      <c r="L271" s="123">
        <v>107.04</v>
      </c>
      <c r="M271" s="123">
        <v>891.96</v>
      </c>
      <c r="AB271" s="123">
        <v>999</v>
      </c>
      <c r="AC271" s="10">
        <f t="shared" ref="AC271:AC302" si="6">SUM(AB271:AB271)-SUM(L271:AA271)</f>
        <v>0</v>
      </c>
    </row>
    <row r="272" spans="1:31" x14ac:dyDescent="0.25">
      <c r="A272" s="154" t="s">
        <v>5309</v>
      </c>
      <c r="B272" s="155" t="s">
        <v>5328</v>
      </c>
      <c r="C272" s="126">
        <v>45824</v>
      </c>
      <c r="D272" s="126">
        <v>45824</v>
      </c>
      <c r="I272" s="123" t="s">
        <v>5324</v>
      </c>
      <c r="J272" s="123" t="s">
        <v>5325</v>
      </c>
      <c r="AA272" s="123">
        <v>1920</v>
      </c>
      <c r="AB272" s="123">
        <v>1920</v>
      </c>
      <c r="AC272" s="10">
        <f t="shared" si="6"/>
        <v>0</v>
      </c>
    </row>
    <row r="273" spans="1:31" x14ac:dyDescent="0.25">
      <c r="A273" s="154" t="s">
        <v>5326</v>
      </c>
      <c r="B273" s="125" t="s">
        <v>5329</v>
      </c>
      <c r="C273" s="126">
        <v>45824</v>
      </c>
      <c r="D273" s="126">
        <v>45824</v>
      </c>
      <c r="I273" s="123" t="s">
        <v>42</v>
      </c>
      <c r="J273" s="123" t="s">
        <v>5168</v>
      </c>
      <c r="P273" s="123">
        <v>20000</v>
      </c>
      <c r="AB273" s="123">
        <v>20000</v>
      </c>
      <c r="AC273" s="10">
        <f t="shared" si="6"/>
        <v>0</v>
      </c>
    </row>
    <row r="274" spans="1:31" x14ac:dyDescent="0.25">
      <c r="A274" s="154" t="s">
        <v>5327</v>
      </c>
      <c r="B274" s="125" t="s">
        <v>5330</v>
      </c>
      <c r="C274" s="126">
        <v>45824</v>
      </c>
      <c r="D274" s="126">
        <v>45824</v>
      </c>
      <c r="I274" s="123" t="s">
        <v>41</v>
      </c>
      <c r="J274" s="123" t="s">
        <v>5279</v>
      </c>
      <c r="Z274" s="123">
        <v>200000</v>
      </c>
      <c r="AB274" s="123">
        <v>200000</v>
      </c>
      <c r="AC274" s="10">
        <f t="shared" si="6"/>
        <v>0</v>
      </c>
    </row>
    <row r="275" spans="1:31" x14ac:dyDescent="0.25">
      <c r="A275" s="154" t="s">
        <v>5335</v>
      </c>
      <c r="B275" s="155" t="s">
        <v>5336</v>
      </c>
      <c r="C275" s="126">
        <v>45825</v>
      </c>
      <c r="D275" s="126">
        <v>45825</v>
      </c>
      <c r="I275" s="123" t="s">
        <v>5337</v>
      </c>
      <c r="J275" s="123" t="s">
        <v>1457</v>
      </c>
      <c r="AA275" s="123">
        <v>3596</v>
      </c>
      <c r="AB275" s="123">
        <v>3596</v>
      </c>
      <c r="AC275" s="10">
        <f t="shared" si="6"/>
        <v>0</v>
      </c>
    </row>
    <row r="276" spans="1:31" x14ac:dyDescent="0.25">
      <c r="A276" s="154" t="s">
        <v>5338</v>
      </c>
      <c r="B276" s="155" t="s">
        <v>5339</v>
      </c>
      <c r="C276" s="126">
        <v>45826</v>
      </c>
      <c r="D276" s="126">
        <v>45826</v>
      </c>
      <c r="I276" s="123" t="s">
        <v>5340</v>
      </c>
      <c r="J276" s="123" t="s">
        <v>5071</v>
      </c>
      <c r="AA276" s="123">
        <v>4469</v>
      </c>
      <c r="AB276" s="123">
        <v>4469</v>
      </c>
      <c r="AC276" s="10">
        <f t="shared" si="6"/>
        <v>0</v>
      </c>
    </row>
    <row r="277" spans="1:31" x14ac:dyDescent="0.25">
      <c r="A277" s="163" t="s">
        <v>5341</v>
      </c>
      <c r="B277" s="164" t="s">
        <v>5344</v>
      </c>
      <c r="C277" s="160">
        <v>45855</v>
      </c>
      <c r="D277" s="160">
        <v>45826</v>
      </c>
      <c r="E277" s="165">
        <v>45832</v>
      </c>
      <c r="F277" s="161" t="s">
        <v>5388</v>
      </c>
      <c r="G277" s="162" t="s">
        <v>5348</v>
      </c>
      <c r="H277" s="162"/>
      <c r="I277" s="161" t="s">
        <v>5347</v>
      </c>
      <c r="J277" s="161" t="s">
        <v>3527</v>
      </c>
      <c r="K277" s="158" t="s">
        <v>3530</v>
      </c>
      <c r="L277" s="161">
        <v>1080</v>
      </c>
      <c r="M277" s="161">
        <v>9000</v>
      </c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>
        <v>10080</v>
      </c>
      <c r="AC277" s="10">
        <f t="shared" si="6"/>
        <v>0</v>
      </c>
      <c r="AD277" s="162" t="s">
        <v>5432</v>
      </c>
    </row>
    <row r="278" spans="1:31" x14ac:dyDescent="0.25">
      <c r="A278" s="154" t="s">
        <v>5342</v>
      </c>
      <c r="B278" s="155" t="s">
        <v>5345</v>
      </c>
      <c r="C278" s="126">
        <v>45825</v>
      </c>
      <c r="D278" s="126">
        <v>45826</v>
      </c>
      <c r="E278" s="156">
        <v>0.2</v>
      </c>
      <c r="F278" s="123" t="s">
        <v>5415</v>
      </c>
      <c r="G278" s="153" t="s">
        <v>5349</v>
      </c>
      <c r="I278" s="123" t="s">
        <v>5350</v>
      </c>
      <c r="J278" s="123" t="s">
        <v>4717</v>
      </c>
      <c r="K278" s="122" t="s">
        <v>4718</v>
      </c>
      <c r="L278" s="123">
        <v>123.21</v>
      </c>
      <c r="M278" s="123">
        <v>1026.79</v>
      </c>
      <c r="AB278" s="123">
        <v>1150</v>
      </c>
      <c r="AC278" s="10">
        <f t="shared" si="6"/>
        <v>0</v>
      </c>
      <c r="AE278" s="123">
        <v>10.27</v>
      </c>
    </row>
    <row r="279" spans="1:31" x14ac:dyDescent="0.25">
      <c r="A279" s="154" t="s">
        <v>5343</v>
      </c>
      <c r="B279" s="155" t="s">
        <v>5346</v>
      </c>
      <c r="C279" s="126">
        <v>45833</v>
      </c>
      <c r="D279" s="126">
        <v>45826</v>
      </c>
      <c r="E279" s="126">
        <v>45826</v>
      </c>
      <c r="F279" s="123" t="s">
        <v>5360</v>
      </c>
      <c r="G279" s="153" t="s">
        <v>5351</v>
      </c>
      <c r="I279" s="123" t="s">
        <v>5352</v>
      </c>
      <c r="J279" s="123" t="s">
        <v>4717</v>
      </c>
      <c r="K279" s="122" t="s">
        <v>4718</v>
      </c>
      <c r="L279" s="123">
        <v>4553.57</v>
      </c>
      <c r="M279" s="123">
        <v>37946.43</v>
      </c>
      <c r="AB279" s="123">
        <v>42500</v>
      </c>
      <c r="AC279" s="10">
        <f t="shared" si="6"/>
        <v>0</v>
      </c>
    </row>
    <row r="280" spans="1:31" x14ac:dyDescent="0.25">
      <c r="A280" s="163" t="s">
        <v>5353</v>
      </c>
      <c r="B280" s="164" t="s">
        <v>5355</v>
      </c>
      <c r="C280" s="160">
        <v>45857</v>
      </c>
      <c r="D280" s="160">
        <v>45826</v>
      </c>
      <c r="E280" s="160">
        <v>45827</v>
      </c>
      <c r="F280" s="161" t="s">
        <v>5441</v>
      </c>
      <c r="G280" s="162" t="s">
        <v>5357</v>
      </c>
      <c r="H280" s="162"/>
      <c r="I280" s="161" t="s">
        <v>1001</v>
      </c>
      <c r="J280" s="158" t="s">
        <v>2087</v>
      </c>
      <c r="K280" s="158" t="s">
        <v>2088</v>
      </c>
      <c r="L280" s="161">
        <v>11785.71</v>
      </c>
      <c r="M280" s="161">
        <v>98214.29</v>
      </c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>
        <v>110000</v>
      </c>
      <c r="AC280" s="123">
        <f t="shared" si="6"/>
        <v>0</v>
      </c>
    </row>
    <row r="281" spans="1:31" x14ac:dyDescent="0.25">
      <c r="A281" s="154" t="s">
        <v>5354</v>
      </c>
      <c r="B281" s="155" t="s">
        <v>5356</v>
      </c>
      <c r="C281" s="126">
        <v>45826</v>
      </c>
      <c r="D281" s="126">
        <v>45826</v>
      </c>
      <c r="E281" s="126">
        <v>45827</v>
      </c>
      <c r="F281" s="123" t="s">
        <v>5390</v>
      </c>
      <c r="I281" s="123" t="s">
        <v>5358</v>
      </c>
      <c r="J281" s="123" t="s">
        <v>1457</v>
      </c>
      <c r="AA281" s="123">
        <v>29650</v>
      </c>
      <c r="AB281" s="123">
        <v>29650</v>
      </c>
      <c r="AC281" s="123">
        <f t="shared" si="6"/>
        <v>0</v>
      </c>
    </row>
    <row r="282" spans="1:31" x14ac:dyDescent="0.25">
      <c r="A282" s="154" t="s">
        <v>5361</v>
      </c>
      <c r="B282" s="155" t="s">
        <v>5370</v>
      </c>
      <c r="C282" s="126">
        <v>45827</v>
      </c>
      <c r="D282" s="126">
        <v>45827</v>
      </c>
      <c r="I282" s="122" t="s">
        <v>5378</v>
      </c>
      <c r="J282" s="122" t="s">
        <v>18</v>
      </c>
      <c r="L282" s="122">
        <v>151.09</v>
      </c>
      <c r="N282" s="122"/>
      <c r="O282" s="122"/>
      <c r="P282" s="122"/>
      <c r="Q282" s="122"/>
      <c r="R282" s="123">
        <v>1259.06</v>
      </c>
      <c r="AB282" s="123">
        <v>1410.15</v>
      </c>
      <c r="AC282" s="123">
        <f t="shared" si="6"/>
        <v>0</v>
      </c>
    </row>
    <row r="283" spans="1:31" x14ac:dyDescent="0.25">
      <c r="A283" s="154" t="s">
        <v>5362</v>
      </c>
      <c r="B283" s="155" t="s">
        <v>5371</v>
      </c>
      <c r="C283" s="126">
        <v>45827</v>
      </c>
      <c r="D283" s="126">
        <v>45827</v>
      </c>
      <c r="I283" s="122" t="s">
        <v>5378</v>
      </c>
      <c r="J283" s="122" t="s">
        <v>18</v>
      </c>
      <c r="L283" s="122">
        <v>811.09</v>
      </c>
      <c r="N283" s="122"/>
      <c r="O283" s="122"/>
      <c r="P283" s="122"/>
      <c r="Q283" s="122"/>
      <c r="R283" s="123">
        <v>6759.06</v>
      </c>
      <c r="AB283" s="123">
        <v>7570.15</v>
      </c>
      <c r="AC283" s="123">
        <f t="shared" si="6"/>
        <v>0</v>
      </c>
    </row>
    <row r="284" spans="1:31" x14ac:dyDescent="0.25">
      <c r="A284" s="154" t="s">
        <v>5363</v>
      </c>
      <c r="B284" s="155" t="s">
        <v>5372</v>
      </c>
      <c r="C284" s="126">
        <v>45827</v>
      </c>
      <c r="D284" s="126">
        <v>45827</v>
      </c>
      <c r="H284" s="153" t="s">
        <v>4065</v>
      </c>
      <c r="I284" s="123" t="s">
        <v>5380</v>
      </c>
      <c r="J284" s="123" t="s">
        <v>3667</v>
      </c>
      <c r="T284" s="123">
        <v>7489.28</v>
      </c>
      <c r="AB284" s="123">
        <v>7489.28</v>
      </c>
      <c r="AC284" s="123">
        <f t="shared" si="6"/>
        <v>0</v>
      </c>
    </row>
    <row r="285" spans="1:31" x14ac:dyDescent="0.25">
      <c r="A285" s="163" t="s">
        <v>5364</v>
      </c>
      <c r="B285" s="164" t="s">
        <v>5373</v>
      </c>
      <c r="C285" s="160">
        <v>45857</v>
      </c>
      <c r="D285" s="160">
        <v>45827</v>
      </c>
      <c r="E285" s="161"/>
      <c r="F285" s="161"/>
      <c r="G285" s="162" t="s">
        <v>5412</v>
      </c>
      <c r="H285" s="162"/>
      <c r="I285" s="161" t="s">
        <v>5381</v>
      </c>
      <c r="J285" s="158" t="s">
        <v>83</v>
      </c>
      <c r="K285" s="158" t="s">
        <v>1336</v>
      </c>
      <c r="L285" s="161">
        <v>2303.5700000000002</v>
      </c>
      <c r="M285" s="161">
        <v>19196.43</v>
      </c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>
        <f t="shared" si="6"/>
        <v>-21500</v>
      </c>
      <c r="AD285" s="162" t="s">
        <v>5432</v>
      </c>
      <c r="AE285" s="123">
        <v>191.96</v>
      </c>
    </row>
    <row r="286" spans="1:31" x14ac:dyDescent="0.25">
      <c r="A286" s="154" t="s">
        <v>5365</v>
      </c>
      <c r="B286" s="155" t="s">
        <v>5374</v>
      </c>
      <c r="C286" s="126">
        <v>45832</v>
      </c>
      <c r="D286" s="126">
        <v>45832</v>
      </c>
      <c r="I286" s="123" t="s">
        <v>3979</v>
      </c>
      <c r="J286" s="123" t="s">
        <v>3667</v>
      </c>
      <c r="L286" s="123">
        <v>1387.24</v>
      </c>
      <c r="S286" s="123">
        <v>11560.31</v>
      </c>
      <c r="AB286" s="123">
        <v>12947.55</v>
      </c>
      <c r="AC286" s="123">
        <f t="shared" si="6"/>
        <v>0</v>
      </c>
    </row>
    <row r="287" spans="1:31" x14ac:dyDescent="0.25">
      <c r="A287" s="154" t="s">
        <v>5366</v>
      </c>
      <c r="B287" s="155" t="s">
        <v>5375</v>
      </c>
      <c r="C287" s="126">
        <v>45834</v>
      </c>
      <c r="D287" s="126">
        <v>45832</v>
      </c>
      <c r="E287" s="126">
        <v>45834</v>
      </c>
      <c r="F287" s="123" t="s">
        <v>5391</v>
      </c>
      <c r="I287" s="123" t="s">
        <v>5382</v>
      </c>
      <c r="J287" s="123" t="s">
        <v>1457</v>
      </c>
      <c r="AA287" s="123">
        <v>76208.649999999994</v>
      </c>
      <c r="AB287" s="123">
        <v>76208.649999999994</v>
      </c>
      <c r="AC287" s="123">
        <f t="shared" si="6"/>
        <v>0</v>
      </c>
    </row>
    <row r="288" spans="1:31" x14ac:dyDescent="0.25">
      <c r="A288" s="154" t="s">
        <v>5367</v>
      </c>
      <c r="B288" s="155" t="s">
        <v>5383</v>
      </c>
      <c r="C288" s="126">
        <v>45832</v>
      </c>
      <c r="D288" s="126">
        <v>45832</v>
      </c>
      <c r="I288" s="123" t="s">
        <v>41</v>
      </c>
      <c r="J288" s="123" t="s">
        <v>54</v>
      </c>
      <c r="Z288" s="123">
        <v>300000</v>
      </c>
      <c r="AB288" s="123">
        <v>300000</v>
      </c>
      <c r="AC288" s="123">
        <f t="shared" si="6"/>
        <v>0</v>
      </c>
    </row>
    <row r="289" spans="1:31" x14ac:dyDescent="0.25">
      <c r="A289" s="163" t="s">
        <v>5368</v>
      </c>
      <c r="B289" s="164" t="s">
        <v>5376</v>
      </c>
      <c r="C289" s="160">
        <v>45834</v>
      </c>
      <c r="D289" s="160">
        <v>45832</v>
      </c>
      <c r="E289" s="161"/>
      <c r="F289" s="161"/>
      <c r="G289" s="162" t="s">
        <v>5411</v>
      </c>
      <c r="H289" s="162"/>
      <c r="I289" s="161" t="s">
        <v>5384</v>
      </c>
      <c r="J289" s="161" t="s">
        <v>3527</v>
      </c>
      <c r="K289" s="158" t="s">
        <v>3530</v>
      </c>
      <c r="L289" s="161">
        <v>28.93</v>
      </c>
      <c r="M289" s="161">
        <v>241.07</v>
      </c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>
        <f t="shared" si="6"/>
        <v>-270</v>
      </c>
      <c r="AD289" s="162" t="s">
        <v>5432</v>
      </c>
    </row>
    <row r="290" spans="1:31" x14ac:dyDescent="0.25">
      <c r="A290" s="154" t="s">
        <v>5369</v>
      </c>
      <c r="B290" s="155" t="s">
        <v>5377</v>
      </c>
      <c r="C290" s="126">
        <v>45835</v>
      </c>
      <c r="D290" s="126">
        <v>45835</v>
      </c>
      <c r="H290" s="153" t="s">
        <v>4066</v>
      </c>
      <c r="I290" s="123" t="s">
        <v>5380</v>
      </c>
      <c r="J290" s="123" t="s">
        <v>3667</v>
      </c>
      <c r="T290" s="123">
        <v>12546.75</v>
      </c>
      <c r="AB290" s="123">
        <v>12546.75</v>
      </c>
      <c r="AC290" s="123">
        <f t="shared" si="6"/>
        <v>0</v>
      </c>
    </row>
    <row r="291" spans="1:31" x14ac:dyDescent="0.25">
      <c r="A291" s="163" t="s">
        <v>5392</v>
      </c>
      <c r="B291" s="164" t="s">
        <v>5399</v>
      </c>
      <c r="C291" s="160">
        <v>45877</v>
      </c>
      <c r="D291" s="160">
        <v>45835</v>
      </c>
      <c r="E291" s="161"/>
      <c r="F291" s="161"/>
      <c r="G291" s="162" t="s">
        <v>5406</v>
      </c>
      <c r="H291" s="162"/>
      <c r="I291" s="161" t="s">
        <v>5405</v>
      </c>
      <c r="J291" s="161" t="s">
        <v>1226</v>
      </c>
      <c r="K291" s="158" t="s">
        <v>2924</v>
      </c>
      <c r="L291" s="161">
        <v>9107.14</v>
      </c>
      <c r="M291" s="161">
        <v>75892.86</v>
      </c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>
        <f t="shared" si="6"/>
        <v>-85000</v>
      </c>
      <c r="AD291" s="162" t="s">
        <v>5432</v>
      </c>
      <c r="AE291" s="123">
        <v>758.93</v>
      </c>
    </row>
    <row r="292" spans="1:31" x14ac:dyDescent="0.25">
      <c r="A292" s="163" t="s">
        <v>5393</v>
      </c>
      <c r="B292" s="164" t="s">
        <v>5400</v>
      </c>
      <c r="C292" s="160">
        <v>45864</v>
      </c>
      <c r="D292" s="160">
        <v>45835</v>
      </c>
      <c r="E292" s="161"/>
      <c r="F292" s="161"/>
      <c r="G292" s="162" t="s">
        <v>5408</v>
      </c>
      <c r="H292" s="162"/>
      <c r="I292" s="161" t="s">
        <v>5407</v>
      </c>
      <c r="J292" s="158" t="s">
        <v>83</v>
      </c>
      <c r="K292" s="158" t="s">
        <v>1336</v>
      </c>
      <c r="L292" s="161">
        <v>4553.57</v>
      </c>
      <c r="M292" s="161">
        <v>37946.43</v>
      </c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>
        <f t="shared" si="6"/>
        <v>-42500</v>
      </c>
      <c r="AD292" s="162" t="s">
        <v>5432</v>
      </c>
      <c r="AE292" s="123">
        <v>379.46</v>
      </c>
    </row>
    <row r="293" spans="1:31" x14ac:dyDescent="0.25">
      <c r="A293" s="154" t="s">
        <v>5394</v>
      </c>
      <c r="B293" s="155" t="s">
        <v>5421</v>
      </c>
      <c r="C293" s="126">
        <v>45845</v>
      </c>
      <c r="D293" s="126">
        <v>45835</v>
      </c>
      <c r="E293" s="126">
        <v>45839</v>
      </c>
      <c r="F293" s="123" t="s">
        <v>5416</v>
      </c>
      <c r="G293" s="153" t="s">
        <v>5409</v>
      </c>
      <c r="I293" s="123" t="s">
        <v>5410</v>
      </c>
      <c r="J293" s="123" t="s">
        <v>4717</v>
      </c>
      <c r="K293" s="122" t="s">
        <v>4718</v>
      </c>
      <c r="L293" s="123">
        <v>14196.43</v>
      </c>
      <c r="M293" s="123">
        <v>118303.57</v>
      </c>
      <c r="AB293" s="123">
        <v>132500</v>
      </c>
      <c r="AC293" s="123">
        <f t="shared" si="6"/>
        <v>0</v>
      </c>
      <c r="AD293" s="157"/>
      <c r="AE293" s="123">
        <v>1183.04</v>
      </c>
    </row>
    <row r="294" spans="1:31" x14ac:dyDescent="0.25">
      <c r="A294" s="154" t="s">
        <v>5395</v>
      </c>
      <c r="B294" s="155" t="s">
        <v>5401</v>
      </c>
      <c r="C294" s="126">
        <v>45835</v>
      </c>
      <c r="D294" s="126">
        <v>45835</v>
      </c>
      <c r="I294" s="123" t="s">
        <v>4612</v>
      </c>
      <c r="J294" s="123" t="s">
        <v>1847</v>
      </c>
      <c r="AA294" s="123">
        <v>25600</v>
      </c>
      <c r="AB294" s="123">
        <v>25600</v>
      </c>
      <c r="AC294" s="123">
        <f t="shared" si="6"/>
        <v>0</v>
      </c>
      <c r="AD294" s="157"/>
    </row>
    <row r="295" spans="1:31" x14ac:dyDescent="0.25">
      <c r="A295" s="154" t="s">
        <v>5396</v>
      </c>
      <c r="B295" s="155" t="s">
        <v>5402</v>
      </c>
      <c r="C295" s="126">
        <v>45838</v>
      </c>
      <c r="D295" s="126">
        <v>45835</v>
      </c>
      <c r="I295" s="123" t="s">
        <v>4612</v>
      </c>
      <c r="J295" s="123" t="s">
        <v>5175</v>
      </c>
      <c r="AA295" s="123">
        <v>17200</v>
      </c>
      <c r="AB295" s="123">
        <v>17200</v>
      </c>
      <c r="AC295" s="123">
        <f t="shared" si="6"/>
        <v>0</v>
      </c>
    </row>
    <row r="296" spans="1:31" x14ac:dyDescent="0.25">
      <c r="A296" s="154" t="s">
        <v>5397</v>
      </c>
      <c r="B296" s="155" t="s">
        <v>5403</v>
      </c>
      <c r="C296" s="126">
        <v>45839</v>
      </c>
      <c r="D296" s="126">
        <v>45835</v>
      </c>
      <c r="I296" s="123" t="s">
        <v>5414</v>
      </c>
      <c r="J296" s="123" t="s">
        <v>5175</v>
      </c>
      <c r="AA296" s="123">
        <v>32500</v>
      </c>
      <c r="AB296" s="123">
        <v>32500</v>
      </c>
      <c r="AC296" s="123">
        <f t="shared" si="6"/>
        <v>0</v>
      </c>
    </row>
    <row r="297" spans="1:31" x14ac:dyDescent="0.25">
      <c r="A297" s="144">
        <v>45839</v>
      </c>
      <c r="B297" s="137"/>
      <c r="C297" s="138"/>
      <c r="D297" s="138"/>
      <c r="E297" s="138"/>
      <c r="F297" s="137"/>
      <c r="G297" s="139"/>
      <c r="H297" s="139"/>
      <c r="I297" s="137"/>
      <c r="J297" s="137"/>
      <c r="K297" s="137"/>
      <c r="L297" s="140"/>
      <c r="M297" s="140"/>
      <c r="N297" s="140"/>
      <c r="O297" s="137"/>
      <c r="P297" s="137"/>
      <c r="Q297" s="137"/>
      <c r="R297" s="137"/>
      <c r="S297" s="137"/>
      <c r="T297" s="140"/>
      <c r="U297" s="141"/>
      <c r="V297" s="141"/>
      <c r="W297" s="141"/>
      <c r="X297" s="142"/>
      <c r="Y297" s="141"/>
      <c r="Z297" s="142"/>
      <c r="AA297" s="142"/>
      <c r="AB297" s="140"/>
      <c r="AC297" s="143"/>
      <c r="AD297" s="141"/>
      <c r="AE297" s="140"/>
    </row>
    <row r="298" spans="1:31" x14ac:dyDescent="0.25">
      <c r="A298" s="149"/>
      <c r="B298" s="122"/>
      <c r="E298" s="126"/>
      <c r="F298" s="122"/>
      <c r="G298" s="125"/>
      <c r="H298" s="125"/>
      <c r="I298" s="7" t="s">
        <v>5488</v>
      </c>
      <c r="J298" s="51" t="s">
        <v>132</v>
      </c>
      <c r="K298" s="1"/>
      <c r="O298" s="122"/>
      <c r="P298" s="122"/>
      <c r="Q298" s="123">
        <v>62922.14</v>
      </c>
      <c r="R298" s="122"/>
      <c r="S298" s="122"/>
      <c r="U298"/>
      <c r="V298"/>
      <c r="W298"/>
      <c r="X298" s="2"/>
      <c r="Y298"/>
      <c r="Z298" s="2"/>
      <c r="AA298" s="2"/>
      <c r="AB298" s="123">
        <v>62922.14</v>
      </c>
      <c r="AC298" s="10">
        <f>SUM(AB298:AB298)-SUM(L298:AA298)</f>
        <v>0</v>
      </c>
      <c r="AD298" s="82" t="s">
        <v>133</v>
      </c>
    </row>
    <row r="299" spans="1:31" x14ac:dyDescent="0.25">
      <c r="A299" s="163" t="s">
        <v>5398</v>
      </c>
      <c r="B299" s="164" t="s">
        <v>5404</v>
      </c>
      <c r="C299" s="160">
        <v>45839</v>
      </c>
      <c r="D299" s="160">
        <v>45839</v>
      </c>
      <c r="E299" s="161"/>
      <c r="F299" s="161"/>
      <c r="G299" s="162"/>
      <c r="H299" s="162"/>
      <c r="I299" s="161" t="s">
        <v>5417</v>
      </c>
      <c r="J299" s="161" t="s">
        <v>5418</v>
      </c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>
        <v>4469</v>
      </c>
      <c r="AB299" s="161">
        <v>4469</v>
      </c>
      <c r="AC299" s="123">
        <f t="shared" si="6"/>
        <v>0</v>
      </c>
      <c r="AD299" s="162" t="s">
        <v>5432</v>
      </c>
    </row>
    <row r="300" spans="1:31" x14ac:dyDescent="0.25">
      <c r="A300" s="154" t="s">
        <v>5419</v>
      </c>
      <c r="B300" s="155" t="s">
        <v>5431</v>
      </c>
      <c r="C300" s="126">
        <v>45854</v>
      </c>
      <c r="D300" s="126">
        <v>45845</v>
      </c>
      <c r="E300" s="126">
        <v>45824</v>
      </c>
      <c r="F300" s="123" t="s">
        <v>5334</v>
      </c>
      <c r="G300" s="153" t="s">
        <v>4962</v>
      </c>
      <c r="I300" s="123" t="s">
        <v>5420</v>
      </c>
      <c r="J300" s="123" t="s">
        <v>1226</v>
      </c>
      <c r="K300" s="122" t="s">
        <v>2924</v>
      </c>
      <c r="L300" s="123">
        <v>4553.57</v>
      </c>
      <c r="M300" s="123">
        <v>37946.43</v>
      </c>
      <c r="AB300" s="123">
        <v>42500</v>
      </c>
      <c r="AC300" s="123">
        <f t="shared" si="6"/>
        <v>0</v>
      </c>
      <c r="AE300" s="123">
        <v>379.46</v>
      </c>
    </row>
    <row r="301" spans="1:31" x14ac:dyDescent="0.25">
      <c r="A301" s="154" t="s">
        <v>5422</v>
      </c>
      <c r="B301" s="155" t="s">
        <v>5433</v>
      </c>
      <c r="C301" s="126">
        <v>45854</v>
      </c>
      <c r="D301" s="126">
        <v>45845</v>
      </c>
      <c r="E301" s="126">
        <v>45824</v>
      </c>
      <c r="F301" s="123" t="s">
        <v>5333</v>
      </c>
      <c r="G301" s="153" t="s">
        <v>5251</v>
      </c>
      <c r="I301" s="123" t="s">
        <v>5252</v>
      </c>
      <c r="J301" s="123" t="s">
        <v>1226</v>
      </c>
      <c r="K301" s="122" t="s">
        <v>2924</v>
      </c>
      <c r="L301" s="123">
        <v>5410.71</v>
      </c>
      <c r="M301" s="123">
        <v>45089.29</v>
      </c>
      <c r="AB301" s="123">
        <v>50500</v>
      </c>
      <c r="AC301" s="10">
        <f>SUM(AB301:AB301)-SUM(L301:AA301)</f>
        <v>0</v>
      </c>
      <c r="AE301" s="123">
        <v>450.89</v>
      </c>
    </row>
    <row r="302" spans="1:31" x14ac:dyDescent="0.25">
      <c r="A302" s="154" t="s">
        <v>5423</v>
      </c>
      <c r="B302" s="155" t="s">
        <v>5434</v>
      </c>
      <c r="C302" s="126">
        <v>45845</v>
      </c>
      <c r="D302" s="126">
        <v>45845</v>
      </c>
      <c r="E302" s="126">
        <v>45832</v>
      </c>
      <c r="F302" s="123" t="s">
        <v>5387</v>
      </c>
      <c r="G302" s="153" t="s">
        <v>5273</v>
      </c>
      <c r="I302" s="123" t="s">
        <v>5272</v>
      </c>
      <c r="J302" s="122" t="s">
        <v>3527</v>
      </c>
      <c r="K302" s="122" t="s">
        <v>3530</v>
      </c>
      <c r="L302" s="123">
        <v>871.45</v>
      </c>
      <c r="M302" s="123">
        <v>7262.05</v>
      </c>
      <c r="AB302" s="123">
        <v>8133.5</v>
      </c>
      <c r="AC302" s="123">
        <f t="shared" si="6"/>
        <v>0</v>
      </c>
      <c r="AE302" s="123">
        <v>72.62</v>
      </c>
    </row>
    <row r="303" spans="1:31" x14ac:dyDescent="0.25">
      <c r="A303" s="154" t="s">
        <v>5424</v>
      </c>
      <c r="B303" s="155" t="s">
        <v>5435</v>
      </c>
      <c r="C303" s="126">
        <v>45845</v>
      </c>
      <c r="D303" s="126">
        <v>45845</v>
      </c>
      <c r="E303" s="126">
        <v>45832</v>
      </c>
      <c r="F303" s="123" t="s">
        <v>5385</v>
      </c>
      <c r="G303" s="153" t="s">
        <v>5386</v>
      </c>
      <c r="I303" s="123" t="s">
        <v>5285</v>
      </c>
      <c r="J303" s="123" t="s">
        <v>3527</v>
      </c>
      <c r="K303" s="122" t="s">
        <v>3530</v>
      </c>
      <c r="L303" s="123">
        <v>208.93</v>
      </c>
      <c r="M303" s="123">
        <v>1741.07</v>
      </c>
      <c r="AB303" s="123">
        <v>1950</v>
      </c>
      <c r="AC303" s="10">
        <f>SUM(AB303:AB303)-SUM(L303:AA303)</f>
        <v>0</v>
      </c>
      <c r="AE303" s="123">
        <v>17.41</v>
      </c>
    </row>
    <row r="304" spans="1:31" x14ac:dyDescent="0.25">
      <c r="A304" s="154" t="s">
        <v>5425</v>
      </c>
      <c r="B304" s="155" t="s">
        <v>5436</v>
      </c>
      <c r="C304" s="126">
        <v>45848</v>
      </c>
      <c r="D304" s="126">
        <v>45845</v>
      </c>
      <c r="E304" s="126">
        <v>45818</v>
      </c>
      <c r="F304" s="123" t="s">
        <v>5287</v>
      </c>
      <c r="G304" s="153" t="s">
        <v>5288</v>
      </c>
      <c r="I304" s="123" t="s">
        <v>5286</v>
      </c>
      <c r="J304" s="122" t="s">
        <v>2687</v>
      </c>
      <c r="K304" s="122" t="s">
        <v>61</v>
      </c>
      <c r="L304" s="123">
        <v>857.14</v>
      </c>
      <c r="M304" s="123">
        <v>7142.86</v>
      </c>
      <c r="AB304" s="123">
        <v>8000</v>
      </c>
      <c r="AC304" s="10">
        <f>SUM(AB304:AB304)-SUM(L304:AA304)</f>
        <v>0</v>
      </c>
      <c r="AE304" s="123">
        <v>71.430000000000007</v>
      </c>
    </row>
    <row r="305" spans="1:31" x14ac:dyDescent="0.25">
      <c r="A305" s="154" t="s">
        <v>5426</v>
      </c>
      <c r="B305" s="155" t="s">
        <v>5437</v>
      </c>
      <c r="C305" s="126">
        <v>45864</v>
      </c>
      <c r="D305" s="126">
        <v>45845</v>
      </c>
      <c r="E305" s="126">
        <v>45824</v>
      </c>
      <c r="F305" s="123" t="s">
        <v>5331</v>
      </c>
      <c r="G305" s="153" t="s">
        <v>5332</v>
      </c>
      <c r="I305" s="123" t="s">
        <v>5321</v>
      </c>
      <c r="J305" s="123" t="s">
        <v>1226</v>
      </c>
      <c r="K305" s="122" t="s">
        <v>2924</v>
      </c>
      <c r="L305" s="123">
        <v>1821.43</v>
      </c>
      <c r="M305" s="123">
        <v>15178.57</v>
      </c>
      <c r="AB305" s="123">
        <v>17000</v>
      </c>
      <c r="AC305" s="10">
        <f>SUM(AB305:AB305)-SUM(L305:AA305)</f>
        <v>0</v>
      </c>
      <c r="AE305" s="123">
        <v>151.79</v>
      </c>
    </row>
    <row r="306" spans="1:31" x14ac:dyDescent="0.25">
      <c r="A306" s="154" t="s">
        <v>5427</v>
      </c>
      <c r="B306" s="155" t="s">
        <v>5438</v>
      </c>
      <c r="C306" s="126">
        <v>45855</v>
      </c>
      <c r="D306" s="126">
        <v>45845</v>
      </c>
      <c r="E306" s="124">
        <v>45832</v>
      </c>
      <c r="F306" s="123" t="s">
        <v>5388</v>
      </c>
      <c r="G306" s="153" t="s">
        <v>5348</v>
      </c>
      <c r="I306" s="123" t="s">
        <v>5347</v>
      </c>
      <c r="J306" s="123" t="s">
        <v>3527</v>
      </c>
      <c r="K306" s="122" t="s">
        <v>3530</v>
      </c>
      <c r="L306" s="123">
        <v>1080</v>
      </c>
      <c r="M306" s="123">
        <v>9000</v>
      </c>
      <c r="AB306" s="123">
        <v>10080</v>
      </c>
      <c r="AC306" s="10">
        <f t="shared" ref="AC306:AC370" si="7">SUM(AB306:AB306)-SUM(L306:AA306)</f>
        <v>0</v>
      </c>
    </row>
    <row r="307" spans="1:31" x14ac:dyDescent="0.25">
      <c r="A307" s="154" t="s">
        <v>5428</v>
      </c>
      <c r="B307" s="155" t="s">
        <v>5440</v>
      </c>
      <c r="C307" s="126">
        <v>45855</v>
      </c>
      <c r="D307" s="126">
        <v>45845</v>
      </c>
      <c r="E307" s="124">
        <v>45827</v>
      </c>
      <c r="F307" s="123" t="s">
        <v>5441</v>
      </c>
      <c r="G307" s="153" t="s">
        <v>5357</v>
      </c>
      <c r="I307" s="123" t="s">
        <v>1001</v>
      </c>
      <c r="J307" s="122" t="s">
        <v>2087</v>
      </c>
      <c r="K307" s="122" t="s">
        <v>2088</v>
      </c>
      <c r="L307" s="123">
        <v>11785.71</v>
      </c>
      <c r="M307" s="123">
        <v>98214.29</v>
      </c>
      <c r="AB307" s="123">
        <v>110000</v>
      </c>
      <c r="AC307" s="123">
        <f t="shared" si="7"/>
        <v>0</v>
      </c>
    </row>
    <row r="308" spans="1:31" x14ac:dyDescent="0.25">
      <c r="A308" s="154" t="s">
        <v>5429</v>
      </c>
      <c r="B308" s="155" t="s">
        <v>5439</v>
      </c>
      <c r="C308" s="126">
        <v>45877</v>
      </c>
      <c r="D308" s="126">
        <v>45845</v>
      </c>
      <c r="E308" s="124">
        <v>45847</v>
      </c>
      <c r="F308" s="123" t="s">
        <v>5487</v>
      </c>
      <c r="G308" s="153" t="s">
        <v>5406</v>
      </c>
      <c r="I308" s="123" t="s">
        <v>5405</v>
      </c>
      <c r="J308" s="123" t="s">
        <v>1226</v>
      </c>
      <c r="K308" s="122" t="s">
        <v>2924</v>
      </c>
      <c r="L308" s="123">
        <v>9107.14</v>
      </c>
      <c r="M308" s="123">
        <v>75892.86</v>
      </c>
      <c r="AB308" s="123">
        <v>85000</v>
      </c>
      <c r="AC308" s="123">
        <f t="shared" si="7"/>
        <v>0</v>
      </c>
      <c r="AE308" s="123">
        <v>758.93</v>
      </c>
    </row>
    <row r="309" spans="1:31" x14ac:dyDescent="0.25">
      <c r="A309" s="154" t="s">
        <v>5430</v>
      </c>
      <c r="B309" s="155" t="s">
        <v>5442</v>
      </c>
      <c r="C309" s="126">
        <v>45864</v>
      </c>
      <c r="D309" s="126">
        <v>45845</v>
      </c>
      <c r="E309" s="124">
        <v>45854</v>
      </c>
      <c r="F309" s="123" t="s">
        <v>5541</v>
      </c>
      <c r="G309" s="153" t="s">
        <v>5408</v>
      </c>
      <c r="I309" s="123" t="s">
        <v>5407</v>
      </c>
      <c r="J309" s="122" t="s">
        <v>83</v>
      </c>
      <c r="K309" s="122" t="s">
        <v>1336</v>
      </c>
      <c r="L309" s="123">
        <v>4553.57</v>
      </c>
      <c r="M309" s="123">
        <v>37946.43</v>
      </c>
      <c r="AB309" s="123">
        <v>42500</v>
      </c>
      <c r="AC309" s="123">
        <f t="shared" si="7"/>
        <v>0</v>
      </c>
      <c r="AE309" s="123">
        <v>379.46</v>
      </c>
    </row>
    <row r="310" spans="1:31" x14ac:dyDescent="0.25">
      <c r="A310" s="154" t="s">
        <v>5443</v>
      </c>
      <c r="B310" s="155" t="s">
        <v>5444</v>
      </c>
      <c r="C310" s="126">
        <v>45857</v>
      </c>
      <c r="D310" s="126">
        <v>45845</v>
      </c>
      <c r="E310" s="124">
        <v>45854</v>
      </c>
      <c r="F310" s="123" t="s">
        <v>5540</v>
      </c>
      <c r="G310" s="153" t="s">
        <v>5412</v>
      </c>
      <c r="I310" s="123" t="s">
        <v>5381</v>
      </c>
      <c r="J310" s="122" t="s">
        <v>83</v>
      </c>
      <c r="K310" s="122" t="s">
        <v>1336</v>
      </c>
      <c r="L310" s="123">
        <v>2303.5700000000002</v>
      </c>
      <c r="M310" s="123">
        <v>19196.43</v>
      </c>
      <c r="AB310" s="123">
        <v>21500</v>
      </c>
      <c r="AC310" s="123">
        <f t="shared" si="7"/>
        <v>0</v>
      </c>
      <c r="AE310" s="123">
        <v>191.96</v>
      </c>
    </row>
    <row r="311" spans="1:31" x14ac:dyDescent="0.25">
      <c r="A311" s="154" t="s">
        <v>5449</v>
      </c>
      <c r="B311" s="155" t="s">
        <v>5445</v>
      </c>
      <c r="C311" s="126">
        <v>45845</v>
      </c>
      <c r="D311" s="126">
        <v>45845</v>
      </c>
      <c r="E311" s="124">
        <v>45846</v>
      </c>
      <c r="F311" s="123" t="s">
        <v>5484</v>
      </c>
      <c r="G311" s="153" t="s">
        <v>5411</v>
      </c>
      <c r="I311" s="123" t="s">
        <v>5384</v>
      </c>
      <c r="J311" s="123" t="s">
        <v>3527</v>
      </c>
      <c r="K311" s="122" t="s">
        <v>3530</v>
      </c>
      <c r="L311" s="123">
        <v>28.93</v>
      </c>
      <c r="M311" s="123">
        <v>241.07</v>
      </c>
      <c r="AB311" s="123">
        <v>270</v>
      </c>
      <c r="AC311" s="123">
        <f t="shared" si="7"/>
        <v>0</v>
      </c>
      <c r="AE311" s="123">
        <v>2.41</v>
      </c>
    </row>
    <row r="312" spans="1:31" x14ac:dyDescent="0.25">
      <c r="A312" s="154" t="s">
        <v>5450</v>
      </c>
      <c r="B312" s="155" t="s">
        <v>5446</v>
      </c>
      <c r="C312" s="126">
        <v>45845</v>
      </c>
      <c r="D312" s="126">
        <v>45845</v>
      </c>
      <c r="I312" s="123" t="s">
        <v>5417</v>
      </c>
      <c r="J312" s="123" t="s">
        <v>5418</v>
      </c>
      <c r="AA312" s="123">
        <v>4469</v>
      </c>
      <c r="AB312" s="123">
        <v>4469</v>
      </c>
      <c r="AC312" s="123">
        <f t="shared" si="7"/>
        <v>0</v>
      </c>
    </row>
    <row r="313" spans="1:31" x14ac:dyDescent="0.25">
      <c r="A313" s="154" t="s">
        <v>5451</v>
      </c>
      <c r="B313" s="155" t="s">
        <v>5447</v>
      </c>
      <c r="C313" s="126">
        <v>45873</v>
      </c>
      <c r="D313" s="126">
        <v>45845</v>
      </c>
      <c r="E313" s="124">
        <v>45846</v>
      </c>
      <c r="F313" s="123" t="s">
        <v>5483</v>
      </c>
      <c r="G313" s="153" t="s">
        <v>5453</v>
      </c>
      <c r="I313" s="123" t="s">
        <v>5454</v>
      </c>
      <c r="J313" s="123" t="s">
        <v>3527</v>
      </c>
      <c r="K313" s="122" t="s">
        <v>3530</v>
      </c>
      <c r="L313" s="123">
        <v>871.45</v>
      </c>
      <c r="M313" s="123">
        <v>7262.05</v>
      </c>
      <c r="AB313" s="123">
        <v>8133.5</v>
      </c>
      <c r="AC313" s="123">
        <f t="shared" si="7"/>
        <v>0</v>
      </c>
      <c r="AE313" s="123">
        <v>72.62</v>
      </c>
    </row>
    <row r="314" spans="1:31" x14ac:dyDescent="0.25">
      <c r="A314" s="154" t="s">
        <v>5452</v>
      </c>
      <c r="B314" s="155" t="s">
        <v>5448</v>
      </c>
      <c r="C314" s="126">
        <v>45887</v>
      </c>
      <c r="D314" s="126">
        <v>45845</v>
      </c>
      <c r="E314" s="124">
        <v>45847</v>
      </c>
      <c r="F314" s="123" t="s">
        <v>5485</v>
      </c>
      <c r="G314" s="153" t="s">
        <v>5486</v>
      </c>
      <c r="I314" s="123" t="s">
        <v>5455</v>
      </c>
      <c r="J314" s="123" t="s">
        <v>1226</v>
      </c>
      <c r="K314" s="122" t="s">
        <v>2924</v>
      </c>
      <c r="L314" s="123">
        <v>6696.43</v>
      </c>
      <c r="M314" s="123">
        <v>55803.57</v>
      </c>
      <c r="AB314" s="123">
        <v>62500</v>
      </c>
      <c r="AC314" s="123">
        <f t="shared" si="7"/>
        <v>0</v>
      </c>
      <c r="AE314" s="123">
        <v>558.04</v>
      </c>
    </row>
    <row r="315" spans="1:31" x14ac:dyDescent="0.25">
      <c r="A315" s="154" t="s">
        <v>5456</v>
      </c>
      <c r="B315" s="155" t="s">
        <v>5461</v>
      </c>
      <c r="C315" s="126">
        <v>45845</v>
      </c>
      <c r="D315" s="126">
        <v>45845</v>
      </c>
      <c r="I315" s="122" t="s">
        <v>5464</v>
      </c>
      <c r="J315" s="122" t="s">
        <v>43</v>
      </c>
      <c r="L315" s="123">
        <v>32.14</v>
      </c>
      <c r="S315" s="123">
        <v>267.86</v>
      </c>
      <c r="AB315" s="123">
        <v>300</v>
      </c>
      <c r="AC315" s="123">
        <f t="shared" si="7"/>
        <v>0</v>
      </c>
    </row>
    <row r="316" spans="1:31" x14ac:dyDescent="0.25">
      <c r="A316" s="154" t="s">
        <v>5457</v>
      </c>
      <c r="B316" s="155" t="s">
        <v>5462</v>
      </c>
      <c r="C316" s="126">
        <v>45845</v>
      </c>
      <c r="D316" s="126">
        <v>45845</v>
      </c>
      <c r="I316" s="122" t="s">
        <v>5464</v>
      </c>
      <c r="J316" s="123" t="s">
        <v>3667</v>
      </c>
      <c r="AA316" s="123">
        <v>17710</v>
      </c>
      <c r="AB316" s="123">
        <v>17710</v>
      </c>
      <c r="AC316" s="123">
        <f t="shared" si="7"/>
        <v>0</v>
      </c>
    </row>
    <row r="317" spans="1:31" x14ac:dyDescent="0.25">
      <c r="A317" s="154" t="s">
        <v>5458</v>
      </c>
      <c r="B317" s="155" t="s">
        <v>5463</v>
      </c>
      <c r="C317" s="126">
        <v>45845</v>
      </c>
      <c r="D317" s="126">
        <v>45845</v>
      </c>
      <c r="H317" s="153" t="s">
        <v>4067</v>
      </c>
      <c r="I317" s="123" t="s">
        <v>5030</v>
      </c>
      <c r="J317" s="123" t="s">
        <v>3667</v>
      </c>
      <c r="T317" s="123">
        <v>5536.42</v>
      </c>
      <c r="AB317" s="123">
        <v>5536.42</v>
      </c>
      <c r="AC317" s="123">
        <f t="shared" si="7"/>
        <v>0</v>
      </c>
    </row>
    <row r="318" spans="1:31" x14ac:dyDescent="0.25">
      <c r="A318" s="154" t="s">
        <v>5459</v>
      </c>
      <c r="B318" s="155" t="s">
        <v>5465</v>
      </c>
      <c r="C318" s="126">
        <v>45845</v>
      </c>
      <c r="D318" s="126">
        <v>45845</v>
      </c>
      <c r="I318" s="123" t="s">
        <v>5466</v>
      </c>
      <c r="J318" s="123" t="s">
        <v>4549</v>
      </c>
      <c r="AA318" s="123">
        <v>5000</v>
      </c>
      <c r="AB318" s="123">
        <v>5000</v>
      </c>
      <c r="AC318" s="123">
        <f t="shared" si="7"/>
        <v>0</v>
      </c>
    </row>
    <row r="319" spans="1:31" x14ac:dyDescent="0.25">
      <c r="A319" s="154" t="s">
        <v>5460</v>
      </c>
      <c r="B319" s="155" t="s">
        <v>5468</v>
      </c>
      <c r="C319" s="126">
        <v>45849</v>
      </c>
      <c r="D319" s="126">
        <v>45845</v>
      </c>
      <c r="I319" s="7" t="s">
        <v>5467</v>
      </c>
      <c r="J319" s="7" t="s">
        <v>4124</v>
      </c>
      <c r="AA319" s="123">
        <v>80000</v>
      </c>
      <c r="AB319" s="123">
        <v>80000</v>
      </c>
      <c r="AC319" s="123">
        <f t="shared" si="7"/>
        <v>0</v>
      </c>
    </row>
    <row r="320" spans="1:31" x14ac:dyDescent="0.25">
      <c r="A320" s="154" t="s">
        <v>5474</v>
      </c>
      <c r="B320" s="155" t="s">
        <v>5481</v>
      </c>
      <c r="C320" s="126">
        <v>45846</v>
      </c>
      <c r="D320" s="126">
        <v>45845</v>
      </c>
      <c r="I320" s="123" t="s">
        <v>41</v>
      </c>
      <c r="Z320" s="123">
        <v>400000</v>
      </c>
      <c r="AB320" s="123">
        <v>400000</v>
      </c>
      <c r="AC320" s="123">
        <f t="shared" si="7"/>
        <v>0</v>
      </c>
    </row>
    <row r="321" spans="1:31" x14ac:dyDescent="0.25">
      <c r="A321" s="154" t="s">
        <v>5475</v>
      </c>
      <c r="B321" s="155" t="s">
        <v>5482</v>
      </c>
      <c r="C321" s="126">
        <v>45846</v>
      </c>
      <c r="D321" s="126">
        <v>45845</v>
      </c>
      <c r="I321" s="123" t="s">
        <v>5190</v>
      </c>
      <c r="J321" s="123" t="s">
        <v>39</v>
      </c>
      <c r="W321" s="123">
        <v>60000</v>
      </c>
      <c r="AB321" s="123">
        <v>60000</v>
      </c>
      <c r="AC321" s="123">
        <f t="shared" si="7"/>
        <v>0</v>
      </c>
    </row>
    <row r="322" spans="1:31" x14ac:dyDescent="0.25">
      <c r="A322" s="154" t="s">
        <v>5476</v>
      </c>
      <c r="B322" s="155" t="s">
        <v>5489</v>
      </c>
      <c r="C322" s="126">
        <v>45852</v>
      </c>
      <c r="D322" s="126">
        <v>45849</v>
      </c>
      <c r="I322" s="123" t="s">
        <v>5490</v>
      </c>
      <c r="J322" s="123" t="s">
        <v>1469</v>
      </c>
      <c r="AA322" s="123">
        <v>52500</v>
      </c>
      <c r="AB322" s="123">
        <v>52500</v>
      </c>
      <c r="AC322" s="123">
        <f t="shared" si="7"/>
        <v>0</v>
      </c>
    </row>
    <row r="323" spans="1:31" x14ac:dyDescent="0.25">
      <c r="A323" s="154" t="s">
        <v>5477</v>
      </c>
      <c r="B323" s="155" t="s">
        <v>5469</v>
      </c>
      <c r="C323" s="126">
        <v>45852</v>
      </c>
      <c r="D323" s="126">
        <v>45849</v>
      </c>
      <c r="H323" s="153" t="s">
        <v>4068</v>
      </c>
      <c r="I323" s="123" t="s">
        <v>5030</v>
      </c>
      <c r="J323" s="123" t="s">
        <v>3667</v>
      </c>
      <c r="T323" s="123">
        <v>12839.78</v>
      </c>
      <c r="AB323" s="123">
        <v>12839.78</v>
      </c>
      <c r="AC323" s="123">
        <f t="shared" si="7"/>
        <v>0</v>
      </c>
    </row>
    <row r="324" spans="1:31" x14ac:dyDescent="0.25">
      <c r="A324" s="154" t="s">
        <v>5478</v>
      </c>
      <c r="B324" s="155" t="s">
        <v>5470</v>
      </c>
      <c r="C324" s="126">
        <v>45852</v>
      </c>
      <c r="D324" s="126">
        <v>45849</v>
      </c>
      <c r="H324" s="153" t="s">
        <v>4128</v>
      </c>
      <c r="I324" s="123" t="s">
        <v>5491</v>
      </c>
      <c r="J324" s="123" t="s">
        <v>3667</v>
      </c>
      <c r="T324" s="123">
        <v>12410</v>
      </c>
      <c r="AB324" s="123">
        <v>12410</v>
      </c>
      <c r="AC324" s="123">
        <f t="shared" si="7"/>
        <v>0</v>
      </c>
    </row>
    <row r="325" spans="1:31" x14ac:dyDescent="0.25">
      <c r="A325" s="154" t="s">
        <v>5479</v>
      </c>
      <c r="B325" s="155" t="s">
        <v>5471</v>
      </c>
      <c r="C325" s="126">
        <v>45853</v>
      </c>
      <c r="D325" s="126">
        <v>45849</v>
      </c>
      <c r="I325" s="123" t="s">
        <v>4612</v>
      </c>
      <c r="J325" s="123" t="s">
        <v>1847</v>
      </c>
      <c r="AA325" s="123">
        <v>28160</v>
      </c>
      <c r="AB325" s="123">
        <v>28160</v>
      </c>
      <c r="AC325" s="123">
        <f t="shared" si="7"/>
        <v>0</v>
      </c>
    </row>
    <row r="326" spans="1:31" x14ac:dyDescent="0.25">
      <c r="A326" s="154" t="s">
        <v>5480</v>
      </c>
      <c r="B326" s="155" t="s">
        <v>5472</v>
      </c>
      <c r="C326" s="126">
        <v>45853</v>
      </c>
      <c r="D326" s="126">
        <v>45849</v>
      </c>
      <c r="I326" s="123" t="s">
        <v>4612</v>
      </c>
      <c r="J326" s="123" t="s">
        <v>125</v>
      </c>
      <c r="AA326" s="123">
        <v>22500</v>
      </c>
      <c r="AB326" s="123">
        <v>22500</v>
      </c>
      <c r="AC326" s="123">
        <f t="shared" si="7"/>
        <v>0</v>
      </c>
    </row>
    <row r="327" spans="1:31" x14ac:dyDescent="0.25">
      <c r="A327" s="154" t="s">
        <v>5492</v>
      </c>
      <c r="B327" s="155" t="s">
        <v>5473</v>
      </c>
      <c r="C327" s="126">
        <v>45894</v>
      </c>
      <c r="D327" s="126">
        <v>45849</v>
      </c>
      <c r="E327" s="126">
        <v>45883</v>
      </c>
      <c r="F327" s="123" t="s">
        <v>5748</v>
      </c>
      <c r="G327" s="153" t="s">
        <v>5749</v>
      </c>
      <c r="I327" s="123" t="s">
        <v>5502</v>
      </c>
      <c r="J327" s="123" t="s">
        <v>1226</v>
      </c>
      <c r="K327" s="122" t="s">
        <v>2924</v>
      </c>
      <c r="L327" s="123">
        <v>2357.14</v>
      </c>
      <c r="M327" s="123">
        <v>19642.86</v>
      </c>
      <c r="AB327" s="123">
        <v>22000</v>
      </c>
      <c r="AC327" s="123">
        <f t="shared" si="7"/>
        <v>0</v>
      </c>
      <c r="AE327" s="123">
        <v>196.43</v>
      </c>
    </row>
    <row r="328" spans="1:31" x14ac:dyDescent="0.25">
      <c r="A328" s="154" t="s">
        <v>5493</v>
      </c>
      <c r="B328" s="155" t="s">
        <v>5500</v>
      </c>
      <c r="C328" s="126">
        <v>45879</v>
      </c>
      <c r="D328" s="126">
        <v>45849</v>
      </c>
      <c r="E328" s="156">
        <v>0.41176470588235292</v>
      </c>
      <c r="F328" s="123" t="s">
        <v>5542</v>
      </c>
      <c r="G328" s="153" t="s">
        <v>5543</v>
      </c>
      <c r="I328" s="123" t="s">
        <v>5503</v>
      </c>
      <c r="J328" s="123" t="s">
        <v>2687</v>
      </c>
      <c r="K328" s="122" t="s">
        <v>61</v>
      </c>
      <c r="L328" s="123">
        <v>1767.86</v>
      </c>
      <c r="M328" s="123">
        <v>14732.14</v>
      </c>
      <c r="AB328" s="123">
        <v>16500</v>
      </c>
      <c r="AC328" s="123">
        <f t="shared" si="7"/>
        <v>0</v>
      </c>
      <c r="AE328" s="123">
        <v>147.32</v>
      </c>
    </row>
    <row r="329" spans="1:31" x14ac:dyDescent="0.25">
      <c r="A329" s="154" t="s">
        <v>5494</v>
      </c>
      <c r="B329" s="155" t="s">
        <v>5501</v>
      </c>
      <c r="C329" s="126">
        <v>45852</v>
      </c>
      <c r="D329" s="126">
        <v>45849</v>
      </c>
      <c r="E329" s="156">
        <v>0.22580645161290322</v>
      </c>
      <c r="F329" s="123" t="s">
        <v>5836</v>
      </c>
      <c r="I329" s="123" t="s">
        <v>5464</v>
      </c>
      <c r="J329" s="123" t="s">
        <v>5504</v>
      </c>
      <c r="AA329" s="123">
        <v>5851.2</v>
      </c>
      <c r="AB329" s="123">
        <v>5851.2</v>
      </c>
      <c r="AC329" s="123">
        <f t="shared" si="7"/>
        <v>0</v>
      </c>
    </row>
    <row r="330" spans="1:31" x14ac:dyDescent="0.25">
      <c r="A330" s="154" t="s">
        <v>5495</v>
      </c>
      <c r="B330" s="155" t="s">
        <v>5505</v>
      </c>
      <c r="C330" s="126">
        <v>45852</v>
      </c>
      <c r="D330" s="126">
        <v>45852</v>
      </c>
      <c r="I330" s="123" t="s">
        <v>5509</v>
      </c>
      <c r="J330" s="123" t="s">
        <v>3667</v>
      </c>
      <c r="AA330" s="123">
        <v>4464.29</v>
      </c>
      <c r="AB330" s="123">
        <v>4464.29</v>
      </c>
      <c r="AC330" s="123">
        <f t="shared" si="7"/>
        <v>0</v>
      </c>
    </row>
    <row r="331" spans="1:31" x14ac:dyDescent="0.25">
      <c r="A331" s="154" t="s">
        <v>5496</v>
      </c>
      <c r="B331" s="155" t="s">
        <v>5506</v>
      </c>
      <c r="C331" s="126">
        <v>45852</v>
      </c>
      <c r="D331" s="126">
        <v>45852</v>
      </c>
      <c r="I331" s="122" t="s">
        <v>5510</v>
      </c>
      <c r="J331" s="122" t="s">
        <v>4628</v>
      </c>
      <c r="X331" s="123">
        <v>10264.34</v>
      </c>
      <c r="AB331" s="123">
        <v>10264.34</v>
      </c>
      <c r="AC331" s="123">
        <f t="shared" si="7"/>
        <v>0</v>
      </c>
    </row>
    <row r="332" spans="1:31" x14ac:dyDescent="0.25">
      <c r="A332" s="154" t="s">
        <v>5497</v>
      </c>
      <c r="B332" s="155" t="s">
        <v>5522</v>
      </c>
      <c r="C332" s="126">
        <v>45852</v>
      </c>
      <c r="D332" s="126">
        <v>45852</v>
      </c>
      <c r="I332" s="122" t="s">
        <v>5511</v>
      </c>
      <c r="J332" s="122" t="s">
        <v>46</v>
      </c>
      <c r="L332" s="123">
        <v>160.82</v>
      </c>
      <c r="S332" s="123">
        <v>1340.17</v>
      </c>
      <c r="AB332" s="123">
        <v>1500.99</v>
      </c>
      <c r="AC332" s="123">
        <f t="shared" si="7"/>
        <v>0</v>
      </c>
    </row>
    <row r="333" spans="1:31" x14ac:dyDescent="0.25">
      <c r="A333" s="154" t="s">
        <v>5498</v>
      </c>
      <c r="B333" s="155" t="s">
        <v>5507</v>
      </c>
      <c r="C333" s="126">
        <v>45852</v>
      </c>
      <c r="D333" s="126">
        <v>45852</v>
      </c>
      <c r="I333" s="122" t="s">
        <v>5512</v>
      </c>
      <c r="J333" s="122" t="s">
        <v>46</v>
      </c>
      <c r="L333" s="123">
        <v>107.04</v>
      </c>
      <c r="S333" s="123">
        <v>891.96</v>
      </c>
      <c r="AB333" s="123">
        <v>999</v>
      </c>
      <c r="AC333" s="123">
        <f t="shared" si="7"/>
        <v>0</v>
      </c>
    </row>
    <row r="334" spans="1:31" x14ac:dyDescent="0.25">
      <c r="A334" s="154" t="s">
        <v>5499</v>
      </c>
      <c r="B334" s="155" t="s">
        <v>5508</v>
      </c>
      <c r="C334" s="126">
        <v>45852</v>
      </c>
      <c r="D334" s="126">
        <v>45852</v>
      </c>
      <c r="I334" s="122" t="s">
        <v>5513</v>
      </c>
      <c r="J334" s="122" t="s">
        <v>18</v>
      </c>
      <c r="R334" s="123">
        <v>1410.15</v>
      </c>
      <c r="AB334" s="123">
        <v>1410.15</v>
      </c>
      <c r="AC334" s="123">
        <f t="shared" si="7"/>
        <v>0</v>
      </c>
    </row>
    <row r="335" spans="1:31" x14ac:dyDescent="0.25">
      <c r="A335" s="154" t="s">
        <v>5515</v>
      </c>
      <c r="B335" s="155" t="s">
        <v>5514</v>
      </c>
      <c r="C335" s="126">
        <v>45852</v>
      </c>
      <c r="D335" s="126">
        <v>45852</v>
      </c>
      <c r="I335" s="122" t="s">
        <v>5513</v>
      </c>
      <c r="J335" s="122" t="s">
        <v>18</v>
      </c>
      <c r="R335" s="123">
        <v>7570.15</v>
      </c>
      <c r="AB335" s="123">
        <v>7570.15</v>
      </c>
      <c r="AC335" s="123">
        <f t="shared" si="7"/>
        <v>0</v>
      </c>
    </row>
    <row r="336" spans="1:31" x14ac:dyDescent="0.25">
      <c r="A336" s="154" t="s">
        <v>5516</v>
      </c>
      <c r="B336" s="125" t="s">
        <v>5517</v>
      </c>
      <c r="C336" s="126">
        <v>45852</v>
      </c>
      <c r="D336" s="126">
        <v>45852</v>
      </c>
      <c r="H336" s="153" t="s">
        <v>4158</v>
      </c>
      <c r="I336" s="123" t="s">
        <v>5518</v>
      </c>
      <c r="J336" s="123" t="s">
        <v>39</v>
      </c>
      <c r="AA336" s="123">
        <v>58074</v>
      </c>
      <c r="AB336" s="123">
        <v>65000</v>
      </c>
      <c r="AC336" s="123">
        <f t="shared" si="7"/>
        <v>6926</v>
      </c>
      <c r="AD336" s="145" t="s">
        <v>5589</v>
      </c>
    </row>
    <row r="337" spans="1:31" x14ac:dyDescent="0.25">
      <c r="A337" s="154" t="s">
        <v>5519</v>
      </c>
      <c r="B337" s="155" t="s">
        <v>5520</v>
      </c>
      <c r="C337" s="126">
        <v>45854</v>
      </c>
      <c r="D337" s="126">
        <v>45854</v>
      </c>
      <c r="I337" s="123" t="s">
        <v>5521</v>
      </c>
      <c r="J337" s="123" t="s">
        <v>3667</v>
      </c>
      <c r="AA337" s="123">
        <v>22000</v>
      </c>
      <c r="AB337" s="123">
        <v>21749</v>
      </c>
      <c r="AC337" s="123">
        <f t="shared" si="7"/>
        <v>-251</v>
      </c>
      <c r="AD337" s="145" t="s">
        <v>5591</v>
      </c>
    </row>
    <row r="338" spans="1:31" x14ac:dyDescent="0.25">
      <c r="A338" s="154" t="s">
        <v>5523</v>
      </c>
      <c r="B338" s="155" t="s">
        <v>5528</v>
      </c>
      <c r="C338" s="126">
        <v>45855</v>
      </c>
      <c r="D338" s="126">
        <v>45855</v>
      </c>
      <c r="I338" s="123" t="s">
        <v>5082</v>
      </c>
      <c r="J338" s="123" t="s">
        <v>1457</v>
      </c>
      <c r="N338" s="123">
        <v>36050</v>
      </c>
      <c r="AB338" s="123">
        <v>36050</v>
      </c>
      <c r="AC338" s="123">
        <f t="shared" si="7"/>
        <v>0</v>
      </c>
    </row>
    <row r="339" spans="1:31" x14ac:dyDescent="0.25">
      <c r="A339" s="154" t="s">
        <v>5524</v>
      </c>
      <c r="B339" s="155" t="s">
        <v>5529</v>
      </c>
      <c r="C339" s="126">
        <v>45855</v>
      </c>
      <c r="D339" s="126">
        <v>45855</v>
      </c>
      <c r="H339" s="153" t="s">
        <v>4152</v>
      </c>
      <c r="I339" s="123" t="s">
        <v>4811</v>
      </c>
      <c r="J339" s="123" t="s">
        <v>3667</v>
      </c>
      <c r="T339" s="123">
        <v>12342.62</v>
      </c>
      <c r="AB339" s="123">
        <v>12342.62</v>
      </c>
      <c r="AC339" s="123">
        <f t="shared" si="7"/>
        <v>0</v>
      </c>
    </row>
    <row r="340" spans="1:31" x14ac:dyDescent="0.25">
      <c r="A340" s="154" t="s">
        <v>5525</v>
      </c>
      <c r="B340" s="155" t="s">
        <v>5530</v>
      </c>
      <c r="C340" s="126">
        <v>45885</v>
      </c>
      <c r="D340" s="126">
        <v>45855</v>
      </c>
      <c r="E340" s="124">
        <v>45887</v>
      </c>
      <c r="F340" s="123" t="s">
        <v>5755</v>
      </c>
      <c r="G340" s="153" t="s">
        <v>5292</v>
      </c>
      <c r="I340" s="123" t="s">
        <v>5207</v>
      </c>
      <c r="J340" s="123" t="s">
        <v>83</v>
      </c>
      <c r="K340" s="122" t="s">
        <v>1336</v>
      </c>
      <c r="L340" s="123">
        <v>11142.86</v>
      </c>
      <c r="M340" s="123">
        <v>92857.14</v>
      </c>
      <c r="AB340" s="123">
        <v>104000</v>
      </c>
      <c r="AC340" s="123">
        <f t="shared" si="7"/>
        <v>0</v>
      </c>
      <c r="AE340" s="123">
        <v>928.57</v>
      </c>
    </row>
    <row r="341" spans="1:31" x14ac:dyDescent="0.25">
      <c r="A341" s="154" t="s">
        <v>5526</v>
      </c>
      <c r="B341" s="155" t="s">
        <v>5531</v>
      </c>
      <c r="C341" s="126">
        <v>45854</v>
      </c>
      <c r="D341" s="126">
        <v>45855</v>
      </c>
      <c r="E341" s="124">
        <v>45887</v>
      </c>
      <c r="F341" s="123" t="s">
        <v>5754</v>
      </c>
      <c r="G341" s="153" t="s">
        <v>5533</v>
      </c>
      <c r="I341" s="123" t="s">
        <v>4702</v>
      </c>
      <c r="J341" s="123" t="s">
        <v>83</v>
      </c>
      <c r="K341" s="122" t="s">
        <v>1336</v>
      </c>
      <c r="L341" s="123">
        <v>203.57</v>
      </c>
      <c r="M341" s="123">
        <v>1696.43</v>
      </c>
      <c r="AB341" s="123">
        <v>1900</v>
      </c>
      <c r="AC341" s="123">
        <f t="shared" si="7"/>
        <v>0</v>
      </c>
      <c r="AE341" s="123">
        <v>16.96</v>
      </c>
    </row>
    <row r="342" spans="1:31" x14ac:dyDescent="0.25">
      <c r="A342" s="154" t="s">
        <v>5527</v>
      </c>
      <c r="B342" s="155" t="s">
        <v>5532</v>
      </c>
      <c r="C342" s="126">
        <v>45885</v>
      </c>
      <c r="D342" s="126">
        <v>45855</v>
      </c>
      <c r="E342" s="124">
        <v>45884</v>
      </c>
      <c r="F342" s="123" t="s">
        <v>5751</v>
      </c>
      <c r="G342" s="153" t="s">
        <v>5534</v>
      </c>
      <c r="I342" s="123" t="s">
        <v>5535</v>
      </c>
      <c r="J342" s="123" t="s">
        <v>3527</v>
      </c>
      <c r="K342" s="122" t="s">
        <v>3530</v>
      </c>
      <c r="L342" s="123">
        <v>2701.07</v>
      </c>
      <c r="M342" s="123">
        <v>22508.93</v>
      </c>
      <c r="AB342" s="123">
        <v>25210</v>
      </c>
      <c r="AC342" s="123">
        <f t="shared" si="7"/>
        <v>0</v>
      </c>
      <c r="AE342" s="123">
        <v>225.09</v>
      </c>
    </row>
    <row r="343" spans="1:31" x14ac:dyDescent="0.25">
      <c r="A343" s="154" t="s">
        <v>5536</v>
      </c>
      <c r="B343" s="155" t="s">
        <v>5537</v>
      </c>
      <c r="C343" s="126">
        <v>45860</v>
      </c>
      <c r="D343" s="126">
        <v>45855</v>
      </c>
      <c r="E343" s="126">
        <v>45866</v>
      </c>
      <c r="F343" s="123" t="s">
        <v>5576</v>
      </c>
      <c r="G343" s="153" t="s">
        <v>5538</v>
      </c>
      <c r="I343" s="123" t="s">
        <v>5539</v>
      </c>
      <c r="J343" s="122" t="s">
        <v>4717</v>
      </c>
      <c r="K343" s="122" t="s">
        <v>4718</v>
      </c>
      <c r="L343" s="123">
        <v>2142.86</v>
      </c>
      <c r="M343" s="123">
        <v>17857.14</v>
      </c>
      <c r="AB343" s="123">
        <v>20000</v>
      </c>
      <c r="AC343" s="123">
        <f t="shared" si="7"/>
        <v>0</v>
      </c>
      <c r="AE343" s="123">
        <v>178.57</v>
      </c>
    </row>
    <row r="344" spans="1:31" x14ac:dyDescent="0.25">
      <c r="A344" s="154" t="s">
        <v>5544</v>
      </c>
      <c r="B344" s="125" t="s">
        <v>5545</v>
      </c>
      <c r="C344" s="126">
        <v>45855</v>
      </c>
      <c r="D344" s="126">
        <v>45855</v>
      </c>
      <c r="I344" s="123" t="s">
        <v>5546</v>
      </c>
      <c r="J344" s="123" t="s">
        <v>1469</v>
      </c>
      <c r="AA344" s="123">
        <v>130000</v>
      </c>
      <c r="AB344" s="123">
        <v>130000</v>
      </c>
      <c r="AC344" s="123">
        <f t="shared" si="7"/>
        <v>0</v>
      </c>
    </row>
    <row r="345" spans="1:31" x14ac:dyDescent="0.25">
      <c r="A345" s="154" t="s">
        <v>5547</v>
      </c>
      <c r="B345" s="155" t="s">
        <v>5548</v>
      </c>
      <c r="C345" s="126">
        <v>45859</v>
      </c>
      <c r="D345" s="126">
        <v>45859</v>
      </c>
      <c r="H345" s="153" t="s">
        <v>4283</v>
      </c>
      <c r="I345" s="123" t="s">
        <v>5549</v>
      </c>
      <c r="J345" s="123" t="s">
        <v>39</v>
      </c>
      <c r="AA345" s="123">
        <v>15000</v>
      </c>
      <c r="AB345" s="123">
        <v>13750</v>
      </c>
      <c r="AC345" s="123">
        <f t="shared" si="7"/>
        <v>-1250</v>
      </c>
      <c r="AD345" s="145" t="s">
        <v>5592</v>
      </c>
    </row>
    <row r="346" spans="1:31" x14ac:dyDescent="0.25">
      <c r="A346" s="154" t="s">
        <v>5550</v>
      </c>
      <c r="B346" s="155" t="s">
        <v>5554</v>
      </c>
      <c r="C346" s="126">
        <v>45862</v>
      </c>
      <c r="D346" s="126">
        <v>45862</v>
      </c>
      <c r="I346" s="123" t="s">
        <v>3979</v>
      </c>
      <c r="J346" s="123" t="s">
        <v>3667</v>
      </c>
      <c r="L346" s="123">
        <v>1572.48</v>
      </c>
      <c r="S346" s="123">
        <v>13104.04</v>
      </c>
      <c r="AB346" s="123">
        <v>14676.52</v>
      </c>
      <c r="AC346" s="123">
        <f t="shared" si="7"/>
        <v>0</v>
      </c>
    </row>
    <row r="347" spans="1:31" x14ac:dyDescent="0.25">
      <c r="A347" s="154" t="s">
        <v>5551</v>
      </c>
      <c r="B347" s="155" t="s">
        <v>5555</v>
      </c>
      <c r="C347" s="126">
        <v>45862</v>
      </c>
      <c r="D347" s="126">
        <v>45862</v>
      </c>
      <c r="E347" s="124">
        <v>45887</v>
      </c>
      <c r="F347" s="123" t="s">
        <v>5756</v>
      </c>
      <c r="I347" s="123" t="s">
        <v>5556</v>
      </c>
      <c r="J347" s="123" t="s">
        <v>83</v>
      </c>
      <c r="K347" s="122" t="s">
        <v>1336</v>
      </c>
      <c r="L347" s="123">
        <v>246.43</v>
      </c>
      <c r="M347" s="123">
        <v>2053.5700000000002</v>
      </c>
      <c r="AB347" s="123">
        <v>2300</v>
      </c>
      <c r="AC347" s="123">
        <f t="shared" si="7"/>
        <v>0</v>
      </c>
      <c r="AE347" s="123">
        <v>30.29</v>
      </c>
    </row>
    <row r="348" spans="1:31" x14ac:dyDescent="0.25">
      <c r="A348" s="154" t="s">
        <v>5552</v>
      </c>
      <c r="B348" s="155" t="s">
        <v>5557</v>
      </c>
      <c r="C348" s="126">
        <v>45886</v>
      </c>
      <c r="D348" s="126">
        <v>45862</v>
      </c>
      <c r="E348" s="124">
        <v>45891</v>
      </c>
      <c r="F348" s="123" t="s">
        <v>5766</v>
      </c>
      <c r="G348" s="153" t="s">
        <v>5558</v>
      </c>
      <c r="I348" s="123" t="s">
        <v>5559</v>
      </c>
      <c r="J348" s="123" t="s">
        <v>2687</v>
      </c>
      <c r="K348" s="122" t="s">
        <v>61</v>
      </c>
      <c r="L348" s="123">
        <v>5142.8599999999997</v>
      </c>
      <c r="M348" s="123">
        <v>42857.14</v>
      </c>
      <c r="AB348" s="123">
        <v>48000</v>
      </c>
      <c r="AC348" s="123">
        <f t="shared" si="7"/>
        <v>0</v>
      </c>
      <c r="AE348" s="123">
        <v>428.57</v>
      </c>
    </row>
    <row r="349" spans="1:31" x14ac:dyDescent="0.25">
      <c r="A349" s="154" t="s">
        <v>5553</v>
      </c>
      <c r="B349" s="155" t="s">
        <v>5560</v>
      </c>
      <c r="C349" s="126">
        <v>45909</v>
      </c>
      <c r="D349" s="126">
        <v>45862</v>
      </c>
      <c r="E349" s="126">
        <v>45882</v>
      </c>
      <c r="F349" s="123" t="s">
        <v>5702</v>
      </c>
      <c r="G349" s="153" t="s">
        <v>5561</v>
      </c>
      <c r="I349" s="123" t="s">
        <v>5562</v>
      </c>
      <c r="J349" s="123" t="s">
        <v>1226</v>
      </c>
      <c r="K349" s="122" t="s">
        <v>2924</v>
      </c>
      <c r="L349" s="123">
        <v>3300</v>
      </c>
      <c r="M349" s="123">
        <v>27500</v>
      </c>
      <c r="AB349" s="123">
        <v>30800</v>
      </c>
      <c r="AC349" s="123">
        <f t="shared" si="7"/>
        <v>0</v>
      </c>
      <c r="AE349" s="123">
        <v>275</v>
      </c>
    </row>
    <row r="350" spans="1:31" x14ac:dyDescent="0.25">
      <c r="A350" s="154" t="s">
        <v>5563</v>
      </c>
      <c r="B350" s="155" t="s">
        <v>5567</v>
      </c>
      <c r="C350" s="126">
        <v>45893</v>
      </c>
      <c r="D350" s="126">
        <v>45862</v>
      </c>
      <c r="E350" s="126">
        <v>45868</v>
      </c>
      <c r="F350" s="123" t="s">
        <v>5590</v>
      </c>
      <c r="G350" s="153" t="s">
        <v>5568</v>
      </c>
      <c r="I350" s="123" t="s">
        <v>1001</v>
      </c>
      <c r="J350" s="122" t="s">
        <v>2087</v>
      </c>
      <c r="K350" s="122" t="s">
        <v>2088</v>
      </c>
      <c r="L350" s="123">
        <v>11785.71</v>
      </c>
      <c r="M350" s="123">
        <v>98214.29</v>
      </c>
      <c r="AB350" s="123">
        <v>110000</v>
      </c>
      <c r="AC350" s="123">
        <f t="shared" si="7"/>
        <v>0</v>
      </c>
      <c r="AE350" s="123">
        <v>982.14</v>
      </c>
    </row>
    <row r="351" spans="1:31" x14ac:dyDescent="0.25">
      <c r="A351" s="154" t="s">
        <v>5564</v>
      </c>
      <c r="B351" s="155" t="s">
        <v>5569</v>
      </c>
      <c r="C351" s="126">
        <v>45893</v>
      </c>
      <c r="D351" s="126">
        <v>45862</v>
      </c>
      <c r="E351" s="124">
        <v>45887</v>
      </c>
      <c r="F351" s="123" t="s">
        <v>5757</v>
      </c>
      <c r="G351" s="153" t="s">
        <v>5570</v>
      </c>
      <c r="I351" s="123" t="s">
        <v>5571</v>
      </c>
      <c r="J351" s="123" t="s">
        <v>83</v>
      </c>
      <c r="K351" s="122" t="s">
        <v>1336</v>
      </c>
      <c r="L351" s="123">
        <v>9482.14</v>
      </c>
      <c r="M351" s="123">
        <v>79017.86</v>
      </c>
      <c r="AB351" s="123">
        <v>88500</v>
      </c>
      <c r="AC351" s="123">
        <f t="shared" si="7"/>
        <v>0</v>
      </c>
      <c r="AE351" s="123">
        <v>790.18</v>
      </c>
    </row>
    <row r="352" spans="1:31" x14ac:dyDescent="0.25">
      <c r="A352" s="154" t="s">
        <v>5565</v>
      </c>
      <c r="B352" s="155" t="s">
        <v>5574</v>
      </c>
      <c r="C352" s="126">
        <v>45869</v>
      </c>
      <c r="D352" s="126">
        <v>45866</v>
      </c>
      <c r="I352" s="123" t="s">
        <v>4612</v>
      </c>
      <c r="J352" s="123" t="s">
        <v>125</v>
      </c>
      <c r="AA352" s="123">
        <v>20000</v>
      </c>
      <c r="AB352" s="123">
        <v>20000</v>
      </c>
      <c r="AC352" s="123">
        <f t="shared" si="7"/>
        <v>0</v>
      </c>
    </row>
    <row r="353" spans="1:31" x14ac:dyDescent="0.25">
      <c r="A353" s="154" t="s">
        <v>5566</v>
      </c>
      <c r="B353" s="155" t="s">
        <v>5575</v>
      </c>
      <c r="C353" s="126">
        <v>45869</v>
      </c>
      <c r="D353" s="126">
        <v>45866</v>
      </c>
      <c r="I353" s="123" t="s">
        <v>4612</v>
      </c>
      <c r="J353" s="123" t="s">
        <v>1847</v>
      </c>
      <c r="AA353" s="123">
        <v>28160</v>
      </c>
      <c r="AB353" s="123">
        <v>28160</v>
      </c>
      <c r="AC353" s="123">
        <f t="shared" si="7"/>
        <v>0</v>
      </c>
    </row>
    <row r="354" spans="1:31" x14ac:dyDescent="0.25">
      <c r="A354" s="154" t="s">
        <v>5573</v>
      </c>
      <c r="B354" s="125" t="s">
        <v>5572</v>
      </c>
      <c r="C354" s="126">
        <v>45866</v>
      </c>
      <c r="D354" s="126">
        <v>45866</v>
      </c>
      <c r="I354" s="123" t="s">
        <v>41</v>
      </c>
      <c r="J354" s="123" t="s">
        <v>54</v>
      </c>
      <c r="Z354" s="123">
        <v>350000</v>
      </c>
      <c r="AB354" s="123">
        <v>350000</v>
      </c>
      <c r="AC354" s="123">
        <f t="shared" si="7"/>
        <v>0</v>
      </c>
    </row>
    <row r="355" spans="1:31" x14ac:dyDescent="0.25">
      <c r="A355" s="154" t="s">
        <v>5577</v>
      </c>
      <c r="B355" s="125" t="s">
        <v>5584</v>
      </c>
      <c r="C355" s="126">
        <v>45868</v>
      </c>
      <c r="D355" s="126">
        <v>45868</v>
      </c>
      <c r="I355" s="123" t="s">
        <v>5585</v>
      </c>
      <c r="J355" s="123" t="s">
        <v>1457</v>
      </c>
      <c r="AA355" s="123">
        <v>200000</v>
      </c>
      <c r="AB355" s="123">
        <v>200000</v>
      </c>
      <c r="AC355" s="123">
        <f t="shared" si="7"/>
        <v>0</v>
      </c>
    </row>
    <row r="356" spans="1:31" x14ac:dyDescent="0.25">
      <c r="A356" s="154" t="s">
        <v>5578</v>
      </c>
      <c r="B356" s="155" t="s">
        <v>5581</v>
      </c>
      <c r="C356" s="126">
        <v>45868</v>
      </c>
      <c r="D356" s="126">
        <v>45868</v>
      </c>
      <c r="I356" s="123" t="s">
        <v>5586</v>
      </c>
      <c r="J356" s="123" t="s">
        <v>442</v>
      </c>
      <c r="AA356" s="123">
        <v>9720</v>
      </c>
      <c r="AB356" s="123">
        <v>9720</v>
      </c>
      <c r="AC356" s="123">
        <f t="shared" si="7"/>
        <v>0</v>
      </c>
    </row>
    <row r="357" spans="1:31" x14ac:dyDescent="0.25">
      <c r="A357" s="154" t="s">
        <v>5579</v>
      </c>
      <c r="B357" s="155" t="s">
        <v>5582</v>
      </c>
      <c r="C357" s="126">
        <v>45868</v>
      </c>
      <c r="D357" s="126">
        <v>45868</v>
      </c>
      <c r="H357" s="153" t="s">
        <v>4154</v>
      </c>
      <c r="I357" s="123" t="s">
        <v>5030</v>
      </c>
      <c r="J357" s="123" t="s">
        <v>3667</v>
      </c>
      <c r="T357" s="123">
        <v>12995.79</v>
      </c>
      <c r="AB357" s="123">
        <v>12995.79</v>
      </c>
      <c r="AC357" s="123">
        <f t="shared" si="7"/>
        <v>0</v>
      </c>
    </row>
    <row r="358" spans="1:31" x14ac:dyDescent="0.25">
      <c r="A358" s="154" t="s">
        <v>5580</v>
      </c>
      <c r="B358" s="155" t="s">
        <v>5583</v>
      </c>
      <c r="C358" s="126">
        <v>45873</v>
      </c>
      <c r="D358" s="126">
        <v>45868</v>
      </c>
      <c r="E358" s="126">
        <v>45875</v>
      </c>
      <c r="F358" s="123" t="s">
        <v>5784</v>
      </c>
      <c r="G358" s="153" t="s">
        <v>5587</v>
      </c>
      <c r="I358" s="123" t="s">
        <v>5588</v>
      </c>
      <c r="J358" s="122" t="s">
        <v>4717</v>
      </c>
      <c r="K358" s="122" t="s">
        <v>4718</v>
      </c>
      <c r="L358" s="123">
        <v>3414.64</v>
      </c>
      <c r="M358" s="123">
        <v>28455.360000000001</v>
      </c>
      <c r="AB358" s="123">
        <v>31870</v>
      </c>
      <c r="AC358" s="123">
        <f t="shared" si="7"/>
        <v>0</v>
      </c>
      <c r="AE358" s="123">
        <v>284.55</v>
      </c>
    </row>
    <row r="359" spans="1:31" x14ac:dyDescent="0.25">
      <c r="A359" s="144">
        <v>45870</v>
      </c>
      <c r="B359" s="137"/>
      <c r="C359" s="138"/>
      <c r="D359" s="138"/>
      <c r="E359" s="138"/>
      <c r="F359" s="137"/>
      <c r="G359" s="139"/>
      <c r="H359" s="139"/>
      <c r="I359" s="137"/>
      <c r="J359" s="137"/>
      <c r="K359" s="137"/>
      <c r="L359" s="140"/>
      <c r="M359" s="140"/>
      <c r="N359" s="140"/>
      <c r="O359" s="137"/>
      <c r="P359" s="137"/>
      <c r="Q359" s="137"/>
      <c r="R359" s="137"/>
      <c r="S359" s="137"/>
      <c r="T359" s="140"/>
      <c r="U359" s="141"/>
      <c r="V359" s="141"/>
      <c r="W359" s="141"/>
      <c r="X359" s="142"/>
      <c r="Y359" s="141"/>
      <c r="Z359" s="142"/>
      <c r="AA359" s="142"/>
      <c r="AB359" s="140"/>
      <c r="AC359" s="143"/>
      <c r="AD359" s="141"/>
      <c r="AE359" s="140"/>
    </row>
    <row r="360" spans="1:31" x14ac:dyDescent="0.25">
      <c r="A360" s="154" t="s">
        <v>5593</v>
      </c>
      <c r="B360" s="155" t="s">
        <v>5600</v>
      </c>
      <c r="C360" s="126">
        <v>45915</v>
      </c>
      <c r="D360" s="126">
        <v>45870</v>
      </c>
      <c r="E360" s="126">
        <v>45882</v>
      </c>
      <c r="F360" s="123" t="s">
        <v>5700</v>
      </c>
      <c r="G360" s="153" t="s">
        <v>5601</v>
      </c>
      <c r="I360" s="123" t="s">
        <v>5602</v>
      </c>
      <c r="J360" s="123" t="s">
        <v>1226</v>
      </c>
      <c r="K360" s="122" t="s">
        <v>2924</v>
      </c>
      <c r="L360" s="123">
        <v>5089.29</v>
      </c>
      <c r="M360" s="123">
        <v>42410.71</v>
      </c>
      <c r="AB360" s="123">
        <v>47500</v>
      </c>
      <c r="AC360" s="123">
        <f t="shared" si="7"/>
        <v>0</v>
      </c>
      <c r="AE360" s="123">
        <v>424.11</v>
      </c>
    </row>
    <row r="361" spans="1:31" x14ac:dyDescent="0.25">
      <c r="A361" s="154" t="s">
        <v>5594</v>
      </c>
      <c r="B361" s="125" t="s">
        <v>5603</v>
      </c>
      <c r="C361" s="126">
        <v>45870</v>
      </c>
      <c r="D361" s="126">
        <v>45870</v>
      </c>
      <c r="I361" s="123" t="s">
        <v>41</v>
      </c>
      <c r="J361" s="123" t="s">
        <v>54</v>
      </c>
      <c r="Z361" s="123">
        <v>200000</v>
      </c>
      <c r="AB361" s="123">
        <v>200000</v>
      </c>
      <c r="AC361" s="123">
        <f t="shared" si="7"/>
        <v>0</v>
      </c>
    </row>
    <row r="362" spans="1:31" x14ac:dyDescent="0.25">
      <c r="A362" s="154" t="s">
        <v>5595</v>
      </c>
      <c r="B362" s="155" t="s">
        <v>5604</v>
      </c>
      <c r="C362" s="126">
        <v>45873</v>
      </c>
      <c r="D362" s="126">
        <v>45873</v>
      </c>
      <c r="H362" s="153" t="s">
        <v>4284</v>
      </c>
      <c r="I362" s="123" t="s">
        <v>5605</v>
      </c>
      <c r="J362" s="123" t="s">
        <v>3667</v>
      </c>
      <c r="T362" s="123">
        <v>5517.72</v>
      </c>
      <c r="AB362" s="123">
        <v>5517.72</v>
      </c>
      <c r="AC362" s="123">
        <f t="shared" si="7"/>
        <v>0</v>
      </c>
    </row>
    <row r="363" spans="1:31" x14ac:dyDescent="0.25">
      <c r="A363" s="154" t="s">
        <v>5596</v>
      </c>
      <c r="B363" s="155" t="s">
        <v>5606</v>
      </c>
      <c r="C363" s="126">
        <v>45873</v>
      </c>
      <c r="D363" s="126">
        <v>45873</v>
      </c>
      <c r="I363" s="123" t="s">
        <v>5607</v>
      </c>
      <c r="J363" s="123" t="s">
        <v>65</v>
      </c>
      <c r="AA363" s="123">
        <v>1853</v>
      </c>
      <c r="AB363" s="123">
        <v>4000</v>
      </c>
      <c r="AC363" s="123">
        <f t="shared" si="7"/>
        <v>2147</v>
      </c>
      <c r="AD363" s="145" t="s">
        <v>5783</v>
      </c>
    </row>
    <row r="364" spans="1:31" x14ac:dyDescent="0.25">
      <c r="A364" s="154" t="s">
        <v>5597</v>
      </c>
      <c r="B364" s="125" t="s">
        <v>5608</v>
      </c>
      <c r="C364" s="126">
        <v>45873</v>
      </c>
      <c r="D364" s="126">
        <v>45873</v>
      </c>
      <c r="I364" s="123" t="s">
        <v>4459</v>
      </c>
      <c r="J364" s="123" t="s">
        <v>5113</v>
      </c>
      <c r="P364" s="123">
        <v>15000</v>
      </c>
      <c r="AB364" s="123">
        <v>15000</v>
      </c>
      <c r="AC364" s="123">
        <f t="shared" si="7"/>
        <v>0</v>
      </c>
    </row>
    <row r="365" spans="1:31" x14ac:dyDescent="0.25">
      <c r="A365" s="154" t="s">
        <v>5598</v>
      </c>
      <c r="B365" s="125" t="s">
        <v>5609</v>
      </c>
      <c r="C365" s="126">
        <v>45873</v>
      </c>
      <c r="D365" s="126">
        <v>45873</v>
      </c>
      <c r="I365" s="123" t="s">
        <v>5610</v>
      </c>
      <c r="J365" s="123" t="s">
        <v>39</v>
      </c>
      <c r="W365" s="123">
        <v>50000</v>
      </c>
      <c r="AB365" s="123">
        <v>50000</v>
      </c>
      <c r="AC365" s="123">
        <f t="shared" si="7"/>
        <v>0</v>
      </c>
    </row>
    <row r="366" spans="1:31" x14ac:dyDescent="0.25">
      <c r="A366" s="154" t="s">
        <v>5599</v>
      </c>
      <c r="B366" s="155" t="s">
        <v>5614</v>
      </c>
      <c r="C366" s="126">
        <v>45874</v>
      </c>
      <c r="D366" s="126">
        <v>45874</v>
      </c>
      <c r="H366" s="153" t="s">
        <v>4285</v>
      </c>
      <c r="I366" s="123" t="s">
        <v>5615</v>
      </c>
      <c r="J366" s="123" t="s">
        <v>39</v>
      </c>
      <c r="AA366" s="123">
        <v>5000</v>
      </c>
      <c r="AB366" s="123">
        <v>5000</v>
      </c>
      <c r="AC366" s="123">
        <f t="shared" si="7"/>
        <v>0</v>
      </c>
    </row>
    <row r="367" spans="1:31" x14ac:dyDescent="0.25">
      <c r="A367" s="154" t="s">
        <v>5611</v>
      </c>
      <c r="B367" s="125" t="s">
        <v>5612</v>
      </c>
      <c r="C367" s="126">
        <v>45874</v>
      </c>
      <c r="D367" s="126">
        <v>45874</v>
      </c>
      <c r="I367" s="123" t="s">
        <v>41</v>
      </c>
      <c r="J367" s="123" t="s">
        <v>5613</v>
      </c>
      <c r="Z367" s="123">
        <v>400000</v>
      </c>
      <c r="AB367" s="123">
        <v>400000</v>
      </c>
      <c r="AC367" s="123">
        <f t="shared" si="7"/>
        <v>0</v>
      </c>
    </row>
    <row r="368" spans="1:31" x14ac:dyDescent="0.25">
      <c r="A368" s="166" t="s">
        <v>5616</v>
      </c>
      <c r="B368" s="167" t="s">
        <v>5623</v>
      </c>
      <c r="C368" s="168">
        <v>45874</v>
      </c>
      <c r="D368" s="168">
        <v>45874</v>
      </c>
      <c r="E368" s="169"/>
      <c r="F368" s="169"/>
      <c r="G368" s="148" t="s">
        <v>5626</v>
      </c>
      <c r="H368" s="148"/>
      <c r="I368" s="169" t="s">
        <v>5624</v>
      </c>
      <c r="J368" s="169" t="s">
        <v>5625</v>
      </c>
      <c r="K368" s="169"/>
      <c r="L368" s="169">
        <v>1607.14</v>
      </c>
      <c r="M368" s="169">
        <v>13392.86</v>
      </c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>
        <f t="shared" si="7"/>
        <v>-15000</v>
      </c>
      <c r="AD368" s="148" t="s">
        <v>5645</v>
      </c>
      <c r="AE368" s="123">
        <v>133.93</v>
      </c>
    </row>
    <row r="369" spans="1:31" x14ac:dyDescent="0.25">
      <c r="A369" s="154" t="s">
        <v>5617</v>
      </c>
      <c r="B369" s="155" t="s">
        <v>5627</v>
      </c>
      <c r="C369" s="126">
        <v>45922</v>
      </c>
      <c r="D369" s="126">
        <v>45874</v>
      </c>
      <c r="E369" s="126">
        <v>45882</v>
      </c>
      <c r="F369" s="123" t="s">
        <v>5701</v>
      </c>
      <c r="G369" s="153" t="s">
        <v>4962</v>
      </c>
      <c r="I369" s="123" t="s">
        <v>5628</v>
      </c>
      <c r="J369" s="123" t="s">
        <v>1226</v>
      </c>
      <c r="K369" s="122" t="s">
        <v>2924</v>
      </c>
      <c r="L369" s="123">
        <v>9107.14</v>
      </c>
      <c r="M369" s="123">
        <v>75892.86</v>
      </c>
      <c r="AB369" s="123">
        <v>85000</v>
      </c>
      <c r="AC369" s="123">
        <f t="shared" si="7"/>
        <v>0</v>
      </c>
      <c r="AE369" s="123">
        <v>758.93</v>
      </c>
    </row>
    <row r="370" spans="1:31" x14ac:dyDescent="0.25">
      <c r="A370" s="154" t="s">
        <v>5618</v>
      </c>
      <c r="B370" s="155" t="s">
        <v>5629</v>
      </c>
      <c r="C370" s="126">
        <v>45881</v>
      </c>
      <c r="D370" s="126">
        <v>45874</v>
      </c>
      <c r="I370" s="123" t="s">
        <v>5184</v>
      </c>
      <c r="J370" s="123" t="s">
        <v>4549</v>
      </c>
      <c r="AA370" s="123">
        <v>10000</v>
      </c>
      <c r="AB370" s="123">
        <v>10000</v>
      </c>
      <c r="AC370" s="123">
        <f t="shared" si="7"/>
        <v>0</v>
      </c>
    </row>
    <row r="371" spans="1:31" x14ac:dyDescent="0.25">
      <c r="A371" s="154" t="s">
        <v>5619</v>
      </c>
      <c r="B371" s="155" t="s">
        <v>5630</v>
      </c>
      <c r="C371" s="126">
        <v>45905</v>
      </c>
      <c r="D371" s="126">
        <v>45874</v>
      </c>
      <c r="E371" s="124">
        <v>45887</v>
      </c>
      <c r="F371" s="123" t="s">
        <v>5753</v>
      </c>
      <c r="G371" s="153" t="s">
        <v>5633</v>
      </c>
      <c r="I371" s="123" t="s">
        <v>5634</v>
      </c>
      <c r="J371" s="123" t="s">
        <v>83</v>
      </c>
      <c r="K371" s="122" t="s">
        <v>1336</v>
      </c>
      <c r="L371" s="123">
        <v>23142.86</v>
      </c>
      <c r="M371" s="123">
        <v>192857.14</v>
      </c>
      <c r="AB371" s="123">
        <v>216000</v>
      </c>
      <c r="AC371" s="123">
        <f t="shared" ref="AC371:AC434" si="8">SUM(AB371:AB371)-SUM(L371:AA371)</f>
        <v>0</v>
      </c>
      <c r="AE371" s="123">
        <v>1928.57</v>
      </c>
    </row>
    <row r="372" spans="1:31" x14ac:dyDescent="0.25">
      <c r="A372" s="154" t="s">
        <v>5620</v>
      </c>
      <c r="B372" s="155" t="s">
        <v>5631</v>
      </c>
      <c r="C372" s="126">
        <v>45905</v>
      </c>
      <c r="D372" s="126">
        <v>45874</v>
      </c>
      <c r="E372" s="124">
        <v>45884</v>
      </c>
      <c r="F372" s="123" t="s">
        <v>5750</v>
      </c>
      <c r="G372" s="153" t="s">
        <v>5636</v>
      </c>
      <c r="I372" s="123" t="s">
        <v>5209</v>
      </c>
      <c r="J372" s="123" t="s">
        <v>3527</v>
      </c>
      <c r="K372" s="122" t="s">
        <v>3530</v>
      </c>
      <c r="L372" s="123">
        <v>723.21</v>
      </c>
      <c r="M372" s="123">
        <v>6026.79</v>
      </c>
      <c r="AB372" s="123">
        <v>6750</v>
      </c>
      <c r="AC372" s="123">
        <f t="shared" si="8"/>
        <v>0</v>
      </c>
      <c r="AE372" s="123">
        <v>60.27</v>
      </c>
    </row>
    <row r="373" spans="1:31" x14ac:dyDescent="0.25">
      <c r="A373" s="154" t="s">
        <v>5621</v>
      </c>
      <c r="B373" s="155" t="s">
        <v>5632</v>
      </c>
      <c r="C373" s="126">
        <v>45881</v>
      </c>
      <c r="D373" s="126">
        <v>45874</v>
      </c>
      <c r="E373" s="126">
        <v>45875</v>
      </c>
      <c r="F373" s="123" t="s">
        <v>5643</v>
      </c>
      <c r="G373" s="153" t="s">
        <v>5637</v>
      </c>
      <c r="I373" s="123" t="s">
        <v>5635</v>
      </c>
      <c r="J373" s="122" t="s">
        <v>4717</v>
      </c>
      <c r="K373" s="122" t="s">
        <v>4718</v>
      </c>
      <c r="L373" s="123">
        <v>12500.36</v>
      </c>
      <c r="M373" s="123">
        <v>104169.64</v>
      </c>
      <c r="AB373" s="123">
        <v>116670</v>
      </c>
      <c r="AC373" s="123">
        <f t="shared" si="8"/>
        <v>0</v>
      </c>
      <c r="AE373" s="123">
        <v>1041.7</v>
      </c>
    </row>
    <row r="374" spans="1:31" x14ac:dyDescent="0.25">
      <c r="A374" s="154" t="s">
        <v>5622</v>
      </c>
      <c r="B374" s="155" t="s">
        <v>5638</v>
      </c>
      <c r="C374" s="126">
        <v>45883</v>
      </c>
      <c r="D374" s="126">
        <v>45874</v>
      </c>
      <c r="E374" s="126">
        <v>45876</v>
      </c>
      <c r="F374" s="123" t="s">
        <v>5644</v>
      </c>
      <c r="G374" s="153" t="s">
        <v>5639</v>
      </c>
      <c r="I374" s="123" t="s">
        <v>5640</v>
      </c>
      <c r="J374" s="122" t="s">
        <v>4717</v>
      </c>
      <c r="K374" s="122" t="s">
        <v>4718</v>
      </c>
      <c r="L374" s="123">
        <v>12768.21</v>
      </c>
      <c r="M374" s="123">
        <v>106401.79</v>
      </c>
      <c r="AB374" s="123">
        <v>119170</v>
      </c>
      <c r="AC374" s="123">
        <f t="shared" si="8"/>
        <v>0</v>
      </c>
      <c r="AE374" s="123">
        <v>1064.02</v>
      </c>
    </row>
    <row r="375" spans="1:31" x14ac:dyDescent="0.25">
      <c r="A375" s="154" t="s">
        <v>5641</v>
      </c>
      <c r="B375" s="155" t="s">
        <v>5642</v>
      </c>
      <c r="C375" s="126">
        <v>45874</v>
      </c>
      <c r="D375" s="126">
        <v>45874</v>
      </c>
      <c r="H375" s="153" t="s">
        <v>4285</v>
      </c>
      <c r="I375" s="123" t="s">
        <v>5615</v>
      </c>
      <c r="J375" s="123" t="s">
        <v>39</v>
      </c>
      <c r="AA375" s="123">
        <v>700</v>
      </c>
      <c r="AB375" s="123">
        <v>700</v>
      </c>
      <c r="AC375" s="123">
        <f t="shared" si="8"/>
        <v>0</v>
      </c>
    </row>
    <row r="376" spans="1:31" x14ac:dyDescent="0.25">
      <c r="A376" s="154" t="s">
        <v>5646</v>
      </c>
      <c r="B376" s="155" t="s">
        <v>5653</v>
      </c>
      <c r="C376" s="126">
        <v>45874</v>
      </c>
      <c r="D376" s="126">
        <v>45874</v>
      </c>
      <c r="E376" s="126">
        <v>45882</v>
      </c>
      <c r="F376" s="123" t="s">
        <v>5667</v>
      </c>
      <c r="G376" s="153" t="s">
        <v>5626</v>
      </c>
      <c r="I376" s="123" t="s">
        <v>5624</v>
      </c>
      <c r="J376" s="123" t="s">
        <v>5625</v>
      </c>
      <c r="L376" s="123">
        <v>1607.14</v>
      </c>
      <c r="M376" s="123">
        <v>13392.86</v>
      </c>
      <c r="AB376" s="123">
        <v>15000</v>
      </c>
      <c r="AC376" s="123">
        <f t="shared" si="8"/>
        <v>0</v>
      </c>
      <c r="AE376" s="123">
        <v>133.93</v>
      </c>
    </row>
    <row r="377" spans="1:31" x14ac:dyDescent="0.25">
      <c r="A377" s="154" t="s">
        <v>5647</v>
      </c>
      <c r="B377" s="155" t="s">
        <v>5654</v>
      </c>
      <c r="C377" s="126">
        <v>45877</v>
      </c>
      <c r="D377" s="126">
        <v>45877</v>
      </c>
      <c r="E377" s="126">
        <v>45882</v>
      </c>
      <c r="F377" s="123" t="s">
        <v>5703</v>
      </c>
      <c r="G377" s="153" t="s">
        <v>5658</v>
      </c>
      <c r="I377" s="123" t="s">
        <v>5659</v>
      </c>
      <c r="J377" s="122" t="s">
        <v>2087</v>
      </c>
      <c r="K377" s="122" t="s">
        <v>2088</v>
      </c>
      <c r="L377" s="123">
        <v>267.86</v>
      </c>
      <c r="M377" s="123">
        <v>2232.14</v>
      </c>
      <c r="AB377" s="123">
        <v>2500</v>
      </c>
      <c r="AC377" s="123">
        <f t="shared" si="8"/>
        <v>0</v>
      </c>
      <c r="AE377" s="123">
        <v>22.32</v>
      </c>
    </row>
    <row r="378" spans="1:31" x14ac:dyDescent="0.25">
      <c r="A378" s="154" t="s">
        <v>5648</v>
      </c>
      <c r="B378" s="155" t="s">
        <v>5655</v>
      </c>
      <c r="C378" s="126">
        <v>45877</v>
      </c>
      <c r="D378" s="126">
        <v>45877</v>
      </c>
      <c r="E378" s="126">
        <v>45871</v>
      </c>
      <c r="F378" s="123" t="s">
        <v>5978</v>
      </c>
      <c r="I378" s="123" t="s">
        <v>5660</v>
      </c>
      <c r="J378" s="123" t="s">
        <v>5504</v>
      </c>
      <c r="AA378" s="123">
        <v>5875.2</v>
      </c>
      <c r="AB378" s="123">
        <v>5875.2</v>
      </c>
      <c r="AC378" s="123">
        <f t="shared" si="8"/>
        <v>0</v>
      </c>
    </row>
    <row r="379" spans="1:31" x14ac:dyDescent="0.25">
      <c r="A379" s="154" t="s">
        <v>5649</v>
      </c>
      <c r="B379" s="155" t="s">
        <v>5656</v>
      </c>
      <c r="C379" s="126">
        <v>45877</v>
      </c>
      <c r="D379" s="126">
        <v>45877</v>
      </c>
      <c r="I379" s="122" t="s">
        <v>5660</v>
      </c>
      <c r="J379" s="122" t="s">
        <v>43</v>
      </c>
      <c r="L379" s="123">
        <v>32.14</v>
      </c>
      <c r="S379" s="123">
        <v>267.86</v>
      </c>
      <c r="AB379" s="123">
        <v>300</v>
      </c>
      <c r="AC379" s="123">
        <f t="shared" si="8"/>
        <v>0</v>
      </c>
    </row>
    <row r="380" spans="1:31" x14ac:dyDescent="0.25">
      <c r="A380" s="154" t="s">
        <v>5650</v>
      </c>
      <c r="B380" s="155" t="s">
        <v>5657</v>
      </c>
      <c r="C380" s="126">
        <v>45877</v>
      </c>
      <c r="D380" s="126">
        <v>45877</v>
      </c>
      <c r="I380" s="122" t="s">
        <v>5661</v>
      </c>
      <c r="J380" s="122" t="s">
        <v>18</v>
      </c>
      <c r="L380" s="123">
        <v>151.09</v>
      </c>
      <c r="R380" s="123">
        <v>1259.06</v>
      </c>
      <c r="AB380" s="123">
        <v>1410.15</v>
      </c>
      <c r="AC380" s="123">
        <f t="shared" si="8"/>
        <v>0</v>
      </c>
    </row>
    <row r="381" spans="1:31" x14ac:dyDescent="0.25">
      <c r="A381" s="154" t="s">
        <v>5651</v>
      </c>
      <c r="B381" s="155" t="s">
        <v>5662</v>
      </c>
      <c r="C381" s="126">
        <v>45877</v>
      </c>
      <c r="D381" s="126">
        <v>45877</v>
      </c>
      <c r="I381" s="122" t="s">
        <v>5661</v>
      </c>
      <c r="J381" s="122" t="s">
        <v>18</v>
      </c>
      <c r="L381" s="123">
        <v>811.09</v>
      </c>
      <c r="R381" s="123">
        <v>6759.06</v>
      </c>
      <c r="AB381" s="123">
        <v>7570.15</v>
      </c>
      <c r="AC381" s="123">
        <f t="shared" si="8"/>
        <v>0</v>
      </c>
    </row>
    <row r="382" spans="1:31" x14ac:dyDescent="0.25">
      <c r="A382" s="154" t="s">
        <v>5652</v>
      </c>
      <c r="B382" s="125" t="s">
        <v>5663</v>
      </c>
      <c r="C382" s="126">
        <v>45877</v>
      </c>
      <c r="D382" s="126">
        <v>45877</v>
      </c>
      <c r="I382" s="123" t="s">
        <v>4459</v>
      </c>
      <c r="J382" s="123" t="s">
        <v>5664</v>
      </c>
      <c r="P382" s="123">
        <v>10000</v>
      </c>
      <c r="AB382" s="123">
        <v>10000</v>
      </c>
      <c r="AC382" s="123">
        <f t="shared" si="8"/>
        <v>0</v>
      </c>
    </row>
    <row r="383" spans="1:31" x14ac:dyDescent="0.25">
      <c r="A383" s="154" t="s">
        <v>5665</v>
      </c>
      <c r="B383" s="125" t="s">
        <v>5666</v>
      </c>
      <c r="C383" s="126">
        <v>45880</v>
      </c>
      <c r="D383" s="126">
        <v>45880</v>
      </c>
      <c r="I383" s="123" t="s">
        <v>41</v>
      </c>
      <c r="J383" s="123" t="s">
        <v>54</v>
      </c>
      <c r="Z383" s="123">
        <v>400000</v>
      </c>
      <c r="AB383" s="123">
        <v>400000</v>
      </c>
      <c r="AC383" s="123">
        <f t="shared" si="8"/>
        <v>0</v>
      </c>
    </row>
    <row r="384" spans="1:31" x14ac:dyDescent="0.25">
      <c r="A384" s="154" t="s">
        <v>5668</v>
      </c>
      <c r="B384" s="155" t="s">
        <v>5674</v>
      </c>
      <c r="C384" s="126">
        <v>45882</v>
      </c>
      <c r="D384" s="126">
        <v>45882</v>
      </c>
      <c r="I384" s="123" t="s">
        <v>5679</v>
      </c>
      <c r="J384" s="123" t="s">
        <v>46</v>
      </c>
      <c r="L384" s="123">
        <v>160.61000000000001</v>
      </c>
      <c r="S384" s="123">
        <v>1338.39</v>
      </c>
      <c r="AB384" s="123">
        <v>1499</v>
      </c>
      <c r="AC384" s="123">
        <f t="shared" si="8"/>
        <v>0</v>
      </c>
    </row>
    <row r="385" spans="1:31" x14ac:dyDescent="0.25">
      <c r="A385" s="154" t="s">
        <v>5669</v>
      </c>
      <c r="B385" s="155" t="s">
        <v>5675</v>
      </c>
      <c r="C385" s="126">
        <v>45882</v>
      </c>
      <c r="D385" s="126">
        <v>45882</v>
      </c>
      <c r="I385" s="123" t="s">
        <v>5680</v>
      </c>
      <c r="J385" s="123" t="s">
        <v>46</v>
      </c>
      <c r="L385" s="123">
        <v>107.04</v>
      </c>
      <c r="S385" s="123">
        <v>891.96</v>
      </c>
      <c r="AB385" s="123">
        <v>999</v>
      </c>
      <c r="AC385" s="123">
        <f t="shared" si="8"/>
        <v>0</v>
      </c>
    </row>
    <row r="386" spans="1:31" x14ac:dyDescent="0.25">
      <c r="A386" s="154" t="s">
        <v>5670</v>
      </c>
      <c r="B386" s="155" t="s">
        <v>5676</v>
      </c>
      <c r="C386" s="126">
        <v>45884</v>
      </c>
      <c r="D386" s="126">
        <v>45882</v>
      </c>
      <c r="I386" s="123" t="s">
        <v>4612</v>
      </c>
      <c r="J386" s="123" t="s">
        <v>1847</v>
      </c>
      <c r="AA386" s="123">
        <v>25600</v>
      </c>
      <c r="AB386" s="123">
        <v>25600</v>
      </c>
      <c r="AC386" s="123">
        <f t="shared" si="8"/>
        <v>0</v>
      </c>
    </row>
    <row r="387" spans="1:31" x14ac:dyDescent="0.25">
      <c r="A387" s="154" t="s">
        <v>5671</v>
      </c>
      <c r="B387" s="155" t="s">
        <v>5677</v>
      </c>
      <c r="C387" s="126">
        <v>45884</v>
      </c>
      <c r="D387" s="126">
        <v>45882</v>
      </c>
      <c r="I387" s="123" t="s">
        <v>4612</v>
      </c>
      <c r="J387" s="123" t="s">
        <v>125</v>
      </c>
      <c r="AA387" s="123">
        <v>10000</v>
      </c>
      <c r="AB387" s="123">
        <v>10000</v>
      </c>
      <c r="AC387" s="123">
        <f t="shared" si="8"/>
        <v>0</v>
      </c>
    </row>
    <row r="388" spans="1:31" x14ac:dyDescent="0.25">
      <c r="A388" s="154" t="s">
        <v>5672</v>
      </c>
      <c r="B388" s="155" t="s">
        <v>5678</v>
      </c>
      <c r="C388" s="126">
        <v>45882</v>
      </c>
      <c r="D388" s="126">
        <v>45882</v>
      </c>
      <c r="I388" s="122" t="s">
        <v>5682</v>
      </c>
      <c r="J388" s="123" t="s">
        <v>5681</v>
      </c>
      <c r="X388" s="123">
        <v>9952.09</v>
      </c>
      <c r="AB388" s="123">
        <v>9952.09</v>
      </c>
      <c r="AC388" s="123">
        <f t="shared" si="8"/>
        <v>0</v>
      </c>
    </row>
    <row r="389" spans="1:31" x14ac:dyDescent="0.25">
      <c r="A389" s="154" t="s">
        <v>5673</v>
      </c>
      <c r="B389" s="155" t="s">
        <v>5683</v>
      </c>
      <c r="C389" s="126">
        <v>45882</v>
      </c>
      <c r="D389" s="126">
        <v>45882</v>
      </c>
      <c r="H389" s="153" t="s">
        <v>4286</v>
      </c>
      <c r="I389" s="123" t="s">
        <v>5605</v>
      </c>
      <c r="J389" s="123" t="s">
        <v>3667</v>
      </c>
      <c r="T389" s="123">
        <v>8806.1299999999992</v>
      </c>
      <c r="AB389" s="123">
        <v>8806.1299999999992</v>
      </c>
      <c r="AC389" s="123">
        <f t="shared" si="8"/>
        <v>0</v>
      </c>
    </row>
    <row r="390" spans="1:31" x14ac:dyDescent="0.25">
      <c r="A390" s="154" t="s">
        <v>5686</v>
      </c>
      <c r="B390" s="155" t="s">
        <v>5684</v>
      </c>
      <c r="C390" s="126">
        <v>45882</v>
      </c>
      <c r="D390" s="126">
        <v>45882</v>
      </c>
      <c r="H390" s="153" t="s">
        <v>4287</v>
      </c>
      <c r="I390" s="123" t="s">
        <v>4879</v>
      </c>
      <c r="J390" s="123" t="s">
        <v>3667</v>
      </c>
      <c r="T390" s="123">
        <v>13025</v>
      </c>
      <c r="AB390" s="123">
        <v>13025</v>
      </c>
      <c r="AC390" s="123">
        <f t="shared" si="8"/>
        <v>0</v>
      </c>
    </row>
    <row r="391" spans="1:31" x14ac:dyDescent="0.25">
      <c r="A391" s="154" t="s">
        <v>5687</v>
      </c>
      <c r="B391" s="155" t="s">
        <v>5685</v>
      </c>
      <c r="C391" s="126">
        <v>45929</v>
      </c>
      <c r="D391" s="126">
        <v>45882</v>
      </c>
      <c r="E391" s="126">
        <v>45883</v>
      </c>
      <c r="F391" s="123" t="s">
        <v>5747</v>
      </c>
      <c r="G391" s="153" t="s">
        <v>5689</v>
      </c>
      <c r="I391" s="123" t="s">
        <v>5688</v>
      </c>
      <c r="J391" s="123" t="s">
        <v>1226</v>
      </c>
      <c r="K391" s="122" t="s">
        <v>2924</v>
      </c>
      <c r="L391" s="123">
        <v>3107.14</v>
      </c>
      <c r="M391" s="123">
        <v>25892.86</v>
      </c>
      <c r="AB391" s="123">
        <v>29000</v>
      </c>
      <c r="AC391" s="123">
        <f t="shared" si="8"/>
        <v>0</v>
      </c>
      <c r="AE391" s="123">
        <v>258.93</v>
      </c>
    </row>
    <row r="392" spans="1:31" x14ac:dyDescent="0.25">
      <c r="A392" s="154" t="s">
        <v>5690</v>
      </c>
      <c r="B392" s="125" t="s">
        <v>5692</v>
      </c>
      <c r="C392" s="126">
        <v>45882</v>
      </c>
      <c r="D392" s="126">
        <v>45882</v>
      </c>
      <c r="H392" s="153" t="s">
        <v>4288</v>
      </c>
      <c r="I392" s="123" t="s">
        <v>4771</v>
      </c>
      <c r="J392" s="123" t="s">
        <v>39</v>
      </c>
      <c r="AA392" s="123">
        <v>25000</v>
      </c>
      <c r="AB392" s="123">
        <v>22290.720000000001</v>
      </c>
      <c r="AC392" s="123">
        <f t="shared" si="8"/>
        <v>-2709.2799999999988</v>
      </c>
      <c r="AD392" s="145" t="s">
        <v>5752</v>
      </c>
    </row>
    <row r="393" spans="1:31" x14ac:dyDescent="0.25">
      <c r="A393" s="154" t="s">
        <v>5691</v>
      </c>
      <c r="B393" s="125" t="s">
        <v>5693</v>
      </c>
      <c r="C393" s="126">
        <v>45887</v>
      </c>
      <c r="D393" s="126">
        <v>45882</v>
      </c>
      <c r="F393" s="123" t="s">
        <v>5835</v>
      </c>
      <c r="I393" s="123" t="s">
        <v>5694</v>
      </c>
      <c r="J393" s="123" t="s">
        <v>1457</v>
      </c>
      <c r="N393" s="123">
        <v>39725</v>
      </c>
      <c r="AB393" s="123">
        <v>39725</v>
      </c>
      <c r="AC393" s="123">
        <f t="shared" si="8"/>
        <v>0</v>
      </c>
    </row>
    <row r="394" spans="1:31" x14ac:dyDescent="0.25">
      <c r="A394" s="154" t="s">
        <v>5695</v>
      </c>
      <c r="B394" s="125" t="s">
        <v>5696</v>
      </c>
      <c r="C394" s="126">
        <v>45882</v>
      </c>
      <c r="D394" s="126">
        <v>45882</v>
      </c>
      <c r="I394" s="123" t="s">
        <v>41</v>
      </c>
      <c r="J394" s="123" t="s">
        <v>54</v>
      </c>
      <c r="Z394" s="123">
        <v>100000</v>
      </c>
      <c r="AB394" s="123">
        <v>100000</v>
      </c>
      <c r="AC394" s="123">
        <f t="shared" si="8"/>
        <v>0</v>
      </c>
    </row>
    <row r="395" spans="1:31" x14ac:dyDescent="0.25">
      <c r="A395" s="154" t="s">
        <v>5697</v>
      </c>
      <c r="B395" s="155" t="s">
        <v>5698</v>
      </c>
      <c r="C395" s="126">
        <v>45884</v>
      </c>
      <c r="D395" s="126">
        <v>45882</v>
      </c>
      <c r="I395" s="123" t="s">
        <v>5699</v>
      </c>
      <c r="J395" s="123" t="s">
        <v>4123</v>
      </c>
      <c r="O395" s="123">
        <v>26875</v>
      </c>
      <c r="AB395" s="123">
        <v>26875</v>
      </c>
      <c r="AC395" s="123">
        <f t="shared" si="8"/>
        <v>0</v>
      </c>
    </row>
    <row r="396" spans="1:31" x14ac:dyDescent="0.25">
      <c r="A396" s="154" t="s">
        <v>5704</v>
      </c>
      <c r="B396" s="155" t="s">
        <v>5713</v>
      </c>
      <c r="C396" s="126">
        <v>45915</v>
      </c>
      <c r="D396" s="126">
        <v>45882</v>
      </c>
      <c r="I396" s="123" t="s">
        <v>5722</v>
      </c>
      <c r="J396" s="123" t="s">
        <v>5721</v>
      </c>
      <c r="O396" s="123">
        <v>26875</v>
      </c>
      <c r="AB396" s="123">
        <v>26875</v>
      </c>
      <c r="AC396" s="123">
        <f t="shared" si="8"/>
        <v>0</v>
      </c>
    </row>
    <row r="397" spans="1:31" x14ac:dyDescent="0.25">
      <c r="A397" s="154" t="s">
        <v>5705</v>
      </c>
      <c r="B397" s="155" t="s">
        <v>5714</v>
      </c>
      <c r="C397" s="126">
        <v>45945</v>
      </c>
      <c r="D397" s="126">
        <v>45882</v>
      </c>
      <c r="I397" s="123" t="s">
        <v>5723</v>
      </c>
      <c r="J397" s="123" t="s">
        <v>5721</v>
      </c>
      <c r="O397" s="123">
        <v>26875</v>
      </c>
      <c r="AB397" s="123">
        <v>26875</v>
      </c>
      <c r="AC397" s="123">
        <f t="shared" si="8"/>
        <v>0</v>
      </c>
    </row>
    <row r="398" spans="1:31" x14ac:dyDescent="0.25">
      <c r="A398" s="154" t="s">
        <v>5706</v>
      </c>
      <c r="B398" s="155" t="s">
        <v>5715</v>
      </c>
      <c r="C398" s="126">
        <v>45976</v>
      </c>
      <c r="D398" s="126">
        <v>45882</v>
      </c>
      <c r="I398" s="123" t="s">
        <v>5724</v>
      </c>
      <c r="J398" s="123" t="s">
        <v>5721</v>
      </c>
      <c r="O398" s="123">
        <v>26875</v>
      </c>
      <c r="AB398" s="123">
        <v>26875</v>
      </c>
      <c r="AC398" s="123">
        <f t="shared" si="8"/>
        <v>0</v>
      </c>
    </row>
    <row r="399" spans="1:31" x14ac:dyDescent="0.25">
      <c r="A399" s="154" t="s">
        <v>5707</v>
      </c>
      <c r="B399" s="155" t="s">
        <v>5716</v>
      </c>
      <c r="C399" s="126">
        <v>46006</v>
      </c>
      <c r="D399" s="126">
        <v>45882</v>
      </c>
      <c r="I399" s="123" t="s">
        <v>5725</v>
      </c>
      <c r="J399" s="123" t="s">
        <v>5721</v>
      </c>
      <c r="O399" s="123">
        <v>26875</v>
      </c>
      <c r="AB399" s="123">
        <v>26875</v>
      </c>
      <c r="AC399" s="123">
        <f t="shared" si="8"/>
        <v>0</v>
      </c>
    </row>
    <row r="400" spans="1:31" x14ac:dyDescent="0.25">
      <c r="A400" s="154" t="s">
        <v>5708</v>
      </c>
      <c r="B400" s="155" t="s">
        <v>5717</v>
      </c>
      <c r="C400" s="126">
        <v>46037</v>
      </c>
      <c r="D400" s="126">
        <v>45882</v>
      </c>
      <c r="I400" s="123" t="s">
        <v>5726</v>
      </c>
      <c r="J400" s="123" t="s">
        <v>5721</v>
      </c>
      <c r="O400" s="123">
        <v>26875</v>
      </c>
      <c r="AB400" s="123">
        <v>26875</v>
      </c>
      <c r="AC400" s="123">
        <f t="shared" si="8"/>
        <v>0</v>
      </c>
    </row>
    <row r="401" spans="1:31" x14ac:dyDescent="0.25">
      <c r="A401" s="154" t="s">
        <v>5709</v>
      </c>
      <c r="B401" s="155" t="s">
        <v>5718</v>
      </c>
      <c r="C401" s="126">
        <v>46068</v>
      </c>
      <c r="D401" s="126">
        <v>45882</v>
      </c>
      <c r="I401" s="123" t="s">
        <v>5727</v>
      </c>
      <c r="J401" s="123" t="s">
        <v>5721</v>
      </c>
      <c r="O401" s="123">
        <v>26875</v>
      </c>
      <c r="AB401" s="123">
        <v>26875</v>
      </c>
      <c r="AC401" s="123">
        <f t="shared" si="8"/>
        <v>0</v>
      </c>
    </row>
    <row r="402" spans="1:31" x14ac:dyDescent="0.25">
      <c r="A402" s="154" t="s">
        <v>5710</v>
      </c>
      <c r="B402" s="155" t="s">
        <v>5719</v>
      </c>
      <c r="C402" s="126">
        <v>46096</v>
      </c>
      <c r="D402" s="126">
        <v>45882</v>
      </c>
      <c r="I402" s="123" t="s">
        <v>5728</v>
      </c>
      <c r="J402" s="123" t="s">
        <v>5721</v>
      </c>
      <c r="O402" s="123">
        <v>26875</v>
      </c>
      <c r="AB402" s="123">
        <v>26875</v>
      </c>
      <c r="AC402" s="123">
        <f t="shared" si="8"/>
        <v>0</v>
      </c>
    </row>
    <row r="403" spans="1:31" x14ac:dyDescent="0.25">
      <c r="A403" s="154" t="s">
        <v>5711</v>
      </c>
      <c r="B403" s="155" t="s">
        <v>5720</v>
      </c>
      <c r="C403" s="126">
        <v>46127</v>
      </c>
      <c r="D403" s="126">
        <v>45882</v>
      </c>
      <c r="I403" s="123" t="s">
        <v>5729</v>
      </c>
      <c r="J403" s="123" t="s">
        <v>5721</v>
      </c>
      <c r="O403" s="123">
        <v>26875</v>
      </c>
      <c r="AB403" s="123">
        <v>26875</v>
      </c>
      <c r="AC403" s="123">
        <f t="shared" si="8"/>
        <v>0</v>
      </c>
    </row>
    <row r="404" spans="1:31" x14ac:dyDescent="0.25">
      <c r="A404" s="154" t="s">
        <v>5712</v>
      </c>
      <c r="B404" s="155" t="s">
        <v>5740</v>
      </c>
      <c r="C404" s="126">
        <v>46157</v>
      </c>
      <c r="D404" s="126">
        <v>45882</v>
      </c>
      <c r="I404" s="123" t="s">
        <v>5730</v>
      </c>
      <c r="J404" s="123" t="s">
        <v>5721</v>
      </c>
      <c r="O404" s="123">
        <v>26875</v>
      </c>
      <c r="AB404" s="123">
        <v>26875</v>
      </c>
      <c r="AC404" s="123">
        <f t="shared" si="8"/>
        <v>0</v>
      </c>
    </row>
    <row r="405" spans="1:31" x14ac:dyDescent="0.25">
      <c r="A405" s="154" t="s">
        <v>5733</v>
      </c>
      <c r="B405" s="155" t="s">
        <v>5741</v>
      </c>
      <c r="C405" s="126">
        <v>46188</v>
      </c>
      <c r="D405" s="126">
        <v>45882</v>
      </c>
      <c r="I405" s="123" t="s">
        <v>5731</v>
      </c>
      <c r="J405" s="123" t="s">
        <v>5721</v>
      </c>
      <c r="O405" s="123">
        <v>26875</v>
      </c>
      <c r="AB405" s="123">
        <v>26875</v>
      </c>
      <c r="AC405" s="123">
        <f t="shared" si="8"/>
        <v>0</v>
      </c>
    </row>
    <row r="406" spans="1:31" x14ac:dyDescent="0.25">
      <c r="A406" s="154" t="s">
        <v>5734</v>
      </c>
      <c r="B406" s="155" t="s">
        <v>5742</v>
      </c>
      <c r="C406" s="126">
        <v>46218</v>
      </c>
      <c r="D406" s="126">
        <v>45882</v>
      </c>
      <c r="I406" s="123" t="s">
        <v>5732</v>
      </c>
      <c r="J406" s="123" t="s">
        <v>5721</v>
      </c>
      <c r="O406" s="123">
        <v>26875</v>
      </c>
      <c r="AB406" s="123">
        <v>26875</v>
      </c>
      <c r="AC406" s="123">
        <f t="shared" si="8"/>
        <v>0</v>
      </c>
    </row>
    <row r="407" spans="1:31" x14ac:dyDescent="0.25">
      <c r="A407" s="154" t="s">
        <v>5735</v>
      </c>
      <c r="B407" s="155" t="s">
        <v>5743</v>
      </c>
      <c r="C407" s="126">
        <v>45883</v>
      </c>
      <c r="D407" s="126">
        <v>45882</v>
      </c>
      <c r="E407" s="124">
        <v>45887</v>
      </c>
      <c r="F407" s="123" t="s">
        <v>5758</v>
      </c>
      <c r="I407" s="123" t="s">
        <v>4389</v>
      </c>
      <c r="J407" s="123" t="s">
        <v>5746</v>
      </c>
      <c r="AA407" s="123">
        <v>1350</v>
      </c>
      <c r="AB407" s="123">
        <v>1350</v>
      </c>
      <c r="AC407" s="123">
        <f t="shared" si="8"/>
        <v>0</v>
      </c>
    </row>
    <row r="408" spans="1:31" x14ac:dyDescent="0.25">
      <c r="A408" s="154" t="s">
        <v>5736</v>
      </c>
      <c r="B408" s="155" t="s">
        <v>5744</v>
      </c>
      <c r="C408" s="126">
        <v>45888</v>
      </c>
      <c r="D408" s="126">
        <v>45888</v>
      </c>
      <c r="I408" s="123" t="s">
        <v>3979</v>
      </c>
      <c r="J408" s="123" t="s">
        <v>3667</v>
      </c>
      <c r="L408" s="123">
        <v>1387.24</v>
      </c>
      <c r="S408" s="123">
        <v>11560.31</v>
      </c>
      <c r="AB408" s="123">
        <v>12947.55</v>
      </c>
      <c r="AC408" s="123">
        <f t="shared" si="8"/>
        <v>0</v>
      </c>
    </row>
    <row r="409" spans="1:31" x14ac:dyDescent="0.25">
      <c r="A409" s="154" t="s">
        <v>5737</v>
      </c>
      <c r="B409" s="125" t="s">
        <v>5760</v>
      </c>
      <c r="C409" s="126">
        <v>45888</v>
      </c>
      <c r="D409" s="126">
        <v>45888</v>
      </c>
      <c r="I409" s="123" t="s">
        <v>41</v>
      </c>
      <c r="J409" s="123" t="s">
        <v>5759</v>
      </c>
      <c r="Z409" s="123">
        <v>300000</v>
      </c>
      <c r="AB409" s="123">
        <v>300000</v>
      </c>
      <c r="AC409" s="123">
        <f t="shared" si="8"/>
        <v>0</v>
      </c>
    </row>
    <row r="410" spans="1:31" x14ac:dyDescent="0.25">
      <c r="A410" s="154" t="s">
        <v>5738</v>
      </c>
      <c r="B410" s="125" t="s">
        <v>5761</v>
      </c>
      <c r="C410" s="126">
        <v>45891</v>
      </c>
      <c r="D410" s="126">
        <v>45891</v>
      </c>
      <c r="I410" s="123" t="s">
        <v>5762</v>
      </c>
      <c r="J410" s="123" t="s">
        <v>39</v>
      </c>
      <c r="W410" s="123">
        <v>18932.560000000001</v>
      </c>
      <c r="AB410" s="123">
        <v>18932.560000000001</v>
      </c>
      <c r="AC410" s="123">
        <f t="shared" si="8"/>
        <v>0</v>
      </c>
    </row>
    <row r="411" spans="1:31" x14ac:dyDescent="0.25">
      <c r="A411" s="154" t="s">
        <v>5739</v>
      </c>
      <c r="B411" s="155" t="s">
        <v>5763</v>
      </c>
      <c r="C411" s="126">
        <v>45891</v>
      </c>
      <c r="D411" s="126">
        <v>45891</v>
      </c>
      <c r="E411" s="124">
        <v>45903</v>
      </c>
      <c r="F411" s="123" t="s">
        <v>5804</v>
      </c>
      <c r="G411" s="153" t="s">
        <v>5764</v>
      </c>
      <c r="I411" s="123" t="s">
        <v>5659</v>
      </c>
      <c r="J411" s="123" t="s">
        <v>2087</v>
      </c>
      <c r="L411" s="123">
        <v>267.86</v>
      </c>
      <c r="M411" s="123">
        <v>2232.14</v>
      </c>
      <c r="AB411" s="123">
        <v>2500</v>
      </c>
      <c r="AC411" s="123">
        <f t="shared" si="8"/>
        <v>0</v>
      </c>
      <c r="AE411" s="123">
        <v>22.32</v>
      </c>
    </row>
    <row r="412" spans="1:31" x14ac:dyDescent="0.25">
      <c r="A412" s="154" t="s">
        <v>5765</v>
      </c>
      <c r="B412" s="155" t="s">
        <v>5745</v>
      </c>
      <c r="C412" s="126">
        <v>45891</v>
      </c>
      <c r="D412" s="126">
        <v>45891</v>
      </c>
      <c r="H412" s="153" t="s">
        <v>4311</v>
      </c>
      <c r="I412" s="123" t="s">
        <v>4811</v>
      </c>
      <c r="J412" s="123" t="s">
        <v>3667</v>
      </c>
      <c r="T412" s="123">
        <v>8302.32</v>
      </c>
      <c r="AB412" s="123">
        <v>8302.32</v>
      </c>
      <c r="AC412" s="123">
        <f t="shared" si="8"/>
        <v>0</v>
      </c>
    </row>
    <row r="413" spans="1:31" x14ac:dyDescent="0.25">
      <c r="A413" s="154" t="s">
        <v>5767</v>
      </c>
      <c r="B413" s="125" t="s">
        <v>5772</v>
      </c>
      <c r="C413" s="126">
        <v>45895</v>
      </c>
      <c r="D413" s="126">
        <v>45895</v>
      </c>
      <c r="I413" s="123" t="s">
        <v>41</v>
      </c>
      <c r="J413" s="123" t="s">
        <v>54</v>
      </c>
      <c r="Z413" s="123">
        <v>200000</v>
      </c>
      <c r="AB413" s="123">
        <v>200000</v>
      </c>
      <c r="AC413" s="123">
        <f t="shared" si="8"/>
        <v>0</v>
      </c>
    </row>
    <row r="414" spans="1:31" x14ac:dyDescent="0.25">
      <c r="A414" s="154" t="s">
        <v>5768</v>
      </c>
      <c r="B414" s="125" t="s">
        <v>5773</v>
      </c>
      <c r="C414" s="126">
        <v>45895</v>
      </c>
      <c r="D414" s="126">
        <v>45895</v>
      </c>
      <c r="E414" s="126">
        <v>46353</v>
      </c>
      <c r="F414" s="123" t="s">
        <v>6532</v>
      </c>
      <c r="I414" s="123" t="s">
        <v>5774</v>
      </c>
      <c r="J414" s="123" t="s">
        <v>1457</v>
      </c>
      <c r="AA414" s="123">
        <v>25000</v>
      </c>
      <c r="AB414" s="123">
        <v>25000</v>
      </c>
      <c r="AC414" s="123">
        <f t="shared" si="8"/>
        <v>0</v>
      </c>
    </row>
    <row r="415" spans="1:31" x14ac:dyDescent="0.25">
      <c r="A415" s="154" t="s">
        <v>5769</v>
      </c>
      <c r="B415" s="155" t="s">
        <v>5775</v>
      </c>
      <c r="C415" s="126">
        <v>45895</v>
      </c>
      <c r="D415" s="126">
        <v>45895</v>
      </c>
      <c r="E415" s="124">
        <v>45902</v>
      </c>
      <c r="F415" s="123" t="s">
        <v>5785</v>
      </c>
      <c r="G415" s="153" t="s">
        <v>5786</v>
      </c>
      <c r="I415" s="123" t="s">
        <v>5776</v>
      </c>
      <c r="J415" s="123" t="s">
        <v>1226</v>
      </c>
      <c r="K415" s="122" t="s">
        <v>2924</v>
      </c>
      <c r="L415" s="123">
        <v>803.57</v>
      </c>
      <c r="M415" s="123">
        <v>6696.43</v>
      </c>
      <c r="AB415" s="123">
        <v>7500</v>
      </c>
      <c r="AC415" s="123">
        <f t="shared" si="8"/>
        <v>0</v>
      </c>
      <c r="AE415" s="123">
        <v>66.959999999999994</v>
      </c>
    </row>
    <row r="416" spans="1:31" x14ac:dyDescent="0.25">
      <c r="A416" s="154" t="s">
        <v>5770</v>
      </c>
      <c r="B416" s="155" t="s">
        <v>5777</v>
      </c>
      <c r="C416" s="126">
        <v>45898</v>
      </c>
      <c r="D416" s="126">
        <v>45895</v>
      </c>
      <c r="E416" s="123" t="s">
        <v>4389</v>
      </c>
      <c r="I416" s="123" t="s">
        <v>4612</v>
      </c>
      <c r="J416" s="123" t="s">
        <v>5175</v>
      </c>
      <c r="AA416" s="123">
        <v>15000</v>
      </c>
      <c r="AB416" s="123">
        <v>15000</v>
      </c>
      <c r="AC416" s="123">
        <f t="shared" si="8"/>
        <v>0</v>
      </c>
    </row>
    <row r="417" spans="1:31" x14ac:dyDescent="0.25">
      <c r="A417" s="154" t="s">
        <v>5771</v>
      </c>
      <c r="B417" s="155" t="s">
        <v>5778</v>
      </c>
      <c r="C417" s="126">
        <v>45898</v>
      </c>
      <c r="D417" s="126">
        <v>45895</v>
      </c>
      <c r="I417" s="123" t="s">
        <v>4612</v>
      </c>
      <c r="J417" s="123" t="s">
        <v>1847</v>
      </c>
      <c r="AA417" s="123">
        <v>23040</v>
      </c>
      <c r="AB417" s="123">
        <v>23040</v>
      </c>
      <c r="AC417" s="123">
        <f t="shared" si="8"/>
        <v>0</v>
      </c>
    </row>
    <row r="418" spans="1:31" x14ac:dyDescent="0.25">
      <c r="A418" s="154" t="s">
        <v>5779</v>
      </c>
      <c r="B418" s="155" t="s">
        <v>5780</v>
      </c>
      <c r="C418" s="126">
        <v>45897</v>
      </c>
      <c r="D418" s="126">
        <v>45897</v>
      </c>
      <c r="H418" s="153" t="s">
        <v>4325</v>
      </c>
      <c r="I418" s="123" t="s">
        <v>4811</v>
      </c>
      <c r="J418" s="123" t="s">
        <v>3667</v>
      </c>
      <c r="T418" s="123">
        <v>8450.36</v>
      </c>
      <c r="AB418" s="123">
        <v>8450.36</v>
      </c>
      <c r="AC418" s="123">
        <f t="shared" si="8"/>
        <v>0</v>
      </c>
    </row>
    <row r="419" spans="1:31" x14ac:dyDescent="0.25">
      <c r="A419" s="144">
        <v>45901</v>
      </c>
      <c r="B419" s="137"/>
      <c r="C419" s="138"/>
      <c r="D419" s="138"/>
      <c r="E419" s="138"/>
      <c r="F419" s="137"/>
      <c r="G419" s="139"/>
      <c r="H419" s="139"/>
      <c r="I419" s="137"/>
      <c r="J419" s="137"/>
      <c r="K419" s="137"/>
      <c r="L419" s="140"/>
      <c r="M419" s="140"/>
      <c r="N419" s="140"/>
      <c r="O419" s="137"/>
      <c r="P419" s="137"/>
      <c r="Q419" s="137"/>
      <c r="R419" s="137"/>
      <c r="S419" s="137"/>
      <c r="T419" s="140"/>
      <c r="U419" s="141"/>
      <c r="V419" s="141"/>
      <c r="W419" s="141"/>
      <c r="X419" s="142"/>
      <c r="Y419" s="141"/>
      <c r="Z419" s="142"/>
      <c r="AA419" s="142"/>
      <c r="AB419" s="140"/>
      <c r="AC419" s="143"/>
      <c r="AD419" s="141"/>
      <c r="AE419" s="140"/>
    </row>
    <row r="420" spans="1:31" x14ac:dyDescent="0.25">
      <c r="A420" s="154" t="s">
        <v>5781</v>
      </c>
      <c r="B420" s="125" t="s">
        <v>5782</v>
      </c>
      <c r="C420" s="126">
        <v>45901</v>
      </c>
      <c r="D420" s="126">
        <v>45901</v>
      </c>
      <c r="I420" s="123" t="s">
        <v>41</v>
      </c>
      <c r="J420" s="123" t="s">
        <v>54</v>
      </c>
      <c r="Z420" s="123">
        <v>250000</v>
      </c>
      <c r="AB420" s="123">
        <v>250000</v>
      </c>
      <c r="AC420" s="123">
        <f t="shared" si="8"/>
        <v>0</v>
      </c>
    </row>
    <row r="421" spans="1:31" x14ac:dyDescent="0.25">
      <c r="A421" s="154" t="s">
        <v>5787</v>
      </c>
      <c r="B421" s="155" t="s">
        <v>5788</v>
      </c>
      <c r="C421" s="126">
        <v>45903</v>
      </c>
      <c r="D421" s="126">
        <v>45903</v>
      </c>
      <c r="H421" s="153" t="s">
        <v>4343</v>
      </c>
      <c r="I421" s="123" t="s">
        <v>4879</v>
      </c>
      <c r="J421" s="123" t="s">
        <v>54</v>
      </c>
      <c r="T421" s="123">
        <v>12958.5</v>
      </c>
      <c r="AB421" s="123">
        <v>12958.5</v>
      </c>
      <c r="AC421" s="123">
        <f t="shared" si="8"/>
        <v>0</v>
      </c>
    </row>
    <row r="422" spans="1:31" x14ac:dyDescent="0.25">
      <c r="A422" s="154" t="s">
        <v>5789</v>
      </c>
      <c r="B422" s="155" t="s">
        <v>5793</v>
      </c>
      <c r="C422" s="126">
        <v>45947</v>
      </c>
      <c r="D422" s="126">
        <v>45903</v>
      </c>
      <c r="E422" s="126">
        <v>45911</v>
      </c>
      <c r="F422" s="123" t="s">
        <v>5860</v>
      </c>
      <c r="G422" s="153" t="s">
        <v>4962</v>
      </c>
      <c r="I422" s="123" t="s">
        <v>5794</v>
      </c>
      <c r="J422" s="123" t="s">
        <v>1226</v>
      </c>
      <c r="K422" s="122" t="s">
        <v>2924</v>
      </c>
      <c r="L422" s="123">
        <v>9107.14</v>
      </c>
      <c r="M422" s="123">
        <v>75892.86</v>
      </c>
      <c r="AB422" s="123">
        <v>85000</v>
      </c>
      <c r="AC422" s="123">
        <f t="shared" si="8"/>
        <v>0</v>
      </c>
      <c r="AE422" s="123">
        <v>758.93</v>
      </c>
    </row>
    <row r="423" spans="1:31" x14ac:dyDescent="0.25">
      <c r="A423" s="154" t="s">
        <v>5790</v>
      </c>
      <c r="B423" s="155" t="s">
        <v>5795</v>
      </c>
      <c r="C423" s="126">
        <v>45931</v>
      </c>
      <c r="D423" s="126">
        <v>45903</v>
      </c>
      <c r="E423" s="126">
        <v>45911</v>
      </c>
      <c r="F423" s="123" t="s">
        <v>5854</v>
      </c>
      <c r="G423" s="153" t="s">
        <v>5796</v>
      </c>
      <c r="I423" s="123" t="s">
        <v>5797</v>
      </c>
      <c r="J423" s="123" t="s">
        <v>2687</v>
      </c>
      <c r="K423" s="122" t="s">
        <v>61</v>
      </c>
      <c r="L423" s="123">
        <v>755.36</v>
      </c>
      <c r="M423" s="123">
        <v>6294.64</v>
      </c>
      <c r="AB423" s="123">
        <v>7050</v>
      </c>
      <c r="AC423" s="123">
        <f t="shared" si="8"/>
        <v>0</v>
      </c>
      <c r="AE423" s="123">
        <v>62.95</v>
      </c>
    </row>
    <row r="424" spans="1:31" x14ac:dyDescent="0.25">
      <c r="A424" s="154" t="s">
        <v>5791</v>
      </c>
      <c r="B424" s="155" t="s">
        <v>5798</v>
      </c>
      <c r="C424" s="126">
        <v>45908</v>
      </c>
      <c r="D424" s="126">
        <v>45903</v>
      </c>
      <c r="E424" s="126">
        <v>45910</v>
      </c>
      <c r="F424" s="123" t="s">
        <v>5837</v>
      </c>
      <c r="G424" s="153" t="s">
        <v>5799</v>
      </c>
      <c r="I424" s="123" t="s">
        <v>5800</v>
      </c>
      <c r="J424" s="122" t="s">
        <v>4717</v>
      </c>
      <c r="K424" s="122" t="s">
        <v>4718</v>
      </c>
      <c r="L424" s="123">
        <v>2678.57</v>
      </c>
      <c r="M424" s="123">
        <v>22321.43</v>
      </c>
      <c r="AB424" s="123">
        <v>25000</v>
      </c>
      <c r="AC424" s="123">
        <f t="shared" si="8"/>
        <v>0</v>
      </c>
      <c r="AE424" s="123">
        <v>223.21</v>
      </c>
    </row>
    <row r="425" spans="1:31" x14ac:dyDescent="0.25">
      <c r="A425" s="154" t="s">
        <v>5792</v>
      </c>
      <c r="B425" s="155" t="s">
        <v>5801</v>
      </c>
      <c r="C425" s="126">
        <v>45947</v>
      </c>
      <c r="D425" s="126">
        <v>45903</v>
      </c>
      <c r="E425" s="126">
        <v>45912</v>
      </c>
      <c r="F425" s="123" t="s">
        <v>5859</v>
      </c>
      <c r="G425" s="153" t="s">
        <v>5802</v>
      </c>
      <c r="I425" s="123" t="s">
        <v>5803</v>
      </c>
      <c r="J425" s="123" t="s">
        <v>1226</v>
      </c>
      <c r="K425" s="122" t="s">
        <v>2924</v>
      </c>
      <c r="L425" s="123">
        <v>5089.29</v>
      </c>
      <c r="M425" s="123">
        <v>42410.71</v>
      </c>
      <c r="AB425" s="123">
        <v>47500</v>
      </c>
      <c r="AC425" s="123">
        <f t="shared" si="8"/>
        <v>0</v>
      </c>
      <c r="AE425" s="123">
        <v>424.11</v>
      </c>
    </row>
    <row r="426" spans="1:31" x14ac:dyDescent="0.25">
      <c r="A426" s="154" t="s">
        <v>5805</v>
      </c>
      <c r="B426" s="155" t="s">
        <v>5809</v>
      </c>
      <c r="C426" s="126">
        <v>45908</v>
      </c>
      <c r="D426" s="126">
        <v>45908</v>
      </c>
      <c r="H426" s="153" t="s">
        <v>4345</v>
      </c>
      <c r="I426" s="123" t="s">
        <v>5605</v>
      </c>
      <c r="J426" s="123" t="s">
        <v>3667</v>
      </c>
      <c r="T426" s="123">
        <v>7633.33</v>
      </c>
      <c r="AB426" s="123">
        <v>7633.33</v>
      </c>
      <c r="AC426" s="123">
        <f t="shared" si="8"/>
        <v>0</v>
      </c>
    </row>
    <row r="427" spans="1:31" x14ac:dyDescent="0.25">
      <c r="A427" s="154" t="s">
        <v>5806</v>
      </c>
      <c r="B427" s="155" t="s">
        <v>5810</v>
      </c>
      <c r="C427" s="126">
        <v>45908</v>
      </c>
      <c r="D427" s="126">
        <v>45908</v>
      </c>
      <c r="E427" s="126">
        <v>45902</v>
      </c>
      <c r="F427" s="123" t="s">
        <v>5979</v>
      </c>
      <c r="I427" s="123" t="s">
        <v>5813</v>
      </c>
      <c r="J427" s="123" t="s">
        <v>5504</v>
      </c>
      <c r="AA427" s="123">
        <v>5875.2</v>
      </c>
      <c r="AB427" s="123">
        <v>5875.2</v>
      </c>
      <c r="AC427" s="123">
        <f t="shared" si="8"/>
        <v>0</v>
      </c>
    </row>
    <row r="428" spans="1:31" x14ac:dyDescent="0.25">
      <c r="A428" s="154" t="s">
        <v>5807</v>
      </c>
      <c r="B428" s="155" t="s">
        <v>5811</v>
      </c>
      <c r="C428" s="126">
        <v>45908</v>
      </c>
      <c r="D428" s="126">
        <v>45908</v>
      </c>
      <c r="I428" s="123" t="s">
        <v>5814</v>
      </c>
      <c r="J428" s="123" t="s">
        <v>39</v>
      </c>
      <c r="AA428" s="123">
        <v>9673.75</v>
      </c>
      <c r="AB428" s="123">
        <v>9673.75</v>
      </c>
      <c r="AC428" s="123">
        <f t="shared" si="8"/>
        <v>0</v>
      </c>
    </row>
    <row r="429" spans="1:31" x14ac:dyDescent="0.25">
      <c r="A429" s="154" t="s">
        <v>5808</v>
      </c>
      <c r="B429" s="155" t="s">
        <v>5812</v>
      </c>
      <c r="C429" s="126">
        <v>45908</v>
      </c>
      <c r="D429" s="126">
        <v>45908</v>
      </c>
      <c r="I429" s="123" t="s">
        <v>5271</v>
      </c>
      <c r="J429" s="123" t="s">
        <v>5225</v>
      </c>
      <c r="AA429" s="123">
        <v>2232.14</v>
      </c>
      <c r="AB429" s="123">
        <v>2232.14</v>
      </c>
      <c r="AC429" s="123">
        <f t="shared" si="8"/>
        <v>0</v>
      </c>
    </row>
    <row r="430" spans="1:31" x14ac:dyDescent="0.25">
      <c r="A430" s="154" t="s">
        <v>5815</v>
      </c>
      <c r="B430" s="155" t="s">
        <v>5816</v>
      </c>
      <c r="C430" s="126">
        <v>45909</v>
      </c>
      <c r="D430" s="126">
        <v>45909</v>
      </c>
      <c r="I430" s="122" t="s">
        <v>5817</v>
      </c>
      <c r="J430" s="122" t="s">
        <v>43</v>
      </c>
      <c r="L430" s="123">
        <v>32.14</v>
      </c>
      <c r="S430" s="123">
        <v>267.86</v>
      </c>
      <c r="AB430" s="123">
        <v>300</v>
      </c>
      <c r="AC430" s="123">
        <f t="shared" si="8"/>
        <v>0</v>
      </c>
    </row>
    <row r="431" spans="1:31" x14ac:dyDescent="0.25">
      <c r="A431" s="154" t="s">
        <v>5818</v>
      </c>
      <c r="B431" s="155" t="s">
        <v>5823</v>
      </c>
      <c r="C431" s="126">
        <v>45939</v>
      </c>
      <c r="D431" s="126">
        <v>45909</v>
      </c>
      <c r="E431" s="126">
        <v>45915</v>
      </c>
      <c r="F431" s="123" t="s">
        <v>5895</v>
      </c>
      <c r="G431" s="153" t="s">
        <v>5826</v>
      </c>
      <c r="I431" s="123" t="s">
        <v>5827</v>
      </c>
      <c r="J431" s="123" t="s">
        <v>83</v>
      </c>
      <c r="K431" s="122" t="s">
        <v>1336</v>
      </c>
      <c r="L431" s="123">
        <v>14946.43</v>
      </c>
      <c r="M431" s="123">
        <v>124553.57</v>
      </c>
      <c r="AB431" s="123">
        <v>139500</v>
      </c>
      <c r="AC431" s="123">
        <f t="shared" si="8"/>
        <v>0</v>
      </c>
      <c r="AE431" s="123">
        <v>1245.54</v>
      </c>
    </row>
    <row r="432" spans="1:31" x14ac:dyDescent="0.25">
      <c r="A432" s="154" t="s">
        <v>5819</v>
      </c>
      <c r="B432" s="155" t="s">
        <v>5824</v>
      </c>
      <c r="C432" s="126">
        <v>45939</v>
      </c>
      <c r="D432" s="126">
        <v>45909</v>
      </c>
      <c r="E432" s="126">
        <v>45915</v>
      </c>
      <c r="F432" s="123" t="s">
        <v>5892</v>
      </c>
      <c r="G432" s="153" t="s">
        <v>5829</v>
      </c>
      <c r="I432" s="123" t="s">
        <v>5828</v>
      </c>
      <c r="J432" s="123" t="s">
        <v>83</v>
      </c>
      <c r="K432" s="122" t="s">
        <v>1336</v>
      </c>
      <c r="L432" s="123">
        <v>11571.43</v>
      </c>
      <c r="M432" s="123">
        <v>96428.57</v>
      </c>
      <c r="AB432" s="123">
        <v>108000</v>
      </c>
      <c r="AC432" s="123">
        <f t="shared" si="8"/>
        <v>0</v>
      </c>
      <c r="AE432" s="123">
        <v>964.29</v>
      </c>
    </row>
    <row r="433" spans="1:31" x14ac:dyDescent="0.25">
      <c r="A433" s="154" t="s">
        <v>5820</v>
      </c>
      <c r="B433" s="155" t="s">
        <v>5825</v>
      </c>
      <c r="C433" s="126">
        <v>45943</v>
      </c>
      <c r="D433" s="126">
        <v>45909</v>
      </c>
      <c r="E433" s="126">
        <v>45909</v>
      </c>
      <c r="F433" s="123" t="s">
        <v>5861</v>
      </c>
      <c r="G433" s="153" t="s">
        <v>5834</v>
      </c>
      <c r="I433" s="123" t="s">
        <v>5830</v>
      </c>
      <c r="J433" s="122" t="s">
        <v>2087</v>
      </c>
      <c r="K433" s="122" t="s">
        <v>2088</v>
      </c>
      <c r="L433" s="123">
        <v>11785.71</v>
      </c>
      <c r="M433" s="123">
        <v>98214.29</v>
      </c>
      <c r="AB433" s="123">
        <v>110000</v>
      </c>
      <c r="AC433" s="123">
        <f t="shared" si="8"/>
        <v>0</v>
      </c>
      <c r="AE433" s="123">
        <v>982.14</v>
      </c>
    </row>
    <row r="434" spans="1:31" x14ac:dyDescent="0.25">
      <c r="A434" s="154" t="s">
        <v>5821</v>
      </c>
      <c r="B434" s="125" t="s">
        <v>5831</v>
      </c>
      <c r="C434" s="126">
        <v>45916</v>
      </c>
      <c r="D434" s="126">
        <v>45909</v>
      </c>
      <c r="E434" s="126">
        <v>45910</v>
      </c>
      <c r="F434" s="123" t="s">
        <v>5838</v>
      </c>
      <c r="G434" s="153" t="s">
        <v>5832</v>
      </c>
      <c r="I434" s="123" t="s">
        <v>5833</v>
      </c>
      <c r="J434" s="122" t="s">
        <v>4717</v>
      </c>
      <c r="K434" s="122" t="s">
        <v>4718</v>
      </c>
      <c r="L434" s="123">
        <v>15462.86</v>
      </c>
      <c r="M434" s="123">
        <v>128857.14</v>
      </c>
      <c r="AB434" s="123">
        <v>144320</v>
      </c>
      <c r="AC434" s="123">
        <f t="shared" si="8"/>
        <v>0</v>
      </c>
      <c r="AE434" s="123">
        <v>1288.57</v>
      </c>
    </row>
    <row r="435" spans="1:31" x14ac:dyDescent="0.25">
      <c r="A435" s="154" t="s">
        <v>5822</v>
      </c>
      <c r="B435" s="155" t="s">
        <v>5844</v>
      </c>
      <c r="C435" s="126">
        <v>45915</v>
      </c>
      <c r="D435" s="126">
        <v>45911</v>
      </c>
      <c r="I435" s="123" t="s">
        <v>4612</v>
      </c>
      <c r="J435" s="123" t="s">
        <v>5300</v>
      </c>
      <c r="AA435" s="123">
        <v>30720</v>
      </c>
      <c r="AB435" s="123">
        <v>30720</v>
      </c>
      <c r="AC435" s="123">
        <f t="shared" ref="AC435:AC499" si="9">SUM(AB435:AB435)-SUM(L435:AA435)</f>
        <v>0</v>
      </c>
    </row>
    <row r="436" spans="1:31" x14ac:dyDescent="0.25">
      <c r="A436" s="154" t="s">
        <v>5839</v>
      </c>
      <c r="B436" s="155" t="s">
        <v>5845</v>
      </c>
      <c r="C436" s="126">
        <v>45915</v>
      </c>
      <c r="D436" s="126">
        <v>45911</v>
      </c>
      <c r="I436" s="123" t="s">
        <v>4612</v>
      </c>
      <c r="J436" s="123" t="s">
        <v>125</v>
      </c>
      <c r="AA436" s="123">
        <v>12000</v>
      </c>
      <c r="AB436" s="123">
        <v>12000</v>
      </c>
      <c r="AC436" s="123">
        <f t="shared" si="9"/>
        <v>0</v>
      </c>
    </row>
    <row r="437" spans="1:31" x14ac:dyDescent="0.25">
      <c r="A437" s="154" t="s">
        <v>5840</v>
      </c>
      <c r="B437" s="125" t="s">
        <v>5842</v>
      </c>
      <c r="C437" s="126">
        <v>45911</v>
      </c>
      <c r="D437" s="126">
        <v>45911</v>
      </c>
      <c r="I437" s="123" t="s">
        <v>5843</v>
      </c>
      <c r="J437" s="123" t="s">
        <v>39</v>
      </c>
      <c r="W437" s="123">
        <v>74622.81</v>
      </c>
      <c r="AB437" s="123">
        <v>74622.81</v>
      </c>
      <c r="AC437" s="123">
        <f t="shared" si="9"/>
        <v>0</v>
      </c>
    </row>
    <row r="438" spans="1:31" x14ac:dyDescent="0.25">
      <c r="A438" s="154" t="s">
        <v>5841</v>
      </c>
      <c r="B438" s="155" t="s">
        <v>5846</v>
      </c>
      <c r="C438" s="126">
        <v>45911</v>
      </c>
      <c r="D438" s="126">
        <v>45911</v>
      </c>
      <c r="I438" s="122" t="s">
        <v>5847</v>
      </c>
      <c r="J438" s="122" t="s">
        <v>18</v>
      </c>
      <c r="L438" s="123">
        <v>151.09</v>
      </c>
      <c r="R438" s="123">
        <v>1259.06</v>
      </c>
      <c r="AB438" s="123">
        <v>1410.15</v>
      </c>
      <c r="AC438" s="123">
        <f t="shared" si="9"/>
        <v>0</v>
      </c>
    </row>
    <row r="439" spans="1:31" x14ac:dyDescent="0.25">
      <c r="A439" s="154" t="s">
        <v>5848</v>
      </c>
      <c r="B439" s="155" t="s">
        <v>5849</v>
      </c>
      <c r="C439" s="126">
        <v>45911</v>
      </c>
      <c r="D439" s="126">
        <v>45911</v>
      </c>
      <c r="I439" s="122" t="s">
        <v>5847</v>
      </c>
      <c r="J439" s="122" t="s">
        <v>18</v>
      </c>
      <c r="L439" s="123">
        <v>811.09</v>
      </c>
      <c r="R439" s="123">
        <v>6759.06</v>
      </c>
      <c r="AB439" s="123">
        <v>7570.15</v>
      </c>
      <c r="AC439" s="123">
        <f t="shared" si="9"/>
        <v>0</v>
      </c>
    </row>
    <row r="440" spans="1:31" x14ac:dyDescent="0.25">
      <c r="A440" s="154" t="s">
        <v>5850</v>
      </c>
      <c r="B440" s="155" t="s">
        <v>5851</v>
      </c>
      <c r="C440" s="126">
        <v>45911</v>
      </c>
      <c r="D440" s="126">
        <v>45911</v>
      </c>
      <c r="E440" s="126">
        <v>45915</v>
      </c>
      <c r="F440" s="123" t="s">
        <v>5896</v>
      </c>
      <c r="I440" s="123" t="s">
        <v>5852</v>
      </c>
      <c r="J440" s="123" t="s">
        <v>5853</v>
      </c>
      <c r="AA440" s="123">
        <v>3700</v>
      </c>
      <c r="AB440" s="123">
        <v>3700</v>
      </c>
      <c r="AC440" s="123">
        <f t="shared" si="9"/>
        <v>0</v>
      </c>
    </row>
    <row r="441" spans="1:31" x14ac:dyDescent="0.25">
      <c r="A441" s="154" t="s">
        <v>5855</v>
      </c>
      <c r="B441" s="155" t="s">
        <v>5856</v>
      </c>
      <c r="C441" s="126">
        <v>45942</v>
      </c>
      <c r="D441" s="126">
        <v>45911</v>
      </c>
      <c r="E441" s="126">
        <v>45912</v>
      </c>
      <c r="F441" s="123" t="s">
        <v>5862</v>
      </c>
      <c r="G441" s="153" t="s">
        <v>5863</v>
      </c>
      <c r="I441" s="123" t="s">
        <v>5857</v>
      </c>
      <c r="J441" s="123" t="s">
        <v>5858</v>
      </c>
      <c r="L441" s="123">
        <v>1230.1099999999999</v>
      </c>
      <c r="M441" s="123">
        <v>10250.89</v>
      </c>
      <c r="AB441" s="123">
        <v>11481</v>
      </c>
      <c r="AC441" s="123">
        <f t="shared" si="9"/>
        <v>0</v>
      </c>
      <c r="AE441" s="123">
        <v>102.51</v>
      </c>
    </row>
    <row r="442" spans="1:31" x14ac:dyDescent="0.25">
      <c r="A442" s="154" t="s">
        <v>5864</v>
      </c>
      <c r="B442" s="155" t="s">
        <v>5870</v>
      </c>
      <c r="C442" s="126">
        <v>45912</v>
      </c>
      <c r="D442" s="126">
        <v>45912</v>
      </c>
      <c r="I442" s="122" t="s">
        <v>5876</v>
      </c>
      <c r="J442" s="123" t="s">
        <v>5681</v>
      </c>
      <c r="L442" s="123">
        <v>1023.66</v>
      </c>
      <c r="X442" s="123">
        <v>8530.5300000000007</v>
      </c>
      <c r="AB442" s="123">
        <v>9554.19</v>
      </c>
      <c r="AC442" s="123">
        <f t="shared" si="9"/>
        <v>0</v>
      </c>
    </row>
    <row r="443" spans="1:31" x14ac:dyDescent="0.25">
      <c r="A443" s="154" t="s">
        <v>5865</v>
      </c>
      <c r="B443" s="155" t="s">
        <v>5871</v>
      </c>
      <c r="C443" s="126">
        <v>45946</v>
      </c>
      <c r="D443" s="126">
        <v>45912</v>
      </c>
      <c r="E443" s="126">
        <v>45951</v>
      </c>
      <c r="F443" s="123" t="s">
        <v>6094</v>
      </c>
      <c r="G443" s="153" t="s">
        <v>5882</v>
      </c>
      <c r="I443" s="123" t="s">
        <v>5877</v>
      </c>
      <c r="J443" s="123" t="s">
        <v>83</v>
      </c>
      <c r="K443" s="122" t="s">
        <v>1336</v>
      </c>
      <c r="L443" s="123">
        <v>2250</v>
      </c>
      <c r="M443" s="123">
        <v>18750</v>
      </c>
      <c r="AB443" s="123">
        <v>21000</v>
      </c>
      <c r="AC443" s="123">
        <f t="shared" si="9"/>
        <v>0</v>
      </c>
      <c r="AE443" s="123">
        <v>187.5</v>
      </c>
    </row>
    <row r="444" spans="1:31" x14ac:dyDescent="0.25">
      <c r="A444" s="154" t="s">
        <v>5866</v>
      </c>
      <c r="B444" s="155" t="s">
        <v>5872</v>
      </c>
      <c r="C444" s="126">
        <v>45912</v>
      </c>
      <c r="D444" s="126">
        <v>45912</v>
      </c>
      <c r="E444" s="126">
        <v>45923</v>
      </c>
      <c r="F444" s="123" t="s">
        <v>5927</v>
      </c>
      <c r="G444" s="153" t="s">
        <v>5879</v>
      </c>
      <c r="I444" s="123" t="s">
        <v>5878</v>
      </c>
      <c r="J444" s="123" t="s">
        <v>3527</v>
      </c>
      <c r="K444" s="122" t="s">
        <v>3530</v>
      </c>
      <c r="L444" s="123">
        <v>476.79</v>
      </c>
      <c r="M444" s="123">
        <v>3973.21</v>
      </c>
      <c r="AB444" s="123">
        <v>4450</v>
      </c>
      <c r="AC444" s="123">
        <f t="shared" si="9"/>
        <v>0</v>
      </c>
      <c r="AE444" s="123">
        <v>39.729999999999997</v>
      </c>
    </row>
    <row r="445" spans="1:31" x14ac:dyDescent="0.25">
      <c r="A445" s="154" t="s">
        <v>5867</v>
      </c>
      <c r="B445" s="155" t="s">
        <v>5873</v>
      </c>
      <c r="C445" s="126">
        <v>45960</v>
      </c>
      <c r="D445" s="126">
        <v>45912</v>
      </c>
      <c r="E445" s="126">
        <v>45916</v>
      </c>
      <c r="F445" s="123" t="s">
        <v>5900</v>
      </c>
      <c r="G445" s="153" t="s">
        <v>5880</v>
      </c>
      <c r="I445" s="123" t="s">
        <v>5881</v>
      </c>
      <c r="J445" s="123" t="s">
        <v>1226</v>
      </c>
      <c r="K445" s="122" t="s">
        <v>2924</v>
      </c>
      <c r="L445" s="123">
        <v>1821.43</v>
      </c>
      <c r="M445" s="123">
        <v>15178.57</v>
      </c>
      <c r="AB445" s="123">
        <v>17000</v>
      </c>
      <c r="AC445" s="123">
        <f t="shared" si="9"/>
        <v>0</v>
      </c>
      <c r="AE445" s="123">
        <v>151.79</v>
      </c>
    </row>
    <row r="446" spans="1:31" x14ac:dyDescent="0.25">
      <c r="A446" s="154" t="s">
        <v>5868</v>
      </c>
      <c r="B446" s="155" t="s">
        <v>5874</v>
      </c>
      <c r="C446" s="126">
        <v>45912</v>
      </c>
      <c r="D446" s="126">
        <v>45912</v>
      </c>
      <c r="I446" s="123" t="s">
        <v>5883</v>
      </c>
      <c r="J446" s="123" t="s">
        <v>46</v>
      </c>
      <c r="L446" s="123">
        <v>160.61000000000001</v>
      </c>
      <c r="S446" s="123">
        <v>1338.39</v>
      </c>
      <c r="AB446" s="123">
        <v>1499</v>
      </c>
      <c r="AC446" s="123">
        <f t="shared" si="9"/>
        <v>0</v>
      </c>
    </row>
    <row r="447" spans="1:31" x14ac:dyDescent="0.25">
      <c r="A447" s="154" t="s">
        <v>5869</v>
      </c>
      <c r="B447" s="155" t="s">
        <v>5875</v>
      </c>
      <c r="C447" s="126">
        <v>45912</v>
      </c>
      <c r="D447" s="126">
        <v>45912</v>
      </c>
      <c r="I447" s="123" t="s">
        <v>5884</v>
      </c>
      <c r="J447" s="123" t="s">
        <v>46</v>
      </c>
      <c r="L447" s="123">
        <v>107.04</v>
      </c>
      <c r="S447" s="123">
        <v>891.96</v>
      </c>
      <c r="AB447" s="123">
        <v>999</v>
      </c>
      <c r="AC447" s="123">
        <f t="shared" si="9"/>
        <v>0</v>
      </c>
    </row>
    <row r="448" spans="1:31" x14ac:dyDescent="0.25">
      <c r="A448" s="154" t="s">
        <v>5885</v>
      </c>
      <c r="B448" s="125" t="s">
        <v>5886</v>
      </c>
      <c r="C448" s="126">
        <v>45912</v>
      </c>
      <c r="D448" s="126">
        <v>45912</v>
      </c>
      <c r="E448" s="126">
        <v>45916</v>
      </c>
      <c r="F448" s="123" t="s">
        <v>5971</v>
      </c>
      <c r="I448" s="123" t="s">
        <v>5082</v>
      </c>
      <c r="J448" s="123" t="s">
        <v>109</v>
      </c>
      <c r="N448" s="123">
        <v>85925</v>
      </c>
      <c r="AB448" s="123">
        <v>85925</v>
      </c>
      <c r="AC448" s="123">
        <f t="shared" si="9"/>
        <v>0</v>
      </c>
    </row>
    <row r="449" spans="1:31" x14ac:dyDescent="0.25">
      <c r="A449" s="154" t="s">
        <v>5887</v>
      </c>
      <c r="B449" s="125" t="s">
        <v>5890</v>
      </c>
      <c r="C449" s="126">
        <v>45915</v>
      </c>
      <c r="D449" s="126">
        <v>45915</v>
      </c>
      <c r="E449" s="126">
        <v>45916</v>
      </c>
      <c r="F449" s="123" t="s">
        <v>5970</v>
      </c>
      <c r="I449" s="123" t="s">
        <v>5891</v>
      </c>
      <c r="J449" s="123" t="s">
        <v>109</v>
      </c>
      <c r="AA449" s="123">
        <v>83411</v>
      </c>
      <c r="AB449" s="123">
        <v>83411</v>
      </c>
      <c r="AC449" s="123">
        <f t="shared" si="9"/>
        <v>0</v>
      </c>
    </row>
    <row r="450" spans="1:31" x14ac:dyDescent="0.25">
      <c r="A450" s="154" t="s">
        <v>5888</v>
      </c>
      <c r="B450" s="155" t="s">
        <v>5889</v>
      </c>
      <c r="C450" s="126">
        <v>45915</v>
      </c>
      <c r="D450" s="126">
        <v>45915</v>
      </c>
      <c r="H450" s="153" t="s">
        <v>4403</v>
      </c>
      <c r="I450" s="123" t="s">
        <v>4975</v>
      </c>
      <c r="J450" s="123" t="s">
        <v>3667</v>
      </c>
      <c r="T450" s="123">
        <v>8146.83</v>
      </c>
      <c r="AB450" s="123">
        <v>8146.83</v>
      </c>
      <c r="AC450" s="123">
        <f t="shared" si="9"/>
        <v>0</v>
      </c>
    </row>
    <row r="451" spans="1:31" x14ac:dyDescent="0.25">
      <c r="A451" s="154" t="s">
        <v>5893</v>
      </c>
      <c r="B451" s="125" t="s">
        <v>5894</v>
      </c>
      <c r="C451" s="126">
        <v>45915</v>
      </c>
      <c r="D451" s="126">
        <v>45915</v>
      </c>
      <c r="I451" s="123" t="s">
        <v>41</v>
      </c>
      <c r="J451" s="123" t="s">
        <v>54</v>
      </c>
      <c r="Z451" s="123">
        <v>400000</v>
      </c>
      <c r="AB451" s="123">
        <v>400000</v>
      </c>
      <c r="AC451" s="123">
        <f t="shared" si="9"/>
        <v>0</v>
      </c>
    </row>
    <row r="452" spans="1:31" x14ac:dyDescent="0.25">
      <c r="A452" s="154" t="s">
        <v>5897</v>
      </c>
      <c r="B452" s="155" t="s">
        <v>5898</v>
      </c>
      <c r="C452" s="126">
        <v>45916</v>
      </c>
      <c r="D452" s="126">
        <v>45916</v>
      </c>
      <c r="I452" s="123" t="s">
        <v>5899</v>
      </c>
      <c r="J452" s="123" t="s">
        <v>442</v>
      </c>
      <c r="AA452" s="123">
        <v>5945</v>
      </c>
      <c r="AB452" s="123">
        <v>5945</v>
      </c>
      <c r="AC452" s="123">
        <f t="shared" si="9"/>
        <v>0</v>
      </c>
    </row>
    <row r="453" spans="1:31" x14ac:dyDescent="0.25">
      <c r="A453" s="154" t="s">
        <v>5901</v>
      </c>
      <c r="B453" s="155" t="s">
        <v>5902</v>
      </c>
      <c r="C453" s="126">
        <v>45947</v>
      </c>
      <c r="D453" s="126">
        <v>45917</v>
      </c>
      <c r="E453" s="126">
        <v>45923</v>
      </c>
      <c r="F453" s="123" t="s">
        <v>5925</v>
      </c>
      <c r="G453" s="153" t="s">
        <v>5926</v>
      </c>
      <c r="I453" s="123" t="s">
        <v>5903</v>
      </c>
      <c r="J453" s="123" t="s">
        <v>3527</v>
      </c>
      <c r="K453" s="122" t="s">
        <v>3530</v>
      </c>
      <c r="L453" s="123">
        <v>1012.5</v>
      </c>
      <c r="M453" s="123">
        <v>8437.5</v>
      </c>
      <c r="AB453" s="123">
        <v>9450</v>
      </c>
      <c r="AC453" s="123">
        <f t="shared" si="9"/>
        <v>0</v>
      </c>
      <c r="AE453" s="123">
        <v>84.38</v>
      </c>
    </row>
    <row r="454" spans="1:31" x14ac:dyDescent="0.25">
      <c r="A454" s="154" t="s">
        <v>5904</v>
      </c>
      <c r="B454" s="155" t="s">
        <v>5906</v>
      </c>
      <c r="C454" s="126">
        <v>45948</v>
      </c>
      <c r="D454" s="126">
        <v>45919</v>
      </c>
      <c r="E454" s="126">
        <v>45951</v>
      </c>
      <c r="F454" s="123" t="s">
        <v>6096</v>
      </c>
      <c r="G454" s="153" t="s">
        <v>5937</v>
      </c>
      <c r="I454" s="123" t="s">
        <v>5907</v>
      </c>
      <c r="J454" s="123" t="s">
        <v>83</v>
      </c>
      <c r="K454" s="122" t="s">
        <v>1336</v>
      </c>
      <c r="L454" s="123">
        <v>1982.14</v>
      </c>
      <c r="M454" s="123">
        <v>16517.86</v>
      </c>
      <c r="AB454" s="123">
        <v>18500</v>
      </c>
      <c r="AC454" s="123">
        <f t="shared" si="9"/>
        <v>0</v>
      </c>
      <c r="AE454" s="123">
        <v>165.18</v>
      </c>
    </row>
    <row r="455" spans="1:31" x14ac:dyDescent="0.25">
      <c r="A455" s="154" t="s">
        <v>5905</v>
      </c>
      <c r="B455" s="125" t="s">
        <v>5908</v>
      </c>
      <c r="C455" s="126">
        <v>45919</v>
      </c>
      <c r="D455" s="126">
        <v>45919</v>
      </c>
      <c r="I455" s="123" t="s">
        <v>5909</v>
      </c>
      <c r="J455" s="123" t="s">
        <v>5910</v>
      </c>
      <c r="AA455" s="123">
        <v>5000</v>
      </c>
      <c r="AB455" s="123">
        <v>5000</v>
      </c>
      <c r="AC455" s="123">
        <f t="shared" si="9"/>
        <v>0</v>
      </c>
    </row>
    <row r="456" spans="1:31" x14ac:dyDescent="0.25">
      <c r="A456" s="154" t="s">
        <v>5911</v>
      </c>
      <c r="B456" s="155" t="s">
        <v>5913</v>
      </c>
      <c r="C456" s="126">
        <v>45922</v>
      </c>
      <c r="D456" s="126">
        <v>45922</v>
      </c>
      <c r="E456" s="126">
        <v>45923</v>
      </c>
      <c r="F456" s="123" t="s">
        <v>5928</v>
      </c>
      <c r="G456" s="153" t="s">
        <v>5916</v>
      </c>
      <c r="I456" s="123" t="s">
        <v>5915</v>
      </c>
      <c r="J456" s="123" t="s">
        <v>3527</v>
      </c>
      <c r="K456" s="122" t="s">
        <v>3530</v>
      </c>
      <c r="L456" s="123">
        <v>360</v>
      </c>
      <c r="M456" s="123">
        <v>3000</v>
      </c>
      <c r="AB456" s="123">
        <v>3360</v>
      </c>
      <c r="AC456" s="123">
        <f t="shared" si="9"/>
        <v>0</v>
      </c>
      <c r="AE456" s="123">
        <v>30</v>
      </c>
    </row>
    <row r="457" spans="1:31" x14ac:dyDescent="0.25">
      <c r="A457" s="154" t="s">
        <v>5912</v>
      </c>
      <c r="B457" s="155" t="s">
        <v>5914</v>
      </c>
      <c r="C457" s="126">
        <v>45929</v>
      </c>
      <c r="D457" s="126">
        <v>45922</v>
      </c>
      <c r="E457" s="126">
        <v>45922</v>
      </c>
      <c r="F457" s="123" t="s">
        <v>5938</v>
      </c>
      <c r="G457" s="153" t="s">
        <v>5917</v>
      </c>
      <c r="I457" s="123" t="s">
        <v>5918</v>
      </c>
      <c r="J457" s="122" t="s">
        <v>4717</v>
      </c>
      <c r="K457" s="122" t="s">
        <v>4718</v>
      </c>
      <c r="L457" s="123">
        <v>2321.79</v>
      </c>
      <c r="M457" s="123">
        <v>19348.21</v>
      </c>
      <c r="AB457" s="123">
        <v>21670</v>
      </c>
      <c r="AC457" s="123">
        <f t="shared" si="9"/>
        <v>0</v>
      </c>
      <c r="AE457" s="123">
        <v>193.48</v>
      </c>
    </row>
    <row r="458" spans="1:31" x14ac:dyDescent="0.25">
      <c r="A458" s="154" t="s">
        <v>5919</v>
      </c>
      <c r="B458" s="125" t="s">
        <v>5920</v>
      </c>
      <c r="C458" s="126">
        <v>45922</v>
      </c>
      <c r="D458" s="126">
        <v>45922</v>
      </c>
      <c r="I458" s="123" t="s">
        <v>41</v>
      </c>
      <c r="J458" s="123" t="s">
        <v>54</v>
      </c>
      <c r="Z458" s="123">
        <v>200000</v>
      </c>
      <c r="AB458" s="123">
        <v>200000</v>
      </c>
      <c r="AC458" s="123">
        <f t="shared" si="9"/>
        <v>0</v>
      </c>
    </row>
    <row r="459" spans="1:31" x14ac:dyDescent="0.25">
      <c r="A459" s="154" t="s">
        <v>5921</v>
      </c>
      <c r="B459" s="155" t="s">
        <v>5923</v>
      </c>
      <c r="C459" s="126">
        <v>45924</v>
      </c>
      <c r="D459" s="126">
        <v>45924</v>
      </c>
      <c r="H459" s="153" t="s">
        <v>4404</v>
      </c>
      <c r="I459" s="123" t="s">
        <v>5030</v>
      </c>
      <c r="J459" s="123" t="s">
        <v>54</v>
      </c>
      <c r="T459" s="123">
        <v>4185.34</v>
      </c>
      <c r="AB459" s="123">
        <v>4185.34</v>
      </c>
      <c r="AC459" s="123">
        <f t="shared" si="9"/>
        <v>0</v>
      </c>
    </row>
    <row r="460" spans="1:31" x14ac:dyDescent="0.25">
      <c r="A460" s="154" t="s">
        <v>5922</v>
      </c>
      <c r="B460" s="155" t="s">
        <v>5924</v>
      </c>
      <c r="C460" s="126">
        <v>45924</v>
      </c>
      <c r="D460" s="126">
        <v>45924</v>
      </c>
      <c r="I460" s="123" t="s">
        <v>3979</v>
      </c>
      <c r="J460" s="123" t="s">
        <v>3667</v>
      </c>
      <c r="L460" s="123">
        <v>1396.02</v>
      </c>
      <c r="S460" s="123">
        <v>11633.47</v>
      </c>
      <c r="AB460" s="123">
        <v>13029.49</v>
      </c>
      <c r="AC460" s="123">
        <f t="shared" si="9"/>
        <v>0</v>
      </c>
    </row>
    <row r="461" spans="1:31" x14ac:dyDescent="0.25">
      <c r="A461" s="154" t="s">
        <v>5929</v>
      </c>
      <c r="B461" s="155" t="s">
        <v>5931</v>
      </c>
      <c r="C461" s="126">
        <v>45930</v>
      </c>
      <c r="D461" s="126">
        <v>45930</v>
      </c>
      <c r="I461" s="123" t="s">
        <v>4612</v>
      </c>
      <c r="J461" s="123" t="s">
        <v>5300</v>
      </c>
      <c r="AA461" s="123">
        <v>28160</v>
      </c>
      <c r="AB461" s="123">
        <v>28160</v>
      </c>
      <c r="AC461" s="123">
        <f t="shared" si="9"/>
        <v>0</v>
      </c>
    </row>
    <row r="462" spans="1:31" x14ac:dyDescent="0.25">
      <c r="A462" s="154" t="s">
        <v>5930</v>
      </c>
      <c r="B462" s="155" t="s">
        <v>5932</v>
      </c>
      <c r="C462" s="126">
        <v>45930</v>
      </c>
      <c r="D462" s="126">
        <v>45930</v>
      </c>
      <c r="I462" s="123" t="s">
        <v>4612</v>
      </c>
      <c r="J462" s="123" t="s">
        <v>125</v>
      </c>
      <c r="AA462" s="123">
        <v>10000</v>
      </c>
      <c r="AB462" s="123">
        <v>10000</v>
      </c>
      <c r="AC462" s="123">
        <f t="shared" si="9"/>
        <v>0</v>
      </c>
    </row>
    <row r="463" spans="1:31" x14ac:dyDescent="0.25">
      <c r="A463" s="154" t="s">
        <v>5933</v>
      </c>
      <c r="B463" s="125" t="s">
        <v>5934</v>
      </c>
      <c r="C463" s="126">
        <v>45938</v>
      </c>
      <c r="D463" s="126">
        <v>45930</v>
      </c>
      <c r="E463" s="126">
        <v>45931</v>
      </c>
      <c r="F463" s="123" t="s">
        <v>5939</v>
      </c>
      <c r="G463" s="153" t="s">
        <v>5936</v>
      </c>
      <c r="I463" s="123" t="s">
        <v>5935</v>
      </c>
      <c r="J463" s="122" t="s">
        <v>4717</v>
      </c>
      <c r="K463" s="122" t="s">
        <v>4718</v>
      </c>
      <c r="L463" s="123">
        <v>15762.86</v>
      </c>
      <c r="M463" s="123">
        <v>131357.14000000001</v>
      </c>
      <c r="AB463" s="123">
        <v>147120</v>
      </c>
      <c r="AC463" s="123">
        <f t="shared" si="9"/>
        <v>0</v>
      </c>
      <c r="AE463" s="123">
        <v>1313.57</v>
      </c>
    </row>
    <row r="464" spans="1:31" x14ac:dyDescent="0.25">
      <c r="A464" s="144">
        <v>45931</v>
      </c>
      <c r="B464" s="137"/>
      <c r="C464" s="138"/>
      <c r="D464" s="138"/>
      <c r="E464" s="138"/>
      <c r="F464" s="137"/>
      <c r="G464" s="139"/>
      <c r="H464" s="139"/>
      <c r="I464" s="137"/>
      <c r="J464" s="137"/>
      <c r="K464" s="137"/>
      <c r="L464" s="140"/>
      <c r="M464" s="140"/>
      <c r="N464" s="140"/>
      <c r="O464" s="137"/>
      <c r="P464" s="137"/>
      <c r="Q464" s="137"/>
      <c r="R464" s="137"/>
      <c r="S464" s="137"/>
      <c r="T464" s="140"/>
      <c r="U464" s="141"/>
      <c r="V464" s="141"/>
      <c r="W464" s="141"/>
      <c r="X464" s="142"/>
      <c r="Y464" s="141"/>
      <c r="Z464" s="142"/>
      <c r="AA464" s="142"/>
      <c r="AB464" s="140"/>
      <c r="AC464" s="143"/>
      <c r="AD464" s="141"/>
      <c r="AE464" s="140"/>
    </row>
    <row r="465" spans="1:31" x14ac:dyDescent="0.25">
      <c r="A465" s="149"/>
      <c r="B465" s="122"/>
      <c r="E465" s="126"/>
      <c r="F465" s="122"/>
      <c r="G465" s="125"/>
      <c r="H465" s="125"/>
      <c r="I465" s="7" t="s">
        <v>6537</v>
      </c>
      <c r="J465" s="51" t="s">
        <v>132</v>
      </c>
      <c r="K465" s="122"/>
      <c r="O465" s="122"/>
      <c r="P465" s="122"/>
      <c r="Q465" s="123">
        <v>62922.14</v>
      </c>
      <c r="R465" s="122"/>
      <c r="S465" s="122"/>
      <c r="U465"/>
      <c r="V465"/>
      <c r="W465"/>
      <c r="X465" s="2"/>
      <c r="Y465"/>
      <c r="Z465" s="2"/>
      <c r="AA465" s="2"/>
      <c r="AB465" s="123">
        <v>62922.14</v>
      </c>
      <c r="AC465" s="123">
        <f t="shared" si="9"/>
        <v>0</v>
      </c>
      <c r="AD465" s="82" t="s">
        <v>133</v>
      </c>
    </row>
    <row r="466" spans="1:31" x14ac:dyDescent="0.25">
      <c r="A466" s="154" t="s">
        <v>5940</v>
      </c>
      <c r="B466" s="125" t="s">
        <v>5941</v>
      </c>
      <c r="C466" s="126">
        <v>45931</v>
      </c>
      <c r="D466" s="126">
        <v>45931</v>
      </c>
      <c r="I466" s="123" t="s">
        <v>41</v>
      </c>
      <c r="J466" s="123" t="s">
        <v>54</v>
      </c>
      <c r="Z466" s="123">
        <v>300000</v>
      </c>
      <c r="AB466" s="123">
        <v>300000</v>
      </c>
      <c r="AC466" s="123">
        <f t="shared" si="9"/>
        <v>0</v>
      </c>
    </row>
    <row r="467" spans="1:31" x14ac:dyDescent="0.25">
      <c r="A467" s="154" t="s">
        <v>5942</v>
      </c>
      <c r="B467" s="155" t="s">
        <v>5949</v>
      </c>
      <c r="C467" s="126">
        <v>45931</v>
      </c>
      <c r="D467" s="126">
        <v>45931</v>
      </c>
      <c r="H467" s="153" t="s">
        <v>4422</v>
      </c>
      <c r="I467" s="123" t="s">
        <v>5950</v>
      </c>
      <c r="J467" s="123" t="s">
        <v>3667</v>
      </c>
      <c r="T467" s="123">
        <v>11623.25</v>
      </c>
      <c r="AB467" s="123">
        <v>11623.25</v>
      </c>
      <c r="AC467" s="123">
        <f t="shared" si="9"/>
        <v>0</v>
      </c>
    </row>
    <row r="468" spans="1:31" x14ac:dyDescent="0.25">
      <c r="A468" s="154" t="s">
        <v>5943</v>
      </c>
      <c r="B468" s="155" t="s">
        <v>5951</v>
      </c>
      <c r="C468" s="126">
        <v>45978</v>
      </c>
      <c r="D468" s="126">
        <v>45931</v>
      </c>
      <c r="E468" s="126">
        <v>45932</v>
      </c>
      <c r="F468" s="123" t="s">
        <v>5965</v>
      </c>
      <c r="G468" s="153" t="s">
        <v>4962</v>
      </c>
      <c r="I468" s="123" t="s">
        <v>4960</v>
      </c>
      <c r="J468" s="123" t="s">
        <v>1226</v>
      </c>
      <c r="K468" s="122" t="s">
        <v>2924</v>
      </c>
      <c r="L468" s="123">
        <v>9107.14</v>
      </c>
      <c r="M468" s="123">
        <v>75892.86</v>
      </c>
      <c r="AB468" s="123">
        <v>85000</v>
      </c>
      <c r="AC468" s="123">
        <f t="shared" si="9"/>
        <v>0</v>
      </c>
      <c r="AE468" s="123">
        <v>758.93</v>
      </c>
    </row>
    <row r="469" spans="1:31" x14ac:dyDescent="0.25">
      <c r="A469" s="154" t="s">
        <v>5944</v>
      </c>
      <c r="B469" s="155" t="s">
        <v>5952</v>
      </c>
      <c r="C469" s="126">
        <v>45964</v>
      </c>
      <c r="D469" s="126">
        <v>45931</v>
      </c>
      <c r="E469" s="126">
        <v>45951</v>
      </c>
      <c r="F469" s="123" t="s">
        <v>6095</v>
      </c>
      <c r="G469" s="153" t="s">
        <v>5956</v>
      </c>
      <c r="I469" s="123" t="s">
        <v>5957</v>
      </c>
      <c r="J469" s="123" t="s">
        <v>83</v>
      </c>
      <c r="K469" s="122" t="s">
        <v>1336</v>
      </c>
      <c r="L469" s="123">
        <v>12342.86</v>
      </c>
      <c r="M469" s="123">
        <v>102857.14</v>
      </c>
      <c r="AB469" s="123">
        <v>115200</v>
      </c>
      <c r="AC469" s="123">
        <f t="shared" si="9"/>
        <v>0</v>
      </c>
      <c r="AE469" s="123">
        <v>1028.57</v>
      </c>
    </row>
    <row r="470" spans="1:31" x14ac:dyDescent="0.25">
      <c r="A470" s="154" t="s">
        <v>5945</v>
      </c>
      <c r="B470" s="155" t="s">
        <v>5953</v>
      </c>
      <c r="C470" s="126">
        <v>45978</v>
      </c>
      <c r="D470" s="126">
        <v>45931</v>
      </c>
      <c r="E470" s="126">
        <v>45932</v>
      </c>
      <c r="F470" s="123" t="s">
        <v>5966</v>
      </c>
      <c r="G470" s="153" t="s">
        <v>5958</v>
      </c>
      <c r="I470" s="123" t="s">
        <v>5959</v>
      </c>
      <c r="J470" s="123" t="s">
        <v>1226</v>
      </c>
      <c r="K470" s="122" t="s">
        <v>2924</v>
      </c>
      <c r="L470" s="123">
        <v>5089.29</v>
      </c>
      <c r="M470" s="123">
        <v>42410.71</v>
      </c>
      <c r="AB470" s="123">
        <v>47500</v>
      </c>
      <c r="AC470" s="123">
        <f t="shared" si="9"/>
        <v>0</v>
      </c>
      <c r="AE470" s="123">
        <v>424.11</v>
      </c>
    </row>
    <row r="471" spans="1:31" x14ac:dyDescent="0.25">
      <c r="A471" s="154" t="s">
        <v>5946</v>
      </c>
      <c r="B471" s="155" t="s">
        <v>5954</v>
      </c>
      <c r="C471" s="126">
        <v>45932</v>
      </c>
      <c r="D471" s="126">
        <v>45932</v>
      </c>
      <c r="E471" s="126">
        <v>45944</v>
      </c>
      <c r="F471" s="123" t="s">
        <v>6027</v>
      </c>
      <c r="G471" s="153" t="s">
        <v>5960</v>
      </c>
      <c r="I471" s="123" t="s">
        <v>5961</v>
      </c>
      <c r="J471" s="122" t="s">
        <v>4717</v>
      </c>
      <c r="K471" s="122" t="s">
        <v>4718</v>
      </c>
      <c r="L471" s="123">
        <v>341.79</v>
      </c>
      <c r="M471" s="123">
        <v>2848.21</v>
      </c>
      <c r="AB471" s="123">
        <v>3190</v>
      </c>
      <c r="AC471" s="123">
        <f t="shared" si="9"/>
        <v>0</v>
      </c>
      <c r="AE471" s="123">
        <v>28.48</v>
      </c>
    </row>
    <row r="472" spans="1:31" x14ac:dyDescent="0.25">
      <c r="A472" s="154" t="s">
        <v>5947</v>
      </c>
      <c r="B472" s="155" t="s">
        <v>5955</v>
      </c>
      <c r="C472" s="126">
        <v>45980</v>
      </c>
      <c r="D472" s="126">
        <v>45932</v>
      </c>
      <c r="E472" s="126">
        <v>45950</v>
      </c>
      <c r="F472" s="123" t="s">
        <v>6263</v>
      </c>
      <c r="G472" s="153" t="s">
        <v>5962</v>
      </c>
      <c r="I472" s="123" t="s">
        <v>5963</v>
      </c>
      <c r="J472" s="123" t="s">
        <v>1226</v>
      </c>
      <c r="K472" s="122" t="s">
        <v>2924</v>
      </c>
      <c r="L472" s="123">
        <v>2357.14</v>
      </c>
      <c r="M472" s="123">
        <v>19642.86</v>
      </c>
      <c r="AB472" s="123">
        <v>22000</v>
      </c>
      <c r="AC472" s="123">
        <f t="shared" si="9"/>
        <v>0</v>
      </c>
      <c r="AE472" s="123">
        <v>196.43</v>
      </c>
    </row>
    <row r="473" spans="1:31" x14ac:dyDescent="0.25">
      <c r="A473" s="154" t="s">
        <v>5948</v>
      </c>
      <c r="B473" s="125" t="s">
        <v>5964</v>
      </c>
      <c r="C473" s="126">
        <v>45932</v>
      </c>
      <c r="D473" s="126">
        <v>45932</v>
      </c>
      <c r="I473" s="123" t="s">
        <v>4459</v>
      </c>
      <c r="J473" s="123" t="s">
        <v>39</v>
      </c>
      <c r="P473" s="123">
        <v>60000</v>
      </c>
      <c r="AB473" s="123">
        <v>60000</v>
      </c>
      <c r="AC473" s="123">
        <f t="shared" si="9"/>
        <v>0</v>
      </c>
    </row>
    <row r="474" spans="1:31" x14ac:dyDescent="0.25">
      <c r="A474" s="154" t="s">
        <v>5967</v>
      </c>
      <c r="B474" s="155" t="s">
        <v>5968</v>
      </c>
      <c r="C474" s="126">
        <v>45936</v>
      </c>
      <c r="D474" s="126">
        <v>45936</v>
      </c>
      <c r="H474" s="153" t="s">
        <v>4446</v>
      </c>
      <c r="I474" s="123" t="s">
        <v>5969</v>
      </c>
      <c r="J474" s="123" t="s">
        <v>3667</v>
      </c>
      <c r="T474" s="123">
        <v>9980.86</v>
      </c>
      <c r="AB474" s="123">
        <v>9980.86</v>
      </c>
      <c r="AC474" s="123">
        <f t="shared" si="9"/>
        <v>0</v>
      </c>
    </row>
    <row r="475" spans="1:31" x14ac:dyDescent="0.25">
      <c r="A475" s="154" t="s">
        <v>5972</v>
      </c>
      <c r="B475" s="155" t="s">
        <v>5973</v>
      </c>
      <c r="C475" s="126">
        <v>45937</v>
      </c>
      <c r="D475" s="126">
        <v>45937</v>
      </c>
      <c r="E475" s="126">
        <v>45938</v>
      </c>
      <c r="F475" s="123" t="s">
        <v>5980</v>
      </c>
      <c r="I475" s="123" t="s">
        <v>5974</v>
      </c>
      <c r="J475" s="123" t="s">
        <v>5504</v>
      </c>
      <c r="AA475" s="123">
        <v>5875</v>
      </c>
      <c r="AB475" s="123">
        <v>5875</v>
      </c>
      <c r="AC475" s="123">
        <f t="shared" si="9"/>
        <v>0</v>
      </c>
    </row>
    <row r="476" spans="1:31" x14ac:dyDescent="0.25">
      <c r="A476" s="154" t="s">
        <v>5975</v>
      </c>
      <c r="B476" s="155" t="s">
        <v>5976</v>
      </c>
      <c r="C476" s="126">
        <v>45939</v>
      </c>
      <c r="D476" s="126">
        <v>45938</v>
      </c>
      <c r="E476" s="126">
        <v>45939</v>
      </c>
      <c r="F476" s="123" t="s">
        <v>5981</v>
      </c>
      <c r="G476" s="153" t="s">
        <v>5977</v>
      </c>
      <c r="I476" s="123" t="s">
        <v>53</v>
      </c>
      <c r="J476" s="123" t="s">
        <v>5275</v>
      </c>
      <c r="K476" s="123" t="s">
        <v>2978</v>
      </c>
      <c r="L476" s="123">
        <v>291.95999999999998</v>
      </c>
      <c r="M476" s="123">
        <v>2433.04</v>
      </c>
      <c r="AB476" s="123">
        <v>2725</v>
      </c>
      <c r="AC476" s="123">
        <f t="shared" si="9"/>
        <v>0</v>
      </c>
      <c r="AE476" s="123">
        <v>24.33</v>
      </c>
    </row>
    <row r="477" spans="1:31" x14ac:dyDescent="0.25">
      <c r="A477" s="154" t="s">
        <v>5982</v>
      </c>
      <c r="B477" s="155" t="s">
        <v>5996</v>
      </c>
      <c r="C477" s="126">
        <v>45943</v>
      </c>
      <c r="D477" s="126">
        <v>45943</v>
      </c>
      <c r="I477" s="122" t="s">
        <v>6004</v>
      </c>
      <c r="J477" s="122" t="s">
        <v>18</v>
      </c>
      <c r="L477" s="123">
        <v>151.09</v>
      </c>
      <c r="R477" s="123">
        <v>1259.06</v>
      </c>
      <c r="AB477" s="123">
        <v>1410.15</v>
      </c>
      <c r="AC477" s="123">
        <f t="shared" si="9"/>
        <v>0</v>
      </c>
    </row>
    <row r="478" spans="1:31" x14ac:dyDescent="0.25">
      <c r="A478" s="154" t="s">
        <v>5983</v>
      </c>
      <c r="B478" s="155" t="s">
        <v>5997</v>
      </c>
      <c r="C478" s="126">
        <v>45943</v>
      </c>
      <c r="D478" s="126">
        <v>45943</v>
      </c>
      <c r="I478" s="122" t="s">
        <v>6004</v>
      </c>
      <c r="J478" s="122" t="s">
        <v>18</v>
      </c>
      <c r="L478" s="123">
        <v>811.09</v>
      </c>
      <c r="R478" s="123">
        <v>6759.06</v>
      </c>
      <c r="AB478" s="123">
        <v>7570.15</v>
      </c>
      <c r="AC478" s="123">
        <f t="shared" si="9"/>
        <v>0</v>
      </c>
    </row>
    <row r="479" spans="1:31" x14ac:dyDescent="0.25">
      <c r="A479" s="154" t="s">
        <v>5984</v>
      </c>
      <c r="B479" s="155" t="s">
        <v>5998</v>
      </c>
      <c r="C479" s="126">
        <v>45943</v>
      </c>
      <c r="D479" s="126">
        <v>45943</v>
      </c>
      <c r="I479" s="122" t="s">
        <v>6005</v>
      </c>
      <c r="J479" s="123" t="s">
        <v>43</v>
      </c>
      <c r="L479" s="123">
        <v>32.14</v>
      </c>
      <c r="S479" s="123">
        <v>267.86</v>
      </c>
      <c r="AB479" s="123">
        <v>300</v>
      </c>
      <c r="AC479" s="123">
        <f t="shared" si="9"/>
        <v>0</v>
      </c>
    </row>
    <row r="480" spans="1:31" x14ac:dyDescent="0.25">
      <c r="A480" s="154" t="s">
        <v>5985</v>
      </c>
      <c r="B480" s="155" t="s">
        <v>5999</v>
      </c>
      <c r="C480" s="126">
        <v>45943</v>
      </c>
      <c r="D480" s="126">
        <v>45943</v>
      </c>
      <c r="I480" s="123" t="s">
        <v>6006</v>
      </c>
      <c r="J480" s="123" t="s">
        <v>46</v>
      </c>
      <c r="L480" s="123">
        <v>160.61000000000001</v>
      </c>
      <c r="S480" s="123">
        <v>1338.39</v>
      </c>
      <c r="AB480" s="123">
        <v>1499</v>
      </c>
      <c r="AC480" s="123">
        <f t="shared" si="9"/>
        <v>0</v>
      </c>
    </row>
    <row r="481" spans="1:31" x14ac:dyDescent="0.25">
      <c r="A481" s="154" t="s">
        <v>5986</v>
      </c>
      <c r="B481" s="155" t="s">
        <v>6000</v>
      </c>
      <c r="C481" s="126">
        <v>45943</v>
      </c>
      <c r="D481" s="126">
        <v>45943</v>
      </c>
      <c r="I481" s="123" t="s">
        <v>6007</v>
      </c>
      <c r="J481" s="123" t="s">
        <v>46</v>
      </c>
      <c r="L481" s="123">
        <v>107.04</v>
      </c>
      <c r="S481" s="123">
        <v>891.96</v>
      </c>
      <c r="AB481" s="123">
        <v>999</v>
      </c>
      <c r="AC481" s="123">
        <f t="shared" si="9"/>
        <v>0</v>
      </c>
    </row>
    <row r="482" spans="1:31" x14ac:dyDescent="0.25">
      <c r="A482" s="154" t="s">
        <v>5987</v>
      </c>
      <c r="B482" s="155" t="s">
        <v>6001</v>
      </c>
      <c r="C482" s="126">
        <v>45943</v>
      </c>
      <c r="D482" s="126">
        <v>45943</v>
      </c>
      <c r="H482" s="153" t="s">
        <v>4454</v>
      </c>
      <c r="I482" s="123" t="s">
        <v>4811</v>
      </c>
      <c r="J482" s="123" t="s">
        <v>3667</v>
      </c>
      <c r="T482" s="123">
        <v>7989.11</v>
      </c>
      <c r="AB482" s="123">
        <v>7989.11</v>
      </c>
      <c r="AC482" s="123">
        <f t="shared" si="9"/>
        <v>0</v>
      </c>
    </row>
    <row r="483" spans="1:31" x14ac:dyDescent="0.25">
      <c r="A483" s="154" t="s">
        <v>5988</v>
      </c>
      <c r="B483" s="155" t="s">
        <v>6002</v>
      </c>
      <c r="C483" s="126">
        <v>45943</v>
      </c>
      <c r="D483" s="126">
        <v>45943</v>
      </c>
      <c r="G483" s="153" t="s">
        <v>6014</v>
      </c>
      <c r="I483" s="123" t="s">
        <v>6008</v>
      </c>
      <c r="J483" s="123" t="s">
        <v>1457</v>
      </c>
      <c r="AA483" s="123">
        <v>12500</v>
      </c>
      <c r="AB483" s="123">
        <v>12500</v>
      </c>
      <c r="AC483" s="123">
        <f t="shared" si="9"/>
        <v>0</v>
      </c>
    </row>
    <row r="484" spans="1:31" x14ac:dyDescent="0.25">
      <c r="A484" s="154" t="s">
        <v>5989</v>
      </c>
      <c r="B484" s="155" t="s">
        <v>6003</v>
      </c>
      <c r="C484" s="126">
        <v>45946</v>
      </c>
      <c r="D484" s="126">
        <v>45943</v>
      </c>
      <c r="E484" s="126">
        <v>45944</v>
      </c>
      <c r="F484" s="123" t="s">
        <v>6028</v>
      </c>
      <c r="G484" s="153" t="s">
        <v>6015</v>
      </c>
      <c r="I484" s="123" t="s">
        <v>6009</v>
      </c>
      <c r="J484" s="123" t="s">
        <v>4717</v>
      </c>
      <c r="K484" s="122" t="s">
        <v>4718</v>
      </c>
      <c r="L484" s="123">
        <v>3144.64</v>
      </c>
      <c r="M484" s="123">
        <v>26205.360000000001</v>
      </c>
      <c r="AB484" s="123">
        <v>29350</v>
      </c>
      <c r="AC484" s="123">
        <f t="shared" si="9"/>
        <v>0</v>
      </c>
      <c r="AE484" s="123">
        <v>262.05</v>
      </c>
    </row>
    <row r="485" spans="1:31" x14ac:dyDescent="0.25">
      <c r="A485" s="154" t="s">
        <v>5990</v>
      </c>
      <c r="B485" s="155" t="s">
        <v>6010</v>
      </c>
      <c r="C485" s="126">
        <v>45974</v>
      </c>
      <c r="D485" s="126">
        <v>45943</v>
      </c>
      <c r="E485" s="126">
        <v>45993</v>
      </c>
      <c r="F485" s="123" t="s">
        <v>6268</v>
      </c>
      <c r="G485" s="153" t="s">
        <v>6016</v>
      </c>
      <c r="I485" s="123" t="s">
        <v>5828</v>
      </c>
      <c r="J485" s="123" t="s">
        <v>83</v>
      </c>
      <c r="K485" s="122" t="s">
        <v>1336</v>
      </c>
      <c r="L485" s="123">
        <v>11571.43</v>
      </c>
      <c r="M485" s="123">
        <v>96428.57</v>
      </c>
      <c r="AB485" s="123">
        <v>108000</v>
      </c>
      <c r="AC485" s="123">
        <f t="shared" si="9"/>
        <v>0</v>
      </c>
      <c r="AE485" s="123">
        <v>964.29</v>
      </c>
    </row>
    <row r="486" spans="1:31" x14ac:dyDescent="0.25">
      <c r="A486" s="154" t="s">
        <v>5991</v>
      </c>
      <c r="B486" s="155" t="s">
        <v>6011</v>
      </c>
      <c r="C486" s="171">
        <v>45943</v>
      </c>
      <c r="D486" s="126">
        <v>45943</v>
      </c>
      <c r="I486" s="123" t="s">
        <v>4612</v>
      </c>
      <c r="J486" s="123" t="s">
        <v>1847</v>
      </c>
      <c r="AA486" s="123">
        <v>28160</v>
      </c>
      <c r="AB486" s="123">
        <v>28160</v>
      </c>
      <c r="AC486" s="123">
        <f t="shared" si="9"/>
        <v>0</v>
      </c>
    </row>
    <row r="487" spans="1:31" x14ac:dyDescent="0.25">
      <c r="A487" s="154" t="s">
        <v>5992</v>
      </c>
      <c r="B487" s="155" t="s">
        <v>6012</v>
      </c>
      <c r="C487" s="170">
        <v>45945</v>
      </c>
      <c r="D487" s="126">
        <v>45943</v>
      </c>
      <c r="I487" s="123" t="s">
        <v>4612</v>
      </c>
      <c r="J487" s="123" t="s">
        <v>125</v>
      </c>
      <c r="AA487" s="123">
        <v>33125</v>
      </c>
      <c r="AB487" s="123">
        <v>33125</v>
      </c>
      <c r="AC487" s="123">
        <f t="shared" si="9"/>
        <v>0</v>
      </c>
    </row>
    <row r="488" spans="1:31" x14ac:dyDescent="0.25">
      <c r="A488" s="154" t="s">
        <v>5993</v>
      </c>
      <c r="B488" s="125" t="s">
        <v>6017</v>
      </c>
      <c r="C488" s="170">
        <v>45943</v>
      </c>
      <c r="D488" s="126">
        <v>45943</v>
      </c>
      <c r="E488" s="126">
        <v>45947</v>
      </c>
      <c r="F488" s="123" t="s">
        <v>6200</v>
      </c>
      <c r="I488" s="123" t="s">
        <v>5180</v>
      </c>
      <c r="J488" s="123" t="s">
        <v>1457</v>
      </c>
      <c r="N488" s="123">
        <v>55230</v>
      </c>
      <c r="AB488" s="123">
        <v>55230</v>
      </c>
      <c r="AC488" s="123">
        <f t="shared" si="9"/>
        <v>0</v>
      </c>
    </row>
    <row r="489" spans="1:31" x14ac:dyDescent="0.25">
      <c r="A489" s="154" t="s">
        <v>5994</v>
      </c>
      <c r="B489" s="125" t="s">
        <v>6018</v>
      </c>
      <c r="C489" s="126">
        <v>45943</v>
      </c>
      <c r="D489" s="126">
        <v>45943</v>
      </c>
      <c r="E489" s="126">
        <v>45947</v>
      </c>
      <c r="F489" s="123" t="s">
        <v>6199</v>
      </c>
      <c r="I489" s="123" t="s">
        <v>6019</v>
      </c>
      <c r="J489" s="123" t="s">
        <v>1457</v>
      </c>
      <c r="N489" s="123">
        <v>54425</v>
      </c>
      <c r="AB489" s="123">
        <v>54425</v>
      </c>
      <c r="AC489" s="123">
        <f t="shared" si="9"/>
        <v>0</v>
      </c>
    </row>
    <row r="490" spans="1:31" x14ac:dyDescent="0.25">
      <c r="A490" s="154" t="s">
        <v>5995</v>
      </c>
      <c r="B490" s="125" t="s">
        <v>6020</v>
      </c>
      <c r="C490" s="126">
        <v>45943</v>
      </c>
      <c r="D490" s="126">
        <v>45943</v>
      </c>
      <c r="I490" s="123" t="s">
        <v>41</v>
      </c>
      <c r="J490" s="123" t="s">
        <v>54</v>
      </c>
      <c r="Z490" s="123">
        <v>300000</v>
      </c>
      <c r="AB490" s="123">
        <v>300000</v>
      </c>
      <c r="AC490" s="123">
        <f t="shared" si="9"/>
        <v>0</v>
      </c>
    </row>
    <row r="491" spans="1:31" x14ac:dyDescent="0.25">
      <c r="A491" s="154" t="s">
        <v>6021</v>
      </c>
      <c r="B491" s="155" t="s">
        <v>6013</v>
      </c>
      <c r="C491" s="126">
        <v>45977</v>
      </c>
      <c r="D491" s="126">
        <v>45943</v>
      </c>
      <c r="E491" s="124">
        <v>45945</v>
      </c>
      <c r="F491" s="123" t="s">
        <v>6051</v>
      </c>
      <c r="G491" s="153" t="s">
        <v>6052</v>
      </c>
      <c r="I491" s="123" t="s">
        <v>6022</v>
      </c>
      <c r="J491" s="123" t="s">
        <v>2687</v>
      </c>
      <c r="K491" s="122" t="s">
        <v>61</v>
      </c>
      <c r="L491" s="123">
        <v>1414.29</v>
      </c>
      <c r="M491" s="123">
        <v>11785.71</v>
      </c>
      <c r="AB491" s="123">
        <v>13200</v>
      </c>
      <c r="AC491" s="123">
        <f t="shared" si="9"/>
        <v>0</v>
      </c>
      <c r="AE491" s="123">
        <v>117.86</v>
      </c>
    </row>
    <row r="492" spans="1:31" x14ac:dyDescent="0.25">
      <c r="A492" s="154" t="s">
        <v>6023</v>
      </c>
      <c r="B492" s="125" t="s">
        <v>6024</v>
      </c>
      <c r="C492" s="126">
        <v>45944</v>
      </c>
      <c r="D492" s="126">
        <v>45943</v>
      </c>
      <c r="E492" s="124"/>
      <c r="I492" s="123" t="s">
        <v>6025</v>
      </c>
      <c r="J492" s="123" t="s">
        <v>6026</v>
      </c>
      <c r="AA492" s="123">
        <v>19964</v>
      </c>
      <c r="AB492" s="123">
        <v>19964</v>
      </c>
      <c r="AC492" s="123">
        <f t="shared" si="9"/>
        <v>0</v>
      </c>
    </row>
    <row r="493" spans="1:31" x14ac:dyDescent="0.25">
      <c r="A493" s="154" t="s">
        <v>6029</v>
      </c>
      <c r="B493" s="155" t="s">
        <v>6041</v>
      </c>
      <c r="C493" s="126">
        <v>45945</v>
      </c>
      <c r="D493" s="126">
        <v>45945</v>
      </c>
      <c r="E493" s="124"/>
      <c r="I493" s="123" t="s">
        <v>6046</v>
      </c>
      <c r="J493" s="123" t="s">
        <v>39</v>
      </c>
      <c r="AA493" s="123">
        <v>1503.11</v>
      </c>
      <c r="AB493" s="123">
        <v>1503.11</v>
      </c>
      <c r="AC493" s="123">
        <f t="shared" si="9"/>
        <v>0</v>
      </c>
    </row>
    <row r="494" spans="1:31" x14ac:dyDescent="0.25">
      <c r="A494" s="154" t="s">
        <v>6030</v>
      </c>
      <c r="B494" s="155" t="s">
        <v>6042</v>
      </c>
      <c r="C494" s="126">
        <v>45945</v>
      </c>
      <c r="D494" s="126">
        <v>45945</v>
      </c>
      <c r="E494" s="124"/>
      <c r="I494" s="122" t="s">
        <v>6048</v>
      </c>
      <c r="J494" s="122" t="s">
        <v>4628</v>
      </c>
      <c r="X494" s="123">
        <v>8380.27</v>
      </c>
      <c r="AB494" s="123">
        <v>8380.27</v>
      </c>
      <c r="AC494" s="123">
        <f t="shared" si="9"/>
        <v>0</v>
      </c>
    </row>
    <row r="495" spans="1:31" x14ac:dyDescent="0.25">
      <c r="A495" s="154" t="s">
        <v>6031</v>
      </c>
      <c r="B495" s="155" t="s">
        <v>6043</v>
      </c>
      <c r="C495" s="126">
        <v>45945</v>
      </c>
      <c r="D495" s="126">
        <v>45945</v>
      </c>
      <c r="E495" s="124">
        <v>45945</v>
      </c>
      <c r="F495" s="123" t="s">
        <v>6053</v>
      </c>
      <c r="G495" s="153" t="s">
        <v>6054</v>
      </c>
      <c r="I495" s="123" t="s">
        <v>6049</v>
      </c>
      <c r="J495" s="123" t="s">
        <v>4717</v>
      </c>
      <c r="K495" s="122" t="s">
        <v>4718</v>
      </c>
      <c r="L495" s="123">
        <v>492.86</v>
      </c>
      <c r="M495" s="123">
        <v>4107.1400000000003</v>
      </c>
      <c r="AB495" s="123">
        <v>4600</v>
      </c>
      <c r="AC495" s="123">
        <f t="shared" si="9"/>
        <v>0</v>
      </c>
      <c r="AE495" s="123">
        <v>41.07</v>
      </c>
    </row>
    <row r="496" spans="1:31" x14ac:dyDescent="0.25">
      <c r="A496" s="154" t="s">
        <v>6032</v>
      </c>
      <c r="B496" s="155" t="s">
        <v>6044</v>
      </c>
      <c r="C496" s="126">
        <v>45946</v>
      </c>
      <c r="D496" s="126">
        <v>45945</v>
      </c>
      <c r="E496" s="124">
        <v>45945</v>
      </c>
      <c r="F496" s="123" t="s">
        <v>6055</v>
      </c>
      <c r="G496" s="153" t="s">
        <v>6056</v>
      </c>
      <c r="I496" s="123" t="s">
        <v>6050</v>
      </c>
      <c r="J496" s="123" t="s">
        <v>4717</v>
      </c>
      <c r="K496" s="122" t="s">
        <v>4718</v>
      </c>
      <c r="L496" s="123">
        <v>535.71</v>
      </c>
      <c r="M496" s="123">
        <v>4464.29</v>
      </c>
      <c r="AB496" s="123">
        <v>5000</v>
      </c>
      <c r="AC496" s="123">
        <f t="shared" si="9"/>
        <v>0</v>
      </c>
      <c r="AE496" s="123">
        <v>44.64</v>
      </c>
    </row>
    <row r="497" spans="1:31" x14ac:dyDescent="0.25">
      <c r="A497" s="154" t="s">
        <v>6033</v>
      </c>
      <c r="B497" s="155" t="s">
        <v>6045</v>
      </c>
      <c r="C497" s="126">
        <v>45947</v>
      </c>
      <c r="D497" s="126">
        <v>45947</v>
      </c>
      <c r="E497" s="124"/>
      <c r="H497" s="153" t="s">
        <v>4463</v>
      </c>
      <c r="I497" s="123" t="s">
        <v>6057</v>
      </c>
      <c r="J497" s="123" t="s">
        <v>39</v>
      </c>
      <c r="AA497" s="123">
        <v>5000</v>
      </c>
      <c r="AB497" s="123">
        <v>5000</v>
      </c>
      <c r="AC497" s="123">
        <f t="shared" si="9"/>
        <v>0</v>
      </c>
    </row>
    <row r="498" spans="1:31" x14ac:dyDescent="0.25">
      <c r="A498" s="154" t="s">
        <v>6034</v>
      </c>
      <c r="B498" s="155" t="s">
        <v>6047</v>
      </c>
      <c r="C498" s="126">
        <v>45950</v>
      </c>
      <c r="D498" s="126">
        <v>45950</v>
      </c>
      <c r="E498" s="124"/>
      <c r="I498" s="123" t="s">
        <v>6062</v>
      </c>
      <c r="J498" s="123" t="s">
        <v>1457</v>
      </c>
      <c r="AA498" s="123">
        <v>38000</v>
      </c>
      <c r="AB498" s="123">
        <v>38000</v>
      </c>
      <c r="AC498" s="123">
        <f t="shared" si="9"/>
        <v>0</v>
      </c>
    </row>
    <row r="499" spans="1:31" x14ac:dyDescent="0.25">
      <c r="A499" s="154" t="s">
        <v>6035</v>
      </c>
      <c r="B499" s="155" t="s">
        <v>6058</v>
      </c>
      <c r="C499" s="126">
        <v>45978</v>
      </c>
      <c r="D499" s="126">
        <v>45950</v>
      </c>
      <c r="E499" s="126">
        <v>45980</v>
      </c>
      <c r="F499" s="123" t="s">
        <v>6231</v>
      </c>
      <c r="G499" s="153" t="s">
        <v>6063</v>
      </c>
      <c r="I499" s="123" t="s">
        <v>6064</v>
      </c>
      <c r="J499" s="123" t="s">
        <v>3527</v>
      </c>
      <c r="K499" s="122" t="s">
        <v>3530</v>
      </c>
      <c r="L499" s="123">
        <v>3787.5</v>
      </c>
      <c r="M499" s="123">
        <v>31562.5</v>
      </c>
      <c r="AB499" s="123">
        <v>35350</v>
      </c>
      <c r="AC499" s="123">
        <f t="shared" si="9"/>
        <v>0</v>
      </c>
      <c r="AE499" s="123">
        <v>315.63</v>
      </c>
    </row>
    <row r="500" spans="1:31" x14ac:dyDescent="0.25">
      <c r="A500" s="154" t="s">
        <v>6036</v>
      </c>
      <c r="B500" s="155" t="s">
        <v>6059</v>
      </c>
      <c r="C500" s="126">
        <v>45978</v>
      </c>
      <c r="D500" s="126">
        <v>45950</v>
      </c>
      <c r="E500" s="126">
        <v>45950</v>
      </c>
      <c r="F500" s="123" t="s">
        <v>6074</v>
      </c>
      <c r="G500" s="153" t="s">
        <v>6065</v>
      </c>
      <c r="I500" s="123" t="s">
        <v>5559</v>
      </c>
      <c r="J500" s="123" t="s">
        <v>2687</v>
      </c>
      <c r="K500" s="122" t="s">
        <v>61</v>
      </c>
      <c r="L500" s="123">
        <v>5142.8599999999997</v>
      </c>
      <c r="M500" s="123">
        <v>42857.14</v>
      </c>
      <c r="AB500" s="123">
        <v>48000</v>
      </c>
      <c r="AC500" s="123">
        <f t="shared" ref="AC500:AC555" si="10">SUM(AB500:AB500)-SUM(L500:AA500)</f>
        <v>0</v>
      </c>
      <c r="AE500" s="123">
        <v>428.57</v>
      </c>
    </row>
    <row r="501" spans="1:31" x14ac:dyDescent="0.25">
      <c r="A501" s="154" t="s">
        <v>6037</v>
      </c>
      <c r="B501" s="155" t="s">
        <v>6060</v>
      </c>
      <c r="C501" s="126">
        <v>45950</v>
      </c>
      <c r="D501" s="126">
        <v>45950</v>
      </c>
      <c r="E501" s="124">
        <v>45953</v>
      </c>
      <c r="F501" s="123" t="s">
        <v>6097</v>
      </c>
      <c r="G501" s="153" t="s">
        <v>6066</v>
      </c>
      <c r="I501" s="123" t="s">
        <v>6067</v>
      </c>
      <c r="J501" s="123" t="s">
        <v>6068</v>
      </c>
      <c r="K501" s="123" t="s">
        <v>6069</v>
      </c>
      <c r="L501" s="123">
        <v>964.29</v>
      </c>
      <c r="M501" s="123">
        <v>8035.71</v>
      </c>
      <c r="AB501" s="123">
        <v>9000</v>
      </c>
      <c r="AC501" s="123">
        <f t="shared" si="10"/>
        <v>0</v>
      </c>
      <c r="AE501" s="123">
        <v>80.36</v>
      </c>
    </row>
    <row r="502" spans="1:31" x14ac:dyDescent="0.25">
      <c r="A502" s="154" t="s">
        <v>6038</v>
      </c>
      <c r="B502" s="125" t="s">
        <v>6071</v>
      </c>
      <c r="C502" s="126">
        <v>45957</v>
      </c>
      <c r="D502" s="126">
        <v>45950</v>
      </c>
      <c r="E502" s="124">
        <v>45950</v>
      </c>
      <c r="F502" s="123" t="s">
        <v>6262</v>
      </c>
      <c r="G502" s="153" t="s">
        <v>6070</v>
      </c>
      <c r="I502" s="123" t="s">
        <v>6072</v>
      </c>
      <c r="J502" s="123" t="s">
        <v>4717</v>
      </c>
      <c r="K502" s="122" t="s">
        <v>4718</v>
      </c>
      <c r="L502" s="123">
        <v>12768.21</v>
      </c>
      <c r="M502" s="123">
        <v>106401.79</v>
      </c>
      <c r="AB502" s="123">
        <v>119170</v>
      </c>
      <c r="AC502" s="123">
        <f t="shared" si="10"/>
        <v>0</v>
      </c>
      <c r="AE502" s="123">
        <v>1064.02</v>
      </c>
    </row>
    <row r="503" spans="1:31" x14ac:dyDescent="0.25">
      <c r="A503" s="154" t="s">
        <v>6039</v>
      </c>
      <c r="B503" s="125" t="s">
        <v>6073</v>
      </c>
      <c r="C503" s="126">
        <v>45950</v>
      </c>
      <c r="D503" s="126">
        <v>45950</v>
      </c>
      <c r="E503" s="124"/>
      <c r="I503" s="123" t="s">
        <v>41</v>
      </c>
      <c r="J503" s="123" t="s">
        <v>5759</v>
      </c>
      <c r="Z503" s="123">
        <v>300000</v>
      </c>
      <c r="AB503" s="123">
        <v>300000</v>
      </c>
      <c r="AC503" s="123">
        <f t="shared" si="10"/>
        <v>0</v>
      </c>
    </row>
    <row r="504" spans="1:31" x14ac:dyDescent="0.25">
      <c r="A504" s="154" t="s">
        <v>6040</v>
      </c>
      <c r="B504" s="155" t="s">
        <v>6061</v>
      </c>
      <c r="C504" s="126">
        <v>45950</v>
      </c>
      <c r="D504" s="126">
        <v>45950</v>
      </c>
      <c r="E504" s="124"/>
      <c r="I504" s="123" t="s">
        <v>3979</v>
      </c>
      <c r="J504" s="123" t="s">
        <v>3667</v>
      </c>
      <c r="L504" s="123">
        <v>1396.02</v>
      </c>
      <c r="S504" s="123">
        <v>11633.47</v>
      </c>
      <c r="AB504" s="123">
        <v>13029.49</v>
      </c>
      <c r="AC504" s="123">
        <f t="shared" si="10"/>
        <v>0</v>
      </c>
    </row>
    <row r="505" spans="1:31" x14ac:dyDescent="0.25">
      <c r="A505" s="154" t="s">
        <v>6075</v>
      </c>
      <c r="B505" s="155" t="s">
        <v>6081</v>
      </c>
      <c r="C505" s="126">
        <v>45996</v>
      </c>
      <c r="D505" s="126">
        <v>45951</v>
      </c>
      <c r="E505" s="126">
        <v>45964</v>
      </c>
      <c r="F505" s="123" t="s">
        <v>6143</v>
      </c>
      <c r="G505" s="153" t="s">
        <v>6082</v>
      </c>
      <c r="I505" s="123" t="s">
        <v>6083</v>
      </c>
      <c r="J505" s="123" t="s">
        <v>1226</v>
      </c>
      <c r="K505" s="122" t="s">
        <v>2924</v>
      </c>
      <c r="L505" s="123">
        <v>4896.43</v>
      </c>
      <c r="M505" s="123">
        <v>40803.57</v>
      </c>
      <c r="AB505" s="123">
        <v>45700</v>
      </c>
      <c r="AC505" s="123">
        <f t="shared" si="10"/>
        <v>0</v>
      </c>
      <c r="AE505" s="123">
        <v>408.04</v>
      </c>
    </row>
    <row r="506" spans="1:31" x14ac:dyDescent="0.25">
      <c r="A506" s="154" t="s">
        <v>6076</v>
      </c>
      <c r="B506" s="155" t="s">
        <v>6084</v>
      </c>
      <c r="C506" s="126">
        <v>45982</v>
      </c>
      <c r="D506" s="126">
        <v>45951</v>
      </c>
      <c r="E506" s="126">
        <v>45951</v>
      </c>
      <c r="F506" s="123" t="s">
        <v>6093</v>
      </c>
      <c r="G506" s="153" t="s">
        <v>6090</v>
      </c>
      <c r="I506" s="123" t="s">
        <v>6091</v>
      </c>
      <c r="J506" s="123" t="s">
        <v>83</v>
      </c>
      <c r="K506" s="122" t="s">
        <v>1336</v>
      </c>
      <c r="L506" s="123">
        <v>6942.86</v>
      </c>
      <c r="M506" s="123">
        <v>57857.14</v>
      </c>
      <c r="AB506" s="123">
        <v>64800</v>
      </c>
      <c r="AC506" s="123">
        <f t="shared" si="10"/>
        <v>0</v>
      </c>
      <c r="AE506" s="123">
        <v>578.57000000000005</v>
      </c>
    </row>
    <row r="507" spans="1:31" x14ac:dyDescent="0.25">
      <c r="A507" s="154" t="s">
        <v>6077</v>
      </c>
      <c r="B507" s="155" t="s">
        <v>6085</v>
      </c>
      <c r="C507" s="126">
        <v>45999</v>
      </c>
      <c r="D507" s="126">
        <v>45951</v>
      </c>
      <c r="E507" s="126">
        <v>45964</v>
      </c>
      <c r="F507" s="123" t="s">
        <v>6141</v>
      </c>
      <c r="G507" s="153" t="s">
        <v>6092</v>
      </c>
      <c r="I507" s="123" t="s">
        <v>5502</v>
      </c>
      <c r="J507" s="123" t="s">
        <v>1226</v>
      </c>
      <c r="K507" s="122" t="s">
        <v>2924</v>
      </c>
      <c r="L507" s="123">
        <v>2357.14</v>
      </c>
      <c r="M507" s="123">
        <v>19642.86</v>
      </c>
      <c r="AB507" s="123">
        <v>22000</v>
      </c>
      <c r="AC507" s="123">
        <f t="shared" si="10"/>
        <v>0</v>
      </c>
      <c r="AE507" s="123">
        <v>196.43</v>
      </c>
    </row>
    <row r="508" spans="1:31" x14ac:dyDescent="0.25">
      <c r="A508" s="154" t="s">
        <v>6078</v>
      </c>
      <c r="B508" s="155" t="s">
        <v>6086</v>
      </c>
      <c r="C508" s="126">
        <v>45953</v>
      </c>
      <c r="D508" s="126">
        <v>45953</v>
      </c>
      <c r="H508" s="153" t="s">
        <v>4466</v>
      </c>
      <c r="I508" s="123" t="s">
        <v>4977</v>
      </c>
      <c r="J508" s="123" t="s">
        <v>3667</v>
      </c>
      <c r="T508" s="123">
        <v>13811.5</v>
      </c>
      <c r="AB508" s="123">
        <v>13811.5</v>
      </c>
      <c r="AC508" s="123">
        <f t="shared" si="10"/>
        <v>0</v>
      </c>
    </row>
    <row r="509" spans="1:31" x14ac:dyDescent="0.25">
      <c r="A509" s="154" t="s">
        <v>6079</v>
      </c>
      <c r="B509" s="155" t="s">
        <v>6087</v>
      </c>
      <c r="C509" s="126">
        <v>45957</v>
      </c>
      <c r="D509" s="126">
        <v>45957</v>
      </c>
      <c r="H509" s="153" t="s">
        <v>4508</v>
      </c>
      <c r="I509" s="123" t="s">
        <v>4427</v>
      </c>
      <c r="J509" s="123" t="s">
        <v>3667</v>
      </c>
      <c r="T509" s="123">
        <v>16260.21</v>
      </c>
      <c r="AB509" s="123">
        <v>16260.21</v>
      </c>
      <c r="AC509" s="123">
        <f t="shared" si="10"/>
        <v>0</v>
      </c>
    </row>
    <row r="510" spans="1:31" x14ac:dyDescent="0.25">
      <c r="A510" s="154" t="s">
        <v>6080</v>
      </c>
      <c r="B510" s="155" t="s">
        <v>6088</v>
      </c>
      <c r="C510" s="126">
        <v>45957</v>
      </c>
      <c r="D510" s="126">
        <v>45957</v>
      </c>
      <c r="E510" s="126">
        <v>45967</v>
      </c>
      <c r="F510" s="123" t="s">
        <v>6144</v>
      </c>
      <c r="G510" s="153" t="s">
        <v>6099</v>
      </c>
      <c r="I510" s="123" t="s">
        <v>6098</v>
      </c>
      <c r="J510" s="123" t="s">
        <v>4717</v>
      </c>
      <c r="K510" s="122" t="s">
        <v>4718</v>
      </c>
      <c r="L510" s="123">
        <v>300</v>
      </c>
      <c r="M510" s="123">
        <v>2500</v>
      </c>
      <c r="AB510" s="123">
        <v>2800</v>
      </c>
      <c r="AC510" s="123">
        <f t="shared" si="10"/>
        <v>0</v>
      </c>
      <c r="AE510" s="123">
        <v>25</v>
      </c>
    </row>
    <row r="511" spans="1:31" x14ac:dyDescent="0.25">
      <c r="A511" s="154" t="s">
        <v>6100</v>
      </c>
      <c r="B511" s="155" t="s">
        <v>6089</v>
      </c>
      <c r="C511" s="126">
        <v>45984</v>
      </c>
      <c r="D511" s="126">
        <v>45957</v>
      </c>
      <c r="E511" s="126">
        <v>45980</v>
      </c>
      <c r="F511" s="123" t="s">
        <v>6232</v>
      </c>
      <c r="G511" s="153" t="s">
        <v>6111</v>
      </c>
      <c r="I511" s="123" t="s">
        <v>6112</v>
      </c>
      <c r="J511" s="123" t="s">
        <v>3527</v>
      </c>
      <c r="K511" s="122" t="s">
        <v>3530</v>
      </c>
      <c r="L511" s="123">
        <v>1735.71</v>
      </c>
      <c r="M511" s="123">
        <v>14464.29</v>
      </c>
      <c r="AB511" s="123">
        <v>16200</v>
      </c>
      <c r="AC511" s="123">
        <f t="shared" si="10"/>
        <v>0</v>
      </c>
      <c r="AE511" s="123">
        <v>144.63999999999999</v>
      </c>
    </row>
    <row r="512" spans="1:31" x14ac:dyDescent="0.25">
      <c r="A512" s="154" t="s">
        <v>6101</v>
      </c>
      <c r="B512" s="155" t="s">
        <v>6113</v>
      </c>
      <c r="C512" s="126">
        <v>45960</v>
      </c>
      <c r="D512" s="126">
        <v>45957</v>
      </c>
      <c r="I512" s="123" t="s">
        <v>118</v>
      </c>
      <c r="J512" s="123" t="s">
        <v>1847</v>
      </c>
      <c r="AA512" s="123">
        <v>25600</v>
      </c>
      <c r="AB512" s="123">
        <v>25600</v>
      </c>
      <c r="AC512" s="123">
        <f t="shared" si="10"/>
        <v>0</v>
      </c>
    </row>
    <row r="513" spans="1:31" x14ac:dyDescent="0.25">
      <c r="A513" s="154" t="s">
        <v>6102</v>
      </c>
      <c r="B513" s="155" t="s">
        <v>6114</v>
      </c>
      <c r="C513" s="126">
        <v>45960</v>
      </c>
      <c r="D513" s="126">
        <v>45957</v>
      </c>
      <c r="I513" s="123" t="s">
        <v>118</v>
      </c>
      <c r="J513" s="123" t="s">
        <v>5175</v>
      </c>
      <c r="AA513" s="123">
        <v>14500</v>
      </c>
      <c r="AB513" s="123">
        <v>14500</v>
      </c>
      <c r="AC513" s="123">
        <f t="shared" si="10"/>
        <v>0</v>
      </c>
    </row>
    <row r="514" spans="1:31" x14ac:dyDescent="0.25">
      <c r="A514" s="154" t="s">
        <v>6103</v>
      </c>
      <c r="B514" s="155" t="s">
        <v>6115</v>
      </c>
      <c r="C514" s="126">
        <v>45957</v>
      </c>
      <c r="D514" s="126">
        <v>45957</v>
      </c>
      <c r="I514" s="123" t="s">
        <v>5167</v>
      </c>
      <c r="J514" s="123" t="s">
        <v>5235</v>
      </c>
      <c r="AA514" s="123">
        <v>8049</v>
      </c>
      <c r="AB514" s="123">
        <v>8049</v>
      </c>
      <c r="AC514" s="123">
        <f t="shared" si="10"/>
        <v>0</v>
      </c>
    </row>
    <row r="515" spans="1:31" x14ac:dyDescent="0.25">
      <c r="A515" s="154" t="s">
        <v>6104</v>
      </c>
      <c r="B515" s="125" t="s">
        <v>6117</v>
      </c>
      <c r="C515" s="126">
        <v>45957</v>
      </c>
      <c r="D515" s="126">
        <v>45957</v>
      </c>
      <c r="I515" s="123" t="s">
        <v>6118</v>
      </c>
      <c r="J515" s="123" t="s">
        <v>6119</v>
      </c>
      <c r="AA515" s="123">
        <v>60000</v>
      </c>
      <c r="AB515" s="123">
        <v>60000</v>
      </c>
      <c r="AC515" s="123">
        <f t="shared" si="10"/>
        <v>0</v>
      </c>
    </row>
    <row r="516" spans="1:31" x14ac:dyDescent="0.25">
      <c r="A516" s="154" t="s">
        <v>6105</v>
      </c>
      <c r="B516" s="155" t="s">
        <v>6120</v>
      </c>
      <c r="C516" s="126">
        <v>46007</v>
      </c>
      <c r="D516" s="126">
        <v>45959</v>
      </c>
      <c r="E516" s="126">
        <v>45964</v>
      </c>
      <c r="F516" s="123" t="s">
        <v>6142</v>
      </c>
      <c r="G516" s="153" t="s">
        <v>4962</v>
      </c>
      <c r="I516" s="123" t="s">
        <v>5794</v>
      </c>
      <c r="J516" s="123" t="s">
        <v>1226</v>
      </c>
      <c r="K516" s="122" t="s">
        <v>2924</v>
      </c>
      <c r="L516" s="123">
        <v>9107.14</v>
      </c>
      <c r="M516" s="123">
        <v>75892.86</v>
      </c>
      <c r="AB516" s="123">
        <v>85000</v>
      </c>
      <c r="AC516" s="123">
        <f t="shared" si="10"/>
        <v>0</v>
      </c>
      <c r="AE516" s="123">
        <v>758.93</v>
      </c>
    </row>
    <row r="517" spans="1:31" x14ac:dyDescent="0.25">
      <c r="A517" s="154" t="s">
        <v>6106</v>
      </c>
      <c r="B517" s="155" t="s">
        <v>6116</v>
      </c>
      <c r="C517" s="126">
        <v>46007</v>
      </c>
      <c r="D517" s="126">
        <v>45959</v>
      </c>
      <c r="E517" s="126">
        <v>45964</v>
      </c>
      <c r="F517" s="123" t="s">
        <v>6140</v>
      </c>
      <c r="G517" s="153" t="s">
        <v>6125</v>
      </c>
      <c r="I517" s="123" t="s">
        <v>6126</v>
      </c>
      <c r="J517" s="123" t="s">
        <v>1226</v>
      </c>
      <c r="K517" s="122" t="s">
        <v>2924</v>
      </c>
      <c r="L517" s="123">
        <v>803.57</v>
      </c>
      <c r="M517" s="123">
        <v>6696.43</v>
      </c>
      <c r="AB517" s="123">
        <v>7500</v>
      </c>
      <c r="AC517" s="123">
        <f t="shared" si="10"/>
        <v>0</v>
      </c>
      <c r="AE517" s="123">
        <v>66.959999999999994</v>
      </c>
    </row>
    <row r="518" spans="1:31" x14ac:dyDescent="0.25">
      <c r="A518" s="154" t="s">
        <v>6107</v>
      </c>
      <c r="B518" s="125" t="s">
        <v>6121</v>
      </c>
      <c r="C518" s="126">
        <v>45959</v>
      </c>
      <c r="D518" s="126">
        <v>45959</v>
      </c>
      <c r="I518" s="123" t="s">
        <v>6122</v>
      </c>
      <c r="J518" s="123" t="s">
        <v>1457</v>
      </c>
      <c r="AA518" s="123">
        <v>200000</v>
      </c>
      <c r="AB518" s="123">
        <v>200000</v>
      </c>
      <c r="AC518" s="123">
        <f t="shared" si="10"/>
        <v>0</v>
      </c>
    </row>
    <row r="519" spans="1:31" x14ac:dyDescent="0.25">
      <c r="A519" s="154" t="s">
        <v>6108</v>
      </c>
      <c r="B519" s="125" t="s">
        <v>6123</v>
      </c>
      <c r="C519" s="126">
        <v>45959</v>
      </c>
      <c r="D519" s="126">
        <v>45959</v>
      </c>
      <c r="I519" s="123" t="s">
        <v>6124</v>
      </c>
      <c r="J519" s="123" t="s">
        <v>6026</v>
      </c>
      <c r="AA519" s="123">
        <v>19180</v>
      </c>
      <c r="AB519" s="123">
        <v>19180</v>
      </c>
      <c r="AC519" s="123">
        <f t="shared" si="10"/>
        <v>0</v>
      </c>
    </row>
    <row r="520" spans="1:31" x14ac:dyDescent="0.25">
      <c r="A520" s="154" t="s">
        <v>6109</v>
      </c>
      <c r="B520" s="155" t="s">
        <v>6127</v>
      </c>
      <c r="C520" s="126">
        <v>45992</v>
      </c>
      <c r="D520" s="126">
        <v>45960</v>
      </c>
      <c r="E520" s="126">
        <v>45960</v>
      </c>
      <c r="F520" s="123" t="s">
        <v>6129</v>
      </c>
      <c r="G520" s="153" t="s">
        <v>6128</v>
      </c>
      <c r="I520" s="123" t="s">
        <v>1001</v>
      </c>
      <c r="J520" s="122" t="s">
        <v>2087</v>
      </c>
      <c r="K520" s="122" t="s">
        <v>2088</v>
      </c>
      <c r="L520" s="123">
        <v>11785.71</v>
      </c>
      <c r="M520" s="123">
        <v>98214.29</v>
      </c>
      <c r="AB520" s="123">
        <v>110000</v>
      </c>
      <c r="AC520" s="123">
        <f t="shared" si="10"/>
        <v>0</v>
      </c>
      <c r="AE520" s="123">
        <v>982.14</v>
      </c>
    </row>
    <row r="521" spans="1:31" x14ac:dyDescent="0.25">
      <c r="A521" s="144">
        <v>45962</v>
      </c>
      <c r="B521" s="137"/>
      <c r="C521" s="138"/>
      <c r="D521" s="138"/>
      <c r="E521" s="138"/>
      <c r="F521" s="137"/>
      <c r="G521" s="139"/>
      <c r="H521" s="139"/>
      <c r="I521" s="137"/>
      <c r="J521" s="137"/>
      <c r="K521" s="137"/>
      <c r="L521" s="140"/>
      <c r="M521" s="140"/>
      <c r="N521" s="140"/>
      <c r="O521" s="137"/>
      <c r="P521" s="137"/>
      <c r="Q521" s="137"/>
      <c r="R521" s="137"/>
      <c r="S521" s="137"/>
      <c r="T521" s="140"/>
      <c r="U521" s="141"/>
      <c r="V521" s="141"/>
      <c r="W521" s="141"/>
      <c r="X521" s="142"/>
      <c r="Y521" s="141"/>
      <c r="Z521" s="142"/>
      <c r="AA521" s="142"/>
      <c r="AB521" s="140"/>
      <c r="AC521" s="143"/>
      <c r="AD521" s="141"/>
      <c r="AE521" s="140"/>
    </row>
    <row r="522" spans="1:31" x14ac:dyDescent="0.25">
      <c r="A522" s="154" t="s">
        <v>6110</v>
      </c>
      <c r="B522" s="155" t="s">
        <v>6130</v>
      </c>
      <c r="C522" s="126">
        <v>45964</v>
      </c>
      <c r="D522" s="126">
        <v>45964</v>
      </c>
      <c r="I522" s="123" t="s">
        <v>6131</v>
      </c>
      <c r="J522" s="123" t="s">
        <v>3667</v>
      </c>
      <c r="AA522" s="123">
        <v>2164</v>
      </c>
      <c r="AB522" s="123">
        <v>2164</v>
      </c>
      <c r="AC522" s="123">
        <f t="shared" si="10"/>
        <v>0</v>
      </c>
    </row>
    <row r="523" spans="1:31" x14ac:dyDescent="0.25">
      <c r="A523" s="154" t="s">
        <v>6132</v>
      </c>
      <c r="B523" s="125" t="s">
        <v>6137</v>
      </c>
      <c r="C523" s="126">
        <v>45964</v>
      </c>
      <c r="D523" s="126">
        <v>45964</v>
      </c>
      <c r="I523" s="123" t="s">
        <v>41</v>
      </c>
      <c r="J523" s="123" t="s">
        <v>54</v>
      </c>
      <c r="Z523" s="123">
        <v>100000</v>
      </c>
      <c r="AB523" s="123">
        <v>100000</v>
      </c>
      <c r="AC523" s="123">
        <f t="shared" si="10"/>
        <v>0</v>
      </c>
    </row>
    <row r="524" spans="1:31" x14ac:dyDescent="0.25">
      <c r="A524" s="154" t="s">
        <v>6133</v>
      </c>
      <c r="B524" s="125" t="s">
        <v>6138</v>
      </c>
      <c r="C524" s="126">
        <v>45964</v>
      </c>
      <c r="D524" s="126">
        <v>45964</v>
      </c>
      <c r="I524" s="123" t="s">
        <v>6139</v>
      </c>
      <c r="J524" s="123" t="s">
        <v>39</v>
      </c>
      <c r="AA524" s="123">
        <v>153419.75</v>
      </c>
      <c r="AB524" s="123">
        <v>160000</v>
      </c>
      <c r="AC524" s="123">
        <f t="shared" si="10"/>
        <v>6580.25</v>
      </c>
      <c r="AD524" s="145" t="s">
        <v>6370</v>
      </c>
    </row>
    <row r="525" spans="1:31" x14ac:dyDescent="0.25">
      <c r="A525" s="154" t="s">
        <v>6134</v>
      </c>
      <c r="B525" s="155" t="s">
        <v>6153</v>
      </c>
      <c r="C525" s="126">
        <v>45966</v>
      </c>
      <c r="D525" s="126">
        <v>45966</v>
      </c>
      <c r="I525" s="123" t="s">
        <v>6154</v>
      </c>
      <c r="J525" s="123" t="s">
        <v>1469</v>
      </c>
      <c r="AA525" s="123">
        <v>8700</v>
      </c>
      <c r="AB525" s="123">
        <v>8700</v>
      </c>
      <c r="AC525" s="123">
        <f t="shared" si="10"/>
        <v>0</v>
      </c>
    </row>
    <row r="526" spans="1:31" x14ac:dyDescent="0.25">
      <c r="A526" s="154" t="s">
        <v>6145</v>
      </c>
      <c r="B526" s="155" t="s">
        <v>6155</v>
      </c>
      <c r="C526" s="126">
        <v>45966</v>
      </c>
      <c r="D526" s="126">
        <v>45966</v>
      </c>
      <c r="H526" s="153" t="s">
        <v>4529</v>
      </c>
      <c r="I526" s="123" t="s">
        <v>4427</v>
      </c>
      <c r="J526" s="123" t="s">
        <v>39</v>
      </c>
      <c r="T526" s="123">
        <v>9654.51</v>
      </c>
      <c r="AB526" s="123">
        <v>9654.51</v>
      </c>
      <c r="AC526" s="123">
        <f t="shared" si="10"/>
        <v>0</v>
      </c>
    </row>
    <row r="527" spans="1:31" x14ac:dyDescent="0.25">
      <c r="A527" s="154" t="s">
        <v>6146</v>
      </c>
      <c r="B527" s="155" t="s">
        <v>6135</v>
      </c>
      <c r="C527" s="126">
        <v>45972</v>
      </c>
      <c r="D527" s="126">
        <v>45966</v>
      </c>
      <c r="E527" s="126">
        <v>45967</v>
      </c>
      <c r="F527" s="123" t="s">
        <v>6149</v>
      </c>
      <c r="G527" s="153" t="s">
        <v>6150</v>
      </c>
      <c r="I527" s="123" t="s">
        <v>6151</v>
      </c>
      <c r="J527" s="123" t="s">
        <v>4717</v>
      </c>
      <c r="K527" s="122" t="s">
        <v>4718</v>
      </c>
      <c r="L527" s="123">
        <v>6445.71</v>
      </c>
      <c r="M527" s="123">
        <v>53714.29</v>
      </c>
      <c r="AB527" s="123">
        <v>60160</v>
      </c>
      <c r="AC527" s="123">
        <f t="shared" si="10"/>
        <v>0</v>
      </c>
      <c r="AE527" s="123">
        <v>537.14</v>
      </c>
    </row>
    <row r="528" spans="1:31" x14ac:dyDescent="0.25">
      <c r="A528" s="154" t="s">
        <v>6147</v>
      </c>
      <c r="B528" s="155" t="s">
        <v>6136</v>
      </c>
      <c r="C528" s="126">
        <v>46010</v>
      </c>
      <c r="D528" s="126">
        <v>45966</v>
      </c>
      <c r="E528" s="126">
        <v>45966</v>
      </c>
      <c r="F528" s="123" t="s">
        <v>6160</v>
      </c>
      <c r="G528" s="153" t="s">
        <v>6159</v>
      </c>
      <c r="I528" s="123" t="s">
        <v>6158</v>
      </c>
      <c r="J528" s="123" t="s">
        <v>1226</v>
      </c>
      <c r="K528" s="122" t="s">
        <v>2924</v>
      </c>
      <c r="L528" s="123">
        <v>8250</v>
      </c>
      <c r="M528" s="123">
        <v>68750</v>
      </c>
      <c r="AB528" s="123">
        <v>77000</v>
      </c>
      <c r="AC528" s="123">
        <f t="shared" si="10"/>
        <v>0</v>
      </c>
      <c r="AE528" s="123">
        <v>687.5</v>
      </c>
    </row>
    <row r="529" spans="1:31" x14ac:dyDescent="0.25">
      <c r="A529" s="154" t="s">
        <v>6148</v>
      </c>
      <c r="B529" s="155" t="s">
        <v>6156</v>
      </c>
      <c r="C529" s="126">
        <v>45996</v>
      </c>
      <c r="D529" s="126">
        <v>45966</v>
      </c>
      <c r="E529" s="126">
        <v>45966</v>
      </c>
      <c r="F529" s="123" t="s">
        <v>6161</v>
      </c>
      <c r="G529" s="153" t="s">
        <v>6162</v>
      </c>
      <c r="I529" s="123" t="s">
        <v>6163</v>
      </c>
      <c r="J529" s="123" t="s">
        <v>2687</v>
      </c>
      <c r="K529" s="122" t="s">
        <v>61</v>
      </c>
      <c r="L529" s="123">
        <v>530.36</v>
      </c>
      <c r="M529" s="123">
        <v>4419.6400000000003</v>
      </c>
      <c r="AB529" s="123">
        <v>4950</v>
      </c>
      <c r="AC529" s="123">
        <f t="shared" si="10"/>
        <v>0</v>
      </c>
      <c r="AE529" s="123">
        <v>44.2</v>
      </c>
    </row>
    <row r="530" spans="1:31" x14ac:dyDescent="0.25">
      <c r="A530" s="154" t="s">
        <v>6152</v>
      </c>
      <c r="B530" s="125" t="s">
        <v>6164</v>
      </c>
      <c r="C530" s="126">
        <v>45967</v>
      </c>
      <c r="D530" s="126">
        <v>45967</v>
      </c>
      <c r="I530" s="123" t="s">
        <v>42</v>
      </c>
      <c r="J530" s="123" t="s">
        <v>5113</v>
      </c>
      <c r="P530" s="123">
        <v>15000</v>
      </c>
      <c r="AB530" s="123">
        <v>15000</v>
      </c>
      <c r="AC530" s="123">
        <f t="shared" si="10"/>
        <v>0</v>
      </c>
    </row>
    <row r="531" spans="1:31" x14ac:dyDescent="0.25">
      <c r="A531" s="154" t="s">
        <v>6165</v>
      </c>
      <c r="B531" s="125" t="s">
        <v>6176</v>
      </c>
      <c r="C531" s="126">
        <v>45968</v>
      </c>
      <c r="D531" s="126">
        <v>45968</v>
      </c>
      <c r="E531" s="126">
        <v>45978</v>
      </c>
      <c r="F531" s="123" t="s">
        <v>6257</v>
      </c>
      <c r="I531" s="123" t="s">
        <v>5082</v>
      </c>
      <c r="J531" s="123" t="s">
        <v>1457</v>
      </c>
      <c r="N531" s="123">
        <v>59675</v>
      </c>
      <c r="AB531" s="123">
        <v>59675</v>
      </c>
      <c r="AC531" s="123">
        <f t="shared" si="10"/>
        <v>0</v>
      </c>
    </row>
    <row r="532" spans="1:31" x14ac:dyDescent="0.25">
      <c r="A532" s="154" t="s">
        <v>6166</v>
      </c>
      <c r="B532" s="155" t="s">
        <v>6177</v>
      </c>
      <c r="C532" s="126">
        <v>45968</v>
      </c>
      <c r="D532" s="126">
        <v>45968</v>
      </c>
      <c r="H532" s="153" t="s">
        <v>4551</v>
      </c>
      <c r="I532" s="123" t="s">
        <v>4780</v>
      </c>
      <c r="J532" s="123" t="s">
        <v>3667</v>
      </c>
      <c r="T532" s="123">
        <v>14456</v>
      </c>
      <c r="AB532" s="123">
        <v>14456</v>
      </c>
      <c r="AC532" s="123">
        <f t="shared" si="10"/>
        <v>0</v>
      </c>
    </row>
    <row r="533" spans="1:31" x14ac:dyDescent="0.25">
      <c r="A533" s="154" t="s">
        <v>6167</v>
      </c>
      <c r="B533" s="155" t="s">
        <v>6157</v>
      </c>
      <c r="C533" s="126">
        <v>45968</v>
      </c>
      <c r="D533" s="126">
        <v>45968</v>
      </c>
      <c r="H533" s="153" t="s">
        <v>4561</v>
      </c>
      <c r="I533" s="123" t="s">
        <v>4811</v>
      </c>
      <c r="J533" s="123" t="s">
        <v>3667</v>
      </c>
      <c r="T533" s="123">
        <v>14173.3</v>
      </c>
      <c r="AB533" s="123">
        <v>14173.3</v>
      </c>
      <c r="AC533" s="123">
        <f t="shared" si="10"/>
        <v>0</v>
      </c>
    </row>
    <row r="534" spans="1:31" x14ac:dyDescent="0.25">
      <c r="A534" s="154" t="s">
        <v>6168</v>
      </c>
      <c r="B534" s="155" t="s">
        <v>6181</v>
      </c>
      <c r="C534" s="126">
        <v>45990</v>
      </c>
      <c r="D534" s="126">
        <v>45968</v>
      </c>
      <c r="E534" s="126">
        <v>45980</v>
      </c>
      <c r="F534" s="123" t="s">
        <v>6230</v>
      </c>
      <c r="G534" s="153" t="s">
        <v>6179</v>
      </c>
      <c r="I534" s="123" t="s">
        <v>6178</v>
      </c>
      <c r="J534" s="123" t="s">
        <v>3527</v>
      </c>
      <c r="K534" s="122" t="s">
        <v>3530</v>
      </c>
      <c r="L534" s="123">
        <v>2341.0700000000002</v>
      </c>
      <c r="M534" s="123">
        <v>19508.93</v>
      </c>
      <c r="AB534" s="123">
        <v>21850</v>
      </c>
      <c r="AC534" s="123">
        <f t="shared" si="10"/>
        <v>0</v>
      </c>
      <c r="AE534" s="123">
        <v>195.09</v>
      </c>
    </row>
    <row r="535" spans="1:31" x14ac:dyDescent="0.25">
      <c r="A535" s="154" t="s">
        <v>6169</v>
      </c>
      <c r="B535" s="155" t="s">
        <v>6180</v>
      </c>
      <c r="C535" s="126">
        <v>45972</v>
      </c>
      <c r="D535" s="126">
        <v>45972</v>
      </c>
      <c r="I535" s="122" t="s">
        <v>6182</v>
      </c>
      <c r="J535" s="123" t="s">
        <v>43</v>
      </c>
      <c r="L535" s="123">
        <v>32.14</v>
      </c>
      <c r="S535" s="123">
        <v>267.86</v>
      </c>
      <c r="AB535" s="123">
        <v>300</v>
      </c>
      <c r="AC535" s="123">
        <f t="shared" si="10"/>
        <v>0</v>
      </c>
    </row>
    <row r="536" spans="1:31" x14ac:dyDescent="0.25">
      <c r="A536" s="154" t="s">
        <v>6170</v>
      </c>
      <c r="B536" s="155" t="s">
        <v>6172</v>
      </c>
      <c r="C536" s="126">
        <v>45972</v>
      </c>
      <c r="D536" s="126">
        <v>45972</v>
      </c>
      <c r="E536" s="126">
        <v>46007</v>
      </c>
      <c r="F536" s="123" t="s">
        <v>6345</v>
      </c>
      <c r="I536" s="123" t="s">
        <v>6183</v>
      </c>
      <c r="J536" s="123" t="s">
        <v>5504</v>
      </c>
      <c r="AA536" s="123">
        <v>5875.2</v>
      </c>
      <c r="AB536" s="123">
        <v>5875.2</v>
      </c>
      <c r="AC536" s="123">
        <f t="shared" si="10"/>
        <v>0</v>
      </c>
    </row>
    <row r="537" spans="1:31" x14ac:dyDescent="0.25">
      <c r="A537" s="154" t="s">
        <v>6171</v>
      </c>
      <c r="B537" s="155" t="s">
        <v>6173</v>
      </c>
      <c r="C537" s="126">
        <v>45975</v>
      </c>
      <c r="D537" s="126">
        <v>45972</v>
      </c>
      <c r="I537" s="123" t="s">
        <v>4612</v>
      </c>
      <c r="J537" s="123" t="s">
        <v>1847</v>
      </c>
      <c r="AA537" s="123">
        <v>26000</v>
      </c>
      <c r="AB537" s="123">
        <v>26000</v>
      </c>
      <c r="AC537" s="123">
        <f t="shared" si="10"/>
        <v>0</v>
      </c>
    </row>
    <row r="538" spans="1:31" x14ac:dyDescent="0.25">
      <c r="A538" s="154" t="s">
        <v>6184</v>
      </c>
      <c r="B538" s="155" t="s">
        <v>6174</v>
      </c>
      <c r="C538" s="126">
        <v>45975</v>
      </c>
      <c r="D538" s="126">
        <v>45972</v>
      </c>
      <c r="I538" s="123" t="s">
        <v>4612</v>
      </c>
      <c r="J538" s="123" t="s">
        <v>125</v>
      </c>
      <c r="AA538" s="123">
        <v>10000</v>
      </c>
      <c r="AB538" s="123">
        <v>10000</v>
      </c>
      <c r="AC538" s="123">
        <f t="shared" si="10"/>
        <v>0</v>
      </c>
    </row>
    <row r="539" spans="1:31" x14ac:dyDescent="0.25">
      <c r="A539" s="154" t="s">
        <v>6185</v>
      </c>
      <c r="B539" s="155" t="s">
        <v>6175</v>
      </c>
      <c r="C539" s="126">
        <v>45972</v>
      </c>
      <c r="D539" s="126">
        <v>45972</v>
      </c>
      <c r="I539" s="123" t="s">
        <v>6189</v>
      </c>
      <c r="J539" s="123" t="s">
        <v>6190</v>
      </c>
      <c r="L539" s="123">
        <v>160.61000000000001</v>
      </c>
      <c r="M539" s="123">
        <v>1338.39</v>
      </c>
      <c r="AB539" s="123">
        <v>1499</v>
      </c>
      <c r="AC539" s="123">
        <f t="shared" si="10"/>
        <v>0</v>
      </c>
    </row>
    <row r="540" spans="1:31" x14ac:dyDescent="0.25">
      <c r="A540" s="154" t="s">
        <v>6186</v>
      </c>
      <c r="B540" s="155" t="s">
        <v>6188</v>
      </c>
      <c r="C540" s="126">
        <v>45972</v>
      </c>
      <c r="D540" s="126">
        <v>45972</v>
      </c>
      <c r="I540" s="123" t="s">
        <v>6191</v>
      </c>
      <c r="J540" s="123" t="s">
        <v>6190</v>
      </c>
      <c r="L540" s="123">
        <v>107.04</v>
      </c>
      <c r="M540" s="123">
        <v>891.96</v>
      </c>
      <c r="AB540" s="123">
        <v>999</v>
      </c>
      <c r="AC540" s="123">
        <f t="shared" si="10"/>
        <v>0</v>
      </c>
    </row>
    <row r="541" spans="1:31" x14ac:dyDescent="0.25">
      <c r="A541" s="154" t="s">
        <v>6187</v>
      </c>
      <c r="B541" s="125" t="s">
        <v>6192</v>
      </c>
      <c r="C541" s="126">
        <v>45979</v>
      </c>
      <c r="D541" s="126">
        <v>45972</v>
      </c>
      <c r="E541" s="126">
        <v>45975</v>
      </c>
      <c r="F541" s="123" t="s">
        <v>6215</v>
      </c>
      <c r="G541" s="153" t="s">
        <v>6194</v>
      </c>
      <c r="I541" s="123" t="s">
        <v>6193</v>
      </c>
      <c r="J541" s="123" t="s">
        <v>4717</v>
      </c>
      <c r="K541" s="122" t="s">
        <v>4718</v>
      </c>
      <c r="L541" s="123">
        <v>18160.71</v>
      </c>
      <c r="M541" s="123">
        <v>151339.29</v>
      </c>
      <c r="AB541" s="123">
        <v>169500</v>
      </c>
      <c r="AC541" s="123">
        <f t="shared" si="10"/>
        <v>0</v>
      </c>
      <c r="AE541" s="123">
        <v>1513.39</v>
      </c>
    </row>
    <row r="542" spans="1:31" x14ac:dyDescent="0.25">
      <c r="A542" s="154" t="s">
        <v>6195</v>
      </c>
      <c r="B542" s="155" t="s">
        <v>6196</v>
      </c>
      <c r="C542" s="126">
        <v>45974</v>
      </c>
      <c r="D542" s="126">
        <v>45974</v>
      </c>
      <c r="I542" s="123" t="s">
        <v>6197</v>
      </c>
      <c r="J542" s="123" t="s">
        <v>6198</v>
      </c>
      <c r="AA542" s="123">
        <v>509.57</v>
      </c>
      <c r="AB542" s="123">
        <v>509.57</v>
      </c>
      <c r="AC542" s="123">
        <f t="shared" si="10"/>
        <v>0</v>
      </c>
    </row>
    <row r="543" spans="1:31" x14ac:dyDescent="0.25">
      <c r="A543" s="154" t="s">
        <v>6201</v>
      </c>
      <c r="B543" s="155" t="s">
        <v>6207</v>
      </c>
      <c r="C543" s="126">
        <v>45975</v>
      </c>
      <c r="D543" s="126">
        <v>45975</v>
      </c>
      <c r="H543" s="153" t="s">
        <v>4650</v>
      </c>
      <c r="I543" s="123" t="s">
        <v>6211</v>
      </c>
      <c r="J543" s="123" t="s">
        <v>39</v>
      </c>
      <c r="AA543" s="123">
        <v>4359.25</v>
      </c>
      <c r="AB543" s="123">
        <v>5000</v>
      </c>
      <c r="AC543" s="123">
        <f t="shared" si="10"/>
        <v>640.75</v>
      </c>
      <c r="AD543" s="145" t="s">
        <v>6261</v>
      </c>
    </row>
    <row r="544" spans="1:31" x14ac:dyDescent="0.25">
      <c r="A544" s="154" t="s">
        <v>6202</v>
      </c>
      <c r="B544" s="155" t="s">
        <v>6208</v>
      </c>
      <c r="C544" s="126">
        <v>45975</v>
      </c>
      <c r="D544" s="126">
        <v>45975</v>
      </c>
      <c r="I544" s="122" t="s">
        <v>6212</v>
      </c>
      <c r="J544" s="122" t="s">
        <v>4628</v>
      </c>
      <c r="X544" s="123">
        <v>8161.46</v>
      </c>
      <c r="AB544" s="123">
        <v>8161.46</v>
      </c>
      <c r="AC544" s="123">
        <f t="shared" si="10"/>
        <v>0</v>
      </c>
    </row>
    <row r="545" spans="1:31" x14ac:dyDescent="0.25">
      <c r="A545" s="154" t="s">
        <v>6203</v>
      </c>
      <c r="B545" s="155" t="s">
        <v>6209</v>
      </c>
      <c r="C545" s="126">
        <v>45975</v>
      </c>
      <c r="D545" s="126">
        <v>45975</v>
      </c>
      <c r="I545" s="122" t="s">
        <v>6213</v>
      </c>
      <c r="J545" s="122" t="s">
        <v>18</v>
      </c>
      <c r="L545" s="123">
        <v>151.09</v>
      </c>
      <c r="R545" s="123">
        <v>1259.06</v>
      </c>
      <c r="AB545" s="123">
        <v>1410.15</v>
      </c>
      <c r="AC545" s="123">
        <f t="shared" si="10"/>
        <v>0</v>
      </c>
    </row>
    <row r="546" spans="1:31" x14ac:dyDescent="0.25">
      <c r="A546" s="154" t="s">
        <v>6204</v>
      </c>
      <c r="B546" s="155" t="s">
        <v>6210</v>
      </c>
      <c r="C546" s="126">
        <v>45975</v>
      </c>
      <c r="D546" s="126">
        <v>45975</v>
      </c>
      <c r="I546" s="122" t="s">
        <v>6213</v>
      </c>
      <c r="J546" s="122" t="s">
        <v>18</v>
      </c>
      <c r="L546" s="123">
        <v>811.09</v>
      </c>
      <c r="R546" s="123">
        <v>6759.06</v>
      </c>
      <c r="AB546" s="123">
        <v>7570.15</v>
      </c>
      <c r="AC546" s="123">
        <f t="shared" si="10"/>
        <v>0</v>
      </c>
    </row>
    <row r="547" spans="1:31" x14ac:dyDescent="0.25">
      <c r="A547" s="154" t="s">
        <v>6205</v>
      </c>
      <c r="B547" s="155" t="s">
        <v>6274</v>
      </c>
      <c r="C547" s="126">
        <v>45975</v>
      </c>
      <c r="D547" s="126">
        <v>45975</v>
      </c>
      <c r="H547" s="153" t="s">
        <v>4594</v>
      </c>
      <c r="I547" s="123" t="s">
        <v>4975</v>
      </c>
      <c r="J547" s="123" t="s">
        <v>3667</v>
      </c>
      <c r="T547" s="123">
        <v>8635.6299999999992</v>
      </c>
      <c r="AB547" s="123">
        <v>8635.6299999999992</v>
      </c>
      <c r="AC547" s="123">
        <f t="shared" si="10"/>
        <v>0</v>
      </c>
    </row>
    <row r="548" spans="1:31" x14ac:dyDescent="0.25">
      <c r="A548" s="154" t="s">
        <v>6206</v>
      </c>
      <c r="B548" s="125" t="s">
        <v>6214</v>
      </c>
      <c r="C548" s="126">
        <v>45975</v>
      </c>
      <c r="D548" s="126">
        <v>45975</v>
      </c>
      <c r="I548" s="123" t="s">
        <v>41</v>
      </c>
      <c r="J548" s="123" t="s">
        <v>5759</v>
      </c>
      <c r="Z548" s="123">
        <v>300000</v>
      </c>
      <c r="AB548" s="123">
        <v>300000</v>
      </c>
      <c r="AC548" s="123">
        <f t="shared" si="10"/>
        <v>0</v>
      </c>
    </row>
    <row r="549" spans="1:31" x14ac:dyDescent="0.25">
      <c r="A549" s="154" t="s">
        <v>6216</v>
      </c>
      <c r="B549" s="155" t="s">
        <v>6224</v>
      </c>
      <c r="C549" s="126">
        <v>45986</v>
      </c>
      <c r="D549" s="126">
        <v>45979</v>
      </c>
      <c r="I549" s="123" t="s">
        <v>6226</v>
      </c>
      <c r="J549" s="123" t="s">
        <v>4549</v>
      </c>
      <c r="AA549" s="123">
        <v>10000</v>
      </c>
      <c r="AB549" s="123">
        <v>10000</v>
      </c>
      <c r="AC549" s="123">
        <f t="shared" si="10"/>
        <v>0</v>
      </c>
    </row>
    <row r="550" spans="1:31" x14ac:dyDescent="0.25">
      <c r="A550" s="154" t="s">
        <v>6217</v>
      </c>
      <c r="B550" s="155" t="s">
        <v>6225</v>
      </c>
      <c r="C550" s="126">
        <v>45985</v>
      </c>
      <c r="D550" s="126">
        <v>45979</v>
      </c>
      <c r="E550" s="126">
        <v>45993</v>
      </c>
      <c r="F550" s="123" t="s">
        <v>6269</v>
      </c>
      <c r="G550" s="153" t="s">
        <v>6270</v>
      </c>
      <c r="I550" s="123" t="s">
        <v>6226</v>
      </c>
      <c r="J550" s="123" t="s">
        <v>4717</v>
      </c>
      <c r="K550" s="122" t="s">
        <v>4718</v>
      </c>
      <c r="L550" s="123">
        <v>1071.43</v>
      </c>
      <c r="M550" s="123">
        <v>8928.57</v>
      </c>
      <c r="AB550" s="123">
        <v>10000</v>
      </c>
      <c r="AC550" s="123">
        <f t="shared" si="10"/>
        <v>0</v>
      </c>
      <c r="AE550" s="123">
        <v>89.29</v>
      </c>
    </row>
    <row r="551" spans="1:31" x14ac:dyDescent="0.25">
      <c r="A551" s="154" t="s">
        <v>6218</v>
      </c>
      <c r="B551" s="155" t="s">
        <v>6227</v>
      </c>
      <c r="C551" s="126">
        <v>45982</v>
      </c>
      <c r="D551" s="126">
        <v>45979</v>
      </c>
      <c r="I551" s="123" t="s">
        <v>118</v>
      </c>
      <c r="J551" s="123" t="s">
        <v>125</v>
      </c>
      <c r="AA551" s="123">
        <v>8000</v>
      </c>
      <c r="AB551" s="123">
        <v>8000</v>
      </c>
      <c r="AC551" s="123">
        <f t="shared" si="10"/>
        <v>0</v>
      </c>
    </row>
    <row r="552" spans="1:31" x14ac:dyDescent="0.25">
      <c r="A552" s="154" t="s">
        <v>6219</v>
      </c>
      <c r="B552" s="125" t="s">
        <v>6228</v>
      </c>
      <c r="C552" s="126">
        <v>45979</v>
      </c>
      <c r="D552" s="126">
        <v>45979</v>
      </c>
      <c r="I552" s="123" t="s">
        <v>41</v>
      </c>
      <c r="J552" s="123" t="s">
        <v>5759</v>
      </c>
      <c r="Z552" s="123">
        <v>200000</v>
      </c>
      <c r="AB552" s="123">
        <v>200000</v>
      </c>
      <c r="AC552" s="123">
        <f t="shared" si="10"/>
        <v>0</v>
      </c>
    </row>
    <row r="553" spans="1:31" x14ac:dyDescent="0.25">
      <c r="A553" s="154" t="s">
        <v>6220</v>
      </c>
      <c r="B553" s="155" t="s">
        <v>6229</v>
      </c>
      <c r="C553" s="126">
        <v>45980</v>
      </c>
      <c r="D553" s="126">
        <v>45980</v>
      </c>
      <c r="I553" s="123" t="s">
        <v>3979</v>
      </c>
      <c r="J553" s="123" t="s">
        <v>3667</v>
      </c>
      <c r="L553" s="123">
        <v>1391.22</v>
      </c>
      <c r="S553" s="123">
        <v>11593.47</v>
      </c>
      <c r="AB553" s="123">
        <v>12984.69</v>
      </c>
      <c r="AC553" s="123">
        <f t="shared" si="10"/>
        <v>0</v>
      </c>
    </row>
    <row r="554" spans="1:31" x14ac:dyDescent="0.25">
      <c r="A554" s="154" t="s">
        <v>6221</v>
      </c>
      <c r="B554" s="155" t="s">
        <v>6240</v>
      </c>
      <c r="C554" s="126">
        <v>45985</v>
      </c>
      <c r="D554" s="126">
        <v>45985</v>
      </c>
      <c r="H554" s="153" t="s">
        <v>6267</v>
      </c>
      <c r="I554" s="123" t="s">
        <v>4975</v>
      </c>
      <c r="J554" s="123" t="s">
        <v>3667</v>
      </c>
      <c r="T554" s="123">
        <v>9882.36</v>
      </c>
      <c r="AB554" s="123">
        <v>9882.36</v>
      </c>
      <c r="AC554" s="123">
        <f t="shared" si="10"/>
        <v>0</v>
      </c>
    </row>
    <row r="555" spans="1:31" x14ac:dyDescent="0.25">
      <c r="A555" s="154" t="s">
        <v>6222</v>
      </c>
      <c r="B555" s="155" t="s">
        <v>6241</v>
      </c>
      <c r="C555" s="126">
        <v>46011</v>
      </c>
      <c r="D555" s="126">
        <v>45985</v>
      </c>
      <c r="E555" s="126">
        <v>46002</v>
      </c>
      <c r="F555" s="123" t="s">
        <v>6324</v>
      </c>
      <c r="G555" s="153" t="s">
        <v>6242</v>
      </c>
      <c r="I555" s="123" t="s">
        <v>6243</v>
      </c>
      <c r="J555" s="123" t="s">
        <v>3527</v>
      </c>
      <c r="K555" s="122" t="s">
        <v>3530</v>
      </c>
      <c r="L555" s="123">
        <v>4500</v>
      </c>
      <c r="M555" s="123">
        <v>37500</v>
      </c>
      <c r="AB555" s="123">
        <v>42000</v>
      </c>
      <c r="AC555" s="123">
        <f t="shared" si="10"/>
        <v>0</v>
      </c>
      <c r="AE555" s="123">
        <v>375</v>
      </c>
    </row>
    <row r="556" spans="1:31" x14ac:dyDescent="0.25">
      <c r="A556" s="154" t="s">
        <v>6223</v>
      </c>
      <c r="B556" s="125" t="s">
        <v>6233</v>
      </c>
      <c r="C556" s="126">
        <v>45985</v>
      </c>
      <c r="D556" s="126">
        <v>45985</v>
      </c>
      <c r="I556" s="123" t="s">
        <v>41</v>
      </c>
      <c r="J556" s="123" t="s">
        <v>6239</v>
      </c>
      <c r="Z556" s="123">
        <v>250000</v>
      </c>
      <c r="AB556" s="123">
        <v>250000</v>
      </c>
      <c r="AC556" s="123">
        <f>SUM(AB556:AB556)-SUM(L556:AA556)</f>
        <v>0</v>
      </c>
    </row>
    <row r="557" spans="1:31" x14ac:dyDescent="0.25">
      <c r="A557" s="154" t="s">
        <v>6234</v>
      </c>
      <c r="B557" s="125" t="s">
        <v>6244</v>
      </c>
      <c r="C557" s="126">
        <v>45985</v>
      </c>
      <c r="D557" s="126">
        <v>45985</v>
      </c>
      <c r="I557" s="123" t="s">
        <v>6245</v>
      </c>
      <c r="J557" s="123" t="s">
        <v>54</v>
      </c>
      <c r="Z557" s="123">
        <v>250000</v>
      </c>
      <c r="AB557" s="123">
        <v>250000</v>
      </c>
      <c r="AC557" s="123">
        <f>SUM(AB557:AB557)-SUM(L557:AA557)</f>
        <v>0</v>
      </c>
    </row>
    <row r="558" spans="1:31" x14ac:dyDescent="0.25">
      <c r="A558" s="154" t="s">
        <v>6235</v>
      </c>
      <c r="B558" s="155" t="s">
        <v>6246</v>
      </c>
      <c r="C558" s="126">
        <v>45989</v>
      </c>
      <c r="D558" s="126">
        <v>45987</v>
      </c>
      <c r="I558" s="123" t="s">
        <v>4612</v>
      </c>
      <c r="J558" s="123" t="s">
        <v>1847</v>
      </c>
      <c r="AA558" s="123">
        <v>28660</v>
      </c>
      <c r="AB558" s="123">
        <v>28660</v>
      </c>
      <c r="AC558" s="123">
        <f t="shared" ref="AC558:AC603" si="11">SUM(AB558:AB558)-SUM(L558:AA558)</f>
        <v>0</v>
      </c>
    </row>
    <row r="559" spans="1:31" x14ac:dyDescent="0.25">
      <c r="A559" s="154" t="s">
        <v>6236</v>
      </c>
      <c r="B559" s="155" t="s">
        <v>6247</v>
      </c>
      <c r="C559" s="126">
        <v>45989</v>
      </c>
      <c r="D559" s="126">
        <v>45987</v>
      </c>
      <c r="I559" s="123" t="s">
        <v>4612</v>
      </c>
      <c r="J559" s="123" t="s">
        <v>125</v>
      </c>
      <c r="AA559" s="123">
        <v>10000</v>
      </c>
      <c r="AB559" s="123">
        <v>10000</v>
      </c>
      <c r="AC559" s="123">
        <f t="shared" si="11"/>
        <v>0</v>
      </c>
    </row>
    <row r="560" spans="1:31" x14ac:dyDescent="0.25">
      <c r="A560" s="154" t="s">
        <v>6237</v>
      </c>
      <c r="B560" s="155" t="s">
        <v>6248</v>
      </c>
      <c r="C560" s="126">
        <v>45989</v>
      </c>
      <c r="D560" s="126">
        <v>45989</v>
      </c>
      <c r="E560" s="126">
        <v>46006</v>
      </c>
      <c r="F560" s="123" t="s">
        <v>6531</v>
      </c>
      <c r="I560" s="123" t="s">
        <v>6250</v>
      </c>
      <c r="J560" s="123" t="s">
        <v>1457</v>
      </c>
      <c r="AA560" s="123">
        <v>11474.5</v>
      </c>
      <c r="AB560" s="123">
        <v>11474.5</v>
      </c>
      <c r="AC560" s="123">
        <f t="shared" si="11"/>
        <v>0</v>
      </c>
    </row>
    <row r="561" spans="1:31" x14ac:dyDescent="0.25">
      <c r="A561" s="154" t="s">
        <v>6238</v>
      </c>
      <c r="B561" s="155" t="s">
        <v>6249</v>
      </c>
      <c r="C561" s="126">
        <v>45989</v>
      </c>
      <c r="D561" s="126">
        <v>45989</v>
      </c>
      <c r="I561" s="123" t="s">
        <v>6271</v>
      </c>
      <c r="J561" s="123" t="s">
        <v>6251</v>
      </c>
      <c r="AA561" s="123">
        <v>18740.72</v>
      </c>
      <c r="AB561" s="123">
        <v>18740.72</v>
      </c>
      <c r="AC561" s="123">
        <f t="shared" si="11"/>
        <v>0</v>
      </c>
    </row>
    <row r="562" spans="1:31" x14ac:dyDescent="0.25">
      <c r="A562" s="154" t="s">
        <v>6252</v>
      </c>
      <c r="B562" s="125" t="s">
        <v>6256</v>
      </c>
      <c r="C562" s="126">
        <v>45989</v>
      </c>
      <c r="D562" s="126">
        <v>45989</v>
      </c>
      <c r="I562" s="123" t="s">
        <v>6255</v>
      </c>
      <c r="J562" s="123" t="s">
        <v>54</v>
      </c>
      <c r="Z562" s="123">
        <v>130000</v>
      </c>
      <c r="AB562" s="123">
        <v>130000</v>
      </c>
      <c r="AC562" s="123">
        <f t="shared" si="11"/>
        <v>0</v>
      </c>
    </row>
    <row r="563" spans="1:31" x14ac:dyDescent="0.25">
      <c r="A563" s="144">
        <v>45992</v>
      </c>
      <c r="B563" s="137"/>
      <c r="C563" s="138"/>
      <c r="D563" s="138"/>
      <c r="E563" s="138"/>
      <c r="F563" s="137"/>
      <c r="G563" s="139"/>
      <c r="H563" s="139"/>
      <c r="I563" s="137"/>
      <c r="J563" s="137"/>
      <c r="K563" s="137"/>
      <c r="L563" s="140"/>
      <c r="M563" s="140"/>
      <c r="N563" s="140"/>
      <c r="O563" s="137"/>
      <c r="P563" s="137"/>
      <c r="Q563" s="137"/>
      <c r="R563" s="137"/>
      <c r="S563" s="137"/>
      <c r="T563" s="140"/>
      <c r="U563" s="141"/>
      <c r="V563" s="141"/>
      <c r="W563" s="141"/>
      <c r="X563" s="142"/>
      <c r="Y563" s="141"/>
      <c r="Z563" s="142"/>
      <c r="AA563" s="142"/>
      <c r="AB563" s="140"/>
      <c r="AC563" s="143"/>
      <c r="AD563" s="141"/>
      <c r="AE563" s="140"/>
    </row>
    <row r="564" spans="1:31" x14ac:dyDescent="0.25">
      <c r="A564" s="154" t="s">
        <v>6253</v>
      </c>
      <c r="B564" s="155" t="s">
        <v>6259</v>
      </c>
      <c r="C564" s="126">
        <v>45992</v>
      </c>
      <c r="D564" s="126">
        <v>45992</v>
      </c>
      <c r="I564" s="123" t="s">
        <v>6258</v>
      </c>
      <c r="J564" s="123" t="s">
        <v>54</v>
      </c>
      <c r="Z564" s="123">
        <v>50000</v>
      </c>
      <c r="AB564" s="123">
        <v>50000</v>
      </c>
      <c r="AC564" s="123">
        <f t="shared" si="11"/>
        <v>0</v>
      </c>
    </row>
    <row r="565" spans="1:31" x14ac:dyDescent="0.25">
      <c r="A565" s="154" t="s">
        <v>6254</v>
      </c>
      <c r="B565" s="125" t="s">
        <v>6260</v>
      </c>
      <c r="C565" s="126">
        <v>45992</v>
      </c>
      <c r="D565" s="126">
        <v>45992</v>
      </c>
      <c r="I565" s="123" t="s">
        <v>4459</v>
      </c>
      <c r="J565" s="123" t="s">
        <v>1490</v>
      </c>
      <c r="P565" s="123">
        <v>20000</v>
      </c>
      <c r="AB565" s="123">
        <v>20000</v>
      </c>
      <c r="AC565" s="123">
        <f t="shared" si="11"/>
        <v>0</v>
      </c>
    </row>
    <row r="566" spans="1:31" x14ac:dyDescent="0.25">
      <c r="A566" s="154" t="s">
        <v>6264</v>
      </c>
      <c r="B566" s="155" t="s">
        <v>6265</v>
      </c>
      <c r="C566" s="126">
        <v>45669</v>
      </c>
      <c r="D566" s="126">
        <v>45993</v>
      </c>
      <c r="E566" s="126">
        <v>46002</v>
      </c>
      <c r="F566" s="123" t="s">
        <v>6311</v>
      </c>
      <c r="G566" s="153" t="s">
        <v>4962</v>
      </c>
      <c r="I566" s="123" t="s">
        <v>6266</v>
      </c>
      <c r="J566" s="123" t="s">
        <v>1226</v>
      </c>
      <c r="K566" s="122" t="s">
        <v>2924</v>
      </c>
      <c r="L566" s="123">
        <v>9107.14</v>
      </c>
      <c r="M566" s="123">
        <v>75892.86</v>
      </c>
      <c r="AB566" s="123">
        <v>85000</v>
      </c>
      <c r="AC566" s="123">
        <f t="shared" si="11"/>
        <v>0</v>
      </c>
      <c r="AE566" s="123">
        <v>758.93</v>
      </c>
    </row>
    <row r="567" spans="1:31" x14ac:dyDescent="0.25">
      <c r="A567" s="154" t="s">
        <v>6272</v>
      </c>
      <c r="B567" s="125" t="s">
        <v>6273</v>
      </c>
      <c r="C567" s="126">
        <v>45996</v>
      </c>
      <c r="D567" s="126">
        <v>45996</v>
      </c>
      <c r="I567" s="123" t="s">
        <v>6255</v>
      </c>
      <c r="J567" s="123" t="s">
        <v>54</v>
      </c>
      <c r="Z567" s="123">
        <v>140000</v>
      </c>
      <c r="AB567" s="123">
        <v>140000</v>
      </c>
      <c r="AC567" s="123">
        <f t="shared" si="11"/>
        <v>0</v>
      </c>
    </row>
    <row r="568" spans="1:31" x14ac:dyDescent="0.25">
      <c r="A568" s="154" t="s">
        <v>6275</v>
      </c>
      <c r="B568" s="155" t="s">
        <v>6277</v>
      </c>
      <c r="C568" s="126">
        <v>46002</v>
      </c>
      <c r="D568" s="126">
        <v>45996</v>
      </c>
      <c r="I568" s="122" t="s">
        <v>6279</v>
      </c>
      <c r="J568" s="122" t="s">
        <v>18</v>
      </c>
      <c r="L568" s="123">
        <v>151.09</v>
      </c>
      <c r="R568" s="123">
        <v>1259.06</v>
      </c>
      <c r="AB568" s="123">
        <v>1410.15</v>
      </c>
      <c r="AC568" s="123">
        <f t="shared" si="11"/>
        <v>0</v>
      </c>
    </row>
    <row r="569" spans="1:31" x14ac:dyDescent="0.25">
      <c r="A569" s="154" t="s">
        <v>6276</v>
      </c>
      <c r="B569" s="155" t="s">
        <v>6278</v>
      </c>
      <c r="C569" s="126">
        <v>46002</v>
      </c>
      <c r="D569" s="126">
        <v>45996</v>
      </c>
      <c r="I569" s="122" t="s">
        <v>6279</v>
      </c>
      <c r="J569" s="122" t="s">
        <v>18</v>
      </c>
      <c r="L569" s="123">
        <v>811.09</v>
      </c>
      <c r="R569" s="123">
        <v>6759.06</v>
      </c>
      <c r="AB569" s="123">
        <v>7570.15</v>
      </c>
      <c r="AC569" s="123">
        <f t="shared" si="11"/>
        <v>0</v>
      </c>
    </row>
    <row r="570" spans="1:31" x14ac:dyDescent="0.25">
      <c r="A570" s="166" t="s">
        <v>6280</v>
      </c>
      <c r="B570" s="167" t="s">
        <v>6295</v>
      </c>
      <c r="C570" s="168">
        <v>46002</v>
      </c>
      <c r="D570" s="168">
        <v>46000</v>
      </c>
      <c r="E570" s="169"/>
      <c r="F570" s="148"/>
      <c r="G570" s="148"/>
      <c r="H570" s="148"/>
      <c r="I570" s="169" t="s">
        <v>6301</v>
      </c>
      <c r="J570" s="169" t="s">
        <v>126</v>
      </c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>
        <v>42000</v>
      </c>
      <c r="AB570" s="169">
        <v>42000</v>
      </c>
      <c r="AC570" s="123">
        <f t="shared" si="11"/>
        <v>0</v>
      </c>
      <c r="AD570" s="169" t="s">
        <v>6323</v>
      </c>
    </row>
    <row r="571" spans="1:31" x14ac:dyDescent="0.25">
      <c r="A571" s="154" t="s">
        <v>6281</v>
      </c>
      <c r="B571" s="155" t="s">
        <v>6296</v>
      </c>
      <c r="C571" s="126">
        <v>46003</v>
      </c>
      <c r="D571" s="126">
        <v>46000</v>
      </c>
      <c r="E571" s="126">
        <v>46007</v>
      </c>
      <c r="F571" s="123" t="s">
        <v>6344</v>
      </c>
      <c r="I571" s="123" t="s">
        <v>6302</v>
      </c>
      <c r="J571" s="123" t="s">
        <v>6303</v>
      </c>
      <c r="AA571" s="123">
        <v>5875.2</v>
      </c>
      <c r="AB571" s="123">
        <v>5875.2</v>
      </c>
      <c r="AC571" s="123">
        <f t="shared" si="11"/>
        <v>0</v>
      </c>
    </row>
    <row r="572" spans="1:31" x14ac:dyDescent="0.25">
      <c r="A572" s="154" t="s">
        <v>6282</v>
      </c>
      <c r="B572" s="155" t="s">
        <v>6297</v>
      </c>
      <c r="C572" s="126">
        <v>46003</v>
      </c>
      <c r="D572" s="126">
        <v>46000</v>
      </c>
      <c r="I572" s="123" t="s">
        <v>6304</v>
      </c>
      <c r="J572" s="123" t="s">
        <v>2855</v>
      </c>
      <c r="AA572" s="123">
        <v>5000</v>
      </c>
      <c r="AB572" s="123">
        <v>5000</v>
      </c>
      <c r="AC572" s="123">
        <f t="shared" si="11"/>
        <v>0</v>
      </c>
    </row>
    <row r="573" spans="1:31" x14ac:dyDescent="0.25">
      <c r="A573" s="154" t="s">
        <v>6283</v>
      </c>
      <c r="B573" s="155" t="s">
        <v>6298</v>
      </c>
      <c r="C573" s="126">
        <v>46003</v>
      </c>
      <c r="D573" s="126">
        <v>46000</v>
      </c>
      <c r="E573" s="126">
        <v>46009</v>
      </c>
      <c r="F573" s="123" t="s">
        <v>6529</v>
      </c>
      <c r="I573" s="123" t="s">
        <v>5180</v>
      </c>
      <c r="J573" s="123" t="s">
        <v>1457</v>
      </c>
      <c r="N573" s="123">
        <v>14700</v>
      </c>
      <c r="AB573" s="123">
        <v>14700</v>
      </c>
      <c r="AC573" s="123">
        <f t="shared" si="11"/>
        <v>0</v>
      </c>
    </row>
    <row r="574" spans="1:31" x14ac:dyDescent="0.25">
      <c r="A574" s="154" t="s">
        <v>6284</v>
      </c>
      <c r="B574" s="155" t="s">
        <v>6299</v>
      </c>
      <c r="C574" s="126">
        <v>45662</v>
      </c>
      <c r="D574" s="126">
        <v>46000</v>
      </c>
      <c r="E574" s="126">
        <v>46042</v>
      </c>
      <c r="F574" s="123" t="s">
        <v>6486</v>
      </c>
      <c r="G574" s="153" t="s">
        <v>6305</v>
      </c>
      <c r="I574" s="123" t="s">
        <v>6306</v>
      </c>
      <c r="J574" s="123" t="s">
        <v>83</v>
      </c>
      <c r="K574" s="122" t="s">
        <v>1336</v>
      </c>
      <c r="L574" s="123">
        <v>4500</v>
      </c>
      <c r="M574" s="123">
        <v>37500</v>
      </c>
      <c r="AB574" s="123">
        <v>42000</v>
      </c>
      <c r="AC574" s="123">
        <f t="shared" si="11"/>
        <v>0</v>
      </c>
      <c r="AE574" s="123">
        <v>375</v>
      </c>
    </row>
    <row r="575" spans="1:31" x14ac:dyDescent="0.25">
      <c r="A575" s="154" t="s">
        <v>6285</v>
      </c>
      <c r="B575" s="155" t="s">
        <v>6300</v>
      </c>
      <c r="C575" s="126">
        <v>45662</v>
      </c>
      <c r="D575" s="126">
        <v>46000</v>
      </c>
      <c r="E575" s="126">
        <v>46038</v>
      </c>
      <c r="F575" s="123" t="s">
        <v>6469</v>
      </c>
      <c r="G575" s="153" t="s">
        <v>6307</v>
      </c>
      <c r="I575" s="123" t="s">
        <v>6308</v>
      </c>
      <c r="J575" s="123" t="s">
        <v>3527</v>
      </c>
      <c r="K575" s="122" t="s">
        <v>3530</v>
      </c>
      <c r="L575" s="123">
        <v>857.14</v>
      </c>
      <c r="M575" s="123">
        <v>7142.86</v>
      </c>
      <c r="AB575" s="123">
        <v>8000</v>
      </c>
      <c r="AC575" s="123">
        <f t="shared" si="11"/>
        <v>0</v>
      </c>
      <c r="AE575" s="123">
        <v>71.430000000000007</v>
      </c>
    </row>
    <row r="576" spans="1:31" x14ac:dyDescent="0.25">
      <c r="A576" s="154" t="s">
        <v>6286</v>
      </c>
      <c r="B576" s="155" t="s">
        <v>6309</v>
      </c>
      <c r="C576" s="126">
        <v>46003</v>
      </c>
      <c r="D576" s="126">
        <v>46000</v>
      </c>
      <c r="H576" s="153" t="s">
        <v>4651</v>
      </c>
      <c r="I576" s="123" t="s">
        <v>4427</v>
      </c>
      <c r="J576" s="123" t="s">
        <v>3667</v>
      </c>
      <c r="T576" s="123">
        <v>19495.32</v>
      </c>
      <c r="AB576" s="123">
        <v>19495.32</v>
      </c>
      <c r="AC576" s="123">
        <f t="shared" si="11"/>
        <v>0</v>
      </c>
    </row>
    <row r="577" spans="1:31" x14ac:dyDescent="0.25">
      <c r="A577" s="154" t="s">
        <v>6287</v>
      </c>
      <c r="B577" s="155" t="s">
        <v>6310</v>
      </c>
      <c r="C577" s="126">
        <v>46003</v>
      </c>
      <c r="D577" s="126">
        <v>46000</v>
      </c>
      <c r="H577" s="153" t="s">
        <v>6358</v>
      </c>
      <c r="I577" s="123" t="s">
        <v>4780</v>
      </c>
      <c r="J577" s="123" t="s">
        <v>3667</v>
      </c>
      <c r="T577" s="123">
        <v>11580.76</v>
      </c>
      <c r="AB577" s="123">
        <v>11580.76</v>
      </c>
      <c r="AC577" s="123">
        <f t="shared" si="11"/>
        <v>0</v>
      </c>
    </row>
    <row r="578" spans="1:31" x14ac:dyDescent="0.25">
      <c r="A578" s="154" t="s">
        <v>6288</v>
      </c>
      <c r="B578" s="125" t="s">
        <v>6312</v>
      </c>
      <c r="C578" s="126">
        <v>46003</v>
      </c>
      <c r="D578" s="126">
        <v>46003</v>
      </c>
      <c r="I578" s="123" t="s">
        <v>6255</v>
      </c>
      <c r="J578" s="123" t="s">
        <v>54</v>
      </c>
      <c r="Z578" s="123">
        <v>250000</v>
      </c>
      <c r="AB578" s="123">
        <v>250000</v>
      </c>
      <c r="AC578" s="123">
        <f t="shared" si="11"/>
        <v>0</v>
      </c>
    </row>
    <row r="579" spans="1:31" x14ac:dyDescent="0.25">
      <c r="A579" s="154" t="s">
        <v>6289</v>
      </c>
      <c r="B579" s="155" t="s">
        <v>6313</v>
      </c>
      <c r="C579" s="126">
        <v>46006</v>
      </c>
      <c r="D579" s="126">
        <v>46003</v>
      </c>
      <c r="I579" s="123" t="s">
        <v>6319</v>
      </c>
      <c r="J579" s="123" t="s">
        <v>1847</v>
      </c>
      <c r="AA579" s="123">
        <v>30000</v>
      </c>
      <c r="AB579" s="123">
        <v>30000</v>
      </c>
      <c r="AC579" s="123">
        <f t="shared" si="11"/>
        <v>0</v>
      </c>
    </row>
    <row r="580" spans="1:31" x14ac:dyDescent="0.25">
      <c r="A580" s="154" t="s">
        <v>6290</v>
      </c>
      <c r="B580" s="155" t="s">
        <v>6314</v>
      </c>
      <c r="C580" s="126">
        <v>46006</v>
      </c>
      <c r="D580" s="126">
        <v>46003</v>
      </c>
      <c r="I580" s="123" t="s">
        <v>6319</v>
      </c>
      <c r="J580" s="123" t="s">
        <v>125</v>
      </c>
      <c r="AA580" s="123">
        <v>23500</v>
      </c>
      <c r="AB580" s="123">
        <v>23500</v>
      </c>
      <c r="AC580" s="123">
        <f t="shared" si="11"/>
        <v>0</v>
      </c>
    </row>
    <row r="581" spans="1:31" x14ac:dyDescent="0.25">
      <c r="A581" s="154" t="s">
        <v>6291</v>
      </c>
      <c r="B581" s="155" t="s">
        <v>6315</v>
      </c>
      <c r="C581" s="126">
        <v>46007</v>
      </c>
      <c r="D581" s="126">
        <v>46003</v>
      </c>
      <c r="I581" s="123" t="s">
        <v>6320</v>
      </c>
      <c r="J581" s="123" t="s">
        <v>6190</v>
      </c>
      <c r="L581" s="123">
        <v>160.61000000000001</v>
      </c>
      <c r="S581" s="123">
        <v>1338.39</v>
      </c>
      <c r="AB581" s="123">
        <v>1499</v>
      </c>
      <c r="AC581" s="123">
        <f t="shared" si="11"/>
        <v>0</v>
      </c>
    </row>
    <row r="582" spans="1:31" x14ac:dyDescent="0.25">
      <c r="A582" s="154" t="s">
        <v>6292</v>
      </c>
      <c r="B582" s="155" t="s">
        <v>6316</v>
      </c>
      <c r="C582" s="126">
        <v>46007</v>
      </c>
      <c r="D582" s="126">
        <v>46003</v>
      </c>
      <c r="I582" s="123" t="s">
        <v>6321</v>
      </c>
      <c r="J582" s="123" t="s">
        <v>6190</v>
      </c>
      <c r="L582" s="123">
        <v>107.04</v>
      </c>
      <c r="S582" s="123">
        <v>891.96</v>
      </c>
      <c r="AB582" s="123">
        <v>999</v>
      </c>
      <c r="AC582" s="123">
        <f t="shared" si="11"/>
        <v>0</v>
      </c>
    </row>
    <row r="583" spans="1:31" x14ac:dyDescent="0.25">
      <c r="A583" s="154" t="s">
        <v>6293</v>
      </c>
      <c r="B583" s="155" t="s">
        <v>6317</v>
      </c>
      <c r="C583" s="126">
        <v>46007</v>
      </c>
      <c r="D583" s="126">
        <v>46003</v>
      </c>
      <c r="I583" s="122" t="s">
        <v>6322</v>
      </c>
      <c r="J583" s="123" t="s">
        <v>43</v>
      </c>
      <c r="L583" s="123">
        <v>32.14</v>
      </c>
      <c r="S583" s="123">
        <v>267.86</v>
      </c>
      <c r="AB583" s="123">
        <v>300</v>
      </c>
      <c r="AC583" s="123">
        <f t="shared" si="11"/>
        <v>0</v>
      </c>
    </row>
    <row r="584" spans="1:31" x14ac:dyDescent="0.25">
      <c r="A584" s="154" t="s">
        <v>6294</v>
      </c>
      <c r="B584" s="155" t="s">
        <v>6318</v>
      </c>
      <c r="C584" s="126">
        <v>46006</v>
      </c>
      <c r="D584" s="126">
        <v>46006</v>
      </c>
      <c r="I584" s="123" t="s">
        <v>6301</v>
      </c>
      <c r="J584" s="123" t="s">
        <v>126</v>
      </c>
      <c r="AA584" s="123">
        <v>42000</v>
      </c>
      <c r="AB584" s="123">
        <v>42000</v>
      </c>
      <c r="AC584" s="123">
        <f t="shared" si="11"/>
        <v>0</v>
      </c>
    </row>
    <row r="585" spans="1:31" x14ac:dyDescent="0.25">
      <c r="A585" s="154" t="s">
        <v>6325</v>
      </c>
      <c r="B585" s="155" t="s">
        <v>6331</v>
      </c>
      <c r="C585" s="126">
        <v>45683</v>
      </c>
      <c r="D585" s="126">
        <v>46006</v>
      </c>
      <c r="E585" s="126">
        <v>45672</v>
      </c>
      <c r="F585" s="123" t="s">
        <v>6465</v>
      </c>
      <c r="G585" s="153" t="s">
        <v>6337</v>
      </c>
      <c r="I585" s="123" t="s">
        <v>6126</v>
      </c>
      <c r="J585" s="123" t="s">
        <v>1226</v>
      </c>
      <c r="K585" s="122" t="s">
        <v>2924</v>
      </c>
      <c r="L585" s="123">
        <v>803.57</v>
      </c>
      <c r="M585" s="123">
        <v>6696.43</v>
      </c>
      <c r="AB585" s="123">
        <v>7500</v>
      </c>
      <c r="AC585" s="123">
        <f t="shared" si="11"/>
        <v>0</v>
      </c>
      <c r="AE585" s="123">
        <v>66.959999999999994</v>
      </c>
    </row>
    <row r="586" spans="1:31" x14ac:dyDescent="0.25">
      <c r="A586" s="154" t="s">
        <v>6326</v>
      </c>
      <c r="B586" s="155" t="s">
        <v>6332</v>
      </c>
      <c r="C586" s="126">
        <v>45667</v>
      </c>
      <c r="D586" s="126">
        <v>46006</v>
      </c>
      <c r="E586" s="126">
        <v>46038</v>
      </c>
      <c r="F586" s="123" t="s">
        <v>6468</v>
      </c>
      <c r="G586" s="153" t="s">
        <v>6338</v>
      </c>
      <c r="I586" s="123" t="s">
        <v>6339</v>
      </c>
      <c r="J586" s="123" t="s">
        <v>3527</v>
      </c>
      <c r="K586" s="122" t="s">
        <v>3530</v>
      </c>
      <c r="L586" s="123">
        <v>360</v>
      </c>
      <c r="M586" s="123">
        <v>3000</v>
      </c>
      <c r="AB586" s="123">
        <v>3360</v>
      </c>
      <c r="AC586" s="123">
        <f t="shared" si="11"/>
        <v>0</v>
      </c>
      <c r="AE586" s="123">
        <v>30</v>
      </c>
    </row>
    <row r="587" spans="1:31" x14ac:dyDescent="0.25">
      <c r="A587" s="154" t="s">
        <v>6327</v>
      </c>
      <c r="B587" s="155" t="s">
        <v>6333</v>
      </c>
      <c r="C587" s="126">
        <v>46010</v>
      </c>
      <c r="D587" s="126">
        <v>46006</v>
      </c>
      <c r="E587" s="126">
        <v>46029</v>
      </c>
      <c r="F587" s="123" t="s">
        <v>6616</v>
      </c>
      <c r="G587" s="153" t="s">
        <v>6340</v>
      </c>
      <c r="I587" s="123" t="s">
        <v>6341</v>
      </c>
      <c r="J587" s="123" t="s">
        <v>4717</v>
      </c>
      <c r="K587" s="122" t="s">
        <v>4718</v>
      </c>
      <c r="L587" s="123">
        <v>1537.5</v>
      </c>
      <c r="M587" s="123">
        <v>12812.5</v>
      </c>
      <c r="AB587" s="123">
        <v>14350</v>
      </c>
      <c r="AC587" s="123">
        <f t="shared" si="11"/>
        <v>0</v>
      </c>
      <c r="AE587" s="123">
        <v>128.13</v>
      </c>
    </row>
    <row r="588" spans="1:31" x14ac:dyDescent="0.25">
      <c r="A588" s="154" t="s">
        <v>6328</v>
      </c>
      <c r="B588" s="155" t="s">
        <v>6334</v>
      </c>
      <c r="C588" s="126">
        <v>45683</v>
      </c>
      <c r="D588" s="126">
        <v>46006</v>
      </c>
      <c r="E588" s="126">
        <v>45672</v>
      </c>
      <c r="F588" s="123" t="s">
        <v>6464</v>
      </c>
      <c r="G588" s="153" t="s">
        <v>6342</v>
      </c>
      <c r="I588" s="123" t="s">
        <v>6343</v>
      </c>
      <c r="J588" s="123" t="s">
        <v>1226</v>
      </c>
      <c r="K588" s="122" t="s">
        <v>2924</v>
      </c>
      <c r="L588" s="123">
        <v>1607.14</v>
      </c>
      <c r="M588" s="123">
        <v>13392.86</v>
      </c>
      <c r="AB588" s="123">
        <v>15000</v>
      </c>
      <c r="AC588" s="123">
        <f t="shared" si="11"/>
        <v>0</v>
      </c>
      <c r="AE588" s="123">
        <v>133.93</v>
      </c>
    </row>
    <row r="589" spans="1:31" x14ac:dyDescent="0.25">
      <c r="A589" s="154" t="s">
        <v>6329</v>
      </c>
      <c r="B589" s="155" t="s">
        <v>6335</v>
      </c>
      <c r="C589" s="126">
        <v>46008</v>
      </c>
      <c r="D589" s="126">
        <v>46008</v>
      </c>
      <c r="I589" s="122" t="s">
        <v>6346</v>
      </c>
      <c r="J589" s="122" t="s">
        <v>4628</v>
      </c>
      <c r="X589" s="123">
        <v>8576.09</v>
      </c>
      <c r="AB589" s="123">
        <v>8576.09</v>
      </c>
      <c r="AC589" s="123">
        <f t="shared" si="11"/>
        <v>0</v>
      </c>
    </row>
    <row r="590" spans="1:31" x14ac:dyDescent="0.25">
      <c r="A590" s="154" t="s">
        <v>6330</v>
      </c>
      <c r="B590" s="155" t="s">
        <v>6336</v>
      </c>
      <c r="C590" s="126">
        <v>46008</v>
      </c>
      <c r="D590" s="126">
        <v>46008</v>
      </c>
      <c r="H590" s="153" t="s">
        <v>6359</v>
      </c>
      <c r="I590" s="123" t="s">
        <v>5605</v>
      </c>
      <c r="J590" s="123" t="s">
        <v>3667</v>
      </c>
      <c r="T590" s="123">
        <v>10059.6</v>
      </c>
      <c r="AB590" s="123">
        <v>10059.6</v>
      </c>
      <c r="AC590" s="123">
        <f t="shared" si="11"/>
        <v>0</v>
      </c>
    </row>
    <row r="591" spans="1:31" x14ac:dyDescent="0.25">
      <c r="A591" s="154" t="s">
        <v>6347</v>
      </c>
      <c r="B591" s="155" t="s">
        <v>6350</v>
      </c>
      <c r="C591" s="126">
        <v>46038</v>
      </c>
      <c r="D591" s="126">
        <v>46008</v>
      </c>
      <c r="E591" s="126">
        <v>46039</v>
      </c>
      <c r="F591" s="123" t="s">
        <v>6615</v>
      </c>
      <c r="G591" s="153" t="s">
        <v>6354</v>
      </c>
      <c r="I591" s="123" t="s">
        <v>6353</v>
      </c>
      <c r="J591" s="123" t="s">
        <v>2687</v>
      </c>
      <c r="K591" s="122" t="s">
        <v>61</v>
      </c>
      <c r="L591" s="123">
        <v>171.43</v>
      </c>
      <c r="M591" s="123">
        <v>1428.57</v>
      </c>
      <c r="AB591" s="123">
        <v>1600</v>
      </c>
      <c r="AC591" s="123">
        <f t="shared" si="11"/>
        <v>0</v>
      </c>
      <c r="AE591" s="123">
        <v>14.29</v>
      </c>
    </row>
    <row r="592" spans="1:31" x14ac:dyDescent="0.25">
      <c r="A592" s="154" t="s">
        <v>6348</v>
      </c>
      <c r="B592" s="155" t="s">
        <v>6351</v>
      </c>
      <c r="C592" s="126">
        <v>46051</v>
      </c>
      <c r="D592" s="126">
        <v>46008</v>
      </c>
      <c r="E592" s="126">
        <v>46042</v>
      </c>
      <c r="F592" s="123" t="s">
        <v>6487</v>
      </c>
      <c r="G592" s="153" t="s">
        <v>6355</v>
      </c>
      <c r="I592" s="123" t="s">
        <v>6356</v>
      </c>
      <c r="J592" s="123" t="s">
        <v>83</v>
      </c>
      <c r="K592" s="122" t="s">
        <v>1336</v>
      </c>
      <c r="L592" s="123">
        <v>6910.71</v>
      </c>
      <c r="M592" s="123">
        <v>57589.29</v>
      </c>
      <c r="AB592" s="123">
        <v>64500</v>
      </c>
      <c r="AC592" s="123">
        <f t="shared" si="11"/>
        <v>0</v>
      </c>
      <c r="AE592" s="123">
        <v>575.89</v>
      </c>
    </row>
    <row r="593" spans="1:31" x14ac:dyDescent="0.25">
      <c r="A593" s="154" t="s">
        <v>6349</v>
      </c>
      <c r="B593" s="155" t="s">
        <v>6352</v>
      </c>
      <c r="C593" s="126">
        <v>46008</v>
      </c>
      <c r="D593" s="126">
        <v>46008</v>
      </c>
      <c r="I593" s="123" t="s">
        <v>6357</v>
      </c>
      <c r="J593" s="123" t="s">
        <v>39</v>
      </c>
      <c r="AA593" s="123">
        <v>19982.8</v>
      </c>
      <c r="AB593" s="123">
        <v>20000</v>
      </c>
      <c r="AC593" s="123">
        <f t="shared" si="11"/>
        <v>17.200000000000728</v>
      </c>
      <c r="AD593" s="145" t="s">
        <v>6369</v>
      </c>
    </row>
    <row r="594" spans="1:31" x14ac:dyDescent="0.25">
      <c r="A594" s="154" t="s">
        <v>6360</v>
      </c>
      <c r="B594" s="155" t="s">
        <v>6361</v>
      </c>
      <c r="C594" s="126">
        <v>46008</v>
      </c>
      <c r="D594" s="126">
        <v>46008</v>
      </c>
      <c r="I594" s="123" t="s">
        <v>6362</v>
      </c>
      <c r="J594" s="123" t="s">
        <v>4549</v>
      </c>
      <c r="AA594" s="123">
        <v>1500</v>
      </c>
      <c r="AB594" s="123">
        <v>1500</v>
      </c>
      <c r="AC594" s="123">
        <f t="shared" si="11"/>
        <v>0</v>
      </c>
    </row>
    <row r="595" spans="1:31" x14ac:dyDescent="0.25">
      <c r="A595" s="154" t="s">
        <v>6363</v>
      </c>
      <c r="B595" s="155" t="s">
        <v>6364</v>
      </c>
      <c r="C595" s="126">
        <v>46010</v>
      </c>
      <c r="D595" s="126">
        <v>46010</v>
      </c>
      <c r="I595" s="123" t="s">
        <v>3979</v>
      </c>
      <c r="J595" s="123" t="s">
        <v>3667</v>
      </c>
      <c r="L595" s="123">
        <v>1387.67</v>
      </c>
      <c r="S595" s="123">
        <v>11563.93</v>
      </c>
      <c r="AB595" s="123">
        <v>12951.6</v>
      </c>
      <c r="AC595" s="123">
        <f t="shared" si="11"/>
        <v>0</v>
      </c>
    </row>
    <row r="596" spans="1:31" x14ac:dyDescent="0.25">
      <c r="A596" s="154" t="s">
        <v>6365</v>
      </c>
      <c r="B596" s="155" t="s">
        <v>6366</v>
      </c>
      <c r="C596" s="126">
        <v>45676</v>
      </c>
      <c r="D596" s="126">
        <v>46010</v>
      </c>
      <c r="E596" s="126">
        <v>45662</v>
      </c>
      <c r="F596" s="123" t="s">
        <v>6617</v>
      </c>
      <c r="G596" s="153" t="s">
        <v>6368</v>
      </c>
      <c r="I596" s="123" t="s">
        <v>6367</v>
      </c>
      <c r="J596" s="122" t="s">
        <v>2087</v>
      </c>
      <c r="K596" s="122" t="s">
        <v>2088</v>
      </c>
      <c r="L596" s="123">
        <v>17678.57</v>
      </c>
      <c r="M596" s="123">
        <v>147321.43</v>
      </c>
      <c r="AB596" s="123">
        <v>165000</v>
      </c>
      <c r="AC596" s="123">
        <f t="shared" si="11"/>
        <v>0</v>
      </c>
      <c r="AE596" s="123">
        <v>1473.21</v>
      </c>
    </row>
    <row r="597" spans="1:31" x14ac:dyDescent="0.25">
      <c r="A597" s="154" t="s">
        <v>6371</v>
      </c>
      <c r="B597" s="155" t="s">
        <v>6372</v>
      </c>
      <c r="C597" s="126">
        <v>46014</v>
      </c>
      <c r="D597" s="126">
        <v>46014</v>
      </c>
      <c r="I597" s="123" t="s">
        <v>6373</v>
      </c>
      <c r="J597" s="123" t="s">
        <v>39</v>
      </c>
      <c r="AA597" s="123">
        <v>19673.75</v>
      </c>
      <c r="AB597" s="123">
        <v>19673.75</v>
      </c>
      <c r="AC597" s="123">
        <f t="shared" si="11"/>
        <v>0</v>
      </c>
    </row>
    <row r="598" spans="1:31" x14ac:dyDescent="0.25">
      <c r="A598" s="154" t="s">
        <v>6374</v>
      </c>
      <c r="B598" s="155" t="s">
        <v>6376</v>
      </c>
      <c r="C598" s="126">
        <v>46382</v>
      </c>
      <c r="D598" s="126">
        <v>46382</v>
      </c>
      <c r="I598" s="123" t="s">
        <v>4612</v>
      </c>
      <c r="J598" s="123" t="s">
        <v>125</v>
      </c>
      <c r="AA598" s="123">
        <v>12000</v>
      </c>
      <c r="AB598" s="123">
        <v>12000</v>
      </c>
      <c r="AC598" s="123">
        <f t="shared" si="11"/>
        <v>0</v>
      </c>
    </row>
    <row r="599" spans="1:31" x14ac:dyDescent="0.25">
      <c r="A599" s="154" t="s">
        <v>6375</v>
      </c>
      <c r="B599" s="155" t="s">
        <v>6377</v>
      </c>
      <c r="C599" s="126">
        <v>46382</v>
      </c>
      <c r="D599" s="126">
        <v>46382</v>
      </c>
      <c r="I599" s="123" t="s">
        <v>4612</v>
      </c>
      <c r="J599" s="123" t="s">
        <v>1847</v>
      </c>
      <c r="AA599" s="123">
        <v>23040</v>
      </c>
      <c r="AB599" s="123">
        <v>23040</v>
      </c>
      <c r="AC599" s="123">
        <f t="shared" si="11"/>
        <v>0</v>
      </c>
    </row>
    <row r="600" spans="1:31" x14ac:dyDescent="0.25">
      <c r="A600" s="154" t="s">
        <v>6378</v>
      </c>
      <c r="B600" s="125" t="s">
        <v>6379</v>
      </c>
      <c r="C600" s="126">
        <v>46382</v>
      </c>
      <c r="D600" s="126">
        <v>46382</v>
      </c>
      <c r="I600" s="123" t="s">
        <v>4459</v>
      </c>
      <c r="J600" s="123" t="s">
        <v>65</v>
      </c>
      <c r="P600" s="123">
        <v>20000</v>
      </c>
      <c r="AB600" s="123">
        <v>20000</v>
      </c>
      <c r="AC600" s="123">
        <f t="shared" si="11"/>
        <v>0</v>
      </c>
    </row>
    <row r="601" spans="1:31" x14ac:dyDescent="0.25">
      <c r="A601" s="172" t="s">
        <v>8</v>
      </c>
      <c r="B601" s="137"/>
      <c r="C601" s="138"/>
      <c r="D601" s="138"/>
      <c r="E601" s="138"/>
      <c r="F601" s="137"/>
      <c r="G601" s="139"/>
      <c r="H601" s="139"/>
      <c r="I601" s="137"/>
      <c r="J601" s="137"/>
      <c r="K601" s="137"/>
      <c r="L601" s="140">
        <f>SUM(L10:L600)</f>
        <v>904104.39</v>
      </c>
      <c r="M601" s="140">
        <f>SUM(M11:M600)</f>
        <v>7289968.790000001</v>
      </c>
      <c r="N601" s="140">
        <f t="shared" ref="N601:AB601" si="12">SUM(N10:N600)</f>
        <v>523530</v>
      </c>
      <c r="O601" s="137">
        <f t="shared" si="12"/>
        <v>322500</v>
      </c>
      <c r="P601" s="137">
        <f t="shared" si="12"/>
        <v>455000</v>
      </c>
      <c r="Q601" s="137">
        <f t="shared" si="12"/>
        <v>188766.41999999998</v>
      </c>
      <c r="R601" s="137">
        <f t="shared" si="12"/>
        <v>97179.619999999981</v>
      </c>
      <c r="S601" s="137">
        <f t="shared" si="12"/>
        <v>168732.59999999998</v>
      </c>
      <c r="T601" s="140">
        <f t="shared" si="12"/>
        <v>561422.93999999994</v>
      </c>
      <c r="U601" s="141">
        <f t="shared" si="12"/>
        <v>0</v>
      </c>
      <c r="V601" s="141">
        <f t="shared" si="12"/>
        <v>0</v>
      </c>
      <c r="W601" s="141">
        <f t="shared" si="12"/>
        <v>293555.37</v>
      </c>
      <c r="X601" s="142">
        <f t="shared" si="12"/>
        <v>104945.51000000001</v>
      </c>
      <c r="Y601" s="141">
        <f t="shared" si="12"/>
        <v>11513</v>
      </c>
      <c r="Z601" s="142">
        <f t="shared" si="12"/>
        <v>10970000</v>
      </c>
      <c r="AA601" s="142">
        <f t="shared" si="12"/>
        <v>3716998.04</v>
      </c>
      <c r="AB601" s="140">
        <f t="shared" si="12"/>
        <v>25413230.699999984</v>
      </c>
      <c r="AC601" s="143"/>
      <c r="AD601" s="141"/>
      <c r="AE601" s="140"/>
    </row>
    <row r="602" spans="1:31" x14ac:dyDescent="0.25">
      <c r="AC602" s="123">
        <f t="shared" si="11"/>
        <v>0</v>
      </c>
    </row>
    <row r="603" spans="1:31" x14ac:dyDescent="0.25">
      <c r="AC603" s="123">
        <f t="shared" si="11"/>
        <v>0</v>
      </c>
    </row>
  </sheetData>
  <mergeCells count="2">
    <mergeCell ref="A6:K6"/>
    <mergeCell ref="L6:AA6"/>
  </mergeCells>
  <phoneticPr fontId="15" type="noConversion"/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6CFA-B7CA-4485-BDA6-DD378C665021}">
  <dimension ref="A1:AE225"/>
  <sheetViews>
    <sheetView tabSelected="1" workbookViewId="0">
      <pane xSplit="8" ySplit="8" topLeftCell="I209" activePane="bottomRight" state="frozen"/>
      <selection pane="topRight" activeCell="I1" sqref="I1"/>
      <selection pane="bottomLeft" activeCell="A9" sqref="A9"/>
      <selection pane="bottomRight" activeCell="I213" sqref="I213"/>
    </sheetView>
  </sheetViews>
  <sheetFormatPr defaultRowHeight="15" x14ac:dyDescent="0.25"/>
  <cols>
    <col min="1" max="1" width="11.28515625" customWidth="1"/>
    <col min="2" max="2" width="11.42578125" customWidth="1"/>
    <col min="3" max="4" width="11" style="126" bestFit="1" customWidth="1"/>
    <col min="5" max="5" width="8.140625" style="123" customWidth="1"/>
    <col min="6" max="6" width="26" style="123" customWidth="1"/>
    <col min="7" max="7" width="13.140625" style="153" customWidth="1"/>
    <col min="8" max="8" width="9.140625" style="153"/>
    <col min="9" max="9" width="35.28515625" style="123" customWidth="1"/>
    <col min="10" max="10" width="32.7109375" style="123" customWidth="1"/>
    <col min="11" max="11" width="21" style="123" customWidth="1"/>
    <col min="12" max="12" width="13.42578125" style="123" customWidth="1"/>
    <col min="13" max="13" width="18.7109375" style="123" customWidth="1"/>
    <col min="14" max="14" width="12.7109375" style="123" customWidth="1"/>
    <col min="15" max="15" width="17.7109375" style="123" customWidth="1"/>
    <col min="16" max="16" width="14.42578125" style="123" customWidth="1"/>
    <col min="17" max="17" width="17" style="123" customWidth="1"/>
    <col min="18" max="18" width="11.85546875" style="123" customWidth="1"/>
    <col min="19" max="19" width="14.5703125" style="123" customWidth="1"/>
    <col min="20" max="20" width="13.5703125" style="123" customWidth="1"/>
    <col min="21" max="21" width="12.140625" style="123" customWidth="1"/>
    <col min="22" max="22" width="16.7109375" style="123" customWidth="1"/>
    <col min="23" max="23" width="12.42578125" style="123" customWidth="1"/>
    <col min="24" max="24" width="13" style="123" customWidth="1"/>
    <col min="25" max="25" width="12.28515625" style="123" customWidth="1"/>
    <col min="26" max="26" width="15" style="123" customWidth="1"/>
    <col min="27" max="27" width="13.28515625" style="123" customWidth="1"/>
    <col min="28" max="28" width="14.28515625" style="123" customWidth="1"/>
    <col min="29" max="29" width="12.85546875" style="123" customWidth="1"/>
    <col min="30" max="30" width="18.5703125" style="123" customWidth="1"/>
    <col min="31" max="31" width="10.5703125" style="123" bestFit="1" customWidth="1"/>
  </cols>
  <sheetData>
    <row r="1" spans="1:31" ht="26.25" x14ac:dyDescent="0.4">
      <c r="A1" s="3" t="s">
        <v>57</v>
      </c>
      <c r="B1" s="9"/>
      <c r="C1" s="69"/>
      <c r="D1" s="69"/>
      <c r="E1" s="76"/>
      <c r="F1" s="1"/>
      <c r="G1" s="9"/>
      <c r="H1" s="1"/>
      <c r="I1"/>
      <c r="J1"/>
      <c r="K1"/>
      <c r="L1" s="2"/>
      <c r="M1" s="2"/>
      <c r="N1" s="2"/>
      <c r="O1" s="2"/>
      <c r="P1" s="2"/>
      <c r="Q1" s="2"/>
      <c r="R1" s="2"/>
      <c r="S1" s="2"/>
      <c r="U1" s="2"/>
      <c r="V1" s="2"/>
      <c r="W1" s="2"/>
      <c r="X1" s="2"/>
      <c r="Y1" s="2"/>
      <c r="Z1" s="2"/>
      <c r="AA1" s="30"/>
      <c r="AB1" s="133"/>
      <c r="AC1" s="10"/>
      <c r="AD1" s="7"/>
      <c r="AE1" s="17"/>
    </row>
    <row r="2" spans="1:31" x14ac:dyDescent="0.25">
      <c r="A2" t="s">
        <v>9</v>
      </c>
      <c r="B2" s="9"/>
      <c r="C2" s="69"/>
      <c r="D2" s="69"/>
      <c r="E2" s="76"/>
      <c r="F2" s="1"/>
      <c r="G2" s="9"/>
      <c r="H2" s="1"/>
      <c r="I2"/>
      <c r="J2"/>
      <c r="K2"/>
      <c r="L2" s="2"/>
      <c r="M2" s="2"/>
      <c r="N2" s="2"/>
      <c r="O2" s="2"/>
      <c r="P2" s="2"/>
      <c r="Q2" s="2"/>
      <c r="R2" s="2"/>
      <c r="S2" s="2"/>
      <c r="U2" s="2"/>
      <c r="V2" s="2"/>
      <c r="W2" s="2"/>
      <c r="X2" s="2"/>
      <c r="Y2" s="2"/>
      <c r="Z2" s="2"/>
      <c r="AA2" s="30"/>
      <c r="AB2" s="133"/>
      <c r="AC2" s="10"/>
      <c r="AD2" s="7"/>
      <c r="AE2" s="17"/>
    </row>
    <row r="3" spans="1:31" x14ac:dyDescent="0.25">
      <c r="A3" s="4" t="s">
        <v>6380</v>
      </c>
      <c r="B3" s="9"/>
      <c r="C3" s="69"/>
      <c r="D3" s="69"/>
      <c r="E3" s="76"/>
      <c r="F3" s="1"/>
      <c r="G3" s="9"/>
      <c r="H3" s="1"/>
      <c r="I3"/>
      <c r="J3"/>
      <c r="K3"/>
      <c r="L3" s="2"/>
      <c r="M3" s="2"/>
      <c r="N3" s="2"/>
      <c r="O3" s="2"/>
      <c r="P3" s="2"/>
      <c r="Q3" s="2"/>
      <c r="R3" s="2"/>
      <c r="S3" s="2"/>
      <c r="U3" s="2"/>
      <c r="V3" s="2"/>
      <c r="W3" s="2"/>
      <c r="X3" s="2"/>
      <c r="Y3" s="2"/>
      <c r="Z3" s="2"/>
      <c r="AA3" s="30"/>
      <c r="AB3" s="133"/>
      <c r="AC3" s="10"/>
      <c r="AD3" s="7"/>
      <c r="AE3" s="17"/>
    </row>
    <row r="4" spans="1:31" x14ac:dyDescent="0.25">
      <c r="B4" s="9"/>
      <c r="C4" s="69"/>
      <c r="D4" s="69"/>
      <c r="E4" s="76"/>
      <c r="F4" s="1"/>
      <c r="G4" s="9"/>
      <c r="H4" s="1"/>
      <c r="I4"/>
      <c r="J4"/>
      <c r="K4"/>
      <c r="L4" s="2"/>
      <c r="M4" s="2"/>
      <c r="N4" s="2"/>
      <c r="O4" s="2"/>
      <c r="P4" s="2"/>
      <c r="Q4" s="2"/>
      <c r="R4" s="2"/>
      <c r="S4" s="2"/>
      <c r="U4" s="2"/>
      <c r="V4" s="2"/>
      <c r="W4" s="2"/>
      <c r="X4" s="2"/>
      <c r="Y4" s="2"/>
      <c r="Z4" s="2"/>
      <c r="AA4" s="30"/>
      <c r="AB4" s="133"/>
      <c r="AC4" s="10"/>
      <c r="AD4" s="7"/>
      <c r="AE4" s="17"/>
    </row>
    <row r="5" spans="1:31" ht="15.75" thickBot="1" x14ac:dyDescent="0.3">
      <c r="A5" s="7"/>
      <c r="B5" s="9"/>
      <c r="C5" s="70"/>
      <c r="D5" s="70"/>
      <c r="E5" s="73"/>
      <c r="F5" s="9"/>
      <c r="G5" s="9"/>
      <c r="H5" s="9"/>
      <c r="I5" s="7"/>
      <c r="J5" s="7"/>
      <c r="K5" s="7"/>
      <c r="L5" s="10"/>
      <c r="M5" s="10"/>
      <c r="N5" s="10"/>
      <c r="O5" s="10"/>
      <c r="P5" s="10"/>
      <c r="Q5" s="10"/>
      <c r="R5" s="10"/>
      <c r="S5" s="10"/>
      <c r="U5" s="10"/>
      <c r="V5" s="10"/>
      <c r="W5" s="10"/>
      <c r="X5" s="10"/>
      <c r="Y5" s="10"/>
      <c r="Z5" s="10"/>
      <c r="AA5" s="17"/>
      <c r="AB5" s="133"/>
      <c r="AC5" s="10"/>
      <c r="AD5" s="7"/>
      <c r="AE5" s="17"/>
    </row>
    <row r="6" spans="1:31" ht="15.75" thickBot="1" x14ac:dyDescent="0.3">
      <c r="A6" s="187" t="s">
        <v>11</v>
      </c>
      <c r="B6" s="188"/>
      <c r="C6" s="188"/>
      <c r="D6" s="188"/>
      <c r="E6" s="188"/>
      <c r="F6" s="188"/>
      <c r="G6" s="188"/>
      <c r="H6" s="188"/>
      <c r="I6" s="188"/>
      <c r="J6" s="188"/>
      <c r="K6" s="189"/>
      <c r="L6" s="190" t="s">
        <v>7</v>
      </c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34"/>
      <c r="AC6" s="116"/>
      <c r="AD6" s="117"/>
      <c r="AE6" s="118"/>
    </row>
    <row r="7" spans="1:31" ht="36.75" thickBot="1" x14ac:dyDescent="0.3">
      <c r="A7" s="110" t="s">
        <v>10</v>
      </c>
      <c r="B7" s="111" t="s">
        <v>5</v>
      </c>
      <c r="C7" s="112" t="s">
        <v>6</v>
      </c>
      <c r="D7" s="112" t="s">
        <v>15</v>
      </c>
      <c r="E7" s="112" t="s">
        <v>2</v>
      </c>
      <c r="F7" s="111" t="s">
        <v>14</v>
      </c>
      <c r="G7" s="111" t="s">
        <v>27</v>
      </c>
      <c r="H7" s="111" t="s">
        <v>28</v>
      </c>
      <c r="I7" s="111" t="s">
        <v>0</v>
      </c>
      <c r="J7" s="111" t="s">
        <v>12</v>
      </c>
      <c r="K7" s="113" t="s">
        <v>1</v>
      </c>
      <c r="L7" s="114" t="s">
        <v>3</v>
      </c>
      <c r="M7" s="115" t="s">
        <v>16</v>
      </c>
      <c r="N7" s="115" t="s">
        <v>21</v>
      </c>
      <c r="O7" s="115" t="s">
        <v>17</v>
      </c>
      <c r="P7" s="115" t="s">
        <v>42</v>
      </c>
      <c r="Q7" s="115" t="s">
        <v>23</v>
      </c>
      <c r="R7" s="115" t="s">
        <v>18</v>
      </c>
      <c r="S7" s="115" t="s">
        <v>209</v>
      </c>
      <c r="T7" s="131" t="s">
        <v>19</v>
      </c>
      <c r="U7" s="115" t="s">
        <v>20</v>
      </c>
      <c r="V7" s="115" t="s">
        <v>81</v>
      </c>
      <c r="W7" s="115" t="s">
        <v>22</v>
      </c>
      <c r="X7" s="115" t="s">
        <v>24</v>
      </c>
      <c r="Y7" s="115" t="s">
        <v>25</v>
      </c>
      <c r="Z7" s="115" t="s">
        <v>41</v>
      </c>
      <c r="AA7" s="128" t="s">
        <v>26</v>
      </c>
      <c r="AB7" s="135" t="s">
        <v>4</v>
      </c>
      <c r="AC7" s="119" t="s">
        <v>13</v>
      </c>
      <c r="AD7" s="120" t="s">
        <v>134</v>
      </c>
      <c r="AE7" s="121" t="s">
        <v>1096</v>
      </c>
    </row>
    <row r="8" spans="1:31" x14ac:dyDescent="0.25">
      <c r="A8" s="109">
        <v>46023</v>
      </c>
      <c r="B8" s="103"/>
      <c r="C8" s="104"/>
      <c r="D8" s="104"/>
      <c r="E8" s="105"/>
      <c r="F8" s="103"/>
      <c r="G8" s="103"/>
      <c r="H8" s="103"/>
      <c r="I8" s="106"/>
      <c r="J8" s="106"/>
      <c r="K8" s="106"/>
      <c r="L8" s="107"/>
      <c r="M8" s="107"/>
      <c r="N8" s="107"/>
      <c r="O8" s="107"/>
      <c r="P8" s="107"/>
      <c r="Q8" s="107"/>
      <c r="R8" s="107"/>
      <c r="S8" s="107"/>
      <c r="T8" s="132"/>
      <c r="U8" s="107"/>
      <c r="V8" s="107"/>
      <c r="W8" s="107"/>
      <c r="X8" s="107"/>
      <c r="Y8" s="107"/>
      <c r="Z8" s="107"/>
      <c r="AA8" s="129"/>
      <c r="AB8" s="136"/>
      <c r="AC8" s="107"/>
      <c r="AD8" s="106"/>
      <c r="AE8" s="108"/>
    </row>
    <row r="9" spans="1:31" x14ac:dyDescent="0.25">
      <c r="A9" s="43"/>
      <c r="B9" s="9"/>
      <c r="C9" s="70"/>
      <c r="D9" s="70"/>
      <c r="E9" s="73"/>
      <c r="F9" s="9"/>
      <c r="G9" s="9"/>
      <c r="H9" s="9"/>
      <c r="I9" s="7" t="s">
        <v>6538</v>
      </c>
      <c r="J9" s="51" t="s">
        <v>132</v>
      </c>
      <c r="K9" s="7"/>
      <c r="L9" s="10"/>
      <c r="M9" s="10"/>
      <c r="N9" s="10"/>
      <c r="O9" s="10"/>
      <c r="P9" s="10"/>
      <c r="Q9" s="10"/>
      <c r="R9" s="10"/>
      <c r="S9" s="10"/>
      <c r="U9" s="10"/>
      <c r="V9" s="10"/>
      <c r="W9" s="10"/>
      <c r="X9" s="10"/>
      <c r="Y9" s="10"/>
      <c r="Z9" s="10"/>
      <c r="AA9" s="33">
        <v>91679.83</v>
      </c>
      <c r="AB9" s="174">
        <v>91679.83</v>
      </c>
      <c r="AC9" s="123">
        <f t="shared" ref="AC9:AC73" si="0">SUM(AB9:AB9)-SUM(L9:AA9)</f>
        <v>0</v>
      </c>
      <c r="AD9" s="82" t="s">
        <v>133</v>
      </c>
      <c r="AE9" s="34"/>
    </row>
    <row r="10" spans="1:31" x14ac:dyDescent="0.25">
      <c r="A10" s="122" t="s">
        <v>6381</v>
      </c>
      <c r="B10" s="154" t="s">
        <v>6390</v>
      </c>
      <c r="C10" s="126">
        <v>46029</v>
      </c>
      <c r="D10" s="126">
        <v>46029</v>
      </c>
      <c r="H10" s="125" t="s">
        <v>3497</v>
      </c>
      <c r="I10" s="123" t="s">
        <v>4427</v>
      </c>
      <c r="J10" s="123" t="s">
        <v>39</v>
      </c>
      <c r="T10" s="123">
        <v>9615.0400000000009</v>
      </c>
      <c r="AB10" s="123">
        <v>9615.0400000000009</v>
      </c>
      <c r="AC10" s="123">
        <f t="shared" si="0"/>
        <v>0</v>
      </c>
    </row>
    <row r="11" spans="1:31" x14ac:dyDescent="0.25">
      <c r="A11" s="122" t="s">
        <v>6382</v>
      </c>
      <c r="B11" s="154" t="s">
        <v>6391</v>
      </c>
      <c r="C11" s="126">
        <v>46031</v>
      </c>
      <c r="D11" s="126">
        <v>46031</v>
      </c>
      <c r="I11" s="123" t="s">
        <v>6392</v>
      </c>
      <c r="J11" s="123" t="s">
        <v>3667</v>
      </c>
      <c r="AA11" s="123">
        <v>29250</v>
      </c>
      <c r="AB11" s="123">
        <v>29250</v>
      </c>
      <c r="AC11" s="123">
        <f t="shared" si="0"/>
        <v>0</v>
      </c>
    </row>
    <row r="12" spans="1:31" x14ac:dyDescent="0.25">
      <c r="A12" s="122" t="s">
        <v>6383</v>
      </c>
      <c r="B12" s="154" t="s">
        <v>6393</v>
      </c>
      <c r="C12" s="126">
        <v>46031</v>
      </c>
      <c r="D12" s="126">
        <v>46031</v>
      </c>
      <c r="I12" s="123" t="s">
        <v>6394</v>
      </c>
      <c r="J12" s="123" t="s">
        <v>6395</v>
      </c>
      <c r="L12" s="123">
        <v>32.14</v>
      </c>
      <c r="S12" s="123">
        <v>267.86</v>
      </c>
      <c r="AB12" s="123">
        <v>300</v>
      </c>
      <c r="AC12" s="123">
        <f t="shared" si="0"/>
        <v>0</v>
      </c>
    </row>
    <row r="13" spans="1:31" x14ac:dyDescent="0.25">
      <c r="A13" s="122" t="s">
        <v>6384</v>
      </c>
      <c r="B13" s="154" t="s">
        <v>6396</v>
      </c>
      <c r="C13" s="126">
        <v>46059</v>
      </c>
      <c r="D13" s="126">
        <v>46031</v>
      </c>
      <c r="E13" s="126">
        <v>46037</v>
      </c>
      <c r="F13" s="123" t="s">
        <v>6463</v>
      </c>
      <c r="G13" s="153" t="s">
        <v>4962</v>
      </c>
      <c r="I13" s="123" t="s">
        <v>4960</v>
      </c>
      <c r="J13" s="123" t="s">
        <v>1226</v>
      </c>
      <c r="K13" s="122" t="s">
        <v>2924</v>
      </c>
      <c r="L13" s="123">
        <v>9107.14</v>
      </c>
      <c r="M13" s="123">
        <v>75892.86</v>
      </c>
      <c r="AB13" s="123">
        <v>85000</v>
      </c>
      <c r="AC13" s="123">
        <f t="shared" si="0"/>
        <v>0</v>
      </c>
      <c r="AE13" s="123">
        <v>758.93</v>
      </c>
    </row>
    <row r="14" spans="1:31" x14ac:dyDescent="0.25">
      <c r="A14" s="122" t="s">
        <v>6385</v>
      </c>
      <c r="B14" s="154" t="s">
        <v>6397</v>
      </c>
      <c r="C14" s="126">
        <v>46092</v>
      </c>
      <c r="D14" s="126">
        <v>46031</v>
      </c>
      <c r="E14" s="126">
        <v>46037</v>
      </c>
      <c r="F14" s="123" t="s">
        <v>6462</v>
      </c>
      <c r="G14" s="153" t="s">
        <v>6384</v>
      </c>
      <c r="I14" s="123" t="s">
        <v>6398</v>
      </c>
      <c r="J14" s="123" t="s">
        <v>1226</v>
      </c>
      <c r="K14" s="122" t="s">
        <v>2924</v>
      </c>
      <c r="L14" s="123">
        <v>7500</v>
      </c>
      <c r="M14" s="123">
        <v>62500</v>
      </c>
      <c r="AB14" s="123">
        <v>70000</v>
      </c>
      <c r="AC14" s="123">
        <f t="shared" si="0"/>
        <v>0</v>
      </c>
      <c r="AE14" s="123">
        <v>625</v>
      </c>
    </row>
    <row r="15" spans="1:31" x14ac:dyDescent="0.25">
      <c r="A15" s="122" t="s">
        <v>6386</v>
      </c>
      <c r="B15" s="154" t="s">
        <v>6399</v>
      </c>
      <c r="C15" s="126">
        <v>46034</v>
      </c>
      <c r="D15" s="126">
        <v>46031</v>
      </c>
      <c r="E15" s="126">
        <v>46037</v>
      </c>
      <c r="F15" s="123" t="s">
        <v>6521</v>
      </c>
      <c r="G15" s="153" t="s">
        <v>6387</v>
      </c>
      <c r="I15" s="123" t="s">
        <v>6400</v>
      </c>
      <c r="J15" s="123" t="s">
        <v>6401</v>
      </c>
      <c r="L15" s="123">
        <v>13082.14</v>
      </c>
      <c r="M15" s="123">
        <v>109017.86</v>
      </c>
      <c r="AB15" s="123">
        <v>122100</v>
      </c>
      <c r="AC15" s="123">
        <f t="shared" si="0"/>
        <v>0</v>
      </c>
      <c r="AE15" s="123">
        <v>1100</v>
      </c>
    </row>
    <row r="16" spans="1:31" x14ac:dyDescent="0.25">
      <c r="A16" s="122" t="s">
        <v>6387</v>
      </c>
      <c r="B16" s="155" t="s">
        <v>6402</v>
      </c>
      <c r="C16" s="126">
        <v>46036</v>
      </c>
      <c r="D16" s="126">
        <v>46031</v>
      </c>
      <c r="E16" s="126">
        <v>46037</v>
      </c>
      <c r="F16" s="123" t="s">
        <v>6461</v>
      </c>
      <c r="G16" s="153" t="s">
        <v>6381</v>
      </c>
      <c r="I16" s="123" t="s">
        <v>6403</v>
      </c>
      <c r="J16" s="123" t="s">
        <v>4717</v>
      </c>
      <c r="K16" s="122" t="s">
        <v>4718</v>
      </c>
      <c r="L16" s="123">
        <v>20223.21</v>
      </c>
      <c r="M16" s="123">
        <v>168526.79</v>
      </c>
      <c r="AB16" s="123">
        <v>188750</v>
      </c>
      <c r="AC16" s="123">
        <f t="shared" si="0"/>
        <v>0</v>
      </c>
      <c r="AE16" s="123">
        <v>1685.27</v>
      </c>
    </row>
    <row r="17" spans="1:31" x14ac:dyDescent="0.25">
      <c r="A17" s="122" t="s">
        <v>6388</v>
      </c>
      <c r="B17" s="155" t="s">
        <v>6404</v>
      </c>
      <c r="C17" s="126">
        <v>46031</v>
      </c>
      <c r="D17" s="126">
        <v>46031</v>
      </c>
      <c r="I17" s="123" t="s">
        <v>6255</v>
      </c>
      <c r="J17" s="123" t="s">
        <v>54</v>
      </c>
      <c r="K17" s="123" t="s">
        <v>6406</v>
      </c>
      <c r="Z17" s="123">
        <v>300000</v>
      </c>
      <c r="AB17" s="123">
        <v>300000</v>
      </c>
      <c r="AC17" s="123">
        <f t="shared" si="0"/>
        <v>0</v>
      </c>
    </row>
    <row r="18" spans="1:31" x14ac:dyDescent="0.25">
      <c r="A18" s="122" t="s">
        <v>6389</v>
      </c>
      <c r="B18" s="155" t="s">
        <v>6405</v>
      </c>
      <c r="C18" s="126">
        <v>46031</v>
      </c>
      <c r="D18" s="126">
        <v>46031</v>
      </c>
      <c r="I18" s="123" t="s">
        <v>6407</v>
      </c>
      <c r="J18" s="123" t="s">
        <v>54</v>
      </c>
      <c r="K18" s="123" t="s">
        <v>6406</v>
      </c>
      <c r="Z18" s="123">
        <v>50000</v>
      </c>
      <c r="AB18" s="123">
        <v>50000</v>
      </c>
      <c r="AC18" s="123">
        <f t="shared" si="0"/>
        <v>0</v>
      </c>
    </row>
    <row r="19" spans="1:31" x14ac:dyDescent="0.25">
      <c r="A19" s="122" t="s">
        <v>6408</v>
      </c>
      <c r="B19" s="154" t="s">
        <v>6416</v>
      </c>
      <c r="C19" s="126">
        <v>46037</v>
      </c>
      <c r="D19" s="126">
        <v>46034</v>
      </c>
      <c r="I19" s="123" t="s">
        <v>4612</v>
      </c>
      <c r="J19" s="123" t="s">
        <v>1847</v>
      </c>
      <c r="AA19" s="123">
        <v>20480</v>
      </c>
      <c r="AB19" s="123">
        <v>20480</v>
      </c>
      <c r="AC19" s="123">
        <f t="shared" si="0"/>
        <v>0</v>
      </c>
    </row>
    <row r="20" spans="1:31" x14ac:dyDescent="0.25">
      <c r="A20" s="122" t="s">
        <v>6409</v>
      </c>
      <c r="B20" s="154" t="s">
        <v>6417</v>
      </c>
      <c r="C20" s="126">
        <v>46037</v>
      </c>
      <c r="D20" s="126">
        <v>46034</v>
      </c>
      <c r="I20" s="123" t="s">
        <v>4612</v>
      </c>
      <c r="J20" s="123" t="s">
        <v>125</v>
      </c>
      <c r="AA20" s="123">
        <v>10000</v>
      </c>
      <c r="AB20" s="123">
        <v>10000</v>
      </c>
      <c r="AC20" s="123">
        <f t="shared" si="0"/>
        <v>0</v>
      </c>
    </row>
    <row r="21" spans="1:31" x14ac:dyDescent="0.25">
      <c r="A21" s="122" t="s">
        <v>6410</v>
      </c>
      <c r="B21" s="154" t="s">
        <v>6418</v>
      </c>
      <c r="C21" s="126">
        <v>46034</v>
      </c>
      <c r="D21" s="126">
        <v>46034</v>
      </c>
      <c r="E21" s="126">
        <v>46036</v>
      </c>
      <c r="F21" s="123" t="s">
        <v>6522</v>
      </c>
      <c r="I21" s="123" t="s">
        <v>6394</v>
      </c>
      <c r="J21" s="123" t="s">
        <v>6303</v>
      </c>
      <c r="AA21" s="123">
        <v>5875.2</v>
      </c>
      <c r="AB21" s="123">
        <v>5875.2</v>
      </c>
      <c r="AC21" s="123">
        <f t="shared" si="0"/>
        <v>0</v>
      </c>
    </row>
    <row r="22" spans="1:31" x14ac:dyDescent="0.25">
      <c r="A22" s="122" t="s">
        <v>6411</v>
      </c>
      <c r="B22" s="154" t="s">
        <v>6419</v>
      </c>
      <c r="C22" s="126">
        <v>46062</v>
      </c>
      <c r="D22" s="126">
        <v>46034</v>
      </c>
      <c r="E22" s="126">
        <v>46037</v>
      </c>
      <c r="F22" s="123" t="s">
        <v>6460</v>
      </c>
      <c r="G22" s="153" t="s">
        <v>6382</v>
      </c>
      <c r="I22" s="123" t="s">
        <v>6424</v>
      </c>
      <c r="J22" s="122" t="s">
        <v>2087</v>
      </c>
      <c r="K22" s="122" t="s">
        <v>2088</v>
      </c>
      <c r="L22" s="123">
        <v>8250</v>
      </c>
      <c r="M22" s="123">
        <v>68750</v>
      </c>
      <c r="AB22" s="123">
        <v>77000</v>
      </c>
      <c r="AC22" s="123">
        <f t="shared" si="0"/>
        <v>0</v>
      </c>
      <c r="AE22" s="123">
        <v>687.5</v>
      </c>
    </row>
    <row r="23" spans="1:31" x14ac:dyDescent="0.25">
      <c r="A23" s="122" t="s">
        <v>6412</v>
      </c>
      <c r="B23" s="154" t="s">
        <v>6420</v>
      </c>
      <c r="C23" s="126">
        <v>46073</v>
      </c>
      <c r="D23" s="126">
        <v>46034</v>
      </c>
      <c r="E23" s="126">
        <v>46038</v>
      </c>
      <c r="F23" s="123" t="s">
        <v>6470</v>
      </c>
      <c r="G23" s="153" t="s">
        <v>6383</v>
      </c>
      <c r="I23" s="123" t="s">
        <v>6425</v>
      </c>
      <c r="J23" s="123" t="s">
        <v>3527</v>
      </c>
      <c r="K23" s="122" t="s">
        <v>61</v>
      </c>
      <c r="L23" s="123">
        <v>3064.29</v>
      </c>
      <c r="M23" s="123">
        <v>25535.71</v>
      </c>
      <c r="AB23" s="123">
        <v>28600</v>
      </c>
      <c r="AC23" s="123">
        <f t="shared" si="0"/>
        <v>0</v>
      </c>
      <c r="AE23" s="123">
        <v>255.36</v>
      </c>
    </row>
    <row r="24" spans="1:31" x14ac:dyDescent="0.25">
      <c r="A24" s="122" t="s">
        <v>6413</v>
      </c>
      <c r="B24" s="154" t="s">
        <v>6421</v>
      </c>
      <c r="C24" s="126">
        <v>46073</v>
      </c>
      <c r="D24" s="126">
        <v>46034</v>
      </c>
      <c r="E24" s="126">
        <v>46042</v>
      </c>
      <c r="F24" s="123" t="s">
        <v>6488</v>
      </c>
      <c r="G24" s="153" t="s">
        <v>6386</v>
      </c>
      <c r="I24" s="123" t="s">
        <v>6426</v>
      </c>
      <c r="J24" s="123" t="s">
        <v>83</v>
      </c>
      <c r="K24" s="122" t="s">
        <v>1336</v>
      </c>
      <c r="L24" s="123">
        <v>203.57</v>
      </c>
      <c r="M24" s="123">
        <v>1696.43</v>
      </c>
      <c r="AB24" s="123">
        <v>1900</v>
      </c>
      <c r="AC24" s="123">
        <f t="shared" si="0"/>
        <v>0</v>
      </c>
      <c r="AE24" s="123">
        <v>16.96</v>
      </c>
    </row>
    <row r="25" spans="1:31" x14ac:dyDescent="0.25">
      <c r="A25" s="122" t="s">
        <v>6414</v>
      </c>
      <c r="B25" s="154" t="s">
        <v>6422</v>
      </c>
      <c r="C25" s="126">
        <v>46034</v>
      </c>
      <c r="D25" s="126">
        <v>46034</v>
      </c>
      <c r="I25" s="122" t="s">
        <v>6427</v>
      </c>
      <c r="J25" s="122" t="s">
        <v>18</v>
      </c>
      <c r="L25" s="123">
        <v>151.09</v>
      </c>
      <c r="R25" s="123">
        <v>1259.06</v>
      </c>
      <c r="AB25" s="123">
        <v>1410.15</v>
      </c>
      <c r="AC25" s="123">
        <f t="shared" si="0"/>
        <v>0</v>
      </c>
    </row>
    <row r="26" spans="1:31" x14ac:dyDescent="0.25">
      <c r="A26" s="122" t="s">
        <v>6415</v>
      </c>
      <c r="B26" s="154" t="s">
        <v>6423</v>
      </c>
      <c r="C26" s="126">
        <v>46034</v>
      </c>
      <c r="D26" s="126">
        <v>46034</v>
      </c>
      <c r="I26" s="122" t="s">
        <v>6427</v>
      </c>
      <c r="J26" s="122" t="s">
        <v>18</v>
      </c>
      <c r="L26" s="123">
        <v>811.09</v>
      </c>
      <c r="R26" s="123">
        <v>6759.06</v>
      </c>
      <c r="AB26" s="123">
        <v>7570.15</v>
      </c>
      <c r="AC26" s="123">
        <f t="shared" si="0"/>
        <v>0</v>
      </c>
    </row>
    <row r="27" spans="1:31" x14ac:dyDescent="0.25">
      <c r="A27" s="122" t="s">
        <v>6428</v>
      </c>
      <c r="B27" s="154" t="s">
        <v>6437</v>
      </c>
      <c r="C27" s="126">
        <v>46035</v>
      </c>
      <c r="D27" s="126">
        <v>46035</v>
      </c>
      <c r="H27" s="125" t="s">
        <v>3498</v>
      </c>
      <c r="I27" s="123" t="s">
        <v>4427</v>
      </c>
      <c r="J27" s="123" t="s">
        <v>3667</v>
      </c>
      <c r="T27" s="123">
        <v>6496.31</v>
      </c>
      <c r="AB27" s="123">
        <v>6496.31</v>
      </c>
      <c r="AC27" s="123">
        <f t="shared" si="0"/>
        <v>0</v>
      </c>
    </row>
    <row r="28" spans="1:31" x14ac:dyDescent="0.25">
      <c r="A28" s="122" t="s">
        <v>6429</v>
      </c>
      <c r="B28" s="154" t="s">
        <v>6438</v>
      </c>
      <c r="C28" s="126">
        <v>46035</v>
      </c>
      <c r="D28" s="126">
        <v>46035</v>
      </c>
      <c r="H28" s="125" t="s">
        <v>3517</v>
      </c>
      <c r="I28" s="123" t="s">
        <v>4780</v>
      </c>
      <c r="J28" s="123" t="s">
        <v>3667</v>
      </c>
      <c r="T28" s="123">
        <v>13602.13</v>
      </c>
      <c r="AB28" s="123">
        <v>13602.13</v>
      </c>
      <c r="AC28" s="123">
        <f t="shared" si="0"/>
        <v>0</v>
      </c>
    </row>
    <row r="29" spans="1:31" x14ac:dyDescent="0.25">
      <c r="A29" s="122" t="s">
        <v>6430</v>
      </c>
      <c r="B29" s="154" t="s">
        <v>6439</v>
      </c>
      <c r="C29" s="126">
        <v>46035</v>
      </c>
      <c r="D29" s="126">
        <v>46035</v>
      </c>
      <c r="I29" s="123" t="s">
        <v>6446</v>
      </c>
      <c r="J29" s="122" t="s">
        <v>4628</v>
      </c>
      <c r="X29" s="123">
        <v>6725.31</v>
      </c>
      <c r="AB29" s="123">
        <v>6725.31</v>
      </c>
      <c r="AC29" s="123">
        <f t="shared" si="0"/>
        <v>0</v>
      </c>
    </row>
    <row r="30" spans="1:31" x14ac:dyDescent="0.25">
      <c r="A30" s="122" t="s">
        <v>6431</v>
      </c>
      <c r="B30" s="154" t="s">
        <v>6440</v>
      </c>
      <c r="C30" s="126">
        <v>46041</v>
      </c>
      <c r="D30" s="126">
        <v>46035</v>
      </c>
      <c r="E30" s="126">
        <v>46043</v>
      </c>
      <c r="F30" s="123" t="s">
        <v>6530</v>
      </c>
      <c r="I30" s="123" t="s">
        <v>6447</v>
      </c>
      <c r="J30" s="123" t="s">
        <v>1457</v>
      </c>
      <c r="N30" s="123">
        <v>24325</v>
      </c>
      <c r="AB30" s="123">
        <v>24325</v>
      </c>
      <c r="AC30" s="123">
        <f t="shared" si="0"/>
        <v>0</v>
      </c>
    </row>
    <row r="31" spans="1:31" x14ac:dyDescent="0.25">
      <c r="A31" s="122" t="s">
        <v>6432</v>
      </c>
      <c r="B31" s="154" t="s">
        <v>6441</v>
      </c>
      <c r="C31" s="126">
        <v>46073</v>
      </c>
      <c r="D31" s="126">
        <v>46035</v>
      </c>
      <c r="E31" s="126">
        <v>46037</v>
      </c>
      <c r="F31" s="123" t="s">
        <v>6467</v>
      </c>
      <c r="G31" s="153" t="s">
        <v>6385</v>
      </c>
      <c r="I31" s="123" t="s">
        <v>6448</v>
      </c>
      <c r="J31" s="122" t="s">
        <v>2687</v>
      </c>
      <c r="K31" s="122" t="s">
        <v>61</v>
      </c>
      <c r="L31" s="123">
        <v>2035.71</v>
      </c>
      <c r="M31" s="123">
        <v>16964.29</v>
      </c>
      <c r="AB31" s="123">
        <v>19000</v>
      </c>
      <c r="AC31" s="123">
        <f t="shared" si="0"/>
        <v>0</v>
      </c>
      <c r="AE31" s="123">
        <v>169.64</v>
      </c>
    </row>
    <row r="32" spans="1:31" x14ac:dyDescent="0.25">
      <c r="A32" s="122" t="s">
        <v>6433</v>
      </c>
      <c r="B32" s="154" t="s">
        <v>6442</v>
      </c>
      <c r="C32" s="126">
        <v>46097</v>
      </c>
      <c r="D32" s="126">
        <v>46035</v>
      </c>
      <c r="E32" s="126">
        <v>46037</v>
      </c>
      <c r="F32" s="123" t="s">
        <v>6466</v>
      </c>
      <c r="G32" s="153" t="s">
        <v>6388</v>
      </c>
      <c r="I32" s="123" t="s">
        <v>6449</v>
      </c>
      <c r="J32" s="123" t="s">
        <v>1226</v>
      </c>
      <c r="K32" s="122" t="s">
        <v>2924</v>
      </c>
      <c r="L32" s="123">
        <v>1055.3599999999999</v>
      </c>
      <c r="M32" s="123">
        <v>8794.64</v>
      </c>
      <c r="AB32" s="123">
        <v>9850</v>
      </c>
      <c r="AC32" s="123">
        <f t="shared" si="0"/>
        <v>0</v>
      </c>
      <c r="AE32" s="123">
        <v>87.95</v>
      </c>
    </row>
    <row r="33" spans="1:31" x14ac:dyDescent="0.25">
      <c r="A33" s="122" t="s">
        <v>6434</v>
      </c>
      <c r="B33" s="154" t="s">
        <v>6443</v>
      </c>
      <c r="C33" s="126">
        <v>46035</v>
      </c>
      <c r="D33" s="126">
        <v>46035</v>
      </c>
      <c r="I33" s="123" t="s">
        <v>6450</v>
      </c>
      <c r="J33" s="122" t="s">
        <v>46</v>
      </c>
      <c r="L33" s="123">
        <v>160.61000000000001</v>
      </c>
      <c r="S33" s="123">
        <v>1338.39</v>
      </c>
      <c r="AB33" s="123">
        <v>1499</v>
      </c>
      <c r="AC33" s="123">
        <f t="shared" si="0"/>
        <v>0</v>
      </c>
    </row>
    <row r="34" spans="1:31" x14ac:dyDescent="0.25">
      <c r="A34" s="122" t="s">
        <v>6435</v>
      </c>
      <c r="B34" s="154" t="s">
        <v>6444</v>
      </c>
      <c r="C34" s="126">
        <v>46035</v>
      </c>
      <c r="D34" s="126">
        <v>46035</v>
      </c>
      <c r="I34" s="123" t="s">
        <v>6451</v>
      </c>
      <c r="J34" s="122" t="s">
        <v>46</v>
      </c>
      <c r="L34" s="123">
        <v>107.04</v>
      </c>
      <c r="S34" s="123">
        <v>891.96</v>
      </c>
      <c r="AB34" s="123">
        <v>999</v>
      </c>
      <c r="AC34" s="123">
        <f t="shared" si="0"/>
        <v>0</v>
      </c>
    </row>
    <row r="35" spans="1:31" x14ac:dyDescent="0.25">
      <c r="A35" s="122" t="s">
        <v>6436</v>
      </c>
      <c r="B35" s="154" t="s">
        <v>6445</v>
      </c>
      <c r="C35" s="126">
        <v>46036</v>
      </c>
      <c r="D35" s="126">
        <v>46036</v>
      </c>
      <c r="I35" s="123" t="s">
        <v>4612</v>
      </c>
      <c r="J35" s="123" t="s">
        <v>1250</v>
      </c>
      <c r="AA35" s="123">
        <v>6000</v>
      </c>
      <c r="AB35" s="123">
        <v>6000</v>
      </c>
      <c r="AC35" s="123">
        <f t="shared" si="0"/>
        <v>0</v>
      </c>
    </row>
    <row r="36" spans="1:31" x14ac:dyDescent="0.25">
      <c r="A36" s="122" t="s">
        <v>6452</v>
      </c>
      <c r="B36" s="154" t="s">
        <v>6453</v>
      </c>
      <c r="C36" s="126">
        <v>46036</v>
      </c>
      <c r="D36" s="126">
        <v>46036</v>
      </c>
      <c r="I36" s="123" t="s">
        <v>6454</v>
      </c>
      <c r="J36" s="123" t="s">
        <v>5168</v>
      </c>
      <c r="AA36" s="123">
        <v>2467</v>
      </c>
      <c r="AB36" s="123">
        <v>2467</v>
      </c>
      <c r="AC36" s="123">
        <f t="shared" si="0"/>
        <v>0</v>
      </c>
    </row>
    <row r="37" spans="1:31" x14ac:dyDescent="0.25">
      <c r="A37" s="122" t="s">
        <v>6456</v>
      </c>
      <c r="B37" s="155" t="s">
        <v>6459</v>
      </c>
      <c r="C37" s="126">
        <v>46036</v>
      </c>
      <c r="D37" s="126">
        <v>46036</v>
      </c>
      <c r="I37" s="123" t="s">
        <v>41</v>
      </c>
      <c r="J37" s="123" t="s">
        <v>54</v>
      </c>
      <c r="Z37" s="123">
        <v>300000</v>
      </c>
      <c r="AB37" s="123">
        <v>300000</v>
      </c>
      <c r="AC37" s="123">
        <f t="shared" si="0"/>
        <v>0</v>
      </c>
    </row>
    <row r="38" spans="1:31" x14ac:dyDescent="0.25">
      <c r="A38" s="122" t="s">
        <v>6457</v>
      </c>
      <c r="B38" s="154" t="s">
        <v>6455</v>
      </c>
      <c r="C38" s="126">
        <v>46036</v>
      </c>
      <c r="D38" s="126">
        <v>46036</v>
      </c>
      <c r="I38" s="123" t="s">
        <v>6458</v>
      </c>
      <c r="J38" s="123" t="s">
        <v>126</v>
      </c>
      <c r="AA38" s="123">
        <v>14250</v>
      </c>
      <c r="AB38" s="123">
        <v>14250</v>
      </c>
      <c r="AC38" s="123">
        <f t="shared" si="0"/>
        <v>0</v>
      </c>
    </row>
    <row r="39" spans="1:31" x14ac:dyDescent="0.25">
      <c r="A39" s="122" t="s">
        <v>6471</v>
      </c>
      <c r="B39" s="154" t="s">
        <v>6473</v>
      </c>
      <c r="C39" s="126">
        <v>46041</v>
      </c>
      <c r="D39" s="126">
        <v>46041</v>
      </c>
      <c r="H39" s="125" t="s">
        <v>3537</v>
      </c>
      <c r="I39" s="123" t="s">
        <v>4975</v>
      </c>
      <c r="J39" s="123" t="s">
        <v>3667</v>
      </c>
      <c r="T39" s="123">
        <v>6725.09</v>
      </c>
      <c r="AB39" s="123">
        <v>6725.09</v>
      </c>
      <c r="AC39" s="123">
        <f t="shared" si="0"/>
        <v>0</v>
      </c>
    </row>
    <row r="40" spans="1:31" x14ac:dyDescent="0.25">
      <c r="A40" s="122" t="s">
        <v>6472</v>
      </c>
      <c r="B40" s="154" t="s">
        <v>6474</v>
      </c>
      <c r="C40" s="126">
        <v>46041</v>
      </c>
      <c r="D40" s="126">
        <v>46041</v>
      </c>
      <c r="E40" s="126">
        <v>46042</v>
      </c>
      <c r="F40" s="123" t="s">
        <v>6485</v>
      </c>
      <c r="G40" s="153" t="s">
        <v>6389</v>
      </c>
      <c r="I40" s="123" t="s">
        <v>6477</v>
      </c>
      <c r="J40" s="123" t="s">
        <v>83</v>
      </c>
      <c r="K40" s="122" t="s">
        <v>1336</v>
      </c>
      <c r="L40" s="123">
        <v>10714.29</v>
      </c>
      <c r="M40" s="123">
        <v>89285.71</v>
      </c>
      <c r="AB40" s="123">
        <v>100000</v>
      </c>
      <c r="AC40" s="123">
        <f t="shared" si="0"/>
        <v>0</v>
      </c>
    </row>
    <row r="41" spans="1:31" x14ac:dyDescent="0.25">
      <c r="A41" s="122" t="s">
        <v>6475</v>
      </c>
      <c r="B41" s="154" t="s">
        <v>6476</v>
      </c>
      <c r="C41" s="126">
        <v>46041</v>
      </c>
      <c r="D41" s="126">
        <v>46041</v>
      </c>
      <c r="E41" s="126">
        <v>46042</v>
      </c>
      <c r="F41" s="123" t="s">
        <v>6484</v>
      </c>
      <c r="I41" s="123" t="s">
        <v>6478</v>
      </c>
      <c r="J41" s="123" t="s">
        <v>83</v>
      </c>
      <c r="K41" s="122" t="s">
        <v>1336</v>
      </c>
      <c r="AA41" s="123">
        <v>20000</v>
      </c>
      <c r="AB41" s="123">
        <v>20000</v>
      </c>
      <c r="AC41" s="123">
        <f t="shared" si="0"/>
        <v>0</v>
      </c>
    </row>
    <row r="42" spans="1:31" x14ac:dyDescent="0.25">
      <c r="A42" s="122" t="s">
        <v>6479</v>
      </c>
      <c r="B42" s="154" t="s">
        <v>6481</v>
      </c>
      <c r="C42" s="126">
        <v>46042</v>
      </c>
      <c r="D42" s="126">
        <v>46042</v>
      </c>
      <c r="I42" s="123" t="s">
        <v>6788</v>
      </c>
      <c r="J42" s="123" t="s">
        <v>3667</v>
      </c>
      <c r="L42" s="123">
        <v>1412.47</v>
      </c>
      <c r="S42" s="123">
        <v>11770.54</v>
      </c>
      <c r="AB42" s="123">
        <v>13183.01</v>
      </c>
      <c r="AC42" s="123">
        <f t="shared" si="0"/>
        <v>0</v>
      </c>
      <c r="AD42" s="173"/>
      <c r="AE42" s="123">
        <v>235.45</v>
      </c>
    </row>
    <row r="43" spans="1:31" x14ac:dyDescent="0.25">
      <c r="A43" s="122" t="s">
        <v>6480</v>
      </c>
      <c r="B43" s="154" t="s">
        <v>6482</v>
      </c>
      <c r="C43" s="126">
        <v>46104</v>
      </c>
      <c r="D43" s="126">
        <v>46042</v>
      </c>
      <c r="E43" s="126">
        <v>46052</v>
      </c>
      <c r="F43" s="123" t="s">
        <v>6528</v>
      </c>
      <c r="G43" s="153" t="s">
        <v>6410</v>
      </c>
      <c r="I43" s="123" t="s">
        <v>6483</v>
      </c>
      <c r="J43" s="123" t="s">
        <v>1226</v>
      </c>
      <c r="K43" s="122" t="s">
        <v>2924</v>
      </c>
      <c r="L43" s="123">
        <v>4221.43</v>
      </c>
      <c r="M43" s="123">
        <v>35178.57</v>
      </c>
      <c r="AB43" s="123">
        <v>39400</v>
      </c>
      <c r="AC43" s="123">
        <f t="shared" si="0"/>
        <v>0</v>
      </c>
      <c r="AE43" s="123">
        <v>351.79</v>
      </c>
    </row>
    <row r="44" spans="1:31" x14ac:dyDescent="0.25">
      <c r="A44" s="122" t="s">
        <v>6489</v>
      </c>
      <c r="B44" s="154" t="s">
        <v>6494</v>
      </c>
      <c r="C44" s="126">
        <v>46048</v>
      </c>
      <c r="D44" s="126">
        <v>46048</v>
      </c>
      <c r="H44" s="125" t="s">
        <v>3538</v>
      </c>
      <c r="I44" s="123" t="s">
        <v>4975</v>
      </c>
      <c r="J44" s="123" t="s">
        <v>3667</v>
      </c>
      <c r="T44" s="123">
        <v>7393.22</v>
      </c>
      <c r="AB44" s="123">
        <v>7393.22</v>
      </c>
      <c r="AC44" s="123">
        <f t="shared" si="0"/>
        <v>0</v>
      </c>
    </row>
    <row r="45" spans="1:31" x14ac:dyDescent="0.25">
      <c r="A45" s="122" t="s">
        <v>6490</v>
      </c>
      <c r="B45" s="154" t="s">
        <v>6495</v>
      </c>
      <c r="C45" s="126">
        <v>46048</v>
      </c>
      <c r="D45" s="126">
        <v>46048</v>
      </c>
      <c r="I45" s="123" t="s">
        <v>6496</v>
      </c>
      <c r="J45" s="123" t="s">
        <v>39</v>
      </c>
      <c r="AA45" s="123">
        <v>600</v>
      </c>
      <c r="AB45" s="123">
        <v>600</v>
      </c>
      <c r="AC45" s="123">
        <f t="shared" si="0"/>
        <v>0</v>
      </c>
    </row>
    <row r="46" spans="1:31" x14ac:dyDescent="0.25">
      <c r="A46" s="122" t="s">
        <v>6491</v>
      </c>
      <c r="B46" s="154" t="s">
        <v>6497</v>
      </c>
      <c r="C46" s="126">
        <v>46048</v>
      </c>
      <c r="D46" s="126">
        <v>46048</v>
      </c>
      <c r="E46" s="126">
        <v>46056</v>
      </c>
      <c r="F46" s="123" t="s">
        <v>6539</v>
      </c>
      <c r="G46" s="153" t="s">
        <v>6412</v>
      </c>
      <c r="I46" s="123" t="s">
        <v>6498</v>
      </c>
      <c r="J46" s="123" t="s">
        <v>6499</v>
      </c>
      <c r="L46" s="123">
        <v>438</v>
      </c>
      <c r="M46" s="123">
        <v>3650</v>
      </c>
      <c r="AB46" s="123">
        <v>4088</v>
      </c>
      <c r="AC46" s="123">
        <f t="shared" si="0"/>
        <v>0</v>
      </c>
      <c r="AE46" s="123">
        <v>36.5</v>
      </c>
    </row>
    <row r="47" spans="1:31" x14ac:dyDescent="0.25">
      <c r="A47" s="122" t="s">
        <v>6492</v>
      </c>
      <c r="B47" s="154" t="s">
        <v>6500</v>
      </c>
      <c r="C47" s="126">
        <v>46050</v>
      </c>
      <c r="D47" s="126">
        <v>46048</v>
      </c>
      <c r="E47" s="126">
        <v>46051</v>
      </c>
      <c r="F47" s="123" t="s">
        <v>6527</v>
      </c>
      <c r="G47" s="153" t="s">
        <v>6413</v>
      </c>
      <c r="I47" s="123" t="s">
        <v>6501</v>
      </c>
      <c r="J47" s="123" t="s">
        <v>4717</v>
      </c>
      <c r="L47" s="123">
        <v>2967.86</v>
      </c>
      <c r="M47" s="123">
        <v>24732.14</v>
      </c>
      <c r="AB47" s="123">
        <v>27700</v>
      </c>
      <c r="AC47" s="123">
        <f t="shared" si="0"/>
        <v>0</v>
      </c>
      <c r="AE47" s="123">
        <v>247.32</v>
      </c>
    </row>
    <row r="48" spans="1:31" x14ac:dyDescent="0.25">
      <c r="A48" s="122" t="s">
        <v>6493</v>
      </c>
      <c r="B48" s="154" t="s">
        <v>6502</v>
      </c>
      <c r="C48" s="126">
        <v>46074</v>
      </c>
      <c r="D48" s="126">
        <v>46048</v>
      </c>
      <c r="E48" s="126">
        <v>46085</v>
      </c>
      <c r="F48" s="123" t="s">
        <v>6673</v>
      </c>
      <c r="G48" s="153" t="s">
        <v>6414</v>
      </c>
      <c r="I48" s="123" t="s">
        <v>6503</v>
      </c>
      <c r="J48" s="123" t="s">
        <v>3527</v>
      </c>
      <c r="K48" s="122" t="s">
        <v>3530</v>
      </c>
      <c r="L48" s="123">
        <v>578.57000000000005</v>
      </c>
      <c r="M48" s="123">
        <v>4821.43</v>
      </c>
      <c r="AB48" s="123">
        <v>5400</v>
      </c>
      <c r="AC48" s="123">
        <f t="shared" si="0"/>
        <v>0</v>
      </c>
      <c r="AE48" s="123">
        <v>48.21</v>
      </c>
    </row>
    <row r="49" spans="1:31" x14ac:dyDescent="0.25">
      <c r="A49" s="122" t="s">
        <v>6504</v>
      </c>
      <c r="B49" s="154" t="s">
        <v>6507</v>
      </c>
      <c r="C49" s="126">
        <v>46093</v>
      </c>
      <c r="D49" s="126">
        <v>46048</v>
      </c>
      <c r="E49" s="126">
        <v>46048</v>
      </c>
      <c r="F49" s="123" t="s">
        <v>6519</v>
      </c>
      <c r="G49" s="153" t="s">
        <v>4962</v>
      </c>
      <c r="I49" s="123" t="s">
        <v>6508</v>
      </c>
      <c r="J49" s="123" t="s">
        <v>1226</v>
      </c>
      <c r="K49" s="122" t="s">
        <v>2924</v>
      </c>
      <c r="L49" s="123">
        <v>4553.57</v>
      </c>
      <c r="M49" s="123">
        <v>37946.43</v>
      </c>
      <c r="AB49" s="123">
        <v>42500</v>
      </c>
      <c r="AC49" s="123">
        <f t="shared" si="0"/>
        <v>0</v>
      </c>
      <c r="AE49" s="123">
        <v>379.46</v>
      </c>
    </row>
    <row r="50" spans="1:31" x14ac:dyDescent="0.25">
      <c r="A50" s="122" t="s">
        <v>6505</v>
      </c>
      <c r="B50" s="154" t="s">
        <v>6509</v>
      </c>
      <c r="C50" s="126">
        <v>46093</v>
      </c>
      <c r="D50" s="126">
        <v>46048</v>
      </c>
      <c r="E50" s="126">
        <v>46048</v>
      </c>
      <c r="F50" s="123" t="s">
        <v>6520</v>
      </c>
      <c r="G50" s="153" t="s">
        <v>6510</v>
      </c>
      <c r="I50" s="123" t="s">
        <v>6508</v>
      </c>
      <c r="J50" s="123" t="s">
        <v>1226</v>
      </c>
      <c r="K50" s="122" t="s">
        <v>2924</v>
      </c>
      <c r="L50" s="123">
        <v>4553.57</v>
      </c>
      <c r="M50" s="123">
        <v>37946.43</v>
      </c>
      <c r="AB50" s="123">
        <v>42500</v>
      </c>
      <c r="AC50" s="123">
        <f t="shared" si="0"/>
        <v>0</v>
      </c>
      <c r="AE50" s="123">
        <v>379.46</v>
      </c>
    </row>
    <row r="51" spans="1:31" x14ac:dyDescent="0.25">
      <c r="A51" s="122" t="s">
        <v>6506</v>
      </c>
      <c r="B51" s="154" t="s">
        <v>6514</v>
      </c>
      <c r="C51" s="126">
        <v>46052</v>
      </c>
      <c r="D51" s="126">
        <v>46048</v>
      </c>
      <c r="I51" s="123" t="s">
        <v>4612</v>
      </c>
      <c r="J51" s="123" t="s">
        <v>1847</v>
      </c>
      <c r="AA51" s="123">
        <v>25600</v>
      </c>
      <c r="AB51" s="123">
        <v>25600</v>
      </c>
      <c r="AC51" s="123">
        <f t="shared" si="0"/>
        <v>0</v>
      </c>
    </row>
    <row r="52" spans="1:31" x14ac:dyDescent="0.25">
      <c r="A52" s="122" t="s">
        <v>6511</v>
      </c>
      <c r="B52" s="154" t="s">
        <v>6515</v>
      </c>
      <c r="C52" s="126">
        <v>46052</v>
      </c>
      <c r="D52" s="126">
        <v>46048</v>
      </c>
      <c r="I52" s="123" t="s">
        <v>4612</v>
      </c>
      <c r="J52" s="123" t="s">
        <v>125</v>
      </c>
      <c r="AA52" s="123">
        <v>11000</v>
      </c>
      <c r="AB52" s="123">
        <v>11000</v>
      </c>
      <c r="AC52" s="123">
        <f t="shared" si="0"/>
        <v>0</v>
      </c>
    </row>
    <row r="53" spans="1:31" x14ac:dyDescent="0.25">
      <c r="A53" s="122" t="s">
        <v>6512</v>
      </c>
      <c r="B53" s="155" t="s">
        <v>6517</v>
      </c>
      <c r="C53" s="126">
        <v>46048</v>
      </c>
      <c r="D53" s="126">
        <v>46048</v>
      </c>
      <c r="I53" s="123" t="s">
        <v>6516</v>
      </c>
      <c r="J53" s="123" t="s">
        <v>4313</v>
      </c>
      <c r="Z53" s="123">
        <v>60000</v>
      </c>
      <c r="AB53" s="123">
        <v>60000</v>
      </c>
      <c r="AC53" s="123">
        <f t="shared" si="0"/>
        <v>0</v>
      </c>
    </row>
    <row r="54" spans="1:31" x14ac:dyDescent="0.25">
      <c r="A54" s="122" t="s">
        <v>6513</v>
      </c>
      <c r="B54" s="155" t="s">
        <v>6518</v>
      </c>
      <c r="C54" s="126">
        <v>46048</v>
      </c>
      <c r="D54" s="126">
        <v>46048</v>
      </c>
      <c r="I54" s="123" t="s">
        <v>6255</v>
      </c>
      <c r="J54" s="123" t="s">
        <v>4313</v>
      </c>
      <c r="Z54" s="123">
        <v>300000</v>
      </c>
      <c r="AB54" s="123">
        <v>300000</v>
      </c>
      <c r="AC54" s="123">
        <f t="shared" si="0"/>
        <v>0</v>
      </c>
    </row>
    <row r="55" spans="1:31" x14ac:dyDescent="0.25">
      <c r="A55" s="122" t="s">
        <v>6523</v>
      </c>
      <c r="B55" s="155" t="s">
        <v>6525</v>
      </c>
      <c r="C55" s="126">
        <v>46050</v>
      </c>
      <c r="D55" s="126">
        <v>46050</v>
      </c>
      <c r="I55" s="123" t="s">
        <v>6255</v>
      </c>
      <c r="J55" s="123" t="s">
        <v>4313</v>
      </c>
      <c r="Z55" s="123">
        <v>40000</v>
      </c>
      <c r="AB55" s="123">
        <v>40000</v>
      </c>
      <c r="AC55" s="123">
        <f t="shared" si="0"/>
        <v>0</v>
      </c>
    </row>
    <row r="56" spans="1:31" x14ac:dyDescent="0.25">
      <c r="A56" s="122" t="s">
        <v>6524</v>
      </c>
      <c r="B56" s="155" t="s">
        <v>6526</v>
      </c>
      <c r="C56" s="126">
        <v>46050</v>
      </c>
      <c r="D56" s="126">
        <v>46050</v>
      </c>
      <c r="I56" s="123" t="s">
        <v>4459</v>
      </c>
      <c r="J56" s="123" t="s">
        <v>47</v>
      </c>
      <c r="P56" s="123">
        <v>50000</v>
      </c>
      <c r="AB56" s="123">
        <v>50000</v>
      </c>
      <c r="AC56" s="123">
        <f t="shared" si="0"/>
        <v>0</v>
      </c>
    </row>
    <row r="57" spans="1:31" x14ac:dyDescent="0.25">
      <c r="A57" s="122" t="s">
        <v>6533</v>
      </c>
      <c r="B57" s="154" t="s">
        <v>6534</v>
      </c>
      <c r="C57" s="126">
        <v>46093</v>
      </c>
      <c r="D57" s="126">
        <v>46052</v>
      </c>
      <c r="E57" s="126">
        <v>46084</v>
      </c>
      <c r="F57" s="123" t="s">
        <v>6671</v>
      </c>
      <c r="G57" s="153" t="s">
        <v>6389</v>
      </c>
      <c r="I57" s="123" t="s">
        <v>6535</v>
      </c>
      <c r="J57" s="123" t="s">
        <v>83</v>
      </c>
      <c r="K57" s="122" t="s">
        <v>1336</v>
      </c>
      <c r="L57" s="123">
        <v>12428.57</v>
      </c>
      <c r="M57" s="123">
        <v>103571.43</v>
      </c>
      <c r="AB57" s="123">
        <v>116000</v>
      </c>
      <c r="AC57" s="123">
        <f t="shared" si="0"/>
        <v>0</v>
      </c>
      <c r="AE57" s="123">
        <v>1928.57</v>
      </c>
    </row>
    <row r="58" spans="1:31" x14ac:dyDescent="0.25">
      <c r="A58" s="109">
        <v>46079</v>
      </c>
      <c r="B58" s="175"/>
      <c r="C58" s="176"/>
      <c r="D58" s="176"/>
      <c r="E58" s="132"/>
      <c r="F58" s="132"/>
      <c r="G58" s="177"/>
      <c r="H58" s="177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>
        <f t="shared" si="0"/>
        <v>0</v>
      </c>
      <c r="AD58" s="132"/>
      <c r="AE58" s="132"/>
    </row>
    <row r="59" spans="1:31" x14ac:dyDescent="0.25">
      <c r="A59" s="122" t="s">
        <v>6540</v>
      </c>
      <c r="B59" s="154" t="s">
        <v>6541</v>
      </c>
      <c r="C59" s="126">
        <v>46057</v>
      </c>
      <c r="D59" s="126">
        <v>46057</v>
      </c>
      <c r="H59" s="125" t="s">
        <v>3564</v>
      </c>
      <c r="I59" s="123" t="s">
        <v>5030</v>
      </c>
      <c r="J59" s="123" t="s">
        <v>3667</v>
      </c>
      <c r="T59" s="123">
        <v>8868.23</v>
      </c>
      <c r="AB59" s="123">
        <v>8868.23</v>
      </c>
      <c r="AC59" s="123">
        <f t="shared" si="0"/>
        <v>0</v>
      </c>
    </row>
    <row r="60" spans="1:31" x14ac:dyDescent="0.25">
      <c r="A60" s="122" t="s">
        <v>6542</v>
      </c>
      <c r="B60" s="154" t="s">
        <v>6544</v>
      </c>
      <c r="C60" s="126">
        <v>46057</v>
      </c>
      <c r="D60" s="126">
        <v>46057</v>
      </c>
      <c r="E60" s="126">
        <v>46058</v>
      </c>
      <c r="F60" s="123" t="s">
        <v>6566</v>
      </c>
      <c r="G60" s="153" t="s">
        <v>6431</v>
      </c>
      <c r="I60" s="123" t="s">
        <v>6546</v>
      </c>
      <c r="J60" s="123" t="s">
        <v>6547</v>
      </c>
      <c r="K60" s="123" t="s">
        <v>2978</v>
      </c>
      <c r="L60" s="123">
        <v>339.64</v>
      </c>
      <c r="M60" s="123">
        <v>2830.36</v>
      </c>
      <c r="AB60" s="123">
        <v>3170</v>
      </c>
      <c r="AC60" s="123">
        <f t="shared" si="0"/>
        <v>0</v>
      </c>
      <c r="AE60" s="123">
        <v>28.3</v>
      </c>
    </row>
    <row r="61" spans="1:31" x14ac:dyDescent="0.25">
      <c r="A61" s="122" t="s">
        <v>6543</v>
      </c>
      <c r="B61" s="154" t="s">
        <v>6545</v>
      </c>
      <c r="C61" s="126">
        <v>46072</v>
      </c>
      <c r="D61" s="126">
        <v>46057</v>
      </c>
      <c r="E61" s="126">
        <v>46058</v>
      </c>
      <c r="F61" s="123" t="s">
        <v>6565</v>
      </c>
      <c r="G61" s="153" t="s">
        <v>6434</v>
      </c>
      <c r="I61" s="123" t="s">
        <v>6548</v>
      </c>
      <c r="J61" s="123" t="s">
        <v>6549</v>
      </c>
      <c r="K61" s="123" t="s">
        <v>6069</v>
      </c>
      <c r="L61" s="123">
        <v>964.29</v>
      </c>
      <c r="M61" s="123">
        <v>8035.71</v>
      </c>
      <c r="AB61" s="123">
        <v>9000</v>
      </c>
      <c r="AC61" s="123">
        <f t="shared" si="0"/>
        <v>0</v>
      </c>
      <c r="AE61" s="123">
        <v>80.36</v>
      </c>
    </row>
    <row r="62" spans="1:31" x14ac:dyDescent="0.25">
      <c r="A62" s="122" t="s">
        <v>6550</v>
      </c>
      <c r="B62" s="155" t="s">
        <v>6551</v>
      </c>
      <c r="C62" s="126">
        <v>46057</v>
      </c>
      <c r="D62" s="126">
        <v>46057</v>
      </c>
      <c r="I62" s="123" t="s">
        <v>6552</v>
      </c>
      <c r="J62" s="123" t="s">
        <v>6553</v>
      </c>
      <c r="AA62" s="123">
        <v>120000</v>
      </c>
      <c r="AB62" s="123">
        <v>120000</v>
      </c>
      <c r="AC62" s="123">
        <f t="shared" si="0"/>
        <v>0</v>
      </c>
    </row>
    <row r="63" spans="1:31" x14ac:dyDescent="0.25">
      <c r="A63" s="122" t="s">
        <v>6554</v>
      </c>
      <c r="B63" s="155" t="s">
        <v>6555</v>
      </c>
      <c r="C63" s="126">
        <v>46057</v>
      </c>
      <c r="D63" s="126">
        <v>46057</v>
      </c>
      <c r="I63" s="123" t="s">
        <v>6255</v>
      </c>
      <c r="J63" s="123" t="s">
        <v>4313</v>
      </c>
      <c r="Z63" s="123">
        <v>200000</v>
      </c>
      <c r="AB63" s="123">
        <v>200000</v>
      </c>
      <c r="AC63" s="123">
        <f t="shared" si="0"/>
        <v>0</v>
      </c>
    </row>
    <row r="64" spans="1:31" x14ac:dyDescent="0.25">
      <c r="A64" s="122" t="s">
        <v>6556</v>
      </c>
      <c r="B64" s="155" t="s">
        <v>6558</v>
      </c>
      <c r="C64" s="126">
        <v>46057</v>
      </c>
      <c r="D64" s="126">
        <v>46057</v>
      </c>
      <c r="I64" s="123" t="s">
        <v>6559</v>
      </c>
      <c r="J64" s="123" t="s">
        <v>6560</v>
      </c>
      <c r="AA64" s="123">
        <v>30000.01</v>
      </c>
      <c r="AB64" s="123">
        <v>30000.01</v>
      </c>
      <c r="AC64" s="123">
        <f t="shared" si="0"/>
        <v>0</v>
      </c>
    </row>
    <row r="65" spans="1:29" x14ac:dyDescent="0.25">
      <c r="A65" s="122" t="s">
        <v>6557</v>
      </c>
      <c r="B65" s="155" t="s">
        <v>6561</v>
      </c>
      <c r="C65" s="126">
        <v>46057</v>
      </c>
      <c r="D65" s="126">
        <v>46057</v>
      </c>
      <c r="I65" s="123" t="s">
        <v>42</v>
      </c>
      <c r="J65" s="123" t="s">
        <v>6562</v>
      </c>
      <c r="P65" s="123">
        <v>100000</v>
      </c>
      <c r="AB65" s="123">
        <v>100000</v>
      </c>
      <c r="AC65" s="123">
        <f t="shared" si="0"/>
        <v>0</v>
      </c>
    </row>
    <row r="66" spans="1:29" x14ac:dyDescent="0.25">
      <c r="A66" s="122" t="s">
        <v>6563</v>
      </c>
      <c r="B66" s="125" t="s">
        <v>6564</v>
      </c>
      <c r="C66" s="126">
        <v>46057</v>
      </c>
      <c r="D66" s="126">
        <v>46057</v>
      </c>
      <c r="I66" s="123" t="s">
        <v>42</v>
      </c>
      <c r="J66" s="123" t="s">
        <v>6562</v>
      </c>
      <c r="P66" s="123">
        <v>80000</v>
      </c>
      <c r="AB66" s="123">
        <v>80000</v>
      </c>
      <c r="AC66" s="123">
        <f t="shared" si="0"/>
        <v>0</v>
      </c>
    </row>
    <row r="67" spans="1:29" x14ac:dyDescent="0.25">
      <c r="A67" s="122" t="s">
        <v>6567</v>
      </c>
      <c r="B67" s="154" t="s">
        <v>6571</v>
      </c>
      <c r="C67" s="126">
        <v>46063</v>
      </c>
      <c r="D67" s="126">
        <v>46062</v>
      </c>
      <c r="I67" s="122" t="s">
        <v>6574</v>
      </c>
      <c r="J67" s="122" t="s">
        <v>18</v>
      </c>
      <c r="R67" s="123">
        <v>1410.15</v>
      </c>
      <c r="AB67" s="123">
        <v>1410.15</v>
      </c>
      <c r="AC67" s="123">
        <f t="shared" si="0"/>
        <v>0</v>
      </c>
    </row>
    <row r="68" spans="1:29" x14ac:dyDescent="0.25">
      <c r="A68" s="122" t="s">
        <v>6568</v>
      </c>
      <c r="B68" s="154" t="s">
        <v>6572</v>
      </c>
      <c r="C68" s="126">
        <v>46063</v>
      </c>
      <c r="D68" s="126">
        <v>46062</v>
      </c>
      <c r="I68" s="122" t="s">
        <v>6574</v>
      </c>
      <c r="J68" s="122" t="s">
        <v>18</v>
      </c>
      <c r="R68" s="123">
        <v>7570.15</v>
      </c>
      <c r="AB68" s="123">
        <v>7570.15</v>
      </c>
      <c r="AC68" s="123">
        <f t="shared" si="0"/>
        <v>0</v>
      </c>
    </row>
    <row r="69" spans="1:29" x14ac:dyDescent="0.25">
      <c r="A69" s="122" t="s">
        <v>6569</v>
      </c>
      <c r="B69" s="155" t="s">
        <v>6573</v>
      </c>
      <c r="C69" s="126">
        <v>46062</v>
      </c>
      <c r="D69" s="126">
        <v>46062</v>
      </c>
      <c r="I69" s="123" t="s">
        <v>6255</v>
      </c>
      <c r="J69" s="123" t="s">
        <v>4313</v>
      </c>
      <c r="Z69" s="123">
        <v>50000</v>
      </c>
      <c r="AB69" s="123">
        <v>50000</v>
      </c>
      <c r="AC69" s="123">
        <f t="shared" si="0"/>
        <v>0</v>
      </c>
    </row>
    <row r="70" spans="1:29" x14ac:dyDescent="0.25">
      <c r="A70" s="122" t="s">
        <v>6570</v>
      </c>
      <c r="B70" s="155" t="s">
        <v>6576</v>
      </c>
      <c r="C70" s="126">
        <v>46274</v>
      </c>
      <c r="D70" s="126">
        <v>46062</v>
      </c>
      <c r="I70" s="123" t="s">
        <v>6575</v>
      </c>
      <c r="J70" s="123" t="s">
        <v>6577</v>
      </c>
      <c r="AA70" s="123">
        <v>28625.66</v>
      </c>
      <c r="AB70" s="123">
        <v>28625.66</v>
      </c>
      <c r="AC70" s="123">
        <f t="shared" si="0"/>
        <v>0</v>
      </c>
    </row>
    <row r="71" spans="1:29" x14ac:dyDescent="0.25">
      <c r="A71" s="122" t="s">
        <v>6580</v>
      </c>
      <c r="B71" s="154" t="s">
        <v>6578</v>
      </c>
      <c r="C71" s="126">
        <v>46066</v>
      </c>
      <c r="D71" s="126">
        <v>46066</v>
      </c>
      <c r="I71" s="123" t="s">
        <v>4612</v>
      </c>
      <c r="J71" s="123" t="s">
        <v>1847</v>
      </c>
      <c r="AA71" s="123">
        <v>30720</v>
      </c>
      <c r="AB71" s="123">
        <v>30720</v>
      </c>
      <c r="AC71" s="123">
        <f t="shared" si="0"/>
        <v>0</v>
      </c>
    </row>
    <row r="72" spans="1:29" x14ac:dyDescent="0.25">
      <c r="A72" s="122" t="s">
        <v>6581</v>
      </c>
      <c r="B72" s="154" t="s">
        <v>6579</v>
      </c>
      <c r="C72" s="126">
        <v>46066</v>
      </c>
      <c r="D72" s="126">
        <v>46066</v>
      </c>
      <c r="I72" s="123" t="s">
        <v>4612</v>
      </c>
      <c r="J72" s="123" t="s">
        <v>125</v>
      </c>
      <c r="AA72" s="123">
        <v>10000</v>
      </c>
      <c r="AB72" s="123">
        <v>10000</v>
      </c>
      <c r="AC72" s="123">
        <f t="shared" si="0"/>
        <v>0</v>
      </c>
    </row>
    <row r="73" spans="1:29" x14ac:dyDescent="0.25">
      <c r="A73" s="122" t="s">
        <v>6582</v>
      </c>
      <c r="B73" s="154" t="s">
        <v>6587</v>
      </c>
      <c r="C73" s="126">
        <v>46066</v>
      </c>
      <c r="D73" s="126">
        <v>46066</v>
      </c>
      <c r="I73" s="123" t="s">
        <v>6592</v>
      </c>
      <c r="J73" s="123" t="s">
        <v>6593</v>
      </c>
      <c r="L73" s="123">
        <v>32.14</v>
      </c>
      <c r="S73" s="123">
        <v>267.86</v>
      </c>
      <c r="AB73" s="123">
        <v>300</v>
      </c>
      <c r="AC73" s="123">
        <f t="shared" si="0"/>
        <v>0</v>
      </c>
    </row>
    <row r="74" spans="1:29" x14ac:dyDescent="0.25">
      <c r="A74" s="122" t="s">
        <v>6583</v>
      </c>
      <c r="B74" s="154" t="s">
        <v>6588</v>
      </c>
      <c r="C74" s="126">
        <v>46066</v>
      </c>
      <c r="D74" s="126">
        <v>46066</v>
      </c>
      <c r="I74" s="123" t="s">
        <v>6594</v>
      </c>
      <c r="J74" s="123" t="s">
        <v>46</v>
      </c>
      <c r="L74" s="123">
        <v>160.61000000000001</v>
      </c>
      <c r="S74" s="123">
        <v>1338.39</v>
      </c>
      <c r="AB74" s="123">
        <v>1499</v>
      </c>
      <c r="AC74" s="123">
        <f t="shared" ref="AC74:AC138" si="1">SUM(AB74:AB74)-SUM(L74:AA74)</f>
        <v>0</v>
      </c>
    </row>
    <row r="75" spans="1:29" x14ac:dyDescent="0.25">
      <c r="A75" s="122" t="s">
        <v>6584</v>
      </c>
      <c r="B75" s="154" t="s">
        <v>6589</v>
      </c>
      <c r="C75" s="126">
        <v>46066</v>
      </c>
      <c r="D75" s="126">
        <v>46066</v>
      </c>
      <c r="I75" s="123" t="s">
        <v>6595</v>
      </c>
      <c r="J75" s="123" t="s">
        <v>46</v>
      </c>
      <c r="L75" s="123">
        <v>107.04</v>
      </c>
      <c r="S75" s="123">
        <v>891.96</v>
      </c>
      <c r="AB75" s="123">
        <v>999</v>
      </c>
      <c r="AC75" s="123">
        <f t="shared" si="1"/>
        <v>0</v>
      </c>
    </row>
    <row r="76" spans="1:29" x14ac:dyDescent="0.25">
      <c r="A76" s="122" t="s">
        <v>6585</v>
      </c>
      <c r="B76" s="154" t="s">
        <v>6590</v>
      </c>
      <c r="C76" s="126">
        <v>46066</v>
      </c>
      <c r="D76" s="126">
        <v>46066</v>
      </c>
      <c r="I76" s="123" t="s">
        <v>6596</v>
      </c>
      <c r="J76" s="122" t="s">
        <v>4628</v>
      </c>
      <c r="X76" s="123">
        <v>9284.07</v>
      </c>
      <c r="AB76" s="123">
        <v>9284.07</v>
      </c>
      <c r="AC76" s="123">
        <f t="shared" si="1"/>
        <v>0</v>
      </c>
    </row>
    <row r="77" spans="1:29" x14ac:dyDescent="0.25">
      <c r="A77" s="122" t="s">
        <v>6586</v>
      </c>
      <c r="B77" s="154" t="s">
        <v>6591</v>
      </c>
      <c r="C77" s="126">
        <v>46066</v>
      </c>
      <c r="D77" s="126">
        <v>46066</v>
      </c>
      <c r="E77" s="126">
        <v>46073</v>
      </c>
      <c r="F77" s="123" t="s">
        <v>6621</v>
      </c>
      <c r="I77" s="123" t="s">
        <v>6592</v>
      </c>
      <c r="J77" s="123" t="s">
        <v>127</v>
      </c>
      <c r="AA77" s="123">
        <v>8275.7999999999993</v>
      </c>
      <c r="AB77" s="123">
        <v>8275.7999999999993</v>
      </c>
      <c r="AC77" s="123">
        <f t="shared" si="1"/>
        <v>0</v>
      </c>
    </row>
    <row r="78" spans="1:29" x14ac:dyDescent="0.25">
      <c r="A78" s="122" t="s">
        <v>6597</v>
      </c>
      <c r="B78" s="154" t="s">
        <v>6603</v>
      </c>
      <c r="C78" s="126">
        <v>46070</v>
      </c>
      <c r="D78" s="126">
        <v>46066</v>
      </c>
      <c r="E78" s="126">
        <v>46072</v>
      </c>
      <c r="F78" s="123" t="s">
        <v>6665</v>
      </c>
      <c r="G78" s="153" t="s">
        <v>6666</v>
      </c>
      <c r="I78" s="123" t="s">
        <v>7001</v>
      </c>
      <c r="J78" s="123" t="s">
        <v>6608</v>
      </c>
      <c r="N78" s="123">
        <v>21350</v>
      </c>
      <c r="AB78" s="123">
        <v>21350</v>
      </c>
      <c r="AC78" s="123">
        <f t="shared" si="1"/>
        <v>0</v>
      </c>
    </row>
    <row r="79" spans="1:29" x14ac:dyDescent="0.25">
      <c r="A79" s="122" t="s">
        <v>6598</v>
      </c>
      <c r="B79" s="154" t="s">
        <v>6604</v>
      </c>
      <c r="C79" s="126">
        <v>46066</v>
      </c>
      <c r="D79" s="126">
        <v>46066</v>
      </c>
      <c r="H79" s="125" t="s">
        <v>3601</v>
      </c>
      <c r="I79" s="123" t="s">
        <v>5030</v>
      </c>
      <c r="J79" s="123" t="s">
        <v>3667</v>
      </c>
      <c r="T79" s="123">
        <v>7989.45</v>
      </c>
      <c r="AB79" s="123">
        <v>7989.45</v>
      </c>
      <c r="AC79" s="123">
        <f t="shared" si="1"/>
        <v>0</v>
      </c>
    </row>
    <row r="80" spans="1:29" x14ac:dyDescent="0.25">
      <c r="A80" s="122" t="s">
        <v>6599</v>
      </c>
      <c r="B80" s="154" t="s">
        <v>6605</v>
      </c>
      <c r="C80" s="126">
        <v>46066</v>
      </c>
      <c r="D80" s="126">
        <v>46066</v>
      </c>
      <c r="H80" s="125" t="s">
        <v>3619</v>
      </c>
      <c r="I80" s="123" t="s">
        <v>4977</v>
      </c>
      <c r="J80" s="123" t="s">
        <v>3667</v>
      </c>
      <c r="T80" s="123">
        <v>14708.06</v>
      </c>
      <c r="AB80" s="123">
        <v>14708.06</v>
      </c>
      <c r="AC80" s="123">
        <f t="shared" si="1"/>
        <v>0</v>
      </c>
    </row>
    <row r="81" spans="1:31" x14ac:dyDescent="0.25">
      <c r="A81" s="122" t="s">
        <v>6600</v>
      </c>
      <c r="B81" s="154" t="s">
        <v>6606</v>
      </c>
      <c r="C81" s="126">
        <v>46066</v>
      </c>
      <c r="D81" s="126">
        <v>46066</v>
      </c>
      <c r="E81" s="126">
        <v>46069</v>
      </c>
      <c r="F81" s="123" t="s">
        <v>6612</v>
      </c>
      <c r="G81" s="153" t="s">
        <v>6436</v>
      </c>
      <c r="I81" s="123" t="s">
        <v>6609</v>
      </c>
      <c r="J81" s="123" t="s">
        <v>6499</v>
      </c>
      <c r="K81" s="123" t="s">
        <v>4214</v>
      </c>
      <c r="L81" s="123">
        <v>176.79</v>
      </c>
      <c r="M81" s="123">
        <v>1473.21</v>
      </c>
      <c r="AB81" s="123">
        <v>1650</v>
      </c>
      <c r="AC81" s="123">
        <f t="shared" si="1"/>
        <v>0</v>
      </c>
      <c r="AE81" s="123">
        <v>14.73</v>
      </c>
    </row>
    <row r="82" spans="1:31" x14ac:dyDescent="0.25">
      <c r="A82" s="122" t="s">
        <v>6601</v>
      </c>
      <c r="B82" s="154" t="s">
        <v>6607</v>
      </c>
      <c r="C82" s="126">
        <v>46100</v>
      </c>
      <c r="D82" s="126">
        <v>46066</v>
      </c>
      <c r="E82" s="126">
        <v>46085</v>
      </c>
      <c r="F82" s="123" t="s">
        <v>6674</v>
      </c>
      <c r="G82" s="153" t="s">
        <v>6433</v>
      </c>
      <c r="I82" s="123" t="s">
        <v>6610</v>
      </c>
      <c r="J82" s="123" t="s">
        <v>3527</v>
      </c>
      <c r="K82" s="123" t="s">
        <v>38</v>
      </c>
      <c r="L82" s="123">
        <v>1080</v>
      </c>
      <c r="M82" s="123">
        <v>9000</v>
      </c>
      <c r="AB82" s="123">
        <v>10080</v>
      </c>
      <c r="AC82" s="123">
        <f t="shared" si="1"/>
        <v>0</v>
      </c>
      <c r="AE82" s="123">
        <v>90</v>
      </c>
    </row>
    <row r="83" spans="1:31" x14ac:dyDescent="0.25">
      <c r="A83" s="122" t="s">
        <v>6602</v>
      </c>
      <c r="B83" s="154" t="s">
        <v>6611</v>
      </c>
      <c r="C83" s="126">
        <v>46066</v>
      </c>
      <c r="D83" s="126">
        <v>46066</v>
      </c>
      <c r="I83" s="123" t="s">
        <v>6255</v>
      </c>
      <c r="J83" s="123" t="s">
        <v>4313</v>
      </c>
      <c r="Z83" s="123">
        <v>200000</v>
      </c>
      <c r="AB83" s="123">
        <v>200000</v>
      </c>
      <c r="AC83" s="123">
        <f t="shared" si="1"/>
        <v>0</v>
      </c>
    </row>
    <row r="84" spans="1:31" x14ac:dyDescent="0.25">
      <c r="A84" s="122" t="s">
        <v>6613</v>
      </c>
      <c r="B84" s="154" t="s">
        <v>6614</v>
      </c>
      <c r="C84" s="126">
        <v>46069</v>
      </c>
      <c r="D84" s="126">
        <v>46069</v>
      </c>
      <c r="I84" s="123" t="s">
        <v>42</v>
      </c>
      <c r="J84" s="123" t="s">
        <v>6562</v>
      </c>
      <c r="P84" s="123">
        <v>20000</v>
      </c>
      <c r="AB84" s="123">
        <v>20000</v>
      </c>
      <c r="AC84" s="123">
        <f t="shared" si="1"/>
        <v>0</v>
      </c>
    </row>
    <row r="85" spans="1:31" x14ac:dyDescent="0.25">
      <c r="A85" s="122" t="s">
        <v>6618</v>
      </c>
      <c r="B85" s="154" t="s">
        <v>6619</v>
      </c>
      <c r="C85" s="126">
        <v>46071</v>
      </c>
      <c r="D85" s="126">
        <v>46071</v>
      </c>
      <c r="I85" s="123" t="s">
        <v>6620</v>
      </c>
      <c r="J85" s="123" t="s">
        <v>33</v>
      </c>
      <c r="AA85" s="123">
        <v>1285.0899999999999</v>
      </c>
      <c r="AB85" s="123">
        <v>1285.0899999999999</v>
      </c>
      <c r="AC85" s="123">
        <f t="shared" si="1"/>
        <v>0</v>
      </c>
    </row>
    <row r="86" spans="1:31" x14ac:dyDescent="0.25">
      <c r="A86" s="122" t="s">
        <v>6622</v>
      </c>
      <c r="B86" s="154" t="s">
        <v>6626</v>
      </c>
      <c r="C86" s="126">
        <v>46076</v>
      </c>
      <c r="D86" s="126">
        <v>46073</v>
      </c>
      <c r="E86" s="178"/>
      <c r="H86" s="125" t="s">
        <v>3627</v>
      </c>
      <c r="I86" s="123" t="s">
        <v>4811</v>
      </c>
      <c r="J86" s="123" t="s">
        <v>3667</v>
      </c>
      <c r="T86" s="123">
        <v>5825.52</v>
      </c>
      <c r="AB86" s="123">
        <v>5825.52</v>
      </c>
      <c r="AC86" s="123">
        <f t="shared" si="1"/>
        <v>0</v>
      </c>
    </row>
    <row r="87" spans="1:31" x14ac:dyDescent="0.25">
      <c r="A87" s="122" t="s">
        <v>6623</v>
      </c>
      <c r="B87" s="154" t="s">
        <v>6627</v>
      </c>
      <c r="C87" s="126">
        <v>46076</v>
      </c>
      <c r="D87" s="126">
        <v>46073</v>
      </c>
      <c r="I87" s="123" t="s">
        <v>6787</v>
      </c>
      <c r="J87" s="123" t="s">
        <v>3667</v>
      </c>
      <c r="L87" s="123">
        <v>1426.7</v>
      </c>
      <c r="S87" s="123">
        <v>11889.15</v>
      </c>
      <c r="AB87" s="123">
        <v>13315.85</v>
      </c>
      <c r="AC87" s="123">
        <f t="shared" si="1"/>
        <v>0</v>
      </c>
      <c r="AE87" s="123">
        <v>237.82</v>
      </c>
    </row>
    <row r="88" spans="1:31" x14ac:dyDescent="0.25">
      <c r="A88" s="122" t="s">
        <v>6624</v>
      </c>
      <c r="B88" s="154" t="s">
        <v>6628</v>
      </c>
      <c r="C88" s="126">
        <v>46076</v>
      </c>
      <c r="D88" s="126">
        <v>46073</v>
      </c>
      <c r="E88" s="126">
        <v>46076</v>
      </c>
      <c r="F88" s="123" t="s">
        <v>6634</v>
      </c>
      <c r="G88" s="153" t="s">
        <v>6452</v>
      </c>
      <c r="I88" s="123" t="s">
        <v>6498</v>
      </c>
      <c r="J88" s="123" t="s">
        <v>6499</v>
      </c>
      <c r="K88" s="123" t="s">
        <v>4214</v>
      </c>
      <c r="L88" s="123">
        <v>438</v>
      </c>
      <c r="M88" s="123">
        <v>3650</v>
      </c>
      <c r="AB88" s="123">
        <v>4088</v>
      </c>
      <c r="AC88" s="123">
        <f t="shared" si="1"/>
        <v>0</v>
      </c>
      <c r="AE88" s="123">
        <v>14.73</v>
      </c>
    </row>
    <row r="89" spans="1:31" x14ac:dyDescent="0.25">
      <c r="A89" s="122" t="s">
        <v>6625</v>
      </c>
      <c r="B89" s="154" t="s">
        <v>6629</v>
      </c>
      <c r="C89" s="126">
        <v>46076</v>
      </c>
      <c r="D89" s="126">
        <v>46073</v>
      </c>
      <c r="I89" s="123" t="s">
        <v>6633</v>
      </c>
      <c r="J89" s="123" t="s">
        <v>39</v>
      </c>
      <c r="AA89" s="123">
        <v>67750.649999999994</v>
      </c>
      <c r="AB89" s="123">
        <v>67750.649999999994</v>
      </c>
      <c r="AC89" s="123">
        <f t="shared" si="1"/>
        <v>0</v>
      </c>
    </row>
    <row r="90" spans="1:31" x14ac:dyDescent="0.25">
      <c r="A90" s="122" t="s">
        <v>6630</v>
      </c>
      <c r="B90" s="154" t="s">
        <v>6631</v>
      </c>
      <c r="C90" s="126">
        <v>46076</v>
      </c>
      <c r="D90" s="126">
        <v>46076</v>
      </c>
      <c r="H90" s="125" t="s">
        <v>3630</v>
      </c>
      <c r="I90" s="123" t="s">
        <v>6632</v>
      </c>
      <c r="J90" s="123" t="s">
        <v>39</v>
      </c>
      <c r="AA90" s="123">
        <v>29317.08</v>
      </c>
      <c r="AB90" s="123">
        <v>30000</v>
      </c>
      <c r="AC90" s="123">
        <f t="shared" si="1"/>
        <v>682.91999999999825</v>
      </c>
      <c r="AD90" s="145" t="s">
        <v>6640</v>
      </c>
    </row>
    <row r="91" spans="1:31" x14ac:dyDescent="0.25">
      <c r="A91" s="122" t="s">
        <v>6635</v>
      </c>
      <c r="B91" s="154" t="s">
        <v>6638</v>
      </c>
      <c r="C91" s="126">
        <v>46118</v>
      </c>
      <c r="D91" s="126">
        <v>46077</v>
      </c>
      <c r="E91" s="126">
        <v>46091</v>
      </c>
      <c r="F91" s="123" t="s">
        <v>6716</v>
      </c>
      <c r="G91" s="153" t="s">
        <v>6456</v>
      </c>
      <c r="I91" s="123" t="s">
        <v>6639</v>
      </c>
      <c r="J91" s="123" t="s">
        <v>3527</v>
      </c>
      <c r="K91" s="123" t="s">
        <v>38</v>
      </c>
      <c r="L91" s="123">
        <v>857.14</v>
      </c>
      <c r="M91" s="123">
        <v>7142.86</v>
      </c>
      <c r="AB91" s="123">
        <v>8000</v>
      </c>
      <c r="AC91" s="123">
        <f t="shared" si="1"/>
        <v>0</v>
      </c>
      <c r="AE91" s="123">
        <v>71.430000000000007</v>
      </c>
    </row>
    <row r="92" spans="1:31" x14ac:dyDescent="0.25">
      <c r="A92" s="122" t="s">
        <v>6636</v>
      </c>
      <c r="B92" s="122" t="s">
        <v>6637</v>
      </c>
      <c r="C92" s="126">
        <v>46077</v>
      </c>
      <c r="D92" s="126">
        <v>46077</v>
      </c>
      <c r="I92" s="123" t="s">
        <v>6255</v>
      </c>
      <c r="J92" s="123" t="s">
        <v>54</v>
      </c>
      <c r="Z92" s="123">
        <v>292000</v>
      </c>
      <c r="AB92" s="123">
        <v>292000</v>
      </c>
      <c r="AC92" s="123">
        <f t="shared" si="1"/>
        <v>0</v>
      </c>
    </row>
    <row r="93" spans="1:31" x14ac:dyDescent="0.25">
      <c r="A93" s="122" t="s">
        <v>6641</v>
      </c>
      <c r="B93" s="154" t="s">
        <v>6642</v>
      </c>
      <c r="C93" s="126">
        <v>46078</v>
      </c>
      <c r="D93" s="126">
        <v>46078</v>
      </c>
      <c r="I93" s="123" t="s">
        <v>6643</v>
      </c>
      <c r="J93" s="123" t="s">
        <v>125</v>
      </c>
      <c r="AA93" s="123">
        <v>15000</v>
      </c>
      <c r="AB93" s="123">
        <v>15000</v>
      </c>
      <c r="AC93" s="123">
        <f t="shared" si="1"/>
        <v>0</v>
      </c>
    </row>
    <row r="94" spans="1:31" x14ac:dyDescent="0.25">
      <c r="A94" s="122" t="s">
        <v>6644</v>
      </c>
      <c r="B94" s="154" t="s">
        <v>6646</v>
      </c>
      <c r="C94" s="126">
        <v>46080</v>
      </c>
      <c r="D94" s="126">
        <v>46078</v>
      </c>
      <c r="I94" s="123" t="s">
        <v>4612</v>
      </c>
      <c r="J94" s="123" t="s">
        <v>125</v>
      </c>
      <c r="AA94" s="123">
        <v>11000</v>
      </c>
      <c r="AB94" s="123">
        <v>11000</v>
      </c>
      <c r="AC94" s="123">
        <f t="shared" si="1"/>
        <v>0</v>
      </c>
    </row>
    <row r="95" spans="1:31" x14ac:dyDescent="0.25">
      <c r="A95" s="122" t="s">
        <v>6645</v>
      </c>
      <c r="B95" s="154" t="s">
        <v>6647</v>
      </c>
      <c r="C95" s="126">
        <v>46080</v>
      </c>
      <c r="D95" s="126">
        <v>46078</v>
      </c>
      <c r="I95" s="123" t="s">
        <v>4612</v>
      </c>
      <c r="J95" s="123" t="s">
        <v>1847</v>
      </c>
      <c r="AA95" s="123">
        <v>25600</v>
      </c>
      <c r="AB95" s="123">
        <v>25600</v>
      </c>
      <c r="AC95" s="123">
        <f t="shared" si="1"/>
        <v>0</v>
      </c>
    </row>
    <row r="96" spans="1:31" x14ac:dyDescent="0.25">
      <c r="A96" s="122" t="s">
        <v>6648</v>
      </c>
      <c r="B96" s="154" t="s">
        <v>6649</v>
      </c>
      <c r="C96" s="126">
        <v>46078</v>
      </c>
      <c r="D96" s="126">
        <v>46078</v>
      </c>
      <c r="I96" s="123" t="s">
        <v>6255</v>
      </c>
      <c r="J96" s="123" t="s">
        <v>4313</v>
      </c>
      <c r="Z96" s="123">
        <v>300000</v>
      </c>
      <c r="AB96" s="123">
        <v>300000</v>
      </c>
      <c r="AC96" s="123">
        <f t="shared" si="1"/>
        <v>0</v>
      </c>
    </row>
    <row r="97" spans="1:31" x14ac:dyDescent="0.25">
      <c r="A97" s="122" t="s">
        <v>6650</v>
      </c>
      <c r="B97" s="154" t="s">
        <v>6655</v>
      </c>
      <c r="C97" s="126">
        <v>46097</v>
      </c>
      <c r="D97" s="126">
        <v>46080</v>
      </c>
      <c r="E97" s="124">
        <v>46083</v>
      </c>
      <c r="F97" s="123" t="s">
        <v>6667</v>
      </c>
      <c r="G97" s="153" t="s">
        <v>6472</v>
      </c>
      <c r="I97" s="123" t="s">
        <v>6656</v>
      </c>
      <c r="J97" s="123" t="s">
        <v>4717</v>
      </c>
      <c r="K97" s="122" t="s">
        <v>4718</v>
      </c>
      <c r="L97" s="123">
        <v>14250</v>
      </c>
      <c r="M97" s="123">
        <v>118750</v>
      </c>
      <c r="AB97" s="123">
        <v>133000</v>
      </c>
      <c r="AC97" s="123">
        <f t="shared" si="1"/>
        <v>0</v>
      </c>
      <c r="AE97" s="123">
        <v>1187.5</v>
      </c>
    </row>
    <row r="98" spans="1:31" x14ac:dyDescent="0.25">
      <c r="A98" s="122" t="s">
        <v>6651</v>
      </c>
      <c r="B98" s="154" t="s">
        <v>6657</v>
      </c>
      <c r="C98" s="126">
        <v>46126</v>
      </c>
      <c r="D98" s="126">
        <v>46080</v>
      </c>
      <c r="E98" s="124">
        <v>46084</v>
      </c>
      <c r="F98" s="123" t="s">
        <v>6672</v>
      </c>
      <c r="G98" s="153" t="s">
        <v>6475</v>
      </c>
      <c r="I98" s="123" t="s">
        <v>6658</v>
      </c>
      <c r="J98" s="122" t="s">
        <v>2687</v>
      </c>
      <c r="K98" s="122" t="s">
        <v>61</v>
      </c>
      <c r="L98" s="123">
        <v>2306.25</v>
      </c>
      <c r="M98" s="123">
        <v>19218.75</v>
      </c>
      <c r="AB98" s="123">
        <v>21525</v>
      </c>
      <c r="AC98" s="123">
        <f t="shared" si="1"/>
        <v>0</v>
      </c>
      <c r="AE98" s="123">
        <v>192.19</v>
      </c>
    </row>
    <row r="99" spans="1:31" x14ac:dyDescent="0.25">
      <c r="A99" s="122" t="s">
        <v>6652</v>
      </c>
      <c r="B99" s="154" t="s">
        <v>6659</v>
      </c>
      <c r="C99" s="126">
        <v>46083</v>
      </c>
      <c r="D99" s="126">
        <v>46080</v>
      </c>
      <c r="I99" s="123" t="s">
        <v>6661</v>
      </c>
      <c r="J99" s="123" t="s">
        <v>6662</v>
      </c>
      <c r="AA99" s="123">
        <v>11045</v>
      </c>
      <c r="AB99" s="123">
        <v>11045</v>
      </c>
      <c r="AC99" s="123">
        <f t="shared" si="1"/>
        <v>0</v>
      </c>
    </row>
    <row r="100" spans="1:31" x14ac:dyDescent="0.25">
      <c r="A100" s="122" t="s">
        <v>6653</v>
      </c>
      <c r="B100" s="154" t="s">
        <v>6660</v>
      </c>
      <c r="C100" s="126">
        <v>46083</v>
      </c>
      <c r="D100" s="126">
        <v>46080</v>
      </c>
      <c r="I100" s="123" t="s">
        <v>4612</v>
      </c>
      <c r="J100" s="123" t="s">
        <v>1250</v>
      </c>
      <c r="AA100" s="123">
        <v>5000</v>
      </c>
      <c r="AB100" s="123">
        <v>5000</v>
      </c>
      <c r="AC100" s="123">
        <f t="shared" si="1"/>
        <v>0</v>
      </c>
    </row>
    <row r="101" spans="1:31" x14ac:dyDescent="0.25">
      <c r="A101" s="122" t="s">
        <v>6654</v>
      </c>
      <c r="B101" s="122" t="s">
        <v>6663</v>
      </c>
      <c r="C101" s="126">
        <v>46080</v>
      </c>
      <c r="D101" s="126">
        <v>46080</v>
      </c>
      <c r="I101" s="123" t="s">
        <v>4459</v>
      </c>
      <c r="J101" s="123" t="s">
        <v>6664</v>
      </c>
      <c r="P101" s="123">
        <v>15000</v>
      </c>
      <c r="AB101" s="123">
        <v>15000</v>
      </c>
      <c r="AC101" s="123">
        <f t="shared" si="1"/>
        <v>0</v>
      </c>
    </row>
    <row r="102" spans="1:31" x14ac:dyDescent="0.25">
      <c r="A102" s="109">
        <v>46112</v>
      </c>
      <c r="B102" s="175"/>
      <c r="C102" s="176"/>
      <c r="D102" s="176"/>
      <c r="E102" s="132"/>
      <c r="F102" s="132"/>
      <c r="G102" s="177"/>
      <c r="H102" s="177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>
        <f t="shared" si="1"/>
        <v>0</v>
      </c>
      <c r="AD102" s="132"/>
      <c r="AE102" s="132"/>
    </row>
    <row r="103" spans="1:31" x14ac:dyDescent="0.25">
      <c r="A103" s="122" t="s">
        <v>6668</v>
      </c>
      <c r="B103" s="154" t="s">
        <v>6669</v>
      </c>
      <c r="C103" s="126">
        <v>46085</v>
      </c>
      <c r="D103" s="126">
        <v>46084</v>
      </c>
      <c r="I103" s="123" t="s">
        <v>6670</v>
      </c>
      <c r="J103" s="123" t="s">
        <v>65</v>
      </c>
      <c r="AA103" s="123">
        <v>5367</v>
      </c>
      <c r="AB103" s="123">
        <v>10000</v>
      </c>
      <c r="AC103" s="123">
        <f t="shared" si="1"/>
        <v>4633</v>
      </c>
      <c r="AD103" s="145" t="s">
        <v>6722</v>
      </c>
    </row>
    <row r="104" spans="1:31" x14ac:dyDescent="0.25">
      <c r="A104" s="122" t="s">
        <v>6681</v>
      </c>
      <c r="B104" s="154" t="s">
        <v>6675</v>
      </c>
      <c r="C104" s="126">
        <v>46086</v>
      </c>
      <c r="D104" s="126">
        <v>46086</v>
      </c>
      <c r="E104" s="126">
        <v>46090</v>
      </c>
      <c r="F104" s="123" t="s">
        <v>6706</v>
      </c>
      <c r="G104" s="153" t="s">
        <v>6480</v>
      </c>
      <c r="I104" s="123" t="s">
        <v>6680</v>
      </c>
      <c r="J104" s="123" t="s">
        <v>6677</v>
      </c>
      <c r="L104" s="123">
        <v>12026.79</v>
      </c>
      <c r="M104" s="123">
        <v>100223.21</v>
      </c>
      <c r="AB104" s="123">
        <v>112250</v>
      </c>
      <c r="AC104" s="123">
        <f t="shared" si="1"/>
        <v>0</v>
      </c>
      <c r="AE104" s="123">
        <v>1002.23</v>
      </c>
    </row>
    <row r="105" spans="1:31" x14ac:dyDescent="0.25">
      <c r="A105" s="122" t="s">
        <v>6682</v>
      </c>
      <c r="B105" s="154" t="s">
        <v>6676</v>
      </c>
      <c r="C105" s="126">
        <v>46086</v>
      </c>
      <c r="D105" s="126">
        <v>46086</v>
      </c>
      <c r="E105" s="126">
        <v>46087</v>
      </c>
      <c r="F105" s="123" t="s">
        <v>6683</v>
      </c>
      <c r="I105" s="123" t="s">
        <v>6678</v>
      </c>
      <c r="J105" s="123" t="s">
        <v>6679</v>
      </c>
      <c r="AA105" s="123">
        <v>5000</v>
      </c>
      <c r="AB105" s="123">
        <v>5000</v>
      </c>
      <c r="AC105" s="123">
        <f t="shared" si="1"/>
        <v>0</v>
      </c>
    </row>
    <row r="106" spans="1:31" x14ac:dyDescent="0.25">
      <c r="A106" s="122" t="s">
        <v>6684</v>
      </c>
      <c r="B106" s="154" t="s">
        <v>6689</v>
      </c>
      <c r="C106" s="126">
        <v>46087</v>
      </c>
      <c r="D106" s="126">
        <v>46087</v>
      </c>
      <c r="H106" s="153" t="s">
        <v>3631</v>
      </c>
      <c r="I106" s="123" t="s">
        <v>4811</v>
      </c>
      <c r="J106" s="123" t="s">
        <v>3667</v>
      </c>
      <c r="T106" s="123">
        <v>8152.8</v>
      </c>
      <c r="AB106" s="123">
        <v>8152.8</v>
      </c>
      <c r="AC106" s="123">
        <f t="shared" si="1"/>
        <v>0</v>
      </c>
    </row>
    <row r="107" spans="1:31" x14ac:dyDescent="0.25">
      <c r="A107" s="122" t="s">
        <v>6685</v>
      </c>
      <c r="B107" s="154" t="s">
        <v>6690</v>
      </c>
      <c r="C107" s="126">
        <v>46127</v>
      </c>
      <c r="D107" s="126">
        <v>46087</v>
      </c>
      <c r="E107" s="126">
        <v>46091</v>
      </c>
      <c r="F107" s="123" t="s">
        <v>6717</v>
      </c>
      <c r="G107" s="153" t="s">
        <v>6411</v>
      </c>
      <c r="I107" s="123" t="s">
        <v>6694</v>
      </c>
      <c r="J107" s="123" t="s">
        <v>6695</v>
      </c>
      <c r="L107" s="123">
        <v>11785.71</v>
      </c>
      <c r="M107" s="123">
        <v>98214.29</v>
      </c>
      <c r="AB107" s="123">
        <v>110000</v>
      </c>
      <c r="AC107" s="123">
        <f t="shared" si="1"/>
        <v>0</v>
      </c>
      <c r="AE107" s="123">
        <v>982.14</v>
      </c>
    </row>
    <row r="108" spans="1:31" x14ac:dyDescent="0.25">
      <c r="A108" s="179" t="s">
        <v>6686</v>
      </c>
      <c r="B108" s="166" t="s">
        <v>6691</v>
      </c>
      <c r="C108" s="168">
        <v>46147</v>
      </c>
      <c r="D108" s="168">
        <v>46087</v>
      </c>
      <c r="E108" s="126"/>
      <c r="F108" s="169" t="s">
        <v>6697</v>
      </c>
      <c r="G108" s="148" t="s">
        <v>6479</v>
      </c>
      <c r="H108" s="148" t="s">
        <v>48</v>
      </c>
      <c r="I108" s="169" t="s">
        <v>6696</v>
      </c>
      <c r="J108" s="169" t="s">
        <v>1226</v>
      </c>
      <c r="K108" s="179" t="s">
        <v>2924</v>
      </c>
      <c r="L108" s="169">
        <v>1055.3599999999999</v>
      </c>
      <c r="M108" s="169">
        <v>8794.64</v>
      </c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48" t="s">
        <v>48</v>
      </c>
      <c r="AC108" s="169">
        <f t="shared" si="1"/>
        <v>-9850</v>
      </c>
      <c r="AD108" s="169"/>
      <c r="AE108" s="169">
        <v>87.95</v>
      </c>
    </row>
    <row r="109" spans="1:31" x14ac:dyDescent="0.25">
      <c r="A109" s="179" t="s">
        <v>6687</v>
      </c>
      <c r="B109" s="166" t="s">
        <v>6692</v>
      </c>
      <c r="C109" s="168">
        <v>46092</v>
      </c>
      <c r="D109" s="168">
        <v>46087</v>
      </c>
      <c r="E109" s="168">
        <v>46150</v>
      </c>
      <c r="F109" s="169"/>
      <c r="G109" s="148"/>
      <c r="H109" s="148" t="s">
        <v>48</v>
      </c>
      <c r="I109" s="169" t="s">
        <v>6698</v>
      </c>
      <c r="J109" s="169" t="s">
        <v>6608</v>
      </c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>
        <v>17500</v>
      </c>
      <c r="AB109" s="148" t="s">
        <v>48</v>
      </c>
      <c r="AC109" s="169">
        <f t="shared" si="1"/>
        <v>-17500</v>
      </c>
      <c r="AD109" s="169"/>
      <c r="AE109" s="169"/>
    </row>
    <row r="110" spans="1:31" x14ac:dyDescent="0.25">
      <c r="A110" s="122" t="s">
        <v>6688</v>
      </c>
      <c r="B110" s="154" t="s">
        <v>6693</v>
      </c>
      <c r="C110" s="126">
        <v>46092</v>
      </c>
      <c r="D110" s="126">
        <v>46087</v>
      </c>
      <c r="I110" s="122" t="s">
        <v>6699</v>
      </c>
      <c r="J110" s="122" t="s">
        <v>18</v>
      </c>
      <c r="L110" s="123">
        <v>151.09</v>
      </c>
      <c r="R110" s="123">
        <v>1259.06</v>
      </c>
      <c r="AB110" s="123">
        <v>1410.15</v>
      </c>
      <c r="AC110" s="123">
        <f t="shared" si="1"/>
        <v>0</v>
      </c>
    </row>
    <row r="111" spans="1:31" x14ac:dyDescent="0.25">
      <c r="A111" s="122" t="s">
        <v>6700</v>
      </c>
      <c r="B111" s="154" t="s">
        <v>6703</v>
      </c>
      <c r="C111" s="126">
        <v>46092</v>
      </c>
      <c r="D111" s="126">
        <v>46087</v>
      </c>
      <c r="I111" s="122" t="s">
        <v>6699</v>
      </c>
      <c r="J111" s="122" t="s">
        <v>18</v>
      </c>
      <c r="L111" s="123">
        <v>811.09</v>
      </c>
      <c r="R111" s="123">
        <v>6759.06</v>
      </c>
      <c r="AB111" s="123">
        <v>7570.15</v>
      </c>
      <c r="AC111" s="123">
        <f t="shared" si="1"/>
        <v>0</v>
      </c>
    </row>
    <row r="112" spans="1:31" x14ac:dyDescent="0.25">
      <c r="A112" s="122" t="s">
        <v>6701</v>
      </c>
      <c r="B112" s="154" t="s">
        <v>6704</v>
      </c>
      <c r="C112" s="126">
        <v>46091</v>
      </c>
      <c r="D112" s="126">
        <v>46090</v>
      </c>
      <c r="E112" s="126">
        <v>46094</v>
      </c>
      <c r="F112" s="123" t="s">
        <v>6725</v>
      </c>
      <c r="I112" s="123" t="s">
        <v>6707</v>
      </c>
      <c r="J112" s="123" t="s">
        <v>127</v>
      </c>
      <c r="AA112" s="123">
        <v>5875.2</v>
      </c>
      <c r="AB112" s="123">
        <v>5875.2</v>
      </c>
      <c r="AC112" s="123">
        <f t="shared" si="1"/>
        <v>0</v>
      </c>
    </row>
    <row r="113" spans="1:31" x14ac:dyDescent="0.25">
      <c r="A113" s="122" t="s">
        <v>6702</v>
      </c>
      <c r="B113" s="154" t="s">
        <v>6705</v>
      </c>
      <c r="C113" s="126">
        <v>46092</v>
      </c>
      <c r="D113" s="126">
        <v>46090</v>
      </c>
      <c r="I113" s="123" t="s">
        <v>6708</v>
      </c>
      <c r="J113" s="123" t="s">
        <v>1469</v>
      </c>
      <c r="AA113" s="123">
        <v>31500</v>
      </c>
      <c r="AB113" s="123">
        <v>31500</v>
      </c>
      <c r="AC113" s="123">
        <f t="shared" si="1"/>
        <v>0</v>
      </c>
    </row>
    <row r="114" spans="1:31" x14ac:dyDescent="0.25">
      <c r="A114" s="122" t="s">
        <v>6709</v>
      </c>
      <c r="B114" s="154" t="s">
        <v>6711</v>
      </c>
      <c r="C114" s="126">
        <v>46092</v>
      </c>
      <c r="D114" s="126">
        <v>46090</v>
      </c>
      <c r="E114" s="126">
        <v>46150</v>
      </c>
      <c r="F114" s="123" t="s">
        <v>6977</v>
      </c>
      <c r="I114" s="123" t="s">
        <v>7002</v>
      </c>
      <c r="J114" s="123" t="s">
        <v>6608</v>
      </c>
      <c r="N114" s="123">
        <v>24150</v>
      </c>
      <c r="AB114" s="123">
        <v>24150</v>
      </c>
      <c r="AC114" s="123">
        <f t="shared" si="1"/>
        <v>0</v>
      </c>
    </row>
    <row r="115" spans="1:31" x14ac:dyDescent="0.25">
      <c r="A115" s="122" t="s">
        <v>6710</v>
      </c>
      <c r="B115" s="122" t="s">
        <v>6712</v>
      </c>
      <c r="C115" s="126">
        <v>46090</v>
      </c>
      <c r="D115" s="126">
        <v>46090</v>
      </c>
      <c r="I115" s="123" t="s">
        <v>4459</v>
      </c>
      <c r="J115" s="123" t="s">
        <v>5113</v>
      </c>
      <c r="P115" s="123">
        <v>10000</v>
      </c>
      <c r="AB115" s="123">
        <v>10000</v>
      </c>
      <c r="AC115" s="123">
        <f t="shared" si="1"/>
        <v>0</v>
      </c>
    </row>
    <row r="116" spans="1:31" x14ac:dyDescent="0.25">
      <c r="A116" s="122" t="s">
        <v>6713</v>
      </c>
      <c r="B116" s="154" t="s">
        <v>6714</v>
      </c>
      <c r="C116" s="126">
        <v>46090</v>
      </c>
      <c r="D116" s="126">
        <v>46090</v>
      </c>
      <c r="I116" s="123" t="s">
        <v>6715</v>
      </c>
      <c r="J116" s="123" t="s">
        <v>4313</v>
      </c>
      <c r="Z116" s="123">
        <v>120000</v>
      </c>
      <c r="AB116" s="123">
        <v>120000</v>
      </c>
      <c r="AC116" s="123">
        <f t="shared" si="1"/>
        <v>0</v>
      </c>
    </row>
    <row r="117" spans="1:31" x14ac:dyDescent="0.25">
      <c r="A117" s="122" t="s">
        <v>6718</v>
      </c>
      <c r="B117" s="154" t="s">
        <v>6720</v>
      </c>
      <c r="C117" s="126">
        <v>46094</v>
      </c>
      <c r="D117" s="126">
        <v>46092</v>
      </c>
      <c r="I117" s="123" t="s">
        <v>4612</v>
      </c>
      <c r="J117" s="123" t="s">
        <v>1847</v>
      </c>
      <c r="AA117" s="123">
        <v>15360</v>
      </c>
      <c r="AB117" s="123">
        <v>15360</v>
      </c>
      <c r="AC117" s="123">
        <f t="shared" si="1"/>
        <v>0</v>
      </c>
    </row>
    <row r="118" spans="1:31" x14ac:dyDescent="0.25">
      <c r="A118" s="122" t="s">
        <v>6719</v>
      </c>
      <c r="B118" s="154" t="s">
        <v>6721</v>
      </c>
      <c r="C118" s="126">
        <v>46094</v>
      </c>
      <c r="D118" s="126">
        <v>46092</v>
      </c>
      <c r="I118" s="123" t="s">
        <v>4612</v>
      </c>
      <c r="J118" s="123" t="s">
        <v>125</v>
      </c>
      <c r="AA118" s="123">
        <v>10000</v>
      </c>
      <c r="AB118" s="123">
        <v>10000</v>
      </c>
      <c r="AC118" s="123">
        <f t="shared" si="1"/>
        <v>0</v>
      </c>
    </row>
    <row r="119" spans="1:31" x14ac:dyDescent="0.25">
      <c r="A119" s="122" t="s">
        <v>6723</v>
      </c>
      <c r="B119" s="154" t="s">
        <v>6724</v>
      </c>
      <c r="C119" s="126">
        <v>46094</v>
      </c>
      <c r="D119" s="126">
        <v>46094</v>
      </c>
      <c r="I119" s="123" t="s">
        <v>6715</v>
      </c>
      <c r="J119" s="123" t="s">
        <v>4313</v>
      </c>
      <c r="Z119" s="123">
        <v>100000</v>
      </c>
      <c r="AB119" s="123">
        <v>100000</v>
      </c>
      <c r="AC119" s="123">
        <f t="shared" si="1"/>
        <v>0</v>
      </c>
    </row>
    <row r="120" spans="1:31" x14ac:dyDescent="0.25">
      <c r="A120" s="122" t="s">
        <v>6726</v>
      </c>
      <c r="B120" s="154" t="s">
        <v>6734</v>
      </c>
      <c r="C120" s="126">
        <v>46094</v>
      </c>
      <c r="D120" s="126">
        <v>46094</v>
      </c>
      <c r="I120" s="123" t="s">
        <v>6742</v>
      </c>
      <c r="J120" s="123" t="s">
        <v>5681</v>
      </c>
      <c r="X120" s="123">
        <v>9535.58</v>
      </c>
      <c r="AB120" s="123">
        <v>9535.58</v>
      </c>
      <c r="AC120" s="123">
        <f t="shared" si="1"/>
        <v>0</v>
      </c>
    </row>
    <row r="121" spans="1:31" x14ac:dyDescent="0.25">
      <c r="A121" s="122" t="s">
        <v>6727</v>
      </c>
      <c r="B121" s="154" t="s">
        <v>6735</v>
      </c>
      <c r="C121" s="126">
        <v>46094</v>
      </c>
      <c r="D121" s="126">
        <v>46094</v>
      </c>
      <c r="I121" s="123" t="s">
        <v>6743</v>
      </c>
      <c r="J121" s="123" t="s">
        <v>1490</v>
      </c>
      <c r="AA121" s="123">
        <v>13409</v>
      </c>
      <c r="AB121" s="123">
        <v>13409</v>
      </c>
      <c r="AC121" s="123">
        <f t="shared" si="1"/>
        <v>0</v>
      </c>
    </row>
    <row r="122" spans="1:31" x14ac:dyDescent="0.25">
      <c r="A122" s="122" t="s">
        <v>6728</v>
      </c>
      <c r="B122" s="154" t="s">
        <v>6736</v>
      </c>
      <c r="C122" s="126">
        <v>46094</v>
      </c>
      <c r="D122" s="126">
        <v>46094</v>
      </c>
      <c r="I122" s="123" t="s">
        <v>6744</v>
      </c>
      <c r="J122" s="123" t="s">
        <v>65</v>
      </c>
      <c r="AA122" s="123">
        <v>1785.72</v>
      </c>
      <c r="AB122" s="123">
        <v>1785.72</v>
      </c>
      <c r="AC122" s="123">
        <f t="shared" si="1"/>
        <v>0</v>
      </c>
    </row>
    <row r="123" spans="1:31" x14ac:dyDescent="0.25">
      <c r="A123" s="122" t="s">
        <v>6729</v>
      </c>
      <c r="B123" s="154" t="s">
        <v>6737</v>
      </c>
      <c r="C123" s="126">
        <v>46094</v>
      </c>
      <c r="D123" s="126">
        <v>46094</v>
      </c>
      <c r="I123" s="123" t="s">
        <v>6745</v>
      </c>
      <c r="J123" s="123" t="s">
        <v>6746</v>
      </c>
      <c r="K123" s="123" t="s">
        <v>6747</v>
      </c>
      <c r="L123" s="123">
        <v>32.14</v>
      </c>
      <c r="S123" s="123">
        <v>267.86</v>
      </c>
      <c r="AB123" s="123">
        <v>300</v>
      </c>
      <c r="AC123" s="123">
        <f t="shared" si="1"/>
        <v>0</v>
      </c>
    </row>
    <row r="124" spans="1:31" x14ac:dyDescent="0.25">
      <c r="A124" s="122" t="s">
        <v>6730</v>
      </c>
      <c r="B124" s="154" t="s">
        <v>6738</v>
      </c>
      <c r="C124" s="126">
        <v>46094</v>
      </c>
      <c r="D124" s="126">
        <v>46094</v>
      </c>
      <c r="I124" s="123" t="s">
        <v>6749</v>
      </c>
      <c r="J124" s="123" t="s">
        <v>46</v>
      </c>
      <c r="L124" s="123">
        <v>164.41</v>
      </c>
      <c r="S124" s="123">
        <v>1370.09</v>
      </c>
      <c r="AB124" s="123">
        <v>1534.5</v>
      </c>
      <c r="AC124" s="123">
        <f t="shared" si="1"/>
        <v>0</v>
      </c>
    </row>
    <row r="125" spans="1:31" x14ac:dyDescent="0.25">
      <c r="A125" s="122" t="s">
        <v>6731</v>
      </c>
      <c r="B125" s="154" t="s">
        <v>6739</v>
      </c>
      <c r="C125" s="126">
        <v>46094</v>
      </c>
      <c r="D125" s="126">
        <v>46094</v>
      </c>
      <c r="I125" s="123" t="s">
        <v>6748</v>
      </c>
      <c r="J125" s="123" t="s">
        <v>46</v>
      </c>
      <c r="L125" s="123">
        <v>107.04</v>
      </c>
      <c r="S125" s="123">
        <v>891.96</v>
      </c>
      <c r="AB125" s="123">
        <v>999</v>
      </c>
      <c r="AC125" s="123">
        <f t="shared" si="1"/>
        <v>0</v>
      </c>
    </row>
    <row r="126" spans="1:31" x14ac:dyDescent="0.25">
      <c r="A126" s="179" t="s">
        <v>6732</v>
      </c>
      <c r="B126" s="166" t="s">
        <v>6740</v>
      </c>
      <c r="C126" s="168">
        <v>46154</v>
      </c>
      <c r="D126" s="168">
        <v>46094</v>
      </c>
      <c r="E126" s="169"/>
      <c r="F126" s="169" t="s">
        <v>6751</v>
      </c>
      <c r="G126" s="148" t="s">
        <v>6489</v>
      </c>
      <c r="H126" s="148" t="s">
        <v>48</v>
      </c>
      <c r="I126" s="169" t="s">
        <v>6750</v>
      </c>
      <c r="J126" s="169" t="s">
        <v>1226</v>
      </c>
      <c r="K126" s="179" t="s">
        <v>2924</v>
      </c>
      <c r="L126" s="169">
        <v>3214.29</v>
      </c>
      <c r="M126" s="169">
        <v>26785.71</v>
      </c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 t="s">
        <v>48</v>
      </c>
      <c r="AC126" s="169">
        <f t="shared" si="1"/>
        <v>-30000</v>
      </c>
      <c r="AE126" s="123">
        <v>267.86</v>
      </c>
    </row>
    <row r="127" spans="1:31" x14ac:dyDescent="0.25">
      <c r="A127" s="179" t="s">
        <v>6733</v>
      </c>
      <c r="B127" s="166" t="s">
        <v>6741</v>
      </c>
      <c r="C127" s="168">
        <v>46154</v>
      </c>
      <c r="D127" s="168">
        <v>46094</v>
      </c>
      <c r="E127" s="169"/>
      <c r="F127" s="169"/>
      <c r="G127" s="148" t="s">
        <v>6490</v>
      </c>
      <c r="H127" s="148" t="s">
        <v>48</v>
      </c>
      <c r="I127" s="169" t="s">
        <v>6752</v>
      </c>
      <c r="J127" s="169" t="s">
        <v>1226</v>
      </c>
      <c r="K127" s="179" t="s">
        <v>2924</v>
      </c>
      <c r="L127" s="169">
        <v>1392.86</v>
      </c>
      <c r="M127" s="169">
        <v>11607.14</v>
      </c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 t="s">
        <v>48</v>
      </c>
      <c r="AC127" s="169">
        <f t="shared" si="1"/>
        <v>-13000</v>
      </c>
      <c r="AE127" s="123">
        <v>116.07</v>
      </c>
    </row>
    <row r="128" spans="1:31" x14ac:dyDescent="0.25">
      <c r="A128" s="122" t="s">
        <v>6753</v>
      </c>
      <c r="B128" s="154" t="s">
        <v>6756</v>
      </c>
      <c r="C128" s="126">
        <v>46133</v>
      </c>
      <c r="D128" s="126">
        <v>46094</v>
      </c>
      <c r="E128" s="126">
        <v>46135</v>
      </c>
      <c r="F128" s="123" t="s">
        <v>6928</v>
      </c>
      <c r="G128" s="153" t="s">
        <v>6492</v>
      </c>
      <c r="I128" s="123" t="s">
        <v>6759</v>
      </c>
      <c r="J128" s="123" t="s">
        <v>3527</v>
      </c>
      <c r="K128" s="123" t="s">
        <v>38</v>
      </c>
      <c r="L128" s="123">
        <v>567.86</v>
      </c>
      <c r="M128" s="123">
        <v>4732.1400000000003</v>
      </c>
      <c r="AB128" s="123">
        <v>5300</v>
      </c>
      <c r="AC128" s="123">
        <f t="shared" si="1"/>
        <v>0</v>
      </c>
      <c r="AE128" s="123">
        <v>47.32</v>
      </c>
    </row>
    <row r="129" spans="1:31" x14ac:dyDescent="0.25">
      <c r="A129" s="122" t="s">
        <v>6754</v>
      </c>
      <c r="B129" s="154" t="s">
        <v>6757</v>
      </c>
      <c r="C129" s="126">
        <v>46094</v>
      </c>
      <c r="D129" s="126">
        <v>46094</v>
      </c>
      <c r="E129" s="126">
        <v>46099</v>
      </c>
      <c r="F129" s="123" t="s">
        <v>6779</v>
      </c>
      <c r="G129" s="153" t="s">
        <v>6493</v>
      </c>
      <c r="I129" s="123" t="s">
        <v>6760</v>
      </c>
      <c r="J129" s="123" t="s">
        <v>6499</v>
      </c>
      <c r="K129" s="123" t="s">
        <v>4214</v>
      </c>
      <c r="L129" s="123">
        <v>2256</v>
      </c>
      <c r="M129" s="123">
        <v>18800</v>
      </c>
      <c r="AB129" s="123">
        <v>21056</v>
      </c>
      <c r="AC129" s="123">
        <f t="shared" si="1"/>
        <v>0</v>
      </c>
      <c r="AE129" s="123">
        <v>188</v>
      </c>
    </row>
    <row r="130" spans="1:31" x14ac:dyDescent="0.25">
      <c r="A130" s="122" t="s">
        <v>6755</v>
      </c>
      <c r="B130" s="154" t="s">
        <v>6758</v>
      </c>
      <c r="C130" s="126">
        <v>46094</v>
      </c>
      <c r="D130" s="126">
        <v>46094</v>
      </c>
      <c r="G130" s="153" t="s">
        <v>6504</v>
      </c>
      <c r="I130" s="123" t="s">
        <v>6761</v>
      </c>
      <c r="J130" s="123" t="s">
        <v>6608</v>
      </c>
      <c r="AA130" s="123">
        <v>1350</v>
      </c>
      <c r="AB130" s="123">
        <v>1350</v>
      </c>
      <c r="AC130" s="123">
        <f t="shared" si="1"/>
        <v>0</v>
      </c>
    </row>
    <row r="131" spans="1:31" x14ac:dyDescent="0.25">
      <c r="A131" s="122" t="s">
        <v>6762</v>
      </c>
      <c r="B131" s="154" t="s">
        <v>6770</v>
      </c>
      <c r="C131" s="126">
        <v>46097</v>
      </c>
      <c r="D131" s="126">
        <v>46097</v>
      </c>
      <c r="I131" s="123" t="s">
        <v>6715</v>
      </c>
      <c r="J131" s="123" t="s">
        <v>4313</v>
      </c>
      <c r="K131" s="123" t="s">
        <v>6406</v>
      </c>
      <c r="Z131" s="123">
        <v>220000</v>
      </c>
      <c r="AB131" s="123">
        <v>220000</v>
      </c>
      <c r="AC131" s="123">
        <f t="shared" si="1"/>
        <v>0</v>
      </c>
    </row>
    <row r="132" spans="1:31" x14ac:dyDescent="0.25">
      <c r="A132" s="122" t="s">
        <v>6763</v>
      </c>
      <c r="B132" s="154" t="s">
        <v>6768</v>
      </c>
      <c r="C132" s="126">
        <v>46097</v>
      </c>
      <c r="D132" s="126">
        <v>46097</v>
      </c>
      <c r="I132" s="123" t="s">
        <v>6670</v>
      </c>
      <c r="J132" s="123" t="s">
        <v>65</v>
      </c>
      <c r="AA132" s="123">
        <v>10000</v>
      </c>
      <c r="AB132" s="123">
        <v>9017.7000000000007</v>
      </c>
      <c r="AC132" s="123">
        <f t="shared" si="1"/>
        <v>-982.29999999999927</v>
      </c>
      <c r="AD132" s="145" t="s">
        <v>6774</v>
      </c>
    </row>
    <row r="133" spans="1:31" x14ac:dyDescent="0.25">
      <c r="A133" s="122" t="s">
        <v>6764</v>
      </c>
      <c r="B133" s="154" t="s">
        <v>6769</v>
      </c>
      <c r="C133" s="126">
        <v>46099</v>
      </c>
      <c r="D133" s="126">
        <v>46097</v>
      </c>
      <c r="I133" s="123" t="s">
        <v>6771</v>
      </c>
      <c r="J133" s="123" t="s">
        <v>5235</v>
      </c>
      <c r="AA133" s="123">
        <v>29115.35</v>
      </c>
      <c r="AB133" s="123">
        <v>29115.35</v>
      </c>
      <c r="AC133" s="123">
        <f t="shared" si="1"/>
        <v>0</v>
      </c>
    </row>
    <row r="134" spans="1:31" x14ac:dyDescent="0.25">
      <c r="A134" s="122" t="s">
        <v>6765</v>
      </c>
      <c r="B134" s="154" t="s">
        <v>6772</v>
      </c>
      <c r="C134" s="126">
        <v>46100</v>
      </c>
      <c r="D134" s="126">
        <v>46099</v>
      </c>
      <c r="I134" s="123" t="s">
        <v>6715</v>
      </c>
      <c r="J134" s="123" t="s">
        <v>4313</v>
      </c>
      <c r="K134" s="123" t="s">
        <v>6406</v>
      </c>
      <c r="Z134" s="123">
        <v>100000</v>
      </c>
      <c r="AB134" s="123">
        <v>100000</v>
      </c>
      <c r="AC134" s="123">
        <f t="shared" si="1"/>
        <v>0</v>
      </c>
    </row>
    <row r="135" spans="1:31" x14ac:dyDescent="0.25">
      <c r="A135" s="122" t="s">
        <v>6766</v>
      </c>
      <c r="B135" s="154" t="s">
        <v>6773</v>
      </c>
      <c r="C135" s="126">
        <v>46100</v>
      </c>
      <c r="D135" s="126">
        <v>46099</v>
      </c>
      <c r="H135" s="153" t="s">
        <v>3646</v>
      </c>
      <c r="I135" s="123" t="s">
        <v>4811</v>
      </c>
      <c r="J135" s="123" t="s">
        <v>3667</v>
      </c>
      <c r="T135" s="123">
        <v>8021.26</v>
      </c>
      <c r="AB135" s="123">
        <v>8021.26</v>
      </c>
      <c r="AC135" s="123">
        <f t="shared" si="1"/>
        <v>0</v>
      </c>
    </row>
    <row r="136" spans="1:31" x14ac:dyDescent="0.25">
      <c r="A136" s="122" t="s">
        <v>6767</v>
      </c>
      <c r="B136" s="154" t="s">
        <v>6780</v>
      </c>
      <c r="C136" s="126">
        <v>46104</v>
      </c>
      <c r="D136" s="126">
        <v>46104</v>
      </c>
      <c r="I136" s="123" t="s">
        <v>6781</v>
      </c>
      <c r="J136" s="123" t="s">
        <v>6782</v>
      </c>
      <c r="AA136" s="123">
        <v>46350</v>
      </c>
      <c r="AB136" s="123">
        <v>46350</v>
      </c>
      <c r="AC136" s="123">
        <f t="shared" si="1"/>
        <v>0</v>
      </c>
    </row>
    <row r="137" spans="1:31" x14ac:dyDescent="0.25">
      <c r="A137" s="122" t="s">
        <v>6775</v>
      </c>
      <c r="B137" s="154" t="s">
        <v>6783</v>
      </c>
      <c r="C137" s="126">
        <v>46104</v>
      </c>
      <c r="D137" s="126">
        <v>46104</v>
      </c>
      <c r="I137" s="123" t="s">
        <v>6789</v>
      </c>
      <c r="J137" s="123" t="s">
        <v>3667</v>
      </c>
      <c r="L137" s="123">
        <v>1412.46</v>
      </c>
      <c r="S137" s="123">
        <v>11770.54</v>
      </c>
      <c r="AB137" s="123">
        <v>13183</v>
      </c>
      <c r="AC137" s="123">
        <f t="shared" si="1"/>
        <v>0</v>
      </c>
      <c r="AE137" s="123">
        <v>235.45</v>
      </c>
    </row>
    <row r="138" spans="1:31" x14ac:dyDescent="0.25">
      <c r="A138" s="179" t="s">
        <v>6776</v>
      </c>
      <c r="B138" s="166" t="s">
        <v>6784</v>
      </c>
      <c r="F138" s="148" t="s">
        <v>48</v>
      </c>
      <c r="J138" s="169" t="s">
        <v>48</v>
      </c>
      <c r="AB138" s="148" t="s">
        <v>48</v>
      </c>
      <c r="AC138" s="123">
        <f t="shared" si="1"/>
        <v>0</v>
      </c>
    </row>
    <row r="139" spans="1:31" x14ac:dyDescent="0.25">
      <c r="A139" s="122" t="s">
        <v>6777</v>
      </c>
      <c r="B139" s="154" t="s">
        <v>6785</v>
      </c>
      <c r="C139" s="126">
        <v>46141</v>
      </c>
      <c r="D139" s="126">
        <v>46104</v>
      </c>
      <c r="E139" s="126">
        <v>46136</v>
      </c>
      <c r="F139" s="123" t="s">
        <v>6929</v>
      </c>
      <c r="G139" s="153" t="s">
        <v>6506</v>
      </c>
      <c r="I139" s="123" t="s">
        <v>5903</v>
      </c>
      <c r="J139" s="123" t="s">
        <v>3527</v>
      </c>
      <c r="K139" s="123" t="s">
        <v>38</v>
      </c>
      <c r="L139" s="123">
        <v>1012.5</v>
      </c>
      <c r="M139" s="123">
        <v>8437.5</v>
      </c>
      <c r="AB139" s="123">
        <v>9450</v>
      </c>
      <c r="AC139" s="123">
        <f t="shared" ref="AC139:AC202" si="2">SUM(AB139:AB139)-SUM(L139:AA139)</f>
        <v>0</v>
      </c>
      <c r="AE139" s="123">
        <v>84.38</v>
      </c>
    </row>
    <row r="140" spans="1:31" x14ac:dyDescent="0.25">
      <c r="A140" s="122" t="s">
        <v>6778</v>
      </c>
      <c r="B140" s="154" t="s">
        <v>6786</v>
      </c>
      <c r="C140" s="126">
        <v>46114</v>
      </c>
      <c r="D140" s="126">
        <v>46104</v>
      </c>
      <c r="E140" s="126">
        <v>46106</v>
      </c>
      <c r="F140" s="123" t="s">
        <v>6814</v>
      </c>
      <c r="G140" s="153" t="s">
        <v>6511</v>
      </c>
      <c r="I140" s="123" t="s">
        <v>6790</v>
      </c>
      <c r="J140" s="123" t="s">
        <v>4717</v>
      </c>
      <c r="K140" s="122" t="s">
        <v>4718</v>
      </c>
      <c r="L140" s="123">
        <v>176.79</v>
      </c>
      <c r="M140" s="123">
        <v>1473.21</v>
      </c>
      <c r="AB140" s="123">
        <v>1650</v>
      </c>
      <c r="AC140" s="123">
        <f t="shared" si="2"/>
        <v>0</v>
      </c>
      <c r="AE140" s="123">
        <v>14.73</v>
      </c>
    </row>
    <row r="141" spans="1:31" x14ac:dyDescent="0.25">
      <c r="A141" s="122" t="s">
        <v>6791</v>
      </c>
      <c r="B141" s="154" t="s">
        <v>6796</v>
      </c>
      <c r="C141" s="126">
        <v>46131</v>
      </c>
      <c r="D141" s="126">
        <v>46104</v>
      </c>
      <c r="E141" s="126">
        <v>46135</v>
      </c>
      <c r="F141" s="123" t="s">
        <v>6927</v>
      </c>
      <c r="G141" s="153" t="s">
        <v>6523</v>
      </c>
      <c r="I141" s="123" t="s">
        <v>6797</v>
      </c>
      <c r="J141" s="123" t="s">
        <v>3527</v>
      </c>
      <c r="K141" s="123" t="s">
        <v>38</v>
      </c>
      <c r="L141" s="123">
        <v>1800</v>
      </c>
      <c r="M141" s="123">
        <v>15000</v>
      </c>
      <c r="AB141" s="123">
        <v>16800</v>
      </c>
      <c r="AC141" s="123">
        <f t="shared" si="2"/>
        <v>0</v>
      </c>
      <c r="AE141" s="123">
        <v>150</v>
      </c>
    </row>
    <row r="142" spans="1:31" x14ac:dyDescent="0.25">
      <c r="A142" s="122" t="s">
        <v>6792</v>
      </c>
      <c r="B142" s="154" t="s">
        <v>6798</v>
      </c>
      <c r="C142" s="126">
        <v>46129</v>
      </c>
      <c r="D142" s="126">
        <v>46104</v>
      </c>
      <c r="F142" s="123" t="s">
        <v>6810</v>
      </c>
      <c r="G142" s="153" t="s">
        <v>6479</v>
      </c>
      <c r="I142" s="123" t="s">
        <v>6696</v>
      </c>
      <c r="J142" s="123" t="s">
        <v>1226</v>
      </c>
      <c r="K142" s="122" t="s">
        <v>2924</v>
      </c>
      <c r="L142" s="123">
        <v>1055.3599999999999</v>
      </c>
      <c r="M142" s="123">
        <v>8794.64</v>
      </c>
      <c r="AB142" s="123">
        <v>9850</v>
      </c>
      <c r="AC142" s="123">
        <f t="shared" si="2"/>
        <v>0</v>
      </c>
      <c r="AE142" s="123">
        <v>87.85</v>
      </c>
    </row>
    <row r="143" spans="1:31" x14ac:dyDescent="0.25">
      <c r="A143" s="122" t="s">
        <v>6793</v>
      </c>
      <c r="B143" s="154" t="s">
        <v>6799</v>
      </c>
      <c r="C143" s="126">
        <v>46136</v>
      </c>
      <c r="D143" s="126">
        <v>46104</v>
      </c>
      <c r="E143" s="126">
        <v>46105</v>
      </c>
      <c r="F143" s="123" t="s">
        <v>6811</v>
      </c>
      <c r="G143" s="153" t="s">
        <v>6489</v>
      </c>
      <c r="I143" s="123" t="s">
        <v>6750</v>
      </c>
      <c r="J143" s="123" t="s">
        <v>1226</v>
      </c>
      <c r="K143" s="122" t="s">
        <v>2924</v>
      </c>
      <c r="L143" s="123">
        <v>3214.29</v>
      </c>
      <c r="M143" s="123">
        <v>26785.71</v>
      </c>
      <c r="AB143" s="123">
        <v>30000</v>
      </c>
      <c r="AC143" s="123">
        <f t="shared" si="2"/>
        <v>0</v>
      </c>
      <c r="AE143" s="123">
        <v>267.86</v>
      </c>
    </row>
    <row r="144" spans="1:31" x14ac:dyDescent="0.25">
      <c r="A144" s="122" t="s">
        <v>6794</v>
      </c>
      <c r="B144" s="154" t="s">
        <v>6800</v>
      </c>
      <c r="C144" s="126">
        <v>46136</v>
      </c>
      <c r="D144" s="126">
        <v>46104</v>
      </c>
      <c r="E144" s="126">
        <v>46105</v>
      </c>
      <c r="F144" s="123" t="s">
        <v>6812</v>
      </c>
      <c r="G144" s="153" t="s">
        <v>6490</v>
      </c>
      <c r="I144" s="123" t="s">
        <v>6752</v>
      </c>
      <c r="J144" s="123" t="s">
        <v>1226</v>
      </c>
      <c r="K144" s="122" t="s">
        <v>2924</v>
      </c>
      <c r="L144" s="123">
        <v>1392.86</v>
      </c>
      <c r="M144" s="123">
        <v>11607.14</v>
      </c>
      <c r="AB144" s="123">
        <v>13000</v>
      </c>
      <c r="AC144" s="123">
        <f t="shared" si="2"/>
        <v>0</v>
      </c>
      <c r="AE144" s="123">
        <v>116.07</v>
      </c>
    </row>
    <row r="145" spans="1:31" x14ac:dyDescent="0.25">
      <c r="A145" s="122" t="s">
        <v>6795</v>
      </c>
      <c r="B145" s="154" t="s">
        <v>6801</v>
      </c>
      <c r="C145" s="126">
        <v>46142</v>
      </c>
      <c r="D145" s="126">
        <v>46104</v>
      </c>
      <c r="E145" s="126">
        <v>46105</v>
      </c>
      <c r="F145" s="123" t="s">
        <v>6813</v>
      </c>
      <c r="G145" s="153" t="s">
        <v>6505</v>
      </c>
      <c r="I145" s="123" t="s">
        <v>6802</v>
      </c>
      <c r="J145" s="123" t="s">
        <v>1226</v>
      </c>
      <c r="K145" s="122" t="s">
        <v>2924</v>
      </c>
      <c r="L145" s="123">
        <v>857.14</v>
      </c>
      <c r="M145" s="123">
        <v>7142.86</v>
      </c>
      <c r="AB145" s="123">
        <v>8000</v>
      </c>
      <c r="AC145" s="123">
        <f t="shared" si="2"/>
        <v>0</v>
      </c>
      <c r="AE145" s="123">
        <v>71.430000000000007</v>
      </c>
    </row>
    <row r="146" spans="1:31" x14ac:dyDescent="0.25">
      <c r="A146" s="122" t="s">
        <v>6803</v>
      </c>
      <c r="B146" s="154" t="s">
        <v>6805</v>
      </c>
      <c r="C146" s="126">
        <v>46105</v>
      </c>
      <c r="D146" s="126">
        <v>46105</v>
      </c>
      <c r="E146" s="126">
        <v>46105</v>
      </c>
      <c r="F146" s="123" t="s">
        <v>6809</v>
      </c>
      <c r="G146" s="153" t="s">
        <v>6540</v>
      </c>
      <c r="I146" s="123" t="s">
        <v>6806</v>
      </c>
      <c r="J146" s="123" t="s">
        <v>1226</v>
      </c>
      <c r="K146" s="122" t="s">
        <v>2924</v>
      </c>
      <c r="L146" s="123">
        <v>108.72</v>
      </c>
      <c r="M146" s="123">
        <v>906</v>
      </c>
      <c r="AB146" s="123">
        <v>1014.72</v>
      </c>
      <c r="AC146" s="123">
        <f t="shared" si="2"/>
        <v>0</v>
      </c>
      <c r="AE146" s="123">
        <v>9.06</v>
      </c>
    </row>
    <row r="147" spans="1:31" x14ac:dyDescent="0.25">
      <c r="A147" s="122" t="s">
        <v>6804</v>
      </c>
      <c r="B147" s="154" t="s">
        <v>6807</v>
      </c>
      <c r="C147" s="126">
        <v>46105</v>
      </c>
      <c r="D147" s="126">
        <v>46105</v>
      </c>
      <c r="F147" s="169" t="s">
        <v>48</v>
      </c>
      <c r="I147" s="123" t="s">
        <v>6808</v>
      </c>
      <c r="J147" s="123" t="s">
        <v>4313</v>
      </c>
      <c r="K147" s="123" t="s">
        <v>6406</v>
      </c>
      <c r="Z147" s="123">
        <v>50000</v>
      </c>
      <c r="AB147" s="123">
        <v>50000</v>
      </c>
      <c r="AC147" s="123">
        <f t="shared" si="2"/>
        <v>0</v>
      </c>
      <c r="AD147" s="169" t="s">
        <v>48</v>
      </c>
    </row>
    <row r="148" spans="1:31" x14ac:dyDescent="0.25">
      <c r="A148" s="122" t="s">
        <v>6815</v>
      </c>
      <c r="B148" s="122" t="s">
        <v>6821</v>
      </c>
      <c r="C148" s="126">
        <v>46108</v>
      </c>
      <c r="D148" s="126">
        <v>46108</v>
      </c>
      <c r="I148" s="123" t="s">
        <v>6822</v>
      </c>
      <c r="J148" s="123" t="s">
        <v>4313</v>
      </c>
      <c r="K148" s="123" t="s">
        <v>6406</v>
      </c>
      <c r="Z148" s="123">
        <v>7680.8</v>
      </c>
      <c r="AB148" s="123">
        <v>7680.8</v>
      </c>
      <c r="AC148" s="123">
        <f t="shared" si="2"/>
        <v>0</v>
      </c>
    </row>
    <row r="149" spans="1:31" x14ac:dyDescent="0.25">
      <c r="A149" s="122" t="s">
        <v>6816</v>
      </c>
      <c r="B149" s="122" t="s">
        <v>6823</v>
      </c>
      <c r="C149" s="126">
        <v>46108</v>
      </c>
      <c r="D149" s="126">
        <v>46108</v>
      </c>
      <c r="I149" s="123" t="s">
        <v>6824</v>
      </c>
      <c r="J149" s="123" t="s">
        <v>4313</v>
      </c>
      <c r="K149" s="123" t="s">
        <v>6406</v>
      </c>
      <c r="Z149" s="123">
        <v>17343.75</v>
      </c>
      <c r="AB149" s="123">
        <v>17343.75</v>
      </c>
      <c r="AC149" s="123">
        <f t="shared" si="2"/>
        <v>0</v>
      </c>
    </row>
    <row r="150" spans="1:31" x14ac:dyDescent="0.25">
      <c r="A150" s="122" t="s">
        <v>6817</v>
      </c>
      <c r="B150" s="122" t="s">
        <v>6825</v>
      </c>
      <c r="C150" s="126">
        <v>46108</v>
      </c>
      <c r="D150" s="126">
        <v>46108</v>
      </c>
      <c r="I150" s="123" t="s">
        <v>6826</v>
      </c>
      <c r="J150" s="123" t="s">
        <v>4313</v>
      </c>
      <c r="K150" s="123" t="s">
        <v>6406</v>
      </c>
      <c r="Z150" s="123">
        <v>10000</v>
      </c>
      <c r="AB150" s="123">
        <v>10000</v>
      </c>
      <c r="AC150" s="123">
        <f t="shared" si="2"/>
        <v>0</v>
      </c>
    </row>
    <row r="151" spans="1:31" x14ac:dyDescent="0.25">
      <c r="A151" s="122" t="s">
        <v>6818</v>
      </c>
      <c r="B151" s="154" t="s">
        <v>6827</v>
      </c>
      <c r="C151" s="126">
        <v>46108</v>
      </c>
      <c r="D151" s="126">
        <v>46108</v>
      </c>
      <c r="I151" s="123" t="s">
        <v>6826</v>
      </c>
      <c r="J151" s="123" t="s">
        <v>4313</v>
      </c>
      <c r="K151" s="123" t="s">
        <v>6406</v>
      </c>
      <c r="Z151" s="123">
        <v>25000</v>
      </c>
      <c r="AB151" s="123">
        <v>25000</v>
      </c>
      <c r="AC151" s="123">
        <f t="shared" si="2"/>
        <v>0</v>
      </c>
    </row>
    <row r="152" spans="1:31" x14ac:dyDescent="0.25">
      <c r="A152" s="122" t="s">
        <v>6819</v>
      </c>
      <c r="B152" s="154" t="s">
        <v>6828</v>
      </c>
      <c r="C152" s="126">
        <v>46111</v>
      </c>
      <c r="D152" s="126">
        <v>46108</v>
      </c>
      <c r="H152" s="153" t="s">
        <v>3669</v>
      </c>
      <c r="I152" s="123" t="s">
        <v>4427</v>
      </c>
      <c r="J152" s="123" t="s">
        <v>3667</v>
      </c>
      <c r="T152" s="123">
        <v>8706.66</v>
      </c>
      <c r="AB152" s="123">
        <v>8706.66</v>
      </c>
      <c r="AC152" s="123">
        <f t="shared" si="2"/>
        <v>0</v>
      </c>
    </row>
    <row r="153" spans="1:31" x14ac:dyDescent="0.25">
      <c r="A153" s="122" t="s">
        <v>6820</v>
      </c>
      <c r="B153" s="154" t="s">
        <v>6829</v>
      </c>
      <c r="C153" s="126">
        <v>46111</v>
      </c>
      <c r="D153" s="126">
        <v>46108</v>
      </c>
      <c r="H153" s="153" t="s">
        <v>3670</v>
      </c>
      <c r="I153" s="123" t="s">
        <v>4780</v>
      </c>
      <c r="J153" s="123" t="s">
        <v>3667</v>
      </c>
      <c r="T153" s="123">
        <v>14896.28</v>
      </c>
      <c r="AB153" s="123">
        <v>14896.28</v>
      </c>
      <c r="AC153" s="123">
        <f t="shared" si="2"/>
        <v>0</v>
      </c>
    </row>
    <row r="154" spans="1:31" x14ac:dyDescent="0.25">
      <c r="A154" s="122" t="s">
        <v>6833</v>
      </c>
      <c r="B154" s="154" t="s">
        <v>6830</v>
      </c>
      <c r="C154" s="126">
        <v>46112</v>
      </c>
      <c r="D154" s="126">
        <v>46108</v>
      </c>
      <c r="I154" s="123" t="s">
        <v>118</v>
      </c>
      <c r="J154" s="123" t="s">
        <v>125</v>
      </c>
      <c r="AA154" s="123">
        <v>10000</v>
      </c>
      <c r="AB154" s="123">
        <v>10000</v>
      </c>
      <c r="AC154" s="123">
        <f t="shared" si="2"/>
        <v>0</v>
      </c>
    </row>
    <row r="155" spans="1:31" x14ac:dyDescent="0.25">
      <c r="A155" s="122" t="s">
        <v>6834</v>
      </c>
      <c r="B155" s="154" t="s">
        <v>6831</v>
      </c>
      <c r="C155" s="126">
        <v>46112</v>
      </c>
      <c r="D155" s="126">
        <v>46108</v>
      </c>
      <c r="I155" s="123" t="s">
        <v>118</v>
      </c>
      <c r="J155" s="123" t="s">
        <v>1847</v>
      </c>
      <c r="AA155" s="123">
        <v>25600</v>
      </c>
      <c r="AB155" s="123">
        <v>25600</v>
      </c>
      <c r="AC155" s="123">
        <f t="shared" si="2"/>
        <v>0</v>
      </c>
    </row>
    <row r="156" spans="1:31" x14ac:dyDescent="0.25">
      <c r="A156" s="122" t="s">
        <v>6835</v>
      </c>
      <c r="B156" s="154" t="s">
        <v>6832</v>
      </c>
      <c r="C156" s="126">
        <v>46125</v>
      </c>
      <c r="D156" s="126">
        <v>46108</v>
      </c>
      <c r="E156" s="126">
        <v>46126</v>
      </c>
      <c r="F156" s="123" t="s">
        <v>6871</v>
      </c>
      <c r="G156" s="153" t="s">
        <v>6512</v>
      </c>
      <c r="I156" s="123" t="s">
        <v>6838</v>
      </c>
      <c r="J156" s="123" t="s">
        <v>4717</v>
      </c>
      <c r="K156" s="122" t="s">
        <v>4718</v>
      </c>
      <c r="L156" s="123">
        <v>11734.82</v>
      </c>
      <c r="M156" s="123">
        <v>97790.18</v>
      </c>
      <c r="AB156" s="123">
        <v>109525</v>
      </c>
      <c r="AC156" s="123">
        <f t="shared" si="2"/>
        <v>0</v>
      </c>
      <c r="AE156" s="123">
        <v>977.9</v>
      </c>
    </row>
    <row r="157" spans="1:31" x14ac:dyDescent="0.25">
      <c r="A157" s="122" t="s">
        <v>6836</v>
      </c>
      <c r="B157" s="154" t="s">
        <v>6837</v>
      </c>
      <c r="C157" s="126">
        <v>46136</v>
      </c>
      <c r="D157" s="126">
        <v>46108</v>
      </c>
      <c r="E157" s="126">
        <v>46139</v>
      </c>
      <c r="F157" s="123" t="s">
        <v>6931</v>
      </c>
      <c r="G157" s="153" t="s">
        <v>6524</v>
      </c>
      <c r="I157" s="123" t="s">
        <v>6839</v>
      </c>
      <c r="J157" s="123" t="s">
        <v>83</v>
      </c>
      <c r="K157" s="122" t="s">
        <v>1336</v>
      </c>
      <c r="L157" s="123">
        <v>8325</v>
      </c>
      <c r="M157" s="123">
        <v>69375</v>
      </c>
      <c r="AB157" s="123">
        <v>77700</v>
      </c>
      <c r="AC157" s="123">
        <f t="shared" si="2"/>
        <v>0</v>
      </c>
      <c r="AE157" s="123">
        <v>693.75</v>
      </c>
    </row>
    <row r="158" spans="1:31" x14ac:dyDescent="0.25">
      <c r="A158" s="122" t="s">
        <v>6840</v>
      </c>
      <c r="B158" s="154" t="s">
        <v>6843</v>
      </c>
      <c r="C158" s="126">
        <v>46149</v>
      </c>
      <c r="D158" s="126">
        <v>46108</v>
      </c>
      <c r="E158" s="126">
        <v>46135</v>
      </c>
      <c r="F158" s="123" t="s">
        <v>6926</v>
      </c>
      <c r="G158" s="153" t="s">
        <v>6513</v>
      </c>
      <c r="I158" s="123" t="s">
        <v>6844</v>
      </c>
      <c r="J158" s="123" t="s">
        <v>1226</v>
      </c>
      <c r="K158" s="122" t="s">
        <v>2924</v>
      </c>
      <c r="L158" s="123">
        <v>6428.57</v>
      </c>
      <c r="M158" s="123">
        <v>53571.43</v>
      </c>
      <c r="AB158" s="123">
        <v>60000</v>
      </c>
      <c r="AC158" s="123">
        <f t="shared" si="2"/>
        <v>0</v>
      </c>
      <c r="AE158" s="123">
        <v>535.71</v>
      </c>
    </row>
    <row r="159" spans="1:31" x14ac:dyDescent="0.25">
      <c r="A159" s="122" t="s">
        <v>6841</v>
      </c>
      <c r="B159" s="154" t="s">
        <v>6845</v>
      </c>
      <c r="C159" s="126">
        <v>46122</v>
      </c>
      <c r="D159" s="126">
        <v>46108</v>
      </c>
      <c r="E159" s="126">
        <v>46107</v>
      </c>
      <c r="F159" s="123" t="s">
        <v>6872</v>
      </c>
      <c r="G159" s="153" t="s">
        <v>6533</v>
      </c>
      <c r="I159" s="123" t="s">
        <v>6846</v>
      </c>
      <c r="J159" s="123" t="s">
        <v>6549</v>
      </c>
      <c r="K159" s="123" t="s">
        <v>6069</v>
      </c>
      <c r="L159" s="123">
        <v>2035.71</v>
      </c>
      <c r="M159" s="123">
        <v>16964.29</v>
      </c>
      <c r="AB159" s="123">
        <v>19000</v>
      </c>
      <c r="AC159" s="123">
        <f t="shared" si="2"/>
        <v>0</v>
      </c>
      <c r="AE159" s="123">
        <v>169.64</v>
      </c>
    </row>
    <row r="160" spans="1:31" x14ac:dyDescent="0.25">
      <c r="A160" s="122" t="s">
        <v>6842</v>
      </c>
      <c r="B160" s="154" t="s">
        <v>6847</v>
      </c>
      <c r="C160" s="126">
        <v>46122</v>
      </c>
      <c r="D160" s="126">
        <v>46111</v>
      </c>
      <c r="I160" s="122" t="s">
        <v>6854</v>
      </c>
      <c r="J160" s="122" t="s">
        <v>18</v>
      </c>
      <c r="L160" s="123">
        <v>151.09</v>
      </c>
      <c r="R160" s="123">
        <v>1259.06</v>
      </c>
      <c r="AB160" s="123">
        <v>1410.15</v>
      </c>
      <c r="AC160" s="123">
        <f t="shared" si="2"/>
        <v>0</v>
      </c>
    </row>
    <row r="161" spans="1:31" x14ac:dyDescent="0.25">
      <c r="A161" s="122" t="s">
        <v>6851</v>
      </c>
      <c r="B161" s="154" t="s">
        <v>6848</v>
      </c>
      <c r="C161" s="126">
        <v>46122</v>
      </c>
      <c r="D161" s="126">
        <v>46111</v>
      </c>
      <c r="I161" s="122" t="s">
        <v>6854</v>
      </c>
      <c r="J161" s="122" t="s">
        <v>18</v>
      </c>
      <c r="L161" s="123">
        <v>811.09</v>
      </c>
      <c r="R161" s="123">
        <v>6759.06</v>
      </c>
      <c r="AB161" s="123">
        <v>7570.15</v>
      </c>
      <c r="AC161" s="123">
        <f t="shared" si="2"/>
        <v>0</v>
      </c>
    </row>
    <row r="162" spans="1:31" x14ac:dyDescent="0.25">
      <c r="A162" s="122" t="s">
        <v>6852</v>
      </c>
      <c r="B162" s="154" t="s">
        <v>6849</v>
      </c>
      <c r="C162" s="126">
        <v>46111</v>
      </c>
      <c r="D162" s="126">
        <v>46111</v>
      </c>
      <c r="I162" s="123" t="s">
        <v>6855</v>
      </c>
      <c r="J162" s="123" t="s">
        <v>6664</v>
      </c>
      <c r="AA162" s="123">
        <v>2000</v>
      </c>
      <c r="AC162" s="123">
        <f t="shared" si="2"/>
        <v>-2000</v>
      </c>
    </row>
    <row r="163" spans="1:31" x14ac:dyDescent="0.25">
      <c r="A163" s="122" t="s">
        <v>6853</v>
      </c>
      <c r="B163" s="154" t="s">
        <v>6850</v>
      </c>
      <c r="C163" s="126">
        <v>46112</v>
      </c>
      <c r="D163" s="126">
        <v>46112</v>
      </c>
      <c r="I163" s="123" t="s">
        <v>6856</v>
      </c>
      <c r="J163" s="123" t="s">
        <v>65</v>
      </c>
      <c r="AA163" s="123">
        <v>9964.52</v>
      </c>
      <c r="AB163" s="123">
        <v>9964.52</v>
      </c>
      <c r="AC163" s="123">
        <f t="shared" si="2"/>
        <v>0</v>
      </c>
    </row>
    <row r="164" spans="1:31" x14ac:dyDescent="0.25">
      <c r="A164" s="122" t="s">
        <v>6857</v>
      </c>
      <c r="B164" s="122" t="s">
        <v>6858</v>
      </c>
      <c r="C164" s="126">
        <v>46112</v>
      </c>
      <c r="D164" s="126">
        <v>46112</v>
      </c>
      <c r="I164" s="123" t="s">
        <v>6859</v>
      </c>
      <c r="J164" s="123" t="s">
        <v>39</v>
      </c>
      <c r="AA164" s="123">
        <v>61000</v>
      </c>
      <c r="AC164" s="123">
        <f t="shared" si="2"/>
        <v>-61000</v>
      </c>
    </row>
    <row r="165" spans="1:31" x14ac:dyDescent="0.25">
      <c r="A165" s="109">
        <v>46142</v>
      </c>
      <c r="B165" s="175"/>
      <c r="C165" s="176"/>
      <c r="D165" s="176"/>
      <c r="E165" s="132"/>
      <c r="F165" s="132"/>
      <c r="G165" s="177"/>
      <c r="H165" s="177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  <c r="AC165" s="132">
        <f t="shared" si="2"/>
        <v>0</v>
      </c>
      <c r="AD165" s="132"/>
      <c r="AE165" s="132"/>
    </row>
    <row r="166" spans="1:31" x14ac:dyDescent="0.25">
      <c r="A166" s="43"/>
      <c r="C166" s="126">
        <v>46120</v>
      </c>
      <c r="D166" s="126">
        <v>46120</v>
      </c>
      <c r="I166" s="7" t="s">
        <v>6868</v>
      </c>
      <c r="J166" s="51" t="s">
        <v>132</v>
      </c>
      <c r="K166" s="7"/>
      <c r="L166" s="10"/>
      <c r="M166" s="10"/>
      <c r="N166" s="10"/>
      <c r="O166" s="10"/>
      <c r="P166" s="10"/>
      <c r="Q166" s="10"/>
      <c r="R166" s="10"/>
      <c r="S166" s="10"/>
      <c r="U166" s="10"/>
      <c r="V166" s="10"/>
      <c r="W166" s="10"/>
      <c r="X166" s="10"/>
      <c r="Y166" s="10"/>
      <c r="Z166" s="10"/>
      <c r="AA166" s="33">
        <v>73165.570000000007</v>
      </c>
      <c r="AB166" s="174">
        <v>73165.570000000007</v>
      </c>
      <c r="AC166" s="123">
        <f t="shared" si="2"/>
        <v>0</v>
      </c>
      <c r="AD166" s="82" t="s">
        <v>133</v>
      </c>
    </row>
    <row r="167" spans="1:31" x14ac:dyDescent="0.25">
      <c r="A167" s="122" t="s">
        <v>6860</v>
      </c>
      <c r="B167" s="154" t="s">
        <v>6861</v>
      </c>
      <c r="C167" s="126">
        <v>46118</v>
      </c>
      <c r="D167" s="126">
        <v>46118</v>
      </c>
      <c r="I167" s="123" t="s">
        <v>82</v>
      </c>
      <c r="J167" s="123" t="s">
        <v>4313</v>
      </c>
      <c r="K167" s="123" t="s">
        <v>6406</v>
      </c>
      <c r="Z167" s="123">
        <v>60000</v>
      </c>
      <c r="AB167" s="123">
        <v>60000</v>
      </c>
      <c r="AC167" s="123">
        <f t="shared" si="2"/>
        <v>0</v>
      </c>
    </row>
    <row r="168" spans="1:31" x14ac:dyDescent="0.25">
      <c r="A168" s="122" t="s">
        <v>6862</v>
      </c>
      <c r="B168" s="154" t="s">
        <v>6864</v>
      </c>
      <c r="C168" s="126">
        <v>46153</v>
      </c>
      <c r="D168" s="126">
        <v>46119</v>
      </c>
      <c r="E168" s="126">
        <v>46135</v>
      </c>
      <c r="F168" s="123" t="s">
        <v>6925</v>
      </c>
      <c r="G168" s="153" t="s">
        <v>6550</v>
      </c>
      <c r="I168" s="123" t="s">
        <v>6865</v>
      </c>
      <c r="J168" s="123" t="s">
        <v>1226</v>
      </c>
      <c r="K168" s="122" t="s">
        <v>2924</v>
      </c>
      <c r="L168" s="123">
        <v>2357.14</v>
      </c>
      <c r="M168" s="123">
        <v>19642.86</v>
      </c>
      <c r="AB168" s="123">
        <v>22000</v>
      </c>
      <c r="AC168" s="123">
        <f t="shared" si="2"/>
        <v>0</v>
      </c>
      <c r="AE168" s="123">
        <v>196.43</v>
      </c>
    </row>
    <row r="169" spans="1:31" x14ac:dyDescent="0.25">
      <c r="A169" s="122" t="s">
        <v>6863</v>
      </c>
      <c r="B169" s="154" t="s">
        <v>6866</v>
      </c>
      <c r="C169" s="126">
        <v>46156</v>
      </c>
      <c r="D169" s="126">
        <v>46119</v>
      </c>
      <c r="E169" s="126">
        <v>46135</v>
      </c>
      <c r="F169" s="123" t="s">
        <v>6924</v>
      </c>
      <c r="G169" s="153" t="s">
        <v>6554</v>
      </c>
      <c r="I169" s="123" t="s">
        <v>6867</v>
      </c>
      <c r="J169" s="123" t="s">
        <v>1226</v>
      </c>
      <c r="K169" s="122" t="s">
        <v>2924</v>
      </c>
      <c r="L169" s="123">
        <v>1178.57</v>
      </c>
      <c r="M169" s="123">
        <v>9821.43</v>
      </c>
      <c r="AB169" s="123">
        <v>11000</v>
      </c>
      <c r="AC169" s="123">
        <f t="shared" si="2"/>
        <v>0</v>
      </c>
      <c r="AE169" s="123">
        <v>98.21</v>
      </c>
    </row>
    <row r="170" spans="1:31" x14ac:dyDescent="0.25">
      <c r="A170" s="122" t="s">
        <v>6869</v>
      </c>
      <c r="B170" s="154" t="s">
        <v>6870</v>
      </c>
      <c r="C170" s="126">
        <v>46125</v>
      </c>
      <c r="D170" s="126">
        <v>46125</v>
      </c>
      <c r="I170" s="123" t="s">
        <v>82</v>
      </c>
      <c r="J170" s="123" t="s">
        <v>4313</v>
      </c>
      <c r="K170" s="123" t="s">
        <v>6406</v>
      </c>
      <c r="Z170" s="123">
        <v>30000</v>
      </c>
      <c r="AB170" s="123">
        <v>30000</v>
      </c>
      <c r="AC170" s="123">
        <f t="shared" si="2"/>
        <v>0</v>
      </c>
    </row>
    <row r="171" spans="1:31" x14ac:dyDescent="0.25">
      <c r="A171" s="122" t="s">
        <v>6875</v>
      </c>
      <c r="B171" s="154" t="s">
        <v>6873</v>
      </c>
      <c r="C171" s="126">
        <v>46127</v>
      </c>
      <c r="D171" s="126">
        <v>46127</v>
      </c>
      <c r="I171" s="123" t="s">
        <v>4612</v>
      </c>
      <c r="J171" s="123" t="s">
        <v>125</v>
      </c>
      <c r="AA171" s="123">
        <v>10000</v>
      </c>
      <c r="AB171" s="123">
        <v>10000</v>
      </c>
      <c r="AC171" s="123">
        <f t="shared" si="2"/>
        <v>0</v>
      </c>
    </row>
    <row r="172" spans="1:31" x14ac:dyDescent="0.25">
      <c r="A172" s="122" t="s">
        <v>6876</v>
      </c>
      <c r="B172" s="154" t="s">
        <v>6874</v>
      </c>
      <c r="C172" s="126">
        <v>46127</v>
      </c>
      <c r="D172" s="126">
        <v>46127</v>
      </c>
      <c r="I172" s="123" t="s">
        <v>4612</v>
      </c>
      <c r="J172" s="123" t="s">
        <v>1847</v>
      </c>
      <c r="AA172" s="123">
        <v>15360</v>
      </c>
      <c r="AB172" s="123">
        <v>15360</v>
      </c>
      <c r="AC172" s="123">
        <f t="shared" si="2"/>
        <v>0</v>
      </c>
    </row>
    <row r="173" spans="1:31" x14ac:dyDescent="0.25">
      <c r="A173" s="122" t="s">
        <v>6878</v>
      </c>
      <c r="B173" s="154" t="s">
        <v>6877</v>
      </c>
      <c r="C173" s="126">
        <v>46128</v>
      </c>
      <c r="D173" s="126">
        <v>46128</v>
      </c>
      <c r="I173" s="123" t="s">
        <v>82</v>
      </c>
      <c r="J173" s="123" t="s">
        <v>4313</v>
      </c>
      <c r="Z173" s="123">
        <v>50000</v>
      </c>
      <c r="AB173" s="123">
        <v>50000</v>
      </c>
      <c r="AC173" s="123">
        <f t="shared" si="2"/>
        <v>0</v>
      </c>
    </row>
    <row r="174" spans="1:31" x14ac:dyDescent="0.25">
      <c r="A174" s="122" t="s">
        <v>6879</v>
      </c>
      <c r="B174" s="154" t="s">
        <v>6890</v>
      </c>
      <c r="C174" s="126">
        <v>46128</v>
      </c>
      <c r="D174" s="126">
        <v>46128</v>
      </c>
      <c r="H174" s="153" t="s">
        <v>3732</v>
      </c>
      <c r="I174" s="123" t="s">
        <v>5030</v>
      </c>
      <c r="J174" s="123" t="s">
        <v>3667</v>
      </c>
      <c r="T174" s="123">
        <v>11663.78</v>
      </c>
      <c r="AB174" s="123">
        <v>11663.78</v>
      </c>
      <c r="AC174" s="123">
        <f t="shared" si="2"/>
        <v>0</v>
      </c>
    </row>
    <row r="175" spans="1:31" x14ac:dyDescent="0.25">
      <c r="A175" s="122" t="s">
        <v>6880</v>
      </c>
      <c r="B175" s="154" t="s">
        <v>6891</v>
      </c>
      <c r="C175" s="126">
        <v>46128</v>
      </c>
      <c r="D175" s="126">
        <v>46128</v>
      </c>
      <c r="I175" s="123" t="s">
        <v>6892</v>
      </c>
      <c r="J175" s="122" t="s">
        <v>4628</v>
      </c>
      <c r="K175" s="123" t="s">
        <v>6893</v>
      </c>
      <c r="X175" s="123">
        <v>11780.25</v>
      </c>
      <c r="AB175" s="123">
        <v>11780.25</v>
      </c>
      <c r="AC175" s="123">
        <f t="shared" si="2"/>
        <v>0</v>
      </c>
    </row>
    <row r="176" spans="1:31" x14ac:dyDescent="0.25">
      <c r="A176" s="122" t="s">
        <v>6881</v>
      </c>
      <c r="B176" s="154" t="s">
        <v>6894</v>
      </c>
      <c r="C176" s="126">
        <v>46128</v>
      </c>
      <c r="D176" s="126">
        <v>46128</v>
      </c>
      <c r="I176" s="123" t="s">
        <v>6895</v>
      </c>
      <c r="J176" s="123" t="s">
        <v>6896</v>
      </c>
      <c r="K176" s="123" t="s">
        <v>6747</v>
      </c>
      <c r="L176" s="123">
        <v>32.14</v>
      </c>
      <c r="S176" s="123">
        <v>267.86</v>
      </c>
      <c r="AB176" s="123">
        <v>300</v>
      </c>
      <c r="AC176" s="123">
        <f t="shared" si="2"/>
        <v>0</v>
      </c>
    </row>
    <row r="177" spans="1:31" x14ac:dyDescent="0.25">
      <c r="A177" s="122" t="s">
        <v>6882</v>
      </c>
      <c r="B177" s="154" t="s">
        <v>6897</v>
      </c>
      <c r="C177" s="126">
        <v>46128</v>
      </c>
      <c r="D177" s="126">
        <v>46128</v>
      </c>
      <c r="E177" s="126">
        <v>46136</v>
      </c>
      <c r="F177" s="123" t="s">
        <v>6930</v>
      </c>
      <c r="I177" s="123" t="s">
        <v>6895</v>
      </c>
      <c r="J177" s="123" t="s">
        <v>6900</v>
      </c>
      <c r="AA177" s="123">
        <v>5875.2</v>
      </c>
      <c r="AB177" s="123">
        <v>5875.2</v>
      </c>
      <c r="AC177" s="123">
        <f t="shared" si="2"/>
        <v>0</v>
      </c>
    </row>
    <row r="178" spans="1:31" x14ac:dyDescent="0.25">
      <c r="A178" s="122" t="s">
        <v>6883</v>
      </c>
      <c r="B178" s="154" t="s">
        <v>6898</v>
      </c>
      <c r="C178" s="126">
        <v>46128</v>
      </c>
      <c r="D178" s="126">
        <v>46128</v>
      </c>
      <c r="I178" s="123" t="s">
        <v>6901</v>
      </c>
      <c r="J178" s="123" t="s">
        <v>6902</v>
      </c>
      <c r="AA178" s="123">
        <v>4116</v>
      </c>
      <c r="AB178" s="123">
        <v>4116</v>
      </c>
      <c r="AC178" s="123">
        <f t="shared" si="2"/>
        <v>0</v>
      </c>
    </row>
    <row r="179" spans="1:31" x14ac:dyDescent="0.25">
      <c r="A179" s="122" t="s">
        <v>6884</v>
      </c>
      <c r="B179" s="154" t="s">
        <v>6899</v>
      </c>
      <c r="C179" s="126">
        <v>46128</v>
      </c>
      <c r="D179" s="126">
        <v>46128</v>
      </c>
      <c r="I179" s="123" t="s">
        <v>6903</v>
      </c>
      <c r="J179" s="123" t="s">
        <v>6904</v>
      </c>
      <c r="L179" s="123">
        <v>160.61000000000001</v>
      </c>
      <c r="S179" s="123">
        <v>1338.39</v>
      </c>
      <c r="AB179" s="123">
        <v>1499</v>
      </c>
      <c r="AC179" s="123">
        <f t="shared" si="2"/>
        <v>0</v>
      </c>
    </row>
    <row r="180" spans="1:31" x14ac:dyDescent="0.25">
      <c r="A180" s="122" t="s">
        <v>6885</v>
      </c>
      <c r="B180" s="154" t="s">
        <v>6905</v>
      </c>
      <c r="C180" s="126">
        <v>46128</v>
      </c>
      <c r="D180" s="126">
        <v>46128</v>
      </c>
      <c r="I180" s="123" t="s">
        <v>6906</v>
      </c>
      <c r="J180" s="123" t="s">
        <v>6904</v>
      </c>
      <c r="L180" s="123">
        <v>107.04</v>
      </c>
      <c r="S180" s="123">
        <v>891.96</v>
      </c>
      <c r="AB180" s="123">
        <v>999</v>
      </c>
      <c r="AC180" s="123">
        <f t="shared" si="2"/>
        <v>0</v>
      </c>
    </row>
    <row r="181" spans="1:31" x14ac:dyDescent="0.25">
      <c r="A181" s="122" t="s">
        <v>6886</v>
      </c>
      <c r="B181" s="154" t="s">
        <v>6907</v>
      </c>
      <c r="C181" s="126">
        <v>46132</v>
      </c>
      <c r="D181" s="126">
        <v>46132</v>
      </c>
      <c r="I181" s="123" t="s">
        <v>82</v>
      </c>
      <c r="J181" s="123" t="s">
        <v>4313</v>
      </c>
      <c r="K181" s="123" t="s">
        <v>6406</v>
      </c>
      <c r="Z181" s="123">
        <v>57000</v>
      </c>
      <c r="AB181" s="123">
        <v>57000</v>
      </c>
      <c r="AC181" s="123">
        <f t="shared" si="2"/>
        <v>0</v>
      </c>
    </row>
    <row r="182" spans="1:31" x14ac:dyDescent="0.25">
      <c r="A182" s="122" t="s">
        <v>6887</v>
      </c>
      <c r="B182" s="154" t="s">
        <v>6908</v>
      </c>
      <c r="C182" s="126">
        <v>46132</v>
      </c>
      <c r="D182" s="126">
        <v>46132</v>
      </c>
      <c r="F182" s="123" t="s">
        <v>6978</v>
      </c>
      <c r="G182" s="153" t="s">
        <v>6979</v>
      </c>
      <c r="I182" s="123" t="s">
        <v>7003</v>
      </c>
      <c r="J182" s="123" t="s">
        <v>1457</v>
      </c>
      <c r="N182" s="123">
        <v>34650</v>
      </c>
      <c r="AC182" s="123">
        <f t="shared" si="2"/>
        <v>-34650</v>
      </c>
    </row>
    <row r="183" spans="1:31" x14ac:dyDescent="0.25">
      <c r="A183" s="122" t="s">
        <v>6888</v>
      </c>
      <c r="B183" s="154" t="s">
        <v>6909</v>
      </c>
      <c r="C183" s="126">
        <v>46173</v>
      </c>
      <c r="D183" s="126">
        <v>46133</v>
      </c>
      <c r="E183" s="126">
        <v>46135</v>
      </c>
      <c r="F183" s="123" t="s">
        <v>6922</v>
      </c>
      <c r="G183" s="153" t="s">
        <v>6916</v>
      </c>
      <c r="I183" s="123" t="s">
        <v>6915</v>
      </c>
      <c r="J183" s="123" t="s">
        <v>1226</v>
      </c>
      <c r="K183" s="122" t="s">
        <v>2924</v>
      </c>
      <c r="L183" s="123">
        <v>9107.14</v>
      </c>
      <c r="M183" s="123">
        <v>75892.86</v>
      </c>
      <c r="AB183" s="123">
        <v>85000</v>
      </c>
      <c r="AC183" s="123">
        <f t="shared" si="2"/>
        <v>0</v>
      </c>
      <c r="AE183" s="123">
        <v>758.93</v>
      </c>
    </row>
    <row r="184" spans="1:31" x14ac:dyDescent="0.25">
      <c r="A184" s="122" t="s">
        <v>6889</v>
      </c>
      <c r="B184" s="154" t="s">
        <v>6910</v>
      </c>
      <c r="C184" s="126">
        <v>46142</v>
      </c>
      <c r="D184" s="126">
        <v>46133</v>
      </c>
      <c r="F184" s="123" t="s">
        <v>6918</v>
      </c>
      <c r="G184" s="153" t="s">
        <v>6567</v>
      </c>
      <c r="I184" s="123" t="s">
        <v>6917</v>
      </c>
      <c r="J184" s="123" t="s">
        <v>4717</v>
      </c>
      <c r="K184" s="122" t="s">
        <v>4718</v>
      </c>
      <c r="L184" s="123">
        <v>2983.93</v>
      </c>
      <c r="M184" s="123">
        <v>24866.07</v>
      </c>
      <c r="AC184" s="123">
        <f t="shared" si="2"/>
        <v>-27850</v>
      </c>
      <c r="AE184" s="123">
        <v>248.66</v>
      </c>
    </row>
    <row r="185" spans="1:31" x14ac:dyDescent="0.25">
      <c r="A185" s="122" t="s">
        <v>6912</v>
      </c>
      <c r="B185" s="154" t="s">
        <v>6911</v>
      </c>
      <c r="C185" s="126">
        <v>46173</v>
      </c>
      <c r="D185" s="126">
        <v>46133</v>
      </c>
      <c r="E185" s="126">
        <v>46135</v>
      </c>
      <c r="F185" s="123" t="s">
        <v>6923</v>
      </c>
      <c r="G185" s="153" t="s">
        <v>6568</v>
      </c>
      <c r="I185" s="123" t="s">
        <v>6867</v>
      </c>
      <c r="J185" s="123" t="s">
        <v>1226</v>
      </c>
      <c r="K185" s="122" t="s">
        <v>2924</v>
      </c>
      <c r="L185" s="123">
        <v>1178.57</v>
      </c>
      <c r="M185" s="123">
        <v>9821.43</v>
      </c>
      <c r="AB185" s="123">
        <v>11000</v>
      </c>
      <c r="AC185" s="123">
        <f t="shared" si="2"/>
        <v>0</v>
      </c>
      <c r="AE185" s="123">
        <v>98.21</v>
      </c>
    </row>
    <row r="186" spans="1:31" x14ac:dyDescent="0.25">
      <c r="A186" s="122" t="s">
        <v>6913</v>
      </c>
      <c r="B186" s="122" t="s">
        <v>6919</v>
      </c>
      <c r="C186" s="126">
        <v>46133</v>
      </c>
      <c r="D186" s="126">
        <v>46133</v>
      </c>
      <c r="I186" s="123" t="s">
        <v>6920</v>
      </c>
      <c r="J186" s="123" t="s">
        <v>4313</v>
      </c>
      <c r="K186" s="123" t="s">
        <v>6406</v>
      </c>
      <c r="AA186" s="123">
        <v>10000</v>
      </c>
      <c r="AB186" s="123">
        <v>10000</v>
      </c>
      <c r="AC186" s="123">
        <f t="shared" si="2"/>
        <v>0</v>
      </c>
    </row>
    <row r="187" spans="1:31" x14ac:dyDescent="0.25">
      <c r="A187" s="122" t="s">
        <v>6914</v>
      </c>
      <c r="B187" s="154" t="s">
        <v>6921</v>
      </c>
      <c r="C187" s="126">
        <v>46133</v>
      </c>
      <c r="D187" s="126">
        <v>46133</v>
      </c>
      <c r="I187" s="123" t="s">
        <v>82</v>
      </c>
      <c r="J187" s="123" t="s">
        <v>4313</v>
      </c>
      <c r="K187" s="123" t="s">
        <v>6406</v>
      </c>
      <c r="Z187" s="123">
        <v>30000</v>
      </c>
      <c r="AB187" s="123">
        <v>30000</v>
      </c>
      <c r="AC187" s="123">
        <f t="shared" si="2"/>
        <v>0</v>
      </c>
    </row>
    <row r="188" spans="1:31" x14ac:dyDescent="0.25">
      <c r="A188" s="122" t="s">
        <v>6932</v>
      </c>
      <c r="B188" s="154" t="s">
        <v>6938</v>
      </c>
      <c r="C188" s="126">
        <v>46142</v>
      </c>
      <c r="D188" s="126">
        <v>46139</v>
      </c>
      <c r="I188" s="123" t="s">
        <v>4612</v>
      </c>
      <c r="J188" s="123" t="s">
        <v>125</v>
      </c>
      <c r="AA188" s="123">
        <v>10000</v>
      </c>
      <c r="AB188" s="123">
        <v>10000</v>
      </c>
      <c r="AC188" s="123">
        <f t="shared" si="2"/>
        <v>0</v>
      </c>
    </row>
    <row r="189" spans="1:31" x14ac:dyDescent="0.25">
      <c r="A189" s="122" t="s">
        <v>6933</v>
      </c>
      <c r="B189" s="154" t="s">
        <v>6939</v>
      </c>
      <c r="C189" s="126">
        <v>46142</v>
      </c>
      <c r="D189" s="126">
        <v>46139</v>
      </c>
      <c r="I189" s="123" t="s">
        <v>4612</v>
      </c>
      <c r="J189" s="123" t="s">
        <v>1847</v>
      </c>
      <c r="AA189" s="123">
        <v>15360</v>
      </c>
      <c r="AB189" s="123">
        <v>15360</v>
      </c>
      <c r="AC189" s="123">
        <f t="shared" si="2"/>
        <v>0</v>
      </c>
    </row>
    <row r="190" spans="1:31" x14ac:dyDescent="0.25">
      <c r="A190" s="122" t="s">
        <v>6934</v>
      </c>
      <c r="B190" s="154" t="s">
        <v>6940</v>
      </c>
      <c r="C190" s="126">
        <v>46179</v>
      </c>
      <c r="D190" s="126">
        <v>46139</v>
      </c>
      <c r="F190" s="123" t="s">
        <v>6941</v>
      </c>
      <c r="G190" s="153" t="s">
        <v>6570</v>
      </c>
      <c r="I190" s="123" t="s">
        <v>6942</v>
      </c>
      <c r="J190" s="123" t="s">
        <v>1226</v>
      </c>
      <c r="K190" s="122" t="s">
        <v>2924</v>
      </c>
      <c r="L190" s="123">
        <v>2110.71</v>
      </c>
      <c r="M190" s="123">
        <v>17589.29</v>
      </c>
      <c r="AC190" s="123">
        <f t="shared" si="2"/>
        <v>-19700</v>
      </c>
      <c r="AE190" s="123">
        <v>175.89</v>
      </c>
    </row>
    <row r="191" spans="1:31" x14ac:dyDescent="0.25">
      <c r="A191" s="122" t="s">
        <v>6935</v>
      </c>
      <c r="B191" s="154" t="s">
        <v>6943</v>
      </c>
      <c r="C191" s="126">
        <v>46139</v>
      </c>
      <c r="D191" s="126">
        <v>46139</v>
      </c>
      <c r="I191" s="123" t="s">
        <v>6944</v>
      </c>
      <c r="J191" s="123" t="s">
        <v>3667</v>
      </c>
      <c r="L191" s="123">
        <v>1546.39</v>
      </c>
      <c r="S191" s="123">
        <v>12886.56</v>
      </c>
      <c r="AB191" s="123">
        <v>14432.95</v>
      </c>
      <c r="AC191" s="123">
        <f t="shared" si="2"/>
        <v>0</v>
      </c>
      <c r="AE191" s="123">
        <v>257.8</v>
      </c>
    </row>
    <row r="192" spans="1:31" x14ac:dyDescent="0.25">
      <c r="A192" s="122" t="s">
        <v>6936</v>
      </c>
      <c r="B192" s="154" t="s">
        <v>6945</v>
      </c>
      <c r="C192" s="126">
        <v>46133</v>
      </c>
      <c r="D192" s="126">
        <v>46139</v>
      </c>
      <c r="I192" s="123" t="s">
        <v>82</v>
      </c>
      <c r="J192" s="123" t="s">
        <v>4313</v>
      </c>
      <c r="K192" s="123" t="s">
        <v>6406</v>
      </c>
      <c r="Z192" s="123">
        <v>180000</v>
      </c>
      <c r="AB192" s="123">
        <v>180000</v>
      </c>
      <c r="AC192" s="123">
        <f t="shared" si="2"/>
        <v>0</v>
      </c>
    </row>
    <row r="193" spans="1:31" x14ac:dyDescent="0.25">
      <c r="A193" s="122" t="s">
        <v>6937</v>
      </c>
      <c r="B193" s="154" t="s">
        <v>6946</v>
      </c>
      <c r="C193" s="126">
        <v>46139</v>
      </c>
      <c r="D193" s="126">
        <v>46139</v>
      </c>
      <c r="I193" s="123" t="s">
        <v>5271</v>
      </c>
      <c r="J193" s="123" t="s">
        <v>5225</v>
      </c>
      <c r="AA193" s="123">
        <v>892.86</v>
      </c>
      <c r="AB193" s="123">
        <v>892.86</v>
      </c>
      <c r="AC193" s="123">
        <f t="shared" si="2"/>
        <v>0</v>
      </c>
    </row>
    <row r="194" spans="1:31" x14ac:dyDescent="0.25">
      <c r="A194" s="122" t="s">
        <v>6947</v>
      </c>
      <c r="B194" s="154" t="s">
        <v>6949</v>
      </c>
      <c r="C194" s="126">
        <v>46141</v>
      </c>
      <c r="D194" s="126">
        <v>46141</v>
      </c>
      <c r="I194" s="123" t="s">
        <v>6950</v>
      </c>
      <c r="J194" s="123" t="s">
        <v>33</v>
      </c>
      <c r="AA194" s="123">
        <v>5000</v>
      </c>
      <c r="AB194" s="123">
        <v>5000</v>
      </c>
      <c r="AC194" s="123">
        <f t="shared" si="2"/>
        <v>0</v>
      </c>
    </row>
    <row r="195" spans="1:31" x14ac:dyDescent="0.25">
      <c r="A195" s="122" t="s">
        <v>6948</v>
      </c>
      <c r="B195" s="154" t="s">
        <v>6951</v>
      </c>
      <c r="C195" s="126">
        <v>46155</v>
      </c>
      <c r="D195" s="126">
        <v>46141</v>
      </c>
      <c r="I195" s="123" t="s">
        <v>6952</v>
      </c>
      <c r="J195" s="123" t="s">
        <v>4717</v>
      </c>
      <c r="K195" s="122" t="s">
        <v>4718</v>
      </c>
      <c r="L195" s="123">
        <v>417.86</v>
      </c>
      <c r="M195" s="123">
        <v>3482.14</v>
      </c>
      <c r="AC195" s="123">
        <f t="shared" si="2"/>
        <v>-3900</v>
      </c>
      <c r="AE195" s="123">
        <v>34.82</v>
      </c>
    </row>
    <row r="196" spans="1:31" x14ac:dyDescent="0.25">
      <c r="A196" s="122" t="s">
        <v>6953</v>
      </c>
      <c r="B196" s="154" t="s">
        <v>6954</v>
      </c>
      <c r="C196" s="126">
        <v>46141</v>
      </c>
      <c r="D196" s="126">
        <v>46141</v>
      </c>
      <c r="H196" s="153" t="s">
        <v>3740</v>
      </c>
      <c r="I196" s="123" t="s">
        <v>4811</v>
      </c>
      <c r="J196" s="123" t="s">
        <v>3667</v>
      </c>
      <c r="T196" s="123">
        <v>10640.98</v>
      </c>
      <c r="AB196" s="123">
        <v>10640.98</v>
      </c>
      <c r="AC196" s="123">
        <f t="shared" si="2"/>
        <v>0</v>
      </c>
    </row>
    <row r="197" spans="1:31" x14ac:dyDescent="0.25">
      <c r="A197" s="109">
        <v>46173</v>
      </c>
      <c r="B197" s="175"/>
      <c r="C197" s="176"/>
      <c r="D197" s="176"/>
      <c r="E197" s="132"/>
      <c r="F197" s="132"/>
      <c r="G197" s="177"/>
      <c r="H197" s="177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>
        <f t="shared" ref="AC197" si="3">SUM(AB197:AB197)-SUM(L197:AA197)</f>
        <v>0</v>
      </c>
      <c r="AD197" s="132"/>
      <c r="AE197" s="132"/>
    </row>
    <row r="198" spans="1:31" x14ac:dyDescent="0.25">
      <c r="A198" s="122" t="s">
        <v>6955</v>
      </c>
      <c r="B198" s="154" t="s">
        <v>6956</v>
      </c>
      <c r="C198" s="126">
        <v>46147</v>
      </c>
      <c r="D198" s="126">
        <v>46147</v>
      </c>
      <c r="H198" s="153" t="s">
        <v>3750</v>
      </c>
      <c r="I198" s="123" t="s">
        <v>4879</v>
      </c>
      <c r="J198" s="123" t="s">
        <v>3667</v>
      </c>
      <c r="T198" s="123">
        <v>14659.54</v>
      </c>
      <c r="AB198" s="123">
        <v>14659.54</v>
      </c>
      <c r="AC198" s="123">
        <f t="shared" si="2"/>
        <v>0</v>
      </c>
    </row>
    <row r="199" spans="1:31" x14ac:dyDescent="0.25">
      <c r="A199" s="122" t="s">
        <v>6957</v>
      </c>
      <c r="B199" s="154" t="s">
        <v>6958</v>
      </c>
      <c r="C199" s="126">
        <v>46147</v>
      </c>
      <c r="D199" s="126">
        <v>46147</v>
      </c>
      <c r="I199" s="123" t="s">
        <v>6959</v>
      </c>
      <c r="J199" s="123" t="s">
        <v>5664</v>
      </c>
      <c r="AA199" s="123">
        <v>2121</v>
      </c>
      <c r="AB199" s="123">
        <v>2121</v>
      </c>
      <c r="AC199" s="123">
        <f t="shared" si="2"/>
        <v>0</v>
      </c>
    </row>
    <row r="200" spans="1:31" x14ac:dyDescent="0.25">
      <c r="A200" s="122" t="s">
        <v>6960</v>
      </c>
      <c r="B200" s="154" t="s">
        <v>6961</v>
      </c>
      <c r="C200" s="126">
        <v>46147</v>
      </c>
      <c r="D200" s="126">
        <v>46147</v>
      </c>
      <c r="I200" s="123" t="s">
        <v>6962</v>
      </c>
      <c r="J200" s="123" t="s">
        <v>6963</v>
      </c>
      <c r="AA200" s="123">
        <v>4116</v>
      </c>
      <c r="AB200" s="123">
        <v>4116</v>
      </c>
      <c r="AC200" s="123">
        <f t="shared" si="2"/>
        <v>0</v>
      </c>
    </row>
    <row r="201" spans="1:31" x14ac:dyDescent="0.25">
      <c r="A201" s="122" t="s">
        <v>6964</v>
      </c>
      <c r="B201" s="154" t="s">
        <v>6966</v>
      </c>
      <c r="C201" s="126">
        <v>46148</v>
      </c>
      <c r="D201" s="126">
        <v>46148</v>
      </c>
      <c r="I201" s="123" t="s">
        <v>6743</v>
      </c>
      <c r="J201" s="123" t="s">
        <v>6968</v>
      </c>
      <c r="AA201" s="123">
        <v>8970</v>
      </c>
      <c r="AB201" s="123">
        <v>8970</v>
      </c>
      <c r="AC201" s="123">
        <f t="shared" si="2"/>
        <v>0</v>
      </c>
    </row>
    <row r="202" spans="1:31" x14ac:dyDescent="0.25">
      <c r="A202" s="122" t="s">
        <v>6965</v>
      </c>
      <c r="B202" s="154" t="s">
        <v>6967</v>
      </c>
      <c r="C202" s="126">
        <v>46148</v>
      </c>
      <c r="D202" s="126">
        <v>46148</v>
      </c>
      <c r="F202" s="123" t="s">
        <v>6981</v>
      </c>
      <c r="I202" s="123" t="s">
        <v>6969</v>
      </c>
      <c r="J202" s="123" t="s">
        <v>1457</v>
      </c>
      <c r="AA202" s="123">
        <v>26652.5</v>
      </c>
      <c r="AB202" s="123">
        <v>26652.5</v>
      </c>
      <c r="AC202" s="123">
        <f t="shared" si="2"/>
        <v>0</v>
      </c>
    </row>
    <row r="203" spans="1:31" x14ac:dyDescent="0.25">
      <c r="A203" s="122" t="s">
        <v>6970</v>
      </c>
      <c r="B203" s="154" t="s">
        <v>6973</v>
      </c>
      <c r="C203" s="126">
        <v>46163</v>
      </c>
      <c r="D203" s="126">
        <v>46150</v>
      </c>
      <c r="F203" s="123" t="s">
        <v>6975</v>
      </c>
      <c r="G203" s="153" t="s">
        <v>6584</v>
      </c>
      <c r="I203" s="123" t="s">
        <v>6976</v>
      </c>
      <c r="J203" s="123" t="s">
        <v>4717</v>
      </c>
      <c r="K203" s="122" t="s">
        <v>4718</v>
      </c>
      <c r="L203" s="123">
        <v>2570.36</v>
      </c>
      <c r="M203" s="123">
        <v>21419.64</v>
      </c>
      <c r="AC203" s="123">
        <f t="shared" ref="AC203:AC225" si="4">SUM(AB203:AB203)-SUM(L203:AA203)</f>
        <v>-23990</v>
      </c>
      <c r="AE203" s="123">
        <v>214.2</v>
      </c>
    </row>
    <row r="204" spans="1:31" x14ac:dyDescent="0.25">
      <c r="A204" s="122" t="s">
        <v>6971</v>
      </c>
      <c r="B204" s="154" t="s">
        <v>6974</v>
      </c>
      <c r="C204" s="126">
        <v>46150</v>
      </c>
      <c r="D204" s="126">
        <v>46150</v>
      </c>
      <c r="I204" s="123" t="s">
        <v>82</v>
      </c>
      <c r="J204" s="123" t="s">
        <v>54</v>
      </c>
      <c r="K204" s="123" t="s">
        <v>6406</v>
      </c>
      <c r="Z204" s="123">
        <v>120000</v>
      </c>
      <c r="AB204" s="123">
        <v>120000</v>
      </c>
      <c r="AC204" s="123">
        <f t="shared" si="4"/>
        <v>0</v>
      </c>
    </row>
    <row r="205" spans="1:31" x14ac:dyDescent="0.25">
      <c r="A205" s="122" t="s">
        <v>6972</v>
      </c>
      <c r="B205" s="154" t="s">
        <v>6980</v>
      </c>
      <c r="C205" s="126">
        <v>46150</v>
      </c>
      <c r="D205" s="126">
        <v>46150</v>
      </c>
      <c r="I205" s="123" t="s">
        <v>4811</v>
      </c>
      <c r="J205" s="123" t="s">
        <v>3667</v>
      </c>
      <c r="T205" s="123">
        <v>8072.1</v>
      </c>
      <c r="AB205" s="123">
        <v>8072.1</v>
      </c>
      <c r="AC205" s="123">
        <f t="shared" si="4"/>
        <v>0</v>
      </c>
    </row>
    <row r="206" spans="1:31" x14ac:dyDescent="0.25">
      <c r="A206" s="122" t="s">
        <v>6982</v>
      </c>
      <c r="B206" s="154" t="s">
        <v>6987</v>
      </c>
      <c r="C206" s="126">
        <v>46157</v>
      </c>
      <c r="D206" s="126">
        <v>46154</v>
      </c>
      <c r="I206" s="123" t="s">
        <v>4612</v>
      </c>
      <c r="J206" s="123" t="s">
        <v>125</v>
      </c>
      <c r="AA206" s="123">
        <v>10000</v>
      </c>
      <c r="AB206" s="123">
        <v>10000</v>
      </c>
      <c r="AC206" s="123">
        <f t="shared" si="4"/>
        <v>0</v>
      </c>
    </row>
    <row r="207" spans="1:31" x14ac:dyDescent="0.25">
      <c r="A207" s="122" t="s">
        <v>6983</v>
      </c>
      <c r="B207" s="154" t="s">
        <v>6988</v>
      </c>
      <c r="C207" s="126">
        <v>46157</v>
      </c>
      <c r="D207" s="126">
        <v>46154</v>
      </c>
      <c r="I207" s="123" t="s">
        <v>4612</v>
      </c>
      <c r="J207" s="123" t="s">
        <v>1847</v>
      </c>
      <c r="AA207" s="123">
        <v>15360</v>
      </c>
      <c r="AB207" s="123">
        <v>15360</v>
      </c>
      <c r="AC207" s="123">
        <f t="shared" si="4"/>
        <v>0</v>
      </c>
    </row>
    <row r="208" spans="1:31" x14ac:dyDescent="0.25">
      <c r="A208" s="122" t="s">
        <v>6984</v>
      </c>
      <c r="B208" s="154" t="s">
        <v>6989</v>
      </c>
      <c r="C208" s="126">
        <v>46154</v>
      </c>
      <c r="D208" s="126">
        <v>46154</v>
      </c>
      <c r="I208" s="122" t="s">
        <v>6992</v>
      </c>
      <c r="J208" s="122" t="s">
        <v>18</v>
      </c>
      <c r="L208" s="123">
        <v>151.09</v>
      </c>
      <c r="R208" s="123">
        <v>1259.06</v>
      </c>
      <c r="AB208" s="123">
        <v>1410.15</v>
      </c>
      <c r="AC208" s="123">
        <f t="shared" si="4"/>
        <v>0</v>
      </c>
    </row>
    <row r="209" spans="1:29" x14ac:dyDescent="0.25">
      <c r="A209" s="122" t="s">
        <v>6985</v>
      </c>
      <c r="B209" s="154" t="s">
        <v>6990</v>
      </c>
      <c r="C209" s="126">
        <v>46154</v>
      </c>
      <c r="D209" s="126">
        <v>46154</v>
      </c>
      <c r="I209" s="122" t="s">
        <v>6992</v>
      </c>
      <c r="J209" s="122" t="s">
        <v>18</v>
      </c>
      <c r="L209" s="123">
        <v>811.09</v>
      </c>
      <c r="R209" s="123">
        <v>6759.06</v>
      </c>
      <c r="AB209" s="123">
        <v>7570.15</v>
      </c>
      <c r="AC209" s="123">
        <f t="shared" si="4"/>
        <v>0</v>
      </c>
    </row>
    <row r="210" spans="1:29" x14ac:dyDescent="0.25">
      <c r="A210" s="122" t="s">
        <v>6986</v>
      </c>
      <c r="B210" s="154" t="s">
        <v>6991</v>
      </c>
      <c r="C210" s="126">
        <v>46154</v>
      </c>
      <c r="D210" s="126">
        <v>46154</v>
      </c>
      <c r="I210" s="123" t="s">
        <v>6993</v>
      </c>
      <c r="J210" s="123" t="s">
        <v>6900</v>
      </c>
      <c r="AA210" s="123">
        <v>5875.2</v>
      </c>
      <c r="AB210" s="123">
        <v>5875.2</v>
      </c>
      <c r="AC210" s="123">
        <f t="shared" si="4"/>
        <v>0</v>
      </c>
    </row>
    <row r="211" spans="1:29" x14ac:dyDescent="0.25">
      <c r="A211" s="122" t="s">
        <v>6994</v>
      </c>
      <c r="B211" s="154" t="s">
        <v>6997</v>
      </c>
      <c r="C211" s="126">
        <v>46159</v>
      </c>
      <c r="D211" s="126">
        <v>46154</v>
      </c>
      <c r="I211" s="123" t="s">
        <v>7000</v>
      </c>
      <c r="J211" s="123" t="s">
        <v>1457</v>
      </c>
      <c r="N211" s="123">
        <v>26250</v>
      </c>
      <c r="AB211" s="123">
        <v>26250</v>
      </c>
      <c r="AC211" s="123">
        <f t="shared" si="4"/>
        <v>0</v>
      </c>
    </row>
    <row r="212" spans="1:29" x14ac:dyDescent="0.25">
      <c r="A212" s="122" t="s">
        <v>6995</v>
      </c>
      <c r="B212" s="154" t="s">
        <v>6998</v>
      </c>
      <c r="C212" s="126">
        <v>46154</v>
      </c>
      <c r="D212" s="126">
        <v>46154</v>
      </c>
      <c r="I212" s="123" t="s">
        <v>6993</v>
      </c>
      <c r="J212" s="123" t="s">
        <v>7004</v>
      </c>
      <c r="L212" s="123">
        <v>32.14</v>
      </c>
      <c r="S212" s="123">
        <v>267.86</v>
      </c>
      <c r="AB212" s="123">
        <v>300</v>
      </c>
      <c r="AC212" s="123">
        <f t="shared" si="4"/>
        <v>0</v>
      </c>
    </row>
    <row r="213" spans="1:29" x14ac:dyDescent="0.25">
      <c r="A213" s="122" t="s">
        <v>6996</v>
      </c>
      <c r="B213" s="154" t="s">
        <v>6999</v>
      </c>
      <c r="C213" s="126">
        <v>46154</v>
      </c>
      <c r="D213" s="126">
        <v>46154</v>
      </c>
      <c r="I213" s="123" t="s">
        <v>6969</v>
      </c>
      <c r="J213" s="123" t="s">
        <v>1457</v>
      </c>
      <c r="AA213" s="123">
        <v>9152.5</v>
      </c>
      <c r="AB213" s="123">
        <v>9152.5</v>
      </c>
      <c r="AC213" s="123">
        <f t="shared" si="4"/>
        <v>0</v>
      </c>
    </row>
    <row r="214" spans="1:29" x14ac:dyDescent="0.25">
      <c r="A214" s="122" t="s">
        <v>7005</v>
      </c>
      <c r="B214" s="154" t="s">
        <v>7009</v>
      </c>
      <c r="C214" s="126">
        <v>46155</v>
      </c>
      <c r="D214" s="126">
        <v>46155</v>
      </c>
      <c r="I214" s="123" t="s">
        <v>7012</v>
      </c>
      <c r="J214" s="123" t="s">
        <v>442</v>
      </c>
      <c r="AA214" s="123">
        <v>10591.6</v>
      </c>
      <c r="AB214" s="123">
        <v>10591.6</v>
      </c>
      <c r="AC214" s="123">
        <f t="shared" si="4"/>
        <v>0</v>
      </c>
    </row>
    <row r="215" spans="1:29" x14ac:dyDescent="0.25">
      <c r="A215" s="122" t="s">
        <v>7006</v>
      </c>
      <c r="B215" s="154" t="s">
        <v>7010</v>
      </c>
      <c r="C215" s="126">
        <v>46155</v>
      </c>
      <c r="D215" s="126">
        <v>46155</v>
      </c>
      <c r="I215" s="123" t="s">
        <v>7013</v>
      </c>
      <c r="J215" s="123" t="s">
        <v>6904</v>
      </c>
      <c r="L215" s="123">
        <v>160.61000000000001</v>
      </c>
      <c r="S215" s="123">
        <v>1338.39</v>
      </c>
      <c r="AB215" s="123">
        <v>1499</v>
      </c>
      <c r="AC215" s="123">
        <f t="shared" si="4"/>
        <v>0</v>
      </c>
    </row>
    <row r="216" spans="1:29" x14ac:dyDescent="0.25">
      <c r="A216" s="122" t="s">
        <v>7007</v>
      </c>
      <c r="B216" s="154" t="s">
        <v>7011</v>
      </c>
      <c r="C216" s="126">
        <v>46155</v>
      </c>
      <c r="D216" s="126">
        <v>46155</v>
      </c>
      <c r="I216" s="123" t="s">
        <v>7014</v>
      </c>
      <c r="J216" s="123" t="s">
        <v>6904</v>
      </c>
      <c r="L216" s="123">
        <v>107.04</v>
      </c>
      <c r="S216" s="123">
        <v>891.96</v>
      </c>
      <c r="AB216" s="123">
        <v>999</v>
      </c>
      <c r="AC216" s="123">
        <f t="shared" si="4"/>
        <v>0</v>
      </c>
    </row>
    <row r="217" spans="1:29" x14ac:dyDescent="0.25">
      <c r="A217" s="122" t="s">
        <v>7008</v>
      </c>
      <c r="AC217" s="123">
        <f t="shared" si="4"/>
        <v>0</v>
      </c>
    </row>
    <row r="218" spans="1:29" x14ac:dyDescent="0.25">
      <c r="AC218" s="123">
        <f t="shared" si="4"/>
        <v>0</v>
      </c>
    </row>
    <row r="219" spans="1:29" x14ac:dyDescent="0.25">
      <c r="AC219" s="123">
        <f t="shared" si="4"/>
        <v>0</v>
      </c>
    </row>
    <row r="220" spans="1:29" x14ac:dyDescent="0.25">
      <c r="AC220" s="123">
        <f t="shared" si="4"/>
        <v>0</v>
      </c>
    </row>
    <row r="221" spans="1:29" x14ac:dyDescent="0.25">
      <c r="AC221" s="123">
        <f t="shared" si="4"/>
        <v>0</v>
      </c>
    </row>
    <row r="222" spans="1:29" x14ac:dyDescent="0.25">
      <c r="AC222" s="123">
        <f t="shared" si="4"/>
        <v>0</v>
      </c>
    </row>
    <row r="223" spans="1:29" x14ac:dyDescent="0.25">
      <c r="AC223" s="123">
        <f t="shared" si="4"/>
        <v>0</v>
      </c>
    </row>
    <row r="224" spans="1:29" x14ac:dyDescent="0.25">
      <c r="AC224" s="123">
        <f t="shared" si="4"/>
        <v>0</v>
      </c>
    </row>
    <row r="225" spans="29:29" x14ac:dyDescent="0.25">
      <c r="AC225" s="123">
        <f t="shared" si="4"/>
        <v>0</v>
      </c>
    </row>
  </sheetData>
  <mergeCells count="2">
    <mergeCell ref="A6:K6"/>
    <mergeCell ref="L6:AA6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</cp:lastModifiedBy>
  <cp:lastPrinted>2025-01-15T01:43:48Z</cp:lastPrinted>
  <dcterms:created xsi:type="dcterms:W3CDTF">2016-02-02T02:46:04Z</dcterms:created>
  <dcterms:modified xsi:type="dcterms:W3CDTF">2026-05-13T08:47:20Z</dcterms:modified>
</cp:coreProperties>
</file>