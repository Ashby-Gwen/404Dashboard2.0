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FILES\AR 2026\"/>
    </mc:Choice>
  </mc:AlternateContent>
  <xr:revisionPtr revIDLastSave="0" documentId="13_ncr:1_{41D98E6C-CF96-4669-97DF-509F45463717}" xr6:coauthVersionLast="47" xr6:coauthVersionMax="47" xr10:uidLastSave="{00000000-0000-0000-0000-000000000000}"/>
  <bookViews>
    <workbookView xWindow="-120" yWindow="-120" windowWidth="20730" windowHeight="11160" xr2:uid="{BF3648BE-ABFD-46F8-92D6-0B2D20FF1CC1}"/>
  </bookViews>
  <sheets>
    <sheet name="Sheet1" sheetId="1" r:id="rId1"/>
  </sheets>
  <definedNames>
    <definedName name="_xlnm._FilterDatabase" localSheetId="0" hidden="1">Sheet1!$A$5:$P$17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" i="1" l="1"/>
  <c r="N31" i="1" s="1"/>
  <c r="M45" i="1"/>
  <c r="O45" i="1" s="1"/>
  <c r="M46" i="1"/>
  <c r="O46" i="1" s="1"/>
  <c r="M47" i="1"/>
  <c r="O47" i="1" s="1"/>
  <c r="M48" i="1"/>
  <c r="M49" i="1"/>
  <c r="M50" i="1"/>
  <c r="M51" i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0" i="1"/>
  <c r="O30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M55" i="1"/>
  <c r="M29" i="1"/>
  <c r="O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O23" i="1" s="1"/>
  <c r="M22" i="1"/>
  <c r="N22" i="1" s="1"/>
  <c r="M21" i="1"/>
  <c r="N21" i="1" s="1"/>
  <c r="M20" i="1"/>
  <c r="N20" i="1" s="1"/>
  <c r="O31" i="1" l="1"/>
  <c r="N46" i="1"/>
  <c r="N34" i="1"/>
  <c r="N47" i="1"/>
  <c r="N45" i="1"/>
  <c r="N43" i="1"/>
  <c r="N35" i="1"/>
  <c r="N44" i="1"/>
  <c r="N36" i="1"/>
  <c r="N33" i="1"/>
  <c r="N42" i="1"/>
  <c r="N32" i="1"/>
  <c r="N41" i="1"/>
  <c r="N40" i="1"/>
  <c r="N39" i="1"/>
  <c r="N38" i="1"/>
  <c r="N37" i="1"/>
  <c r="N29" i="1"/>
  <c r="N23" i="1"/>
  <c r="O24" i="1"/>
  <c r="O20" i="1"/>
  <c r="O25" i="1"/>
  <c r="O21" i="1"/>
  <c r="O26" i="1"/>
  <c r="O22" i="1"/>
  <c r="O27" i="1"/>
  <c r="O28" i="1"/>
  <c r="N8" i="1" l="1"/>
  <c r="M9" i="1"/>
  <c r="N9" i="1" s="1"/>
  <c r="M10" i="1"/>
  <c r="N10" i="1" s="1"/>
  <c r="M11" i="1"/>
  <c r="N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N17" i="1" l="1"/>
  <c r="N16" i="1"/>
  <c r="N15" i="1"/>
  <c r="N14" i="1"/>
  <c r="N13" i="1"/>
  <c r="N12" i="1"/>
  <c r="O8" i="1" l="1"/>
  <c r="O9" i="1"/>
  <c r="O10" i="1"/>
  <c r="O11" i="1"/>
  <c r="N30" i="1" l="1"/>
</calcChain>
</file>

<file path=xl/sharedStrings.xml><?xml version="1.0" encoding="utf-8"?>
<sst xmlns="http://schemas.openxmlformats.org/spreadsheetml/2006/main" count="102" uniqueCount="86">
  <si>
    <t>DATE</t>
  </si>
  <si>
    <t>SERVICE INVOICE</t>
  </si>
  <si>
    <t>SALES INVOICE</t>
  </si>
  <si>
    <t xml:space="preserve">CLIENT </t>
  </si>
  <si>
    <t>PARTICULARS</t>
  </si>
  <si>
    <t>TOTAL AMOUNT</t>
  </si>
  <si>
    <t xml:space="preserve">DATE </t>
  </si>
  <si>
    <t>BALANCE</t>
  </si>
  <si>
    <t>STATUS</t>
  </si>
  <si>
    <t>PREVENTIVE MAINTENANCE FEE</t>
  </si>
  <si>
    <t xml:space="preserve">ACCOUNT RECEIVABLES </t>
  </si>
  <si>
    <t>OTHERS</t>
  </si>
  <si>
    <t xml:space="preserve">AGING </t>
  </si>
  <si>
    <t>REMARKS</t>
  </si>
  <si>
    <t>MONTH</t>
  </si>
  <si>
    <t>LIPA GRILLE TAGAYTAY - 058</t>
  </si>
  <si>
    <t>BACCHUS SQL VERSION W/ POS HARDWARES</t>
  </si>
  <si>
    <t>FUN CITY - VERTIS NORTH  -036</t>
  </si>
  <si>
    <t>RDMS SQL VERSION - BIR REGISTRATION FEE</t>
  </si>
  <si>
    <t>BACCHUS ANDROID SQL VERSION W/ POS HARDWARES</t>
  </si>
  <si>
    <t>KUANG HENG ROB. MANILA -136</t>
  </si>
  <si>
    <t>TS CERES SQL VERSION W/ POS HARDWARES</t>
  </si>
  <si>
    <t>HUE PALAWAN -167</t>
  </si>
  <si>
    <t>2 BACCHUS ANDROID SQL VERSION W/ POS HARDWARES</t>
  </si>
  <si>
    <t>HUE SIARGAO-168</t>
  </si>
  <si>
    <t>M&amp;W TOWNSTORES LUMBAN-169</t>
  </si>
  <si>
    <t>INTEL CORE I5 (5) CASHIERING 8GB/ (1) BACK OFFICE /BIR REGISTRATION FEE AND PREVENTIVE MAINTENANCE</t>
  </si>
  <si>
    <t>YOOHOO VERMOSA -179</t>
  </si>
  <si>
    <t>TS CERES SQL VERSION W/ BIR REGISTRATION FEE</t>
  </si>
  <si>
    <t>CANELLE FOOD CORP-CINNABON CORP-(SLT MAIN, NLT SELECT, CALTEX SP, NAIA 3, TRINOMA, SM NORTH, SM AURA, SM MEGAMALL, ESTANCIA, SM SEASIDE, PETRON, SM CLARK, FESTIVAL , DRIVE &amp; DINE, SM FAIRVIEW, AYALA MANILA BAY, ROB. MAGNOLIA, ROB. GALLERIA, UNIMART GREENHILLS, SM MOA, SM DASMARINAS, SLT SELECT, SM STO TOMAS BATANGAS, SM BICUTAN, MACTAN CEBU, SM JMALL CEBU)-204</t>
  </si>
  <si>
    <t>26 PREVENTIVE MAINTENANCE FEE</t>
  </si>
  <si>
    <t>CHU CHU BEAUTY ARCA SOUTH - 092</t>
  </si>
  <si>
    <t>RDMS SQL VERSION W/ BIR REGISTRATION FEE</t>
  </si>
  <si>
    <t>COSTA SOLANA PAGBILAO-230</t>
  </si>
  <si>
    <t>DOWNPAYMENT</t>
  </si>
  <si>
    <t>DAYS</t>
  </si>
  <si>
    <t>PARTIAL</t>
  </si>
  <si>
    <t>EVER DELIGHT  - SM LA UNION-013</t>
  </si>
  <si>
    <t>SUNNY DELIGHT INC.- METROPLAZA VICAS CALOOCAN -014</t>
  </si>
  <si>
    <t>NEXSCENTS HOME CARE PRODUCTS SM MOA-024</t>
  </si>
  <si>
    <t>RDMS SQL VERSION W/ POS HARDWARES</t>
  </si>
  <si>
    <t>CHARLES RESTAURANT - PALAWAN-024</t>
  </si>
  <si>
    <t>LIAMS BEACH CAFÉ - PALAWAN -025</t>
  </si>
  <si>
    <t>M&amp;W TOWNSTORES INC.- STA CRUZ -027</t>
  </si>
  <si>
    <t>GONGCHA PHILS HEAD OFFICE-030</t>
  </si>
  <si>
    <t>MODIFICATION</t>
  </si>
  <si>
    <t>EVER DELIGHT - VIRAC CATANDUANES-032</t>
  </si>
  <si>
    <t>FLEXISPOT PH AYALA MALLS MANILA BAY -008</t>
  </si>
  <si>
    <t>UNIMEDS DRUGSTORE OPC -009</t>
  </si>
  <si>
    <t>6 RDMS SQL VERSION W/ BIR REGISTRATION FEE AND ORDERING STATION</t>
  </si>
  <si>
    <t xml:space="preserve">FULLPAYMENT </t>
  </si>
  <si>
    <t>ANDROID CONCERN</t>
  </si>
  <si>
    <t xml:space="preserve">DI PA NA DEDEPLOY, SABI NETONG MARCH DAW MAG OOPEN </t>
  </si>
  <si>
    <t>with conforme palang pero waiting pa sila sa advise to implement. Wala pang naiinstall</t>
  </si>
  <si>
    <t>Sa ngayon nagbaback track yong bagong may handle kasi wala naindorse sa kanya</t>
  </si>
  <si>
    <t>Lumban C.O.R. issue</t>
  </si>
  <si>
    <t>Isesettle na daw ni Ma'am</t>
  </si>
  <si>
    <t>PROSHOP EASTWOOD -047</t>
  </si>
  <si>
    <t xml:space="preserve">RDMS LITE SQL VERSION W/ POS PERIPHERALS </t>
  </si>
  <si>
    <t>DERMA 360 ROCKWELL POWERPLANT -012</t>
  </si>
  <si>
    <t xml:space="preserve">PREVENTIVE MAINTENANCE W/ POS PERIPHERALS </t>
  </si>
  <si>
    <t>PANDE MANILA - PAN DE MANILA FOOD CO. INC. (SOUTH SUPERMARKET BATANGAS, TWO ECOM, BATANGAS ILAYA, ROBINSONS LIPA, SM BATANGAS 1- TS, SM BATANGAS 1- BACCHUS, MOLINO TOWN CENTER, ROBINSONS IMUS, SM MOLINO, DAGUPAN LUCAO 2 , 810 BUILDING , GREENFIELD PASEO 1 , ARCADE LAS PINAS, SM CENTER PULILAN, UPTOWN BGC, CALIFORNIA GARDEN, ASIAN MANSION 1, AVIDA ASTEN MAKATI, SAN LORENZO, PLACE MALL, LIPA CATHEDRAL, EAST BAY RESIDENCES , WALTERMART GAPAN, MC-ATHUR PAMPANGA, SM ROSALES, AVIDA TAFF, FARMERS PLAZA, KAMUNING EDSA, KALAYAAN, LIBIS E. RODRIGUEZ, STARMALL EDSA, PRIMARK TAGAYTAY, GRANADA, SAN BEDA, SM FAIRVIEW TEACHERS VILLAGE, TIMOG, TAYTAY 2ND GREENHILLS , SAN JUAN, ROCKWELL STP, AVIDA CITYFLEX , MCKINLEY PARK RESIDENCES , FOUR ECOM-TS, SM URDANETA, FOUR ECOM - BACCHUS, ALI MALL , EVER SUCAT, WALTWERMART STA MARIA, WALTERMART MUNOZ, PAVILLION MALL)-042</t>
  </si>
  <si>
    <t>51 PREVENTIVE MAINTENANCE FEE</t>
  </si>
  <si>
    <t>SIGNA DRUGSTORE ALABANG MUNTINLUPA-043</t>
  </si>
  <si>
    <t>RDMS SQL VERSION 5.0</t>
  </si>
  <si>
    <t>ELEMIE NATURALS INC. - POWERPLANT MALL ROCKWELL-047</t>
  </si>
  <si>
    <t>REYES BARBECUE SAN JUAN-049</t>
  </si>
  <si>
    <t>MODIFICATION FEE</t>
  </si>
  <si>
    <t>PAOTSIN CHERRY SHAW-054</t>
  </si>
  <si>
    <t xml:space="preserve">EOS MINI PC W/ PERIPHERALS </t>
  </si>
  <si>
    <t>J&amp;G CHIX (ESTANCIA , AYALA BAY)-055</t>
  </si>
  <si>
    <t>2 PREVENTIVE MAINTENANCE FEE</t>
  </si>
  <si>
    <t>DRAGON DYNASTEA (RP ORMOC)-056</t>
  </si>
  <si>
    <t>TEAMASTERS INC (GREENFIEL, PAGADIAN ZAMBOANGA, KCC COTABATO )-057</t>
  </si>
  <si>
    <t>3 PREVENTIVE MAINTENANCE FEE</t>
  </si>
  <si>
    <t>TEAHUB CORP. (ROB. TACLOBAN, SM TACLOBAN, SM OLONGAPO, SM ROXAS)-058</t>
  </si>
  <si>
    <t>4 PREVENTIVE MAINTENANCE FEE</t>
  </si>
  <si>
    <t>IDEAL BREAD &amp; TEA CORP. (FELIX, UPTOWN MALL )-059</t>
  </si>
  <si>
    <t>GONG CHA PHILS (VICTORY DEL MONTE BULACAN )-060</t>
  </si>
  <si>
    <t>M&amp;W HEAD OFFICE -061</t>
  </si>
  <si>
    <t>EPSON TMU220IIB USB PRINTER</t>
  </si>
  <si>
    <t>TEAMAKERS CORP-(SM BAGUIO )-065</t>
  </si>
  <si>
    <t>CHU CHU BEAUTY AYALA MALLS CAPITOL CENTRAL BACOLOD -015</t>
  </si>
  <si>
    <t>CHU CHU BEAUTY AYALA MALLS MANILA BAY -016</t>
  </si>
  <si>
    <t>ROSANNA OCAMPO ROCKWELL POWERPLANT -021</t>
  </si>
  <si>
    <t>PREVENTIVE MAINTENANCE W/ KASPERSKY ANTI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</si>
</sst>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\ dd"/>
    <numFmt numFmtId="165" formatCode="#,###.00"/>
    <numFmt numFmtId="166" formatCode="mmm\-dd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DejaVu Sans Condensed"/>
      <family val="2"/>
    </font>
    <font>
      <b/>
      <sz val="10"/>
      <name val="DejaVu Sans Condensed"/>
      <family val="2"/>
    </font>
    <font>
      <b/>
      <sz val="8"/>
      <name val="DejaVu Sans Condensed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Arial"/>
      <family val="2"/>
    </font>
    <font>
      <sz val="1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13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/>
  </cellStyleXfs>
  <cellXfs count="104">
    <xf numFmtId="0" fontId="0" fillId="0" borderId="0" xfId="0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shrinkToFit="1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/>
    <xf numFmtId="43" fontId="3" fillId="0" borderId="0" xfId="1" applyFont="1" applyBorder="1" applyAlignment="1">
      <alignment horizontal="center"/>
    </xf>
    <xf numFmtId="164" fontId="2" fillId="0" borderId="0" xfId="0" applyNumberFormat="1" applyFont="1" applyAlignment="1">
      <alignment horizontal="left" shrinkToFit="1"/>
    </xf>
    <xf numFmtId="43" fontId="2" fillId="0" borderId="0" xfId="1" applyFont="1" applyBorder="1" applyAlignment="1">
      <alignment horizontal="left" shrinkToFit="1"/>
    </xf>
    <xf numFmtId="43" fontId="4" fillId="0" borderId="0" xfId="1" applyFont="1" applyBorder="1" applyAlignment="1">
      <alignment horizontal="left"/>
    </xf>
    <xf numFmtId="43" fontId="4" fillId="0" borderId="0" xfId="1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shrinkToFit="1"/>
    </xf>
    <xf numFmtId="43" fontId="6" fillId="0" borderId="0" xfId="1" applyFont="1" applyAlignment="1">
      <alignment horizontal="center"/>
    </xf>
    <xf numFmtId="164" fontId="5" fillId="0" borderId="0" xfId="0" applyNumberFormat="1" applyFont="1" applyAlignment="1">
      <alignment shrinkToFit="1"/>
    </xf>
    <xf numFmtId="43" fontId="5" fillId="0" borderId="0" xfId="1" applyFont="1" applyAlignment="1">
      <alignment shrinkToFit="1"/>
    </xf>
    <xf numFmtId="43" fontId="6" fillId="0" borderId="0" xfId="1" applyFont="1"/>
    <xf numFmtId="49" fontId="7" fillId="0" borderId="0" xfId="0" applyNumberFormat="1" applyFont="1" applyAlignment="1">
      <alignment horizontal="left"/>
    </xf>
    <xf numFmtId="43" fontId="8" fillId="0" borderId="0" xfId="1" applyFont="1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 shrinkToFit="1"/>
    </xf>
    <xf numFmtId="43" fontId="6" fillId="4" borderId="2" xfId="1" applyFont="1" applyFill="1" applyBorder="1" applyAlignment="1">
      <alignment horizontal="center" vertical="center" wrapText="1"/>
    </xf>
    <xf numFmtId="0" fontId="5" fillId="4" borderId="2" xfId="1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 shrinkToFit="1"/>
    </xf>
    <xf numFmtId="43" fontId="10" fillId="4" borderId="1" xfId="1" applyFont="1" applyFill="1" applyBorder="1" applyAlignment="1">
      <alignment horizontal="center" vertical="center" wrapText="1"/>
    </xf>
    <xf numFmtId="164" fontId="10" fillId="4" borderId="9" xfId="0" applyNumberFormat="1" applyFont="1" applyFill="1" applyBorder="1" applyAlignment="1">
      <alignment horizontal="center" vertical="center" shrinkToFit="1"/>
    </xf>
    <xf numFmtId="0" fontId="10" fillId="4" borderId="2" xfId="1" applyNumberFormat="1" applyFont="1" applyFill="1" applyBorder="1" applyAlignment="1">
      <alignment horizontal="center" vertical="center" wrapText="1"/>
    </xf>
    <xf numFmtId="164" fontId="10" fillId="4" borderId="11" xfId="0" applyNumberFormat="1" applyFont="1" applyFill="1" applyBorder="1" applyAlignment="1">
      <alignment horizontal="center" vertical="center" shrinkToFit="1"/>
    </xf>
    <xf numFmtId="43" fontId="6" fillId="4" borderId="12" xfId="1" applyFont="1" applyFill="1" applyBorder="1" applyAlignment="1">
      <alignment horizontal="center" vertical="center" wrapText="1"/>
    </xf>
    <xf numFmtId="43" fontId="6" fillId="4" borderId="10" xfId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shrinkToFit="1"/>
    </xf>
    <xf numFmtId="0" fontId="6" fillId="5" borderId="3" xfId="0" quotePrefix="1" applyFont="1" applyFill="1" applyBorder="1" applyAlignment="1">
      <alignment horizontal="center"/>
    </xf>
    <xf numFmtId="0" fontId="6" fillId="5" borderId="7" xfId="0" quotePrefix="1" applyFont="1" applyFill="1" applyBorder="1" applyAlignment="1">
      <alignment horizontal="left"/>
    </xf>
    <xf numFmtId="0" fontId="0" fillId="5" borderId="4" xfId="0" applyFill="1" applyBorder="1"/>
    <xf numFmtId="3" fontId="0" fillId="5" borderId="4" xfId="0" applyNumberFormat="1" applyFill="1" applyBorder="1" applyAlignment="1">
      <alignment horizontal="center"/>
    </xf>
    <xf numFmtId="16" fontId="0" fillId="5" borderId="4" xfId="0" applyNumberFormat="1" applyFill="1" applyBorder="1" applyAlignment="1">
      <alignment horizontal="center"/>
    </xf>
    <xf numFmtId="43" fontId="0" fillId="5" borderId="4" xfId="0" applyNumberFormat="1" applyFill="1" applyBorder="1"/>
    <xf numFmtId="43" fontId="0" fillId="5" borderId="4" xfId="0" applyNumberFormat="1" applyFill="1" applyBorder="1" applyAlignment="1">
      <alignment horizontal="center"/>
    </xf>
    <xf numFmtId="43" fontId="8" fillId="5" borderId="5" xfId="1" applyFont="1" applyFill="1" applyBorder="1" applyAlignment="1">
      <alignment horizontal="center"/>
    </xf>
    <xf numFmtId="43" fontId="8" fillId="5" borderId="4" xfId="1" applyFont="1" applyFill="1" applyBorder="1" applyAlignment="1">
      <alignment horizontal="center"/>
    </xf>
    <xf numFmtId="43" fontId="8" fillId="5" borderId="4" xfId="1" applyFont="1" applyFill="1" applyBorder="1"/>
    <xf numFmtId="0" fontId="6" fillId="5" borderId="5" xfId="0" quotePrefix="1" applyFont="1" applyFill="1" applyBorder="1" applyAlignment="1">
      <alignment horizontal="left"/>
    </xf>
    <xf numFmtId="0" fontId="0" fillId="5" borderId="5" xfId="0" quotePrefix="1" applyFill="1" applyBorder="1" applyAlignment="1">
      <alignment horizontal="center"/>
    </xf>
    <xf numFmtId="16" fontId="11" fillId="5" borderId="8" xfId="0" applyNumberFormat="1" applyFont="1" applyFill="1" applyBorder="1" applyAlignment="1">
      <alignment horizontal="center"/>
    </xf>
    <xf numFmtId="0" fontId="11" fillId="5" borderId="8" xfId="0" applyFont="1" applyFill="1" applyBorder="1" applyAlignment="1">
      <alignment horizontal="left"/>
    </xf>
    <xf numFmtId="43" fontId="15" fillId="5" borderId="8" xfId="0" applyNumberFormat="1" applyFont="1" applyFill="1" applyBorder="1" applyAlignment="1">
      <alignment horizontal="center"/>
    </xf>
    <xf numFmtId="43" fontId="9" fillId="5" borderId="4" xfId="1" applyFont="1" applyFill="1" applyBorder="1" applyAlignment="1">
      <alignment horizontal="center"/>
    </xf>
    <xf numFmtId="0" fontId="0" fillId="5" borderId="5" xfId="0" applyFill="1" applyBorder="1"/>
    <xf numFmtId="0" fontId="6" fillId="5" borderId="3" xfId="0" quotePrefix="1" applyFont="1" applyFill="1" applyBorder="1" applyAlignment="1">
      <alignment horizontal="left"/>
    </xf>
    <xf numFmtId="3" fontId="0" fillId="5" borderId="5" xfId="0" applyNumberForma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166" fontId="13" fillId="5" borderId="8" xfId="2" applyNumberFormat="1" applyFont="1" applyFill="1" applyBorder="1" applyAlignment="1">
      <alignment horizontal="center"/>
    </xf>
    <xf numFmtId="0" fontId="13" fillId="5" borderId="8" xfId="0" applyFont="1" applyFill="1" applyBorder="1"/>
    <xf numFmtId="0" fontId="0" fillId="5" borderId="8" xfId="0" applyFill="1" applyBorder="1" applyAlignment="1">
      <alignment horizontal="center"/>
    </xf>
    <xf numFmtId="0" fontId="11" fillId="5" borderId="8" xfId="0" applyFont="1" applyFill="1" applyBorder="1"/>
    <xf numFmtId="16" fontId="0" fillId="5" borderId="5" xfId="0" applyNumberFormat="1" applyFill="1" applyBorder="1" applyAlignment="1">
      <alignment horizontal="center"/>
    </xf>
    <xf numFmtId="43" fontId="0" fillId="5" borderId="5" xfId="0" applyNumberFormat="1" applyFill="1" applyBorder="1" applyAlignment="1">
      <alignment horizontal="center"/>
    </xf>
    <xf numFmtId="43" fontId="16" fillId="5" borderId="8" xfId="2" applyNumberFormat="1" applyFont="1" applyFill="1" applyBorder="1"/>
    <xf numFmtId="0" fontId="0" fillId="5" borderId="6" xfId="0" applyFill="1" applyBorder="1"/>
    <xf numFmtId="0" fontId="0" fillId="5" borderId="6" xfId="0" quotePrefix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43" fontId="0" fillId="5" borderId="5" xfId="0" applyNumberFormat="1" applyFill="1" applyBorder="1"/>
    <xf numFmtId="166" fontId="13" fillId="5" borderId="5" xfId="2" applyNumberFormat="1" applyFont="1" applyFill="1" applyBorder="1" applyAlignment="1">
      <alignment horizontal="center"/>
    </xf>
    <xf numFmtId="0" fontId="13" fillId="5" borderId="5" xfId="0" applyFont="1" applyFill="1" applyBorder="1"/>
    <xf numFmtId="43" fontId="15" fillId="5" borderId="14" xfId="0" applyNumberFormat="1" applyFont="1" applyFill="1" applyBorder="1" applyAlignment="1">
      <alignment horizontal="center"/>
    </xf>
    <xf numFmtId="166" fontId="13" fillId="5" borderId="4" xfId="2" applyNumberFormat="1" applyFont="1" applyFill="1" applyBorder="1" applyAlignment="1">
      <alignment horizontal="center"/>
    </xf>
    <xf numFmtId="0" fontId="13" fillId="5" borderId="4" xfId="0" applyFont="1" applyFill="1" applyBorder="1"/>
    <xf numFmtId="43" fontId="15" fillId="5" borderId="5" xfId="0" applyNumberFormat="1" applyFont="1" applyFill="1" applyBorder="1" applyAlignment="1">
      <alignment horizontal="center"/>
    </xf>
    <xf numFmtId="16" fontId="11" fillId="5" borderId="5" xfId="0" applyNumberFormat="1" applyFont="1" applyFill="1" applyBorder="1" applyAlignment="1">
      <alignment horizontal="center"/>
    </xf>
    <xf numFmtId="0" fontId="11" fillId="5" borderId="5" xfId="0" applyFont="1" applyFill="1" applyBorder="1"/>
    <xf numFmtId="43" fontId="14" fillId="5" borderId="5" xfId="0" applyNumberFormat="1" applyFont="1" applyFill="1" applyBorder="1"/>
    <xf numFmtId="0" fontId="11" fillId="5" borderId="4" xfId="0" applyFont="1" applyFill="1" applyBorder="1"/>
    <xf numFmtId="43" fontId="15" fillId="5" borderId="5" xfId="0" applyNumberFormat="1" applyFont="1" applyFill="1" applyBorder="1"/>
    <xf numFmtId="16" fontId="11" fillId="5" borderId="4" xfId="0" applyNumberFormat="1" applyFont="1" applyFill="1" applyBorder="1" applyAlignment="1">
      <alignment horizontal="center"/>
    </xf>
    <xf numFmtId="43" fontId="15" fillId="5" borderId="4" xfId="0" applyNumberFormat="1" applyFont="1" applyFill="1" applyBorder="1"/>
    <xf numFmtId="0" fontId="14" fillId="6" borderId="5" xfId="0" applyFont="1" applyFill="1" applyBorder="1" applyAlignment="1">
      <alignment horizontal="center"/>
    </xf>
    <xf numFmtId="0" fontId="0" fillId="6" borderId="5" xfId="0" applyFill="1" applyBorder="1"/>
    <xf numFmtId="0" fontId="0" fillId="6" borderId="5" xfId="0" quotePrefix="1" applyFill="1" applyBorder="1" applyAlignment="1">
      <alignment horizontal="center"/>
    </xf>
    <xf numFmtId="3" fontId="0" fillId="6" borderId="5" xfId="0" applyNumberFormat="1" applyFill="1" applyBorder="1" applyAlignment="1">
      <alignment horizontal="center"/>
    </xf>
    <xf numFmtId="16" fontId="0" fillId="6" borderId="5" xfId="0" applyNumberFormat="1" applyFill="1" applyBorder="1" applyAlignment="1">
      <alignment horizontal="center"/>
    </xf>
    <xf numFmtId="43" fontId="0" fillId="6" borderId="5" xfId="0" applyNumberFormat="1" applyFill="1" applyBorder="1"/>
    <xf numFmtId="16" fontId="0" fillId="6" borderId="4" xfId="0" applyNumberFormat="1" applyFill="1" applyBorder="1" applyAlignment="1">
      <alignment horizontal="center"/>
    </xf>
    <xf numFmtId="43" fontId="0" fillId="6" borderId="4" xfId="0" applyNumberFormat="1" applyFill="1" applyBorder="1" applyAlignment="1">
      <alignment horizontal="center"/>
    </xf>
    <xf numFmtId="43" fontId="8" fillId="6" borderId="4" xfId="1" applyFont="1" applyFill="1" applyBorder="1" applyAlignment="1">
      <alignment horizontal="center"/>
    </xf>
    <xf numFmtId="43" fontId="8" fillId="6" borderId="4" xfId="1" applyFont="1" applyFill="1" applyBorder="1"/>
    <xf numFmtId="43" fontId="18" fillId="5" borderId="4" xfId="1" applyFont="1" applyFill="1" applyBorder="1" applyAlignment="1">
      <alignment horizontal="center"/>
    </xf>
    <xf numFmtId="43" fontId="18" fillId="6" borderId="4" xfId="1" applyFont="1" applyFill="1" applyBorder="1" applyAlignment="1">
      <alignment horizontal="center"/>
    </xf>
    <xf numFmtId="43" fontId="11" fillId="5" borderId="5" xfId="0" applyNumberFormat="1" applyFont="1" applyFill="1" applyBorder="1"/>
    <xf numFmtId="16" fontId="11" fillId="5" borderId="5" xfId="0" applyNumberFormat="1" applyFont="1" applyFill="1" applyBorder="1"/>
    <xf numFmtId="43" fontId="16" fillId="5" borderId="4" xfId="2" applyNumberFormat="1" applyFont="1" applyFill="1" applyBorder="1"/>
    <xf numFmtId="43" fontId="16" fillId="5" borderId="5" xfId="2" applyNumberFormat="1" applyFont="1" applyFill="1" applyBorder="1"/>
  </cellXfs>
  <cellStyles count="3">
    <cellStyle name="Comma" xfId="1" builtinId="3"/>
    <cellStyle name="Normal" xfId="0" builtinId="0"/>
    <cellStyle name="Normal 3" xfId="2" xr:uid="{ADFDA1BC-A50B-497B-86EE-DC4E26A05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9A66-6134-4F38-98B8-0F588DC586D4}">
  <dimension ref="A1:R56"/>
  <sheetViews>
    <sheetView tabSelected="1" topLeftCell="D40" workbookViewId="0">
      <selection activeCell="H60" sqref="H60"/>
    </sheetView>
  </sheetViews>
  <sheetFormatPr defaultRowHeight="15"/>
  <cols>
    <col min="1" max="1" width="17.85546875" customWidth="1"/>
    <col min="2" max="2" width="11.5703125" customWidth="1"/>
    <col min="3" max="3" width="12.5703125" customWidth="1"/>
    <col min="4" max="4" width="12.85546875" style="24" customWidth="1"/>
    <col min="5" max="5" width="10" customWidth="1"/>
    <col min="6" max="6" width="78.85546875" bestFit="1" customWidth="1"/>
    <col min="7" max="7" width="67.42578125" customWidth="1"/>
    <col min="8" max="8" width="15.5703125" customWidth="1"/>
    <col min="9" max="9" width="8.42578125" customWidth="1"/>
    <col min="10" max="12" width="14.140625" customWidth="1"/>
    <col min="13" max="14" width="13.140625" style="24" customWidth="1"/>
    <col min="15" max="15" width="13.140625" customWidth="1"/>
    <col min="16" max="16" width="92.5703125" customWidth="1"/>
  </cols>
  <sheetData>
    <row r="1" spans="1:18">
      <c r="A1" s="1" t="s">
        <v>10</v>
      </c>
      <c r="B1" s="1"/>
      <c r="C1" s="1"/>
      <c r="D1" s="2"/>
      <c r="E1" s="3"/>
      <c r="F1" s="4"/>
      <c r="G1" s="5"/>
      <c r="H1" s="6"/>
      <c r="I1" s="7"/>
      <c r="J1" s="8"/>
      <c r="K1" s="8"/>
      <c r="L1" s="8"/>
      <c r="M1" s="10"/>
      <c r="N1" s="10"/>
      <c r="O1" s="9"/>
      <c r="P1" s="8"/>
    </row>
    <row r="2" spans="1:18">
      <c r="A2" s="11"/>
      <c r="B2" s="11"/>
      <c r="C2" s="11"/>
      <c r="D2" s="12"/>
      <c r="E2" s="13"/>
      <c r="F2" s="14"/>
      <c r="G2" s="15"/>
      <c r="H2" s="16"/>
      <c r="I2" s="17"/>
      <c r="J2" s="18"/>
      <c r="K2" s="18"/>
      <c r="L2" s="18"/>
      <c r="M2" s="16"/>
      <c r="N2" s="16"/>
      <c r="O2" s="19"/>
      <c r="P2" s="18"/>
    </row>
    <row r="3" spans="1:18">
      <c r="A3" s="1"/>
      <c r="B3" s="1"/>
      <c r="C3" s="20"/>
      <c r="D3" s="2"/>
      <c r="E3" s="3"/>
      <c r="F3" s="4"/>
      <c r="G3" s="5"/>
      <c r="H3" s="6"/>
      <c r="I3" s="7"/>
      <c r="J3" s="8"/>
      <c r="K3" s="8"/>
      <c r="L3" s="8"/>
      <c r="M3" s="10"/>
      <c r="N3" s="10"/>
      <c r="O3" s="9"/>
      <c r="P3" s="8"/>
    </row>
    <row r="4" spans="1:18" ht="15.75" thickBot="1">
      <c r="A4" s="11"/>
      <c r="B4" s="11"/>
      <c r="C4" s="14"/>
      <c r="D4" s="12"/>
      <c r="E4" s="13"/>
      <c r="F4" s="14"/>
      <c r="G4" s="15"/>
      <c r="H4" s="16"/>
      <c r="I4" s="17"/>
      <c r="J4" s="18"/>
      <c r="K4" s="18"/>
      <c r="L4" s="18"/>
      <c r="M4" s="16"/>
      <c r="N4" s="16"/>
      <c r="O4" s="19"/>
      <c r="P4" s="18"/>
    </row>
    <row r="5" spans="1:18" ht="25.5">
      <c r="A5" s="32" t="s">
        <v>14</v>
      </c>
      <c r="B5" s="32" t="s">
        <v>11</v>
      </c>
      <c r="C5" s="32" t="s">
        <v>1</v>
      </c>
      <c r="D5" s="33" t="s">
        <v>2</v>
      </c>
      <c r="E5" s="34" t="s">
        <v>0</v>
      </c>
      <c r="F5" s="35" t="s">
        <v>3</v>
      </c>
      <c r="G5" s="36" t="s">
        <v>4</v>
      </c>
      <c r="H5" s="37" t="s">
        <v>5</v>
      </c>
      <c r="I5" s="40" t="s">
        <v>6</v>
      </c>
      <c r="J5" s="38" t="s">
        <v>34</v>
      </c>
      <c r="K5" s="38" t="s">
        <v>6</v>
      </c>
      <c r="L5" s="38" t="s">
        <v>50</v>
      </c>
      <c r="M5" s="37" t="s">
        <v>7</v>
      </c>
      <c r="N5" s="37" t="s">
        <v>8</v>
      </c>
      <c r="O5" s="37" t="s">
        <v>12</v>
      </c>
      <c r="P5" s="37" t="s">
        <v>13</v>
      </c>
    </row>
    <row r="6" spans="1:18">
      <c r="A6" s="25"/>
      <c r="B6" s="25"/>
      <c r="C6" s="25"/>
      <c r="D6" s="26"/>
      <c r="E6" s="27"/>
      <c r="F6" s="28"/>
      <c r="G6" s="29"/>
      <c r="H6" s="41"/>
      <c r="I6" s="43"/>
      <c r="J6" s="43"/>
      <c r="K6" s="43"/>
      <c r="L6" s="43"/>
      <c r="M6" s="42"/>
      <c r="N6" s="30"/>
      <c r="O6" s="39" t="s">
        <v>35</v>
      </c>
      <c r="P6" s="31"/>
    </row>
    <row r="7" spans="1:18">
      <c r="A7" s="44">
        <v>2025</v>
      </c>
      <c r="B7" s="45"/>
      <c r="C7" s="46"/>
      <c r="D7" s="47"/>
      <c r="E7" s="48"/>
      <c r="F7" s="46"/>
      <c r="G7" s="46"/>
      <c r="H7" s="49"/>
      <c r="I7" s="48"/>
      <c r="J7" s="50"/>
      <c r="K7" s="50"/>
      <c r="L7" s="50"/>
      <c r="M7" s="51"/>
      <c r="N7" s="52"/>
      <c r="O7" s="53"/>
      <c r="P7" s="50"/>
      <c r="R7" s="21"/>
    </row>
    <row r="8" spans="1:18">
      <c r="A8" s="61"/>
      <c r="B8" s="45"/>
      <c r="C8" s="55"/>
      <c r="D8" s="62"/>
      <c r="E8" s="56">
        <v>45771</v>
      </c>
      <c r="F8" s="57" t="s">
        <v>15</v>
      </c>
      <c r="G8" s="57" t="s">
        <v>16</v>
      </c>
      <c r="H8" s="58">
        <v>370000</v>
      </c>
      <c r="I8" s="48">
        <v>46135</v>
      </c>
      <c r="J8" s="50">
        <v>185000</v>
      </c>
      <c r="K8" s="50"/>
      <c r="L8" s="50"/>
      <c r="M8" s="98">
        <v>185000</v>
      </c>
      <c r="N8" s="59" t="str">
        <f t="shared" ref="N8:N47" si="0">IF(M8&lt;=0,"Paid","Unpaid")</f>
        <v>Unpaid</v>
      </c>
      <c r="O8" s="60">
        <f t="shared" ref="O8:O47" ca="1" si="1">IF(M8&lt;=0,0,MAX(0,TODAY()-E8))</f>
        <v>382</v>
      </c>
      <c r="P8" s="50" t="s">
        <v>52</v>
      </c>
      <c r="R8" s="21"/>
    </row>
    <row r="9" spans="1:18">
      <c r="A9" s="60"/>
      <c r="B9" s="60"/>
      <c r="C9" s="55"/>
      <c r="D9" s="62"/>
      <c r="E9" s="56">
        <v>45813</v>
      </c>
      <c r="F9" s="57" t="s">
        <v>17</v>
      </c>
      <c r="G9" s="57" t="s">
        <v>18</v>
      </c>
      <c r="H9" s="58">
        <v>35000</v>
      </c>
      <c r="I9" s="48"/>
      <c r="J9" s="50"/>
      <c r="K9" s="50"/>
      <c r="L9" s="50"/>
      <c r="M9" s="98">
        <f t="shared" ref="M9:M55" si="2">SUM(H9-J9)</f>
        <v>35000</v>
      </c>
      <c r="N9" s="59" t="str">
        <f t="shared" si="0"/>
        <v>Unpaid</v>
      </c>
      <c r="O9" s="60">
        <f t="shared" ca="1" si="1"/>
        <v>340</v>
      </c>
      <c r="P9" s="63" t="s">
        <v>53</v>
      </c>
      <c r="R9" s="21"/>
    </row>
    <row r="10" spans="1:18">
      <c r="A10" s="60"/>
      <c r="B10" s="60"/>
      <c r="C10" s="55"/>
      <c r="D10" s="62"/>
      <c r="E10" s="64">
        <v>45908</v>
      </c>
      <c r="F10" s="65" t="s">
        <v>20</v>
      </c>
      <c r="G10" s="65" t="s">
        <v>21</v>
      </c>
      <c r="H10" s="58">
        <v>102000</v>
      </c>
      <c r="I10" s="48">
        <v>46268</v>
      </c>
      <c r="J10" s="50">
        <v>51000</v>
      </c>
      <c r="K10" s="50"/>
      <c r="L10" s="50"/>
      <c r="M10" s="98">
        <f t="shared" si="2"/>
        <v>51000</v>
      </c>
      <c r="N10" s="59" t="str">
        <f t="shared" si="0"/>
        <v>Unpaid</v>
      </c>
      <c r="O10" s="60">
        <f t="shared" ca="1" si="1"/>
        <v>245</v>
      </c>
      <c r="P10" s="66" t="s">
        <v>54</v>
      </c>
      <c r="R10" s="21"/>
    </row>
    <row r="11" spans="1:18">
      <c r="A11" s="54"/>
      <c r="B11" s="54"/>
      <c r="C11" s="55"/>
      <c r="D11" s="62"/>
      <c r="E11" s="56">
        <v>45902</v>
      </c>
      <c r="F11" s="67" t="s">
        <v>22</v>
      </c>
      <c r="G11" s="67" t="s">
        <v>23</v>
      </c>
      <c r="H11" s="58">
        <v>417000</v>
      </c>
      <c r="I11" s="68">
        <v>46277</v>
      </c>
      <c r="J11" s="69">
        <v>208500</v>
      </c>
      <c r="K11" s="69"/>
      <c r="L11" s="69"/>
      <c r="M11" s="98">
        <f t="shared" si="2"/>
        <v>208500</v>
      </c>
      <c r="N11" s="59" t="str">
        <f t="shared" si="0"/>
        <v>Unpaid</v>
      </c>
      <c r="O11" s="60">
        <f t="shared" ca="1" si="1"/>
        <v>251</v>
      </c>
      <c r="P11" s="50" t="s">
        <v>51</v>
      </c>
      <c r="R11" s="21"/>
    </row>
    <row r="12" spans="1:18">
      <c r="A12" s="60"/>
      <c r="B12" s="60"/>
      <c r="C12" s="55"/>
      <c r="D12" s="62"/>
      <c r="E12" s="56">
        <v>45902</v>
      </c>
      <c r="F12" s="67" t="s">
        <v>24</v>
      </c>
      <c r="G12" s="67" t="s">
        <v>23</v>
      </c>
      <c r="H12" s="58">
        <v>455000</v>
      </c>
      <c r="I12" s="48">
        <v>46277</v>
      </c>
      <c r="J12" s="50">
        <v>227500</v>
      </c>
      <c r="K12" s="50"/>
      <c r="L12" s="50"/>
      <c r="M12" s="98">
        <f t="shared" si="2"/>
        <v>227500</v>
      </c>
      <c r="N12" s="59" t="str">
        <f t="shared" si="0"/>
        <v>Unpaid</v>
      </c>
      <c r="O12" s="60">
        <f t="shared" ca="1" si="1"/>
        <v>251</v>
      </c>
      <c r="P12" s="50" t="s">
        <v>51</v>
      </c>
      <c r="R12" s="21"/>
    </row>
    <row r="13" spans="1:18">
      <c r="A13" s="60"/>
      <c r="B13" s="60"/>
      <c r="C13" s="55"/>
      <c r="D13" s="62"/>
      <c r="E13" s="56">
        <v>45904</v>
      </c>
      <c r="F13" s="67" t="s">
        <v>25</v>
      </c>
      <c r="G13" s="67" t="s">
        <v>26</v>
      </c>
      <c r="H13" s="58">
        <v>231000</v>
      </c>
      <c r="I13" s="48">
        <v>46273</v>
      </c>
      <c r="J13" s="50">
        <v>173250</v>
      </c>
      <c r="K13" s="50"/>
      <c r="L13" s="50"/>
      <c r="M13" s="98">
        <f t="shared" si="2"/>
        <v>57750</v>
      </c>
      <c r="N13" s="59" t="str">
        <f t="shared" si="0"/>
        <v>Unpaid</v>
      </c>
      <c r="O13" s="60">
        <f t="shared" ca="1" si="1"/>
        <v>249</v>
      </c>
      <c r="P13" s="66" t="s">
        <v>55</v>
      </c>
      <c r="R13" s="21"/>
    </row>
    <row r="14" spans="1:18">
      <c r="A14" s="54"/>
      <c r="B14" s="54"/>
      <c r="C14" s="55"/>
      <c r="D14" s="62"/>
      <c r="E14" s="64">
        <v>45972</v>
      </c>
      <c r="F14" s="65" t="s">
        <v>27</v>
      </c>
      <c r="G14" s="65" t="s">
        <v>28</v>
      </c>
      <c r="H14" s="70">
        <v>30000</v>
      </c>
      <c r="I14" s="48">
        <v>46336</v>
      </c>
      <c r="J14" s="50">
        <v>15000</v>
      </c>
      <c r="K14" s="50"/>
      <c r="L14" s="50"/>
      <c r="M14" s="98">
        <f t="shared" si="2"/>
        <v>15000</v>
      </c>
      <c r="N14" s="59" t="str">
        <f t="shared" si="0"/>
        <v>Unpaid</v>
      </c>
      <c r="O14" s="60">
        <f t="shared" ca="1" si="1"/>
        <v>181</v>
      </c>
      <c r="P14" s="66" t="s">
        <v>56</v>
      </c>
      <c r="R14" s="21"/>
    </row>
    <row r="15" spans="1:18">
      <c r="A15" s="60"/>
      <c r="B15" s="60"/>
      <c r="C15" s="55"/>
      <c r="D15" s="62"/>
      <c r="E15" s="64">
        <v>46008</v>
      </c>
      <c r="F15" s="65" t="s">
        <v>29</v>
      </c>
      <c r="G15" s="65" t="s">
        <v>30</v>
      </c>
      <c r="H15" s="70">
        <v>260000</v>
      </c>
      <c r="I15" s="48">
        <v>46062</v>
      </c>
      <c r="J15" s="70">
        <v>21279.78</v>
      </c>
      <c r="K15" s="50"/>
      <c r="L15" s="50"/>
      <c r="M15" s="98">
        <f t="shared" si="2"/>
        <v>238720.22</v>
      </c>
      <c r="N15" s="59" t="str">
        <f t="shared" si="0"/>
        <v>Unpaid</v>
      </c>
      <c r="O15" s="60">
        <f t="shared" ca="1" si="1"/>
        <v>145</v>
      </c>
      <c r="P15" s="50" t="s">
        <v>36</v>
      </c>
      <c r="R15" s="21"/>
    </row>
    <row r="16" spans="1:18">
      <c r="A16" s="71"/>
      <c r="B16" s="71"/>
      <c r="C16" s="72"/>
      <c r="D16" s="62"/>
      <c r="E16" s="56">
        <v>46006</v>
      </c>
      <c r="F16" s="67" t="s">
        <v>31</v>
      </c>
      <c r="G16" s="67" t="s">
        <v>32</v>
      </c>
      <c r="H16" s="58">
        <v>15000</v>
      </c>
      <c r="I16" s="48"/>
      <c r="J16" s="50"/>
      <c r="K16" s="50"/>
      <c r="L16" s="50"/>
      <c r="M16" s="98">
        <f t="shared" si="2"/>
        <v>15000</v>
      </c>
      <c r="N16" s="59" t="str">
        <f t="shared" si="0"/>
        <v>Unpaid</v>
      </c>
      <c r="O16" s="60">
        <f t="shared" ca="1" si="1"/>
        <v>147</v>
      </c>
      <c r="P16" s="50"/>
      <c r="R16" s="21"/>
    </row>
    <row r="17" spans="1:18">
      <c r="A17" s="60"/>
      <c r="B17" s="60"/>
      <c r="C17" s="55"/>
      <c r="D17" s="62"/>
      <c r="E17" s="56">
        <v>45994</v>
      </c>
      <c r="F17" s="67" t="s">
        <v>33</v>
      </c>
      <c r="G17" s="67" t="s">
        <v>19</v>
      </c>
      <c r="H17" s="58">
        <v>172500</v>
      </c>
      <c r="I17" s="48"/>
      <c r="J17" s="50"/>
      <c r="K17" s="50"/>
      <c r="L17" s="50"/>
      <c r="M17" s="98">
        <f t="shared" si="2"/>
        <v>172500</v>
      </c>
      <c r="N17" s="59" t="str">
        <f t="shared" si="0"/>
        <v>Unpaid</v>
      </c>
      <c r="O17" s="60">
        <f t="shared" ca="1" si="1"/>
        <v>159</v>
      </c>
      <c r="P17" s="50"/>
      <c r="R17" s="21"/>
    </row>
    <row r="18" spans="1:18" ht="15.75" thickBot="1">
      <c r="A18" s="88"/>
      <c r="B18" s="89"/>
      <c r="C18" s="90"/>
      <c r="D18" s="91"/>
      <c r="E18" s="92"/>
      <c r="F18" s="89"/>
      <c r="G18" s="89"/>
      <c r="H18" s="93"/>
      <c r="I18" s="94"/>
      <c r="J18" s="95"/>
      <c r="K18" s="95"/>
      <c r="L18" s="95"/>
      <c r="M18" s="99"/>
      <c r="N18" s="96"/>
      <c r="O18" s="97"/>
      <c r="P18" s="95"/>
      <c r="R18" s="21"/>
    </row>
    <row r="19" spans="1:18">
      <c r="A19" s="73">
        <v>2026</v>
      </c>
      <c r="B19" s="60"/>
      <c r="C19" s="55"/>
      <c r="D19" s="62"/>
      <c r="E19" s="75"/>
      <c r="F19" s="76"/>
      <c r="G19" s="76"/>
      <c r="H19" s="77"/>
      <c r="I19" s="48"/>
      <c r="J19" s="50"/>
      <c r="K19" s="50"/>
      <c r="L19" s="50"/>
      <c r="M19" s="98"/>
      <c r="N19" s="59"/>
      <c r="O19" s="60"/>
      <c r="P19" s="50"/>
      <c r="R19" s="21"/>
    </row>
    <row r="20" spans="1:18">
      <c r="A20" s="60"/>
      <c r="B20" s="60"/>
      <c r="C20" s="55"/>
      <c r="D20" s="62"/>
      <c r="E20" s="81">
        <v>46043</v>
      </c>
      <c r="F20" s="82" t="s">
        <v>37</v>
      </c>
      <c r="G20" s="82" t="s">
        <v>28</v>
      </c>
      <c r="H20" s="83">
        <v>30000</v>
      </c>
      <c r="I20" s="48"/>
      <c r="J20" s="74"/>
      <c r="K20" s="49"/>
      <c r="L20" s="49"/>
      <c r="M20" s="98">
        <f t="shared" si="2"/>
        <v>30000</v>
      </c>
      <c r="N20" s="59" t="str">
        <f t="shared" si="0"/>
        <v>Unpaid</v>
      </c>
      <c r="O20" s="60">
        <f t="shared" ca="1" si="1"/>
        <v>110</v>
      </c>
      <c r="P20" s="50"/>
      <c r="R20" s="21"/>
    </row>
    <row r="21" spans="1:18">
      <c r="A21" s="60"/>
      <c r="B21" s="60"/>
      <c r="C21" s="55"/>
      <c r="D21" s="62"/>
      <c r="E21" s="81">
        <v>46043</v>
      </c>
      <c r="F21" s="82" t="s">
        <v>38</v>
      </c>
      <c r="G21" s="82" t="s">
        <v>28</v>
      </c>
      <c r="H21" s="83">
        <v>30000</v>
      </c>
      <c r="I21" s="48"/>
      <c r="J21" s="74"/>
      <c r="K21" s="49"/>
      <c r="L21" s="49"/>
      <c r="M21" s="98">
        <f t="shared" si="2"/>
        <v>30000</v>
      </c>
      <c r="N21" s="59" t="str">
        <f t="shared" si="0"/>
        <v>Unpaid</v>
      </c>
      <c r="O21" s="60">
        <f t="shared" ca="1" si="1"/>
        <v>110</v>
      </c>
      <c r="P21" s="50"/>
      <c r="R21" s="21"/>
    </row>
    <row r="22" spans="1:18">
      <c r="A22" s="60"/>
      <c r="B22" s="60"/>
      <c r="C22" s="55"/>
      <c r="D22" s="62"/>
      <c r="E22" s="78">
        <v>46071</v>
      </c>
      <c r="F22" s="79" t="s">
        <v>39</v>
      </c>
      <c r="G22" s="79" t="s">
        <v>40</v>
      </c>
      <c r="H22" s="80">
        <v>75000</v>
      </c>
      <c r="I22" s="48">
        <v>46136</v>
      </c>
      <c r="J22" s="49">
        <v>56250</v>
      </c>
      <c r="K22" s="49"/>
      <c r="L22" s="50"/>
      <c r="M22" s="98">
        <f t="shared" si="2"/>
        <v>18750</v>
      </c>
      <c r="N22" s="59" t="str">
        <f t="shared" si="0"/>
        <v>Unpaid</v>
      </c>
      <c r="O22" s="60">
        <f t="shared" ca="1" si="1"/>
        <v>82</v>
      </c>
      <c r="P22" s="50"/>
      <c r="R22" s="21"/>
    </row>
    <row r="23" spans="1:18">
      <c r="A23" s="60"/>
      <c r="B23" s="60"/>
      <c r="C23" s="55"/>
      <c r="D23" s="62"/>
      <c r="E23" s="78">
        <v>46057</v>
      </c>
      <c r="F23" s="84" t="s">
        <v>41</v>
      </c>
      <c r="G23" s="84" t="s">
        <v>19</v>
      </c>
      <c r="H23" s="85">
        <v>335000</v>
      </c>
      <c r="I23" s="48">
        <v>46077</v>
      </c>
      <c r="J23" s="49">
        <v>167500</v>
      </c>
      <c r="K23" s="49"/>
      <c r="L23" s="49"/>
      <c r="M23" s="98">
        <f t="shared" si="2"/>
        <v>167500</v>
      </c>
      <c r="N23" s="59" t="str">
        <f t="shared" si="0"/>
        <v>Unpaid</v>
      </c>
      <c r="O23" s="60">
        <f t="shared" ca="1" si="1"/>
        <v>96</v>
      </c>
      <c r="P23" s="50"/>
      <c r="R23" s="21"/>
    </row>
    <row r="24" spans="1:18">
      <c r="A24" s="60"/>
      <c r="B24" s="60"/>
      <c r="C24" s="55"/>
      <c r="D24" s="62"/>
      <c r="E24" s="86">
        <v>46064</v>
      </c>
      <c r="F24" s="84" t="s">
        <v>42</v>
      </c>
      <c r="G24" s="84" t="s">
        <v>19</v>
      </c>
      <c r="H24" s="85">
        <v>249000</v>
      </c>
      <c r="I24" s="48">
        <v>46077</v>
      </c>
      <c r="J24" s="49">
        <v>124500</v>
      </c>
      <c r="K24" s="49"/>
      <c r="L24" s="49"/>
      <c r="M24" s="98">
        <f t="shared" si="2"/>
        <v>124500</v>
      </c>
      <c r="N24" s="59" t="str">
        <f t="shared" si="0"/>
        <v>Unpaid</v>
      </c>
      <c r="O24" s="60">
        <f t="shared" ca="1" si="1"/>
        <v>89</v>
      </c>
      <c r="P24" s="50"/>
      <c r="R24" s="21"/>
    </row>
    <row r="25" spans="1:18">
      <c r="A25" s="60"/>
      <c r="B25" s="60"/>
      <c r="C25" s="55"/>
      <c r="D25" s="62"/>
      <c r="E25" s="86">
        <v>46064</v>
      </c>
      <c r="F25" s="84" t="s">
        <v>43</v>
      </c>
      <c r="G25" s="84" t="s">
        <v>9</v>
      </c>
      <c r="H25" s="87">
        <v>271000</v>
      </c>
      <c r="I25" s="48">
        <v>46097</v>
      </c>
      <c r="J25" s="49">
        <v>90000</v>
      </c>
      <c r="K25" s="49"/>
      <c r="L25" s="49"/>
      <c r="M25" s="98">
        <f t="shared" si="2"/>
        <v>181000</v>
      </c>
      <c r="N25" s="59" t="str">
        <f t="shared" si="0"/>
        <v>Unpaid</v>
      </c>
      <c r="O25" s="60">
        <f t="shared" ca="1" si="1"/>
        <v>89</v>
      </c>
      <c r="P25" s="50"/>
      <c r="R25" s="21"/>
    </row>
    <row r="26" spans="1:18">
      <c r="A26" s="60"/>
      <c r="B26" s="60"/>
      <c r="C26" s="55"/>
      <c r="D26" s="62"/>
      <c r="E26" s="81">
        <v>46073</v>
      </c>
      <c r="F26" s="82" t="s">
        <v>44</v>
      </c>
      <c r="G26" s="82" t="s">
        <v>45</v>
      </c>
      <c r="H26" s="85">
        <v>15000</v>
      </c>
      <c r="I26" s="48"/>
      <c r="J26" s="49"/>
      <c r="K26" s="49"/>
      <c r="L26" s="49"/>
      <c r="M26" s="98">
        <f t="shared" si="2"/>
        <v>15000</v>
      </c>
      <c r="N26" s="59" t="str">
        <f t="shared" si="0"/>
        <v>Unpaid</v>
      </c>
      <c r="O26" s="60">
        <f t="shared" ca="1" si="1"/>
        <v>80</v>
      </c>
      <c r="P26" s="50"/>
      <c r="R26" s="21"/>
    </row>
    <row r="27" spans="1:18">
      <c r="A27" s="60"/>
      <c r="B27" s="60"/>
      <c r="C27" s="55"/>
      <c r="D27" s="62"/>
      <c r="E27" s="81">
        <v>46078</v>
      </c>
      <c r="F27" s="82" t="s">
        <v>46</v>
      </c>
      <c r="G27" s="82" t="s">
        <v>28</v>
      </c>
      <c r="H27" s="85">
        <v>30000</v>
      </c>
      <c r="I27" s="48"/>
      <c r="J27" s="49"/>
      <c r="K27" s="49"/>
      <c r="L27" s="49"/>
      <c r="M27" s="98">
        <f t="shared" si="2"/>
        <v>30000</v>
      </c>
      <c r="N27" s="59" t="str">
        <f t="shared" si="0"/>
        <v>Unpaid</v>
      </c>
      <c r="O27" s="60">
        <f t="shared" ca="1" si="1"/>
        <v>75</v>
      </c>
      <c r="P27" s="50"/>
      <c r="R27" s="21"/>
    </row>
    <row r="28" spans="1:18">
      <c r="A28" s="60"/>
      <c r="B28" s="60"/>
      <c r="C28" s="55"/>
      <c r="D28" s="62"/>
      <c r="E28" s="81">
        <v>46069</v>
      </c>
      <c r="F28" s="82" t="s">
        <v>47</v>
      </c>
      <c r="G28" s="82" t="s">
        <v>40</v>
      </c>
      <c r="H28" s="85">
        <v>74000</v>
      </c>
      <c r="I28" s="48">
        <v>46069</v>
      </c>
      <c r="J28" s="49">
        <v>37000</v>
      </c>
      <c r="K28" s="49"/>
      <c r="L28" s="49"/>
      <c r="M28" s="98">
        <f t="shared" si="2"/>
        <v>37000</v>
      </c>
      <c r="N28" s="59" t="str">
        <f t="shared" si="0"/>
        <v>Unpaid</v>
      </c>
      <c r="O28" s="60">
        <f t="shared" ca="1" si="1"/>
        <v>84</v>
      </c>
      <c r="P28" s="50"/>
      <c r="R28" s="21"/>
    </row>
    <row r="29" spans="1:18">
      <c r="A29" s="60"/>
      <c r="B29" s="60"/>
      <c r="C29" s="55"/>
      <c r="D29" s="62"/>
      <c r="E29" s="81">
        <v>46072</v>
      </c>
      <c r="F29" s="82" t="s">
        <v>48</v>
      </c>
      <c r="G29" s="82" t="s">
        <v>49</v>
      </c>
      <c r="H29" s="85">
        <v>420000</v>
      </c>
      <c r="I29" s="48">
        <v>46076</v>
      </c>
      <c r="J29" s="49">
        <v>210000</v>
      </c>
      <c r="K29" s="49"/>
      <c r="L29" s="49"/>
      <c r="M29" s="98">
        <f t="shared" si="2"/>
        <v>210000</v>
      </c>
      <c r="N29" s="59" t="str">
        <f t="shared" si="0"/>
        <v>Unpaid</v>
      </c>
      <c r="O29" s="60">
        <f t="shared" ca="1" si="1"/>
        <v>81</v>
      </c>
      <c r="P29" s="50"/>
      <c r="R29" s="21"/>
    </row>
    <row r="30" spans="1:18">
      <c r="A30" s="60"/>
      <c r="B30" s="60"/>
      <c r="C30" s="55"/>
      <c r="D30" s="62"/>
      <c r="E30" s="86">
        <v>46098</v>
      </c>
      <c r="F30" s="84" t="s">
        <v>57</v>
      </c>
      <c r="G30" s="84" t="s">
        <v>58</v>
      </c>
      <c r="H30" s="87">
        <v>43500</v>
      </c>
      <c r="I30" s="48"/>
      <c r="J30" s="49"/>
      <c r="K30" s="49"/>
      <c r="L30" s="49"/>
      <c r="M30" s="98">
        <f t="shared" si="2"/>
        <v>43500</v>
      </c>
      <c r="N30" s="59" t="str">
        <f t="shared" si="0"/>
        <v>Unpaid</v>
      </c>
      <c r="O30" s="60">
        <f t="shared" ca="1" si="1"/>
        <v>55</v>
      </c>
      <c r="P30" s="50"/>
      <c r="R30" s="21"/>
    </row>
    <row r="31" spans="1:18">
      <c r="A31" s="60"/>
      <c r="B31" s="60"/>
      <c r="C31" s="55"/>
      <c r="D31" s="62"/>
      <c r="E31" s="81">
        <v>46112</v>
      </c>
      <c r="F31" s="82" t="s">
        <v>59</v>
      </c>
      <c r="G31" s="82" t="s">
        <v>60</v>
      </c>
      <c r="H31" s="85">
        <v>75000</v>
      </c>
      <c r="I31" s="48">
        <v>46112</v>
      </c>
      <c r="J31" s="49">
        <v>37500</v>
      </c>
      <c r="K31" s="49"/>
      <c r="L31" s="49"/>
      <c r="M31" s="98">
        <f t="shared" si="2"/>
        <v>37500</v>
      </c>
      <c r="N31" s="59" t="str">
        <f t="shared" si="0"/>
        <v>Unpaid</v>
      </c>
      <c r="O31" s="60">
        <f t="shared" ca="1" si="1"/>
        <v>41</v>
      </c>
      <c r="P31" s="50"/>
      <c r="R31" s="21"/>
    </row>
    <row r="32" spans="1:18">
      <c r="A32" s="60"/>
      <c r="B32" s="60"/>
      <c r="C32" s="55"/>
      <c r="D32" s="62"/>
      <c r="E32" s="81">
        <v>46122</v>
      </c>
      <c r="F32" s="82" t="s">
        <v>61</v>
      </c>
      <c r="G32" s="82" t="s">
        <v>62</v>
      </c>
      <c r="H32" s="85">
        <v>497500</v>
      </c>
      <c r="I32" s="48"/>
      <c r="J32" s="49"/>
      <c r="K32" s="49"/>
      <c r="L32" s="49"/>
      <c r="M32" s="98">
        <f t="shared" si="2"/>
        <v>497500</v>
      </c>
      <c r="N32" s="59" t="str">
        <f t="shared" si="0"/>
        <v>Unpaid</v>
      </c>
      <c r="O32" s="60">
        <f t="shared" ca="1" si="1"/>
        <v>31</v>
      </c>
      <c r="P32" s="50"/>
      <c r="R32" s="21"/>
    </row>
    <row r="33" spans="1:18">
      <c r="A33" s="60"/>
      <c r="B33" s="60"/>
      <c r="C33" s="55"/>
      <c r="D33" s="62"/>
      <c r="E33" s="86">
        <v>46128</v>
      </c>
      <c r="F33" s="84" t="s">
        <v>63</v>
      </c>
      <c r="G33" s="84" t="s">
        <v>64</v>
      </c>
      <c r="H33" s="85">
        <v>35000</v>
      </c>
      <c r="I33" s="48">
        <v>46133</v>
      </c>
      <c r="J33" s="49">
        <v>21000</v>
      </c>
      <c r="K33" s="49"/>
      <c r="L33" s="49"/>
      <c r="M33" s="98">
        <f t="shared" si="2"/>
        <v>14000</v>
      </c>
      <c r="N33" s="59" t="str">
        <f t="shared" si="0"/>
        <v>Unpaid</v>
      </c>
      <c r="O33" s="60">
        <f t="shared" ca="1" si="1"/>
        <v>25</v>
      </c>
      <c r="P33" s="50"/>
      <c r="R33" s="21"/>
    </row>
    <row r="34" spans="1:18">
      <c r="A34" s="60"/>
      <c r="B34" s="60"/>
      <c r="C34" s="55"/>
      <c r="D34" s="62"/>
      <c r="E34" s="78">
        <v>46141</v>
      </c>
      <c r="F34" s="79" t="s">
        <v>65</v>
      </c>
      <c r="G34" s="79" t="s">
        <v>9</v>
      </c>
      <c r="H34" s="102">
        <v>15000</v>
      </c>
      <c r="I34" s="48"/>
      <c r="J34" s="49"/>
      <c r="K34" s="49"/>
      <c r="L34" s="49"/>
      <c r="M34" s="98">
        <f t="shared" si="2"/>
        <v>15000</v>
      </c>
      <c r="N34" s="59" t="str">
        <f t="shared" si="0"/>
        <v>Unpaid</v>
      </c>
      <c r="O34" s="60">
        <f t="shared" ca="1" si="1"/>
        <v>12</v>
      </c>
      <c r="P34" s="50"/>
      <c r="R34" s="21"/>
    </row>
    <row r="35" spans="1:18">
      <c r="A35" s="60"/>
      <c r="B35" s="60"/>
      <c r="C35" s="55"/>
      <c r="D35" s="62"/>
      <c r="E35" s="78">
        <v>46141</v>
      </c>
      <c r="F35" s="79" t="s">
        <v>66</v>
      </c>
      <c r="G35" s="79" t="s">
        <v>67</v>
      </c>
      <c r="H35" s="102">
        <v>35000</v>
      </c>
      <c r="I35" s="48"/>
      <c r="J35" s="49"/>
      <c r="K35" s="49"/>
      <c r="L35" s="49"/>
      <c r="M35" s="98">
        <f t="shared" si="2"/>
        <v>35000</v>
      </c>
      <c r="N35" s="59" t="str">
        <f t="shared" si="0"/>
        <v>Unpaid</v>
      </c>
      <c r="O35" s="60">
        <f t="shared" ca="1" si="1"/>
        <v>12</v>
      </c>
      <c r="P35" s="50"/>
      <c r="R35" s="21"/>
    </row>
    <row r="36" spans="1:18">
      <c r="A36" s="60"/>
      <c r="B36" s="60"/>
      <c r="C36" s="55"/>
      <c r="D36" s="62"/>
      <c r="E36" s="75">
        <v>46113</v>
      </c>
      <c r="F36" s="76" t="s">
        <v>68</v>
      </c>
      <c r="G36" s="76" t="s">
        <v>69</v>
      </c>
      <c r="H36" s="103">
        <v>36000</v>
      </c>
      <c r="I36" s="48">
        <v>46132</v>
      </c>
      <c r="J36" s="100">
        <v>18000</v>
      </c>
      <c r="K36" s="49"/>
      <c r="L36" s="49"/>
      <c r="M36" s="98">
        <f t="shared" si="2"/>
        <v>18000</v>
      </c>
      <c r="N36" s="59" t="str">
        <f t="shared" si="0"/>
        <v>Unpaid</v>
      </c>
      <c r="O36" s="60">
        <f t="shared" ca="1" si="1"/>
        <v>40</v>
      </c>
      <c r="P36" s="50"/>
      <c r="R36" s="21"/>
    </row>
    <row r="37" spans="1:18">
      <c r="A37" s="60"/>
      <c r="B37" s="60"/>
      <c r="C37" s="55"/>
      <c r="D37" s="62"/>
      <c r="E37" s="75">
        <v>46118</v>
      </c>
      <c r="F37" s="76" t="s">
        <v>70</v>
      </c>
      <c r="G37" s="76" t="s">
        <v>71</v>
      </c>
      <c r="H37" s="103">
        <v>13000</v>
      </c>
      <c r="I37" s="48"/>
      <c r="J37" s="82"/>
      <c r="K37" s="49"/>
      <c r="L37" s="49"/>
      <c r="M37" s="98">
        <f t="shared" si="2"/>
        <v>13000</v>
      </c>
      <c r="N37" s="59" t="str">
        <f t="shared" si="0"/>
        <v>Unpaid</v>
      </c>
      <c r="O37" s="60">
        <f t="shared" ca="1" si="1"/>
        <v>35</v>
      </c>
      <c r="P37" s="50"/>
      <c r="R37" s="21"/>
    </row>
    <row r="38" spans="1:18">
      <c r="A38" s="60"/>
      <c r="B38" s="60"/>
      <c r="C38" s="55"/>
      <c r="D38" s="62"/>
      <c r="E38" s="75">
        <v>46118</v>
      </c>
      <c r="F38" s="79" t="s">
        <v>72</v>
      </c>
      <c r="G38" s="79" t="s">
        <v>9</v>
      </c>
      <c r="H38" s="85">
        <v>6500</v>
      </c>
      <c r="I38" s="48"/>
      <c r="J38" s="74"/>
      <c r="K38" s="49"/>
      <c r="L38" s="49"/>
      <c r="M38" s="98">
        <f t="shared" si="2"/>
        <v>6500</v>
      </c>
      <c r="N38" s="59" t="str">
        <f t="shared" si="0"/>
        <v>Unpaid</v>
      </c>
      <c r="O38" s="60">
        <f t="shared" ca="1" si="1"/>
        <v>35</v>
      </c>
      <c r="P38" s="50"/>
      <c r="R38" s="21"/>
    </row>
    <row r="39" spans="1:18">
      <c r="A39" s="60"/>
      <c r="B39" s="60"/>
      <c r="C39" s="55"/>
      <c r="D39" s="62"/>
      <c r="E39" s="78">
        <v>46118</v>
      </c>
      <c r="F39" s="79" t="s">
        <v>73</v>
      </c>
      <c r="G39" s="79" t="s">
        <v>74</v>
      </c>
      <c r="H39" s="85">
        <v>19500</v>
      </c>
      <c r="I39" s="48"/>
      <c r="J39" s="74"/>
      <c r="K39" s="50"/>
      <c r="L39" s="50"/>
      <c r="M39" s="98">
        <f t="shared" si="2"/>
        <v>19500</v>
      </c>
      <c r="N39" s="59" t="str">
        <f t="shared" si="0"/>
        <v>Unpaid</v>
      </c>
      <c r="O39" s="60">
        <f t="shared" ca="1" si="1"/>
        <v>35</v>
      </c>
      <c r="P39" s="50"/>
      <c r="R39" s="21"/>
    </row>
    <row r="40" spans="1:18">
      <c r="A40" s="60"/>
      <c r="B40" s="60"/>
      <c r="C40" s="55"/>
      <c r="D40" s="62"/>
      <c r="E40" s="78">
        <v>46118</v>
      </c>
      <c r="F40" s="79" t="s">
        <v>75</v>
      </c>
      <c r="G40" s="79" t="s">
        <v>76</v>
      </c>
      <c r="H40" s="85">
        <v>26000</v>
      </c>
      <c r="I40" s="48"/>
      <c r="J40" s="74"/>
      <c r="K40" s="50"/>
      <c r="L40" s="50"/>
      <c r="M40" s="98">
        <f t="shared" si="2"/>
        <v>26000</v>
      </c>
      <c r="N40" s="59" t="str">
        <f t="shared" si="0"/>
        <v>Unpaid</v>
      </c>
      <c r="O40" s="60">
        <f t="shared" ca="1" si="1"/>
        <v>35</v>
      </c>
      <c r="P40" s="50"/>
      <c r="R40" s="21"/>
    </row>
    <row r="41" spans="1:18">
      <c r="A41" s="60"/>
      <c r="B41" s="60"/>
      <c r="C41" s="55"/>
      <c r="D41" s="62"/>
      <c r="E41" s="78">
        <v>46118</v>
      </c>
      <c r="F41" s="79" t="s">
        <v>77</v>
      </c>
      <c r="G41" s="79" t="s">
        <v>71</v>
      </c>
      <c r="H41" s="102">
        <v>13000</v>
      </c>
      <c r="I41" s="48"/>
      <c r="J41" s="74"/>
      <c r="K41" s="50"/>
      <c r="L41" s="50"/>
      <c r="M41" s="98">
        <f t="shared" si="2"/>
        <v>13000</v>
      </c>
      <c r="N41" s="59" t="str">
        <f t="shared" si="0"/>
        <v>Unpaid</v>
      </c>
      <c r="O41" s="60">
        <f t="shared" ca="1" si="1"/>
        <v>35</v>
      </c>
      <c r="P41" s="50"/>
      <c r="R41" s="21"/>
    </row>
    <row r="42" spans="1:18">
      <c r="A42" s="60"/>
      <c r="B42" s="60"/>
      <c r="C42" s="55"/>
      <c r="D42" s="62"/>
      <c r="E42" s="78">
        <v>46118</v>
      </c>
      <c r="F42" s="84" t="s">
        <v>78</v>
      </c>
      <c r="G42" s="84" t="s">
        <v>9</v>
      </c>
      <c r="H42" s="87">
        <v>6500</v>
      </c>
      <c r="I42" s="48"/>
      <c r="J42" s="74"/>
      <c r="K42" s="50"/>
      <c r="L42" s="50"/>
      <c r="M42" s="98">
        <f t="shared" si="2"/>
        <v>6500</v>
      </c>
      <c r="N42" s="59" t="str">
        <f t="shared" si="0"/>
        <v>Unpaid</v>
      </c>
      <c r="O42" s="60">
        <f t="shared" ca="1" si="1"/>
        <v>35</v>
      </c>
      <c r="P42" s="50"/>
      <c r="R42" s="21"/>
    </row>
    <row r="43" spans="1:18">
      <c r="A43" s="60"/>
      <c r="B43" s="60"/>
      <c r="C43" s="55"/>
      <c r="D43" s="62"/>
      <c r="E43" s="86">
        <v>46126</v>
      </c>
      <c r="F43" s="84" t="s">
        <v>79</v>
      </c>
      <c r="G43" s="84" t="s">
        <v>80</v>
      </c>
      <c r="H43" s="87">
        <v>15500</v>
      </c>
      <c r="I43" s="48"/>
      <c r="J43" s="74">
        <v>15000</v>
      </c>
      <c r="K43" s="50"/>
      <c r="L43" s="50"/>
      <c r="M43" s="98">
        <f t="shared" si="2"/>
        <v>500</v>
      </c>
      <c r="N43" s="59" t="str">
        <f t="shared" si="0"/>
        <v>Unpaid</v>
      </c>
      <c r="O43" s="60">
        <f t="shared" ca="1" si="1"/>
        <v>27</v>
      </c>
      <c r="P43" s="50"/>
      <c r="R43" s="21"/>
    </row>
    <row r="44" spans="1:18">
      <c r="A44" s="60"/>
      <c r="B44" s="60"/>
      <c r="C44" s="55"/>
      <c r="D44" s="62"/>
      <c r="E44" s="81">
        <v>46136</v>
      </c>
      <c r="F44" s="82" t="s">
        <v>81</v>
      </c>
      <c r="G44" s="82" t="s">
        <v>9</v>
      </c>
      <c r="H44" s="85">
        <v>6500</v>
      </c>
      <c r="I44" s="48"/>
      <c r="J44" s="74"/>
      <c r="K44" s="49"/>
      <c r="L44" s="49"/>
      <c r="M44" s="98">
        <f t="shared" si="2"/>
        <v>6500</v>
      </c>
      <c r="N44" s="59" t="str">
        <f t="shared" si="0"/>
        <v>Unpaid</v>
      </c>
      <c r="O44" s="60">
        <f t="shared" ca="1" si="1"/>
        <v>17</v>
      </c>
      <c r="P44" s="50"/>
      <c r="R44" s="21"/>
    </row>
    <row r="45" spans="1:18">
      <c r="A45" s="60"/>
      <c r="B45" s="60"/>
      <c r="C45" s="55"/>
      <c r="D45" s="62"/>
      <c r="E45" s="101">
        <v>46122</v>
      </c>
      <c r="F45" s="82" t="s">
        <v>82</v>
      </c>
      <c r="G45" s="82" t="s">
        <v>32</v>
      </c>
      <c r="H45" s="85">
        <v>30000</v>
      </c>
      <c r="I45" s="86"/>
      <c r="J45" s="74"/>
      <c r="K45" s="49"/>
      <c r="L45" s="49"/>
      <c r="M45" s="98">
        <f t="shared" si="2"/>
        <v>30000</v>
      </c>
      <c r="N45" s="59" t="str">
        <f t="shared" si="0"/>
        <v>Unpaid</v>
      </c>
      <c r="O45" s="60">
        <f t="shared" ca="1" si="1"/>
        <v>31</v>
      </c>
      <c r="P45" s="50"/>
      <c r="R45" s="21"/>
    </row>
    <row r="46" spans="1:18">
      <c r="A46" s="60"/>
      <c r="B46" s="60"/>
      <c r="C46" s="55"/>
      <c r="D46" s="62"/>
      <c r="E46" s="101">
        <v>46122</v>
      </c>
      <c r="F46" s="82" t="s">
        <v>83</v>
      </c>
      <c r="G46" s="82" t="s">
        <v>32</v>
      </c>
      <c r="H46" s="85">
        <v>30000</v>
      </c>
      <c r="I46" s="86"/>
      <c r="J46" s="74"/>
      <c r="K46" s="49"/>
      <c r="L46" s="49"/>
      <c r="M46" s="98">
        <f t="shared" si="2"/>
        <v>30000</v>
      </c>
      <c r="N46" s="59" t="str">
        <f t="shared" si="0"/>
        <v>Unpaid</v>
      </c>
      <c r="O46" s="60">
        <f t="shared" ca="1" si="1"/>
        <v>31</v>
      </c>
      <c r="P46" s="50"/>
      <c r="R46" s="21"/>
    </row>
    <row r="47" spans="1:18">
      <c r="A47" s="60"/>
      <c r="B47" s="60"/>
      <c r="C47" s="55"/>
      <c r="D47" s="62"/>
      <c r="E47" s="101">
        <v>46142</v>
      </c>
      <c r="F47" s="82" t="s">
        <v>84</v>
      </c>
      <c r="G47" s="82" t="s">
        <v>85</v>
      </c>
      <c r="H47" s="85">
        <v>19500</v>
      </c>
      <c r="I47" s="86"/>
      <c r="J47" s="74"/>
      <c r="K47" s="49"/>
      <c r="L47" s="49"/>
      <c r="M47" s="98">
        <f t="shared" si="2"/>
        <v>19500</v>
      </c>
      <c r="N47" s="59" t="str">
        <f t="shared" si="0"/>
        <v>Unpaid</v>
      </c>
      <c r="O47" s="60">
        <f t="shared" ca="1" si="1"/>
        <v>11</v>
      </c>
      <c r="P47" s="50"/>
      <c r="R47" s="21"/>
    </row>
    <row r="48" spans="1:18">
      <c r="A48" s="60"/>
      <c r="B48" s="60"/>
      <c r="C48" s="55"/>
      <c r="D48" s="62"/>
      <c r="E48" s="81"/>
      <c r="F48" s="82"/>
      <c r="G48" s="82"/>
      <c r="H48" s="100"/>
      <c r="I48" s="48"/>
      <c r="J48" s="74"/>
      <c r="K48" s="49"/>
      <c r="L48" s="49"/>
      <c r="M48" s="52">
        <f t="shared" si="2"/>
        <v>0</v>
      </c>
      <c r="N48" s="59"/>
      <c r="O48" s="60"/>
      <c r="P48" s="50"/>
      <c r="R48" s="21"/>
    </row>
    <row r="49" spans="1:18">
      <c r="A49" s="60"/>
      <c r="B49" s="60"/>
      <c r="C49" s="55"/>
      <c r="D49" s="62"/>
      <c r="E49" s="81"/>
      <c r="F49" s="82"/>
      <c r="G49" s="82"/>
      <c r="H49" s="100"/>
      <c r="I49" s="48"/>
      <c r="J49" s="74"/>
      <c r="K49" s="49"/>
      <c r="L49" s="49"/>
      <c r="M49" s="52">
        <f t="shared" si="2"/>
        <v>0</v>
      </c>
      <c r="N49" s="59"/>
      <c r="O49" s="46"/>
      <c r="P49" s="50"/>
      <c r="R49" s="21"/>
    </row>
    <row r="50" spans="1:18">
      <c r="A50" s="60"/>
      <c r="B50" s="60"/>
      <c r="C50" s="55"/>
      <c r="D50" s="62"/>
      <c r="E50" s="81"/>
      <c r="F50" s="82"/>
      <c r="G50" s="82"/>
      <c r="H50" s="100"/>
      <c r="I50" s="48"/>
      <c r="J50" s="74"/>
      <c r="K50" s="49"/>
      <c r="L50" s="49"/>
      <c r="M50" s="52">
        <f t="shared" si="2"/>
        <v>0</v>
      </c>
      <c r="N50" s="59"/>
      <c r="O50" s="46"/>
      <c r="P50" s="50"/>
      <c r="R50" s="21"/>
    </row>
    <row r="51" spans="1:18">
      <c r="A51" s="60"/>
      <c r="B51" s="60"/>
      <c r="C51" s="55"/>
      <c r="D51" s="62"/>
      <c r="E51" s="81"/>
      <c r="F51" s="82"/>
      <c r="G51" s="82"/>
      <c r="H51" s="100"/>
      <c r="I51" s="48"/>
      <c r="J51" s="74"/>
      <c r="K51" s="49"/>
      <c r="L51" s="49"/>
      <c r="M51" s="52">
        <f t="shared" si="2"/>
        <v>0</v>
      </c>
      <c r="N51" s="59"/>
      <c r="O51" s="46"/>
      <c r="P51" s="50"/>
      <c r="R51" s="21"/>
    </row>
    <row r="52" spans="1:18">
      <c r="A52" s="60"/>
      <c r="B52" s="60"/>
      <c r="C52" s="55"/>
      <c r="D52" s="62"/>
      <c r="E52" s="81"/>
      <c r="F52" s="82"/>
      <c r="G52" s="82"/>
      <c r="H52" s="100"/>
      <c r="I52" s="48"/>
      <c r="J52" s="74"/>
      <c r="K52" s="49"/>
      <c r="L52" s="49"/>
      <c r="M52" s="52"/>
      <c r="N52" s="59"/>
      <c r="O52" s="46"/>
      <c r="P52" s="50"/>
      <c r="R52" s="21"/>
    </row>
    <row r="53" spans="1:18">
      <c r="A53" s="60"/>
      <c r="B53" s="60"/>
      <c r="C53" s="55"/>
      <c r="D53" s="62"/>
      <c r="E53" s="81"/>
      <c r="F53" s="82"/>
      <c r="G53" s="82"/>
      <c r="H53" s="100"/>
      <c r="I53" s="48"/>
      <c r="J53" s="74"/>
      <c r="K53" s="49"/>
      <c r="L53" s="49"/>
      <c r="M53" s="52"/>
      <c r="N53" s="59"/>
      <c r="O53" s="46"/>
      <c r="P53" s="50"/>
      <c r="R53" s="21"/>
    </row>
    <row r="54" spans="1:18">
      <c r="A54" s="60"/>
      <c r="B54" s="60"/>
      <c r="C54" s="55"/>
      <c r="D54" s="62"/>
      <c r="E54" s="81"/>
      <c r="F54" s="82"/>
      <c r="G54" s="82"/>
      <c r="H54" s="100"/>
      <c r="I54" s="48"/>
      <c r="J54" s="74"/>
      <c r="K54" s="49"/>
      <c r="L54" s="49"/>
      <c r="M54" s="52"/>
      <c r="N54" s="59"/>
      <c r="O54" s="46"/>
      <c r="P54" s="50"/>
      <c r="R54" s="21"/>
    </row>
    <row r="55" spans="1:18">
      <c r="A55" s="60"/>
      <c r="B55" s="60"/>
      <c r="C55" s="55"/>
      <c r="D55" s="62"/>
      <c r="E55" s="68"/>
      <c r="F55" s="60"/>
      <c r="G55" s="60"/>
      <c r="H55" s="74"/>
      <c r="I55" s="48"/>
      <c r="J55" s="74"/>
      <c r="K55" s="49"/>
      <c r="L55" s="49"/>
      <c r="M55" s="52">
        <f t="shared" si="2"/>
        <v>0</v>
      </c>
      <c r="N55" s="59"/>
      <c r="O55" s="53"/>
      <c r="P55" s="50"/>
      <c r="R55" s="21"/>
    </row>
    <row r="56" spans="1:18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3"/>
      <c r="N56" s="23"/>
      <c r="O56" s="22"/>
      <c r="P5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</dc:creator>
  <cp:lastModifiedBy>JEN</cp:lastModifiedBy>
  <dcterms:created xsi:type="dcterms:W3CDTF">2026-04-10T06:53:55Z</dcterms:created>
  <dcterms:modified xsi:type="dcterms:W3CDTF">2026-05-11T05:57:47Z</dcterms:modified>
</cp:coreProperties>
</file>