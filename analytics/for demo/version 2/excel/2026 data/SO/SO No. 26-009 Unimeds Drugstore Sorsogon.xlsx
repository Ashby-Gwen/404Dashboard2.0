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Unimeds\"/>
    </mc:Choice>
  </mc:AlternateContent>
  <xr:revisionPtr revIDLastSave="0" documentId="13_ncr:1_{9D1B9F59-7C1C-4EFE-8622-24F3295032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21" i="1"/>
  <c r="G22" i="1"/>
  <c r="G23" i="1"/>
  <c r="G19" i="1"/>
  <c r="F31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<sst xmlns="http://schemas.openxmlformats.org/spreadsheetml/2006/main" count="33" uniqueCount="33">
  <si>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</si>
  <si>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</si>
  <si>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</si>
  <si>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</si>
  <si>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</si>
  <si>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</si>
  <si>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</si>
  <si>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</si>
  <si>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</si>
  <si>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</si>
  <si>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</si>
  <si>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</si>
  <si>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</si>
  <si>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</si>
  <si>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</si>
  <si>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SALES: JOANNE ZAPANTA</t>
  </si>
  <si>
    <t>Roll Out/Implementation</t>
  </si>
  <si>
    <t>One Year Warranty</t>
  </si>
  <si>
    <t>TERMS OF PAYMENT: 50% DP, 50% - 30 days</t>
  </si>
  <si>
    <t>SYSTEM: RDMS v3</t>
  </si>
  <si>
    <t>RDMS v3</t>
  </si>
  <si>
    <t>DATE: February 23, 2026</t>
  </si>
  <si>
    <t>DATE OF PO: February 23, 2026</t>
  </si>
  <si>
    <t>COMPANY: Unimeds Drugstore OPC</t>
  </si>
  <si>
    <t>STORE: Unimeds Drugstore OPC</t>
  </si>
  <si>
    <t>STORE ADDRESS: Sorsogon</t>
  </si>
  <si>
    <t>COMPANY ADDRESS: Sorsogon</t>
  </si>
  <si>
    <t xml:space="preserve">OWNER: </t>
  </si>
  <si>
    <t>CONTACT PERSON: Charina Verdida-Carpio</t>
  </si>
  <si>
    <t>MOBILE: 09199986746</t>
  </si>
  <si>
    <t>E-MAIL: charinaverdida@gmail.com</t>
  </si>
  <si>
    <t>SO No: 26-009</t>
  </si>
  <si>
    <t>Ordering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</si>
</sst>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1" xfId="0" applyFont="1" applyBorder="1" applyAlignment="1">
      <alignment vertical="top"/>
    </xf>
    <xf numFmtId="0" fontId="2" fillId="0" borderId="7" xfId="0" applyFont="1" applyBorder="1"/>
    <xf numFmtId="0" fontId="0" fillId="0" borderId="15" xfId="0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="108" zoomScaleNormal="100" zoomScalePageLayoutView="108" workbookViewId="0">
      <selection activeCell="E21" sqref="E21:E2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2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21</v>
      </c>
      <c r="B7" s="60"/>
      <c r="C7" s="2"/>
      <c r="D7" s="3"/>
      <c r="E7" s="4"/>
      <c r="F7" s="65" t="s">
        <v>31</v>
      </c>
      <c r="G7" s="66"/>
    </row>
    <row r="8" spans="1:7">
      <c r="A8" s="61" t="s">
        <v>23</v>
      </c>
      <c r="B8" s="62"/>
      <c r="C8" s="36" t="s">
        <v>27</v>
      </c>
      <c r="E8" s="30"/>
      <c r="F8" s="67" t="s">
        <v>22</v>
      </c>
      <c r="G8" s="68"/>
    </row>
    <row r="9" spans="1:7">
      <c r="A9" s="63" t="s">
        <v>26</v>
      </c>
      <c r="B9" s="64"/>
      <c r="C9" s="36" t="s">
        <v>28</v>
      </c>
      <c r="E9" s="30"/>
      <c r="F9" s="37"/>
      <c r="G9" s="38"/>
    </row>
    <row r="10" spans="1:7">
      <c r="A10" s="7"/>
      <c r="C10" s="36" t="s">
        <v>1</v>
      </c>
      <c r="D10" s="21"/>
      <c r="E10" s="22"/>
      <c r="F10" s="36" t="s">
        <v>2</v>
      </c>
      <c r="G10" s="39"/>
    </row>
    <row r="11" spans="1:7">
      <c r="A11" s="34" t="s">
        <v>24</v>
      </c>
      <c r="C11" s="34" t="s">
        <v>29</v>
      </c>
      <c r="D11" s="21"/>
      <c r="E11" s="22"/>
      <c r="F11" s="36" t="s">
        <v>3</v>
      </c>
      <c r="G11" s="39"/>
    </row>
    <row r="12" spans="1:7">
      <c r="A12" s="33" t="s">
        <v>25</v>
      </c>
      <c r="C12" s="34" t="s">
        <v>4</v>
      </c>
      <c r="D12" s="25"/>
      <c r="E12" s="26"/>
      <c r="F12" s="40" t="s">
        <v>13</v>
      </c>
      <c r="G12" s="41"/>
    </row>
    <row r="13" spans="1:7">
      <c r="A13" s="8"/>
      <c r="C13" s="33" t="s">
        <v>30</v>
      </c>
      <c r="D13" s="13"/>
      <c r="E13" s="23"/>
      <c r="G13" s="26"/>
    </row>
    <row r="14" spans="1:7">
      <c r="A14" s="35" t="s">
        <v>19</v>
      </c>
      <c r="B14" s="29"/>
      <c r="C14" s="27"/>
      <c r="D14" s="21"/>
      <c r="E14" s="22"/>
      <c r="F14" s="21"/>
      <c r="G14" s="22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42" t="s">
        <v>18</v>
      </c>
      <c r="B16" s="4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0" t="s">
        <v>7</v>
      </c>
      <c r="F18" s="2" t="s">
        <v>8</v>
      </c>
      <c r="G18" s="47" t="s">
        <v>9</v>
      </c>
    </row>
    <row r="19" spans="1:7">
      <c r="A19" s="46" t="s">
        <v>20</v>
      </c>
      <c r="D19" s="24">
        <v>6</v>
      </c>
      <c r="E19" s="18">
        <v>6300</v>
      </c>
      <c r="F19" s="18">
        <v>18000</v>
      </c>
      <c r="G19" s="43">
        <f>F19*D19</f>
        <v>108000</v>
      </c>
    </row>
    <row r="20" spans="1:7">
      <c r="A20" s="27" t="s">
        <v>14</v>
      </c>
      <c r="B20" s="21"/>
      <c r="D20" s="24">
        <v>6</v>
      </c>
      <c r="E20" s="18">
        <v>500</v>
      </c>
      <c r="F20" s="18">
        <v>500</v>
      </c>
      <c r="G20" s="16">
        <f t="shared" ref="G20:G24" si="0">F20*D20</f>
        <v>3000</v>
      </c>
    </row>
    <row r="21" spans="1:7">
      <c r="A21" s="8" t="s">
        <v>16</v>
      </c>
      <c r="D21" s="24">
        <v>6</v>
      </c>
      <c r="E21" s="18">
        <v>20750</v>
      </c>
      <c r="F21" s="18">
        <v>20750</v>
      </c>
      <c r="G21" s="16">
        <f t="shared" si="0"/>
        <v>124500</v>
      </c>
    </row>
    <row r="22" spans="1:7">
      <c r="A22" s="8" t="s">
        <v>17</v>
      </c>
      <c r="D22" s="44">
        <v>6</v>
      </c>
      <c r="E22" s="18">
        <v>20750</v>
      </c>
      <c r="F22" s="18">
        <v>20750</v>
      </c>
      <c r="G22" s="16">
        <f t="shared" si="0"/>
        <v>124500</v>
      </c>
    </row>
    <row r="23" spans="1:7">
      <c r="A23" s="8" t="s">
        <v>32</v>
      </c>
      <c r="D23" s="44">
        <v>6</v>
      </c>
      <c r="E23" s="16">
        <v>3500</v>
      </c>
      <c r="F23" s="18">
        <v>10000</v>
      </c>
      <c r="G23" s="16">
        <f t="shared" si="0"/>
        <v>60000</v>
      </c>
    </row>
    <row r="24" spans="1:7">
      <c r="A24" s="8"/>
      <c r="D24" s="44"/>
      <c r="E24" s="18"/>
      <c r="F24" s="16"/>
      <c r="G24" s="16"/>
    </row>
    <row r="25" spans="1:7">
      <c r="A25" s="8"/>
      <c r="D25" s="8"/>
      <c r="E25" s="18"/>
      <c r="F25" s="16"/>
      <c r="G25" s="16"/>
    </row>
    <row r="26" spans="1:7">
      <c r="A26" s="8"/>
      <c r="D26" s="8"/>
      <c r="E26" s="18"/>
      <c r="F26" s="16"/>
      <c r="G26" s="16"/>
    </row>
    <row r="27" spans="1:7">
      <c r="A27" s="8"/>
      <c r="D27" s="8"/>
      <c r="E27" s="18"/>
      <c r="F27" s="16"/>
      <c r="G27" s="16"/>
    </row>
    <row r="28" spans="1:7">
      <c r="A28" s="8"/>
      <c r="D28" s="8"/>
      <c r="E28" s="18"/>
      <c r="F28" s="16"/>
      <c r="G28" s="16"/>
    </row>
    <row r="29" spans="1:7">
      <c r="A29" s="8"/>
      <c r="D29" s="8"/>
      <c r="E29" s="18"/>
      <c r="F29" s="16"/>
      <c r="G29" s="16"/>
    </row>
    <row r="30" spans="1:7">
      <c r="A30" s="8"/>
      <c r="D30" s="9"/>
      <c r="E30" s="19"/>
      <c r="F30" s="31"/>
      <c r="G30" s="17"/>
    </row>
    <row r="31" spans="1:7">
      <c r="A31" s="48" t="s">
        <v>10</v>
      </c>
      <c r="B31" s="49"/>
      <c r="C31" s="49"/>
      <c r="D31" s="49"/>
      <c r="E31" s="49"/>
      <c r="F31" s="50">
        <f>SUM(G19:G30)</f>
        <v>420000</v>
      </c>
      <c r="G31" s="51"/>
    </row>
    <row r="34" spans="1:7">
      <c r="A34" t="s">
        <v>15</v>
      </c>
      <c r="D34" t="s">
        <v>11</v>
      </c>
    </row>
    <row r="35" spans="1:7">
      <c r="D35" s="52" t="s">
        <v>12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1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2026-02-24T06:34:00Z</cp:lastPrinted>
  <dcterms:created xsi:type="dcterms:W3CDTF">2016-11-22T07:07:00Z</dcterms:created>
  <dcterms:modified xsi:type="dcterms:W3CDTF">2026-02-24T06:38:51Z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